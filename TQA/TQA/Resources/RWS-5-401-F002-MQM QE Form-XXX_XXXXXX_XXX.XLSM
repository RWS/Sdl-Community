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C:\Users\bbulawa\Desktop\Projects\Reports\Translation\MQM\"/>
    </mc:Choice>
  </mc:AlternateContent>
  <xr:revisionPtr revIDLastSave="0" documentId="13_ncr:1_{DF6A69D7-68BA-4CDA-8266-EE96E0F5C3C2}" xr6:coauthVersionLast="47" xr6:coauthVersionMax="47" xr10:uidLastSave="{00000000-0000-0000-0000-000000000000}"/>
  <bookViews>
    <workbookView xWindow="-28920" yWindow="-120" windowWidth="29040" windowHeight="15840" tabRatio="795" xr2:uid="{00000000-000D-0000-FFFF-FFFF00000000}"/>
  </bookViews>
  <sheets>
    <sheet name="Evaluation Report_Initial" sheetId="11" r:id="rId1"/>
    <sheet name="Evaluation Report_Final Result" sheetId="29" r:id="rId2"/>
    <sheet name="Evaluation details_input" sheetId="23" r:id="rId3"/>
    <sheet name="Screenshots" sheetId="42" r:id="rId4"/>
    <sheet name="Checklist" sheetId="40" r:id="rId5"/>
    <sheet name="Errors &amp; Weighting definitions" sheetId="35" r:id="rId6"/>
    <sheet name="Version History" sheetId="39" r:id="rId7"/>
    <sheet name="Validation setup" sheetId="41" state="veryHidden" r:id="rId8"/>
    <sheet name="Setup" sheetId="26" state="veryHidden" r:id="rId9"/>
    <sheet name="Data" sheetId="37" state="veryHidden" r:id="rId10"/>
  </sheets>
  <definedNames>
    <definedName name="_xlnm._FilterDatabase" localSheetId="2" hidden="1">'Evaluation details_input'!$A$3:$V$2000</definedName>
    <definedName name="Accuracy">Setup!$K$3:$K$10</definedName>
    <definedName name="Adequacy">'Evaluation Report_Initial'!$M$12</definedName>
    <definedName name="aLevel2">Setup!$J$2:$Q$2</definedName>
    <definedName name="Audience">Setup!$O$3:$O$4</definedName>
    <definedName name="BUS_UNIT">Setup!$B$2:$B$42</definedName>
    <definedName name="clients">Setup!#REF!</definedName>
    <definedName name="Design">Setup!$P$3:$P$9</definedName>
    <definedName name="languages">Setup!$C$3:$C$204</definedName>
    <definedName name="Linguistic">Setup!$L$3:$L$8</definedName>
    <definedName name="Locale">Setup!$N$3:$N$11</definedName>
    <definedName name="NotImp">Setup!$G$3:$G$6</definedName>
    <definedName name="OFFICE">Setup!$B$3:$B$38</definedName>
    <definedName name="Other">Setup!$Q$3:$Q$5</definedName>
    <definedName name="_xlnm.Print_Area" localSheetId="5">'Errors &amp; Weighting definitions'!$B$1:$F$359</definedName>
    <definedName name="_xlnm.Print_Area" localSheetId="2">'Evaluation details_input'!$A$1:$V$50</definedName>
    <definedName name="_xlnm.Print_Area" localSheetId="8">Setup!$B$1:$F$114</definedName>
    <definedName name="Severities">Setup!$E$3:$E$7</definedName>
    <definedName name="SignOff">Setup!$F$3:$F$5</definedName>
    <definedName name="Status" localSheetId="6">#REF!</definedName>
    <definedName name="Style">Setup!$M$3:$M$10</definedName>
    <definedName name="Terminology">Setup!$J$3:$J$6</definedName>
    <definedName name="TRANS_TYPE">Setup!$D$3:$D$4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 i="37" l="1"/>
  <c r="B8" i="37"/>
  <c r="G3" i="41"/>
  <c r="F8" i="41"/>
  <c r="F10" i="41"/>
  <c r="F13" i="41"/>
  <c r="F14" i="41"/>
  <c r="F15" i="41"/>
  <c r="F16" i="41"/>
  <c r="F17" i="41"/>
  <c r="F18" i="41"/>
  <c r="F19" i="41"/>
  <c r="F20" i="41"/>
  <c r="F21" i="41"/>
  <c r="F22" i="41"/>
  <c r="F23" i="41"/>
  <c r="E3" i="41"/>
  <c r="E4" i="41"/>
  <c r="E5" i="41"/>
  <c r="E6" i="41"/>
  <c r="E7" i="41"/>
  <c r="E8" i="41"/>
  <c r="E10" i="41"/>
  <c r="E11" i="41"/>
  <c r="E12" i="41"/>
  <c r="E13" i="41"/>
  <c r="E14" i="41"/>
  <c r="E15" i="41"/>
  <c r="E16" i="41"/>
  <c r="E17" i="41"/>
  <c r="E18" i="41"/>
  <c r="E19" i="41"/>
  <c r="E20" i="41"/>
  <c r="E21" i="41"/>
  <c r="E22" i="41"/>
  <c r="E23" i="41"/>
  <c r="C5" i="29"/>
  <c r="G5" i="41"/>
  <c r="X5" i="23" l="1"/>
  <c r="Y5" i="23"/>
  <c r="Z5" i="23"/>
  <c r="AA5" i="23" a="1"/>
  <c r="AA5" i="23" s="1"/>
  <c r="AB5" i="23"/>
  <c r="AC5" i="23" a="1"/>
  <c r="AC5" i="23" s="1"/>
  <c r="AD5" i="23"/>
  <c r="AE5" i="23"/>
  <c r="X6" i="23"/>
  <c r="Y6" i="23"/>
  <c r="Z6" i="23"/>
  <c r="AA6" i="23" a="1"/>
  <c r="AA6" i="23" s="1"/>
  <c r="AB6" i="23"/>
  <c r="AC6" i="23" a="1"/>
  <c r="AC6" i="23" s="1"/>
  <c r="AD6" i="23"/>
  <c r="AE6" i="23"/>
  <c r="X7" i="23"/>
  <c r="Y7" i="23"/>
  <c r="Z7" i="23"/>
  <c r="AA7" i="23" a="1"/>
  <c r="AA7" i="23"/>
  <c r="AB7" i="23"/>
  <c r="AC7" i="23" a="1"/>
  <c r="AC7" i="23" s="1"/>
  <c r="AD7" i="23"/>
  <c r="AE7" i="23"/>
  <c r="AF7" i="23" a="1"/>
  <c r="AF7" i="23" s="1"/>
  <c r="X8" i="23"/>
  <c r="Y8" i="23"/>
  <c r="Z8" i="23"/>
  <c r="AA8" i="23" a="1"/>
  <c r="AA8" i="23" s="1"/>
  <c r="AB8" i="23"/>
  <c r="AC8" i="23" a="1"/>
  <c r="AC8" i="23" s="1"/>
  <c r="AD8" i="23"/>
  <c r="AE8" i="23"/>
  <c r="AF8" i="23" a="1"/>
  <c r="AF8" i="23" s="1"/>
  <c r="X9" i="23"/>
  <c r="Y9" i="23"/>
  <c r="Z9" i="23"/>
  <c r="AA9" i="23" a="1"/>
  <c r="AA9" i="23"/>
  <c r="AB9" i="23"/>
  <c r="AC9" i="23" a="1"/>
  <c r="AC9" i="23" s="1"/>
  <c r="AD9" i="23"/>
  <c r="AE9" i="23"/>
  <c r="AF9" i="23" a="1"/>
  <c r="AF9" i="23" s="1"/>
  <c r="X10" i="23"/>
  <c r="Y10" i="23"/>
  <c r="Z10" i="23"/>
  <c r="AA10" i="23" a="1"/>
  <c r="AA10" i="23" s="1"/>
  <c r="AB10" i="23"/>
  <c r="AC10" i="23" a="1"/>
  <c r="AC10" i="23" s="1"/>
  <c r="AD10" i="23"/>
  <c r="AE10" i="23"/>
  <c r="AF10" i="23" a="1"/>
  <c r="AF10" i="23" s="1"/>
  <c r="X11" i="23"/>
  <c r="Y11" i="23"/>
  <c r="Z11" i="23"/>
  <c r="AA11" i="23" a="1"/>
  <c r="AA11" i="23"/>
  <c r="AB11" i="23"/>
  <c r="AC11" i="23" a="1"/>
  <c r="AC11" i="23" s="1"/>
  <c r="AD11" i="23"/>
  <c r="AE11" i="23"/>
  <c r="AF11" i="23" a="1"/>
  <c r="AF11" i="23" s="1"/>
  <c r="X12" i="23"/>
  <c r="Y12" i="23"/>
  <c r="Z12" i="23"/>
  <c r="AA12" i="23" a="1"/>
  <c r="AA12" i="23" s="1"/>
  <c r="AB12" i="23"/>
  <c r="AC12" i="23" a="1"/>
  <c r="AC12" i="23" s="1"/>
  <c r="AD12" i="23"/>
  <c r="AE12" i="23"/>
  <c r="AF12" i="23" a="1"/>
  <c r="AF12" i="23" s="1"/>
  <c r="X13" i="23"/>
  <c r="Y13" i="23"/>
  <c r="Z13" i="23"/>
  <c r="AA13" i="23" a="1"/>
  <c r="AA13" i="23"/>
  <c r="AB13" i="23"/>
  <c r="AC13" i="23" a="1"/>
  <c r="AC13" i="23" s="1"/>
  <c r="AD13" i="23"/>
  <c r="AE13" i="23"/>
  <c r="AF13" i="23" a="1"/>
  <c r="AF13" i="23" s="1"/>
  <c r="X14" i="23"/>
  <c r="Y14" i="23"/>
  <c r="Z14" i="23"/>
  <c r="AA14" i="23" a="1"/>
  <c r="AA14" i="23" s="1"/>
  <c r="AB14" i="23"/>
  <c r="AC14" i="23" a="1"/>
  <c r="AC14" i="23" s="1"/>
  <c r="AD14" i="23"/>
  <c r="AE14" i="23"/>
  <c r="AF14" i="23" a="1"/>
  <c r="AF14" i="23" s="1"/>
  <c r="X15" i="23"/>
  <c r="Y15" i="23"/>
  <c r="Z15" i="23"/>
  <c r="AA15" i="23" a="1"/>
  <c r="AA15" i="23"/>
  <c r="AB15" i="23"/>
  <c r="AC15" i="23" a="1"/>
  <c r="AC15" i="23" s="1"/>
  <c r="AD15" i="23"/>
  <c r="AE15" i="23"/>
  <c r="AF15" i="23" a="1"/>
  <c r="AF15" i="23" s="1"/>
  <c r="X16" i="23"/>
  <c r="Y16" i="23"/>
  <c r="Z16" i="23"/>
  <c r="AA16" i="23" a="1"/>
  <c r="AA16" i="23" s="1"/>
  <c r="AB16" i="23"/>
  <c r="AC16" i="23" a="1"/>
  <c r="AC16" i="23" s="1"/>
  <c r="AD16" i="23"/>
  <c r="AE16" i="23"/>
  <c r="AF16" i="23" a="1"/>
  <c r="AF16" i="23" s="1"/>
  <c r="X17" i="23"/>
  <c r="Y17" i="23"/>
  <c r="Z17" i="23"/>
  <c r="AA17" i="23" a="1"/>
  <c r="AA17" i="23"/>
  <c r="AB17" i="23"/>
  <c r="AC17" i="23" a="1"/>
  <c r="AC17" i="23" s="1"/>
  <c r="AD17" i="23"/>
  <c r="AE17" i="23"/>
  <c r="AF17" i="23" a="1"/>
  <c r="AF17" i="23" s="1"/>
  <c r="X18" i="23"/>
  <c r="Y18" i="23"/>
  <c r="Z18" i="23"/>
  <c r="AA18" i="23" a="1"/>
  <c r="AA18" i="23" s="1"/>
  <c r="AB18" i="23"/>
  <c r="AC18" i="23" a="1"/>
  <c r="AC18" i="23" s="1"/>
  <c r="AD18" i="23"/>
  <c r="AE18" i="23"/>
  <c r="AF18" i="23" a="1"/>
  <c r="AF18" i="23" s="1"/>
  <c r="X19" i="23"/>
  <c r="Y19" i="23"/>
  <c r="Z19" i="23"/>
  <c r="AA19" i="23" a="1"/>
  <c r="AA19" i="23"/>
  <c r="AB19" i="23"/>
  <c r="AC19" i="23" a="1"/>
  <c r="AC19" i="23" s="1"/>
  <c r="AD19" i="23"/>
  <c r="AE19" i="23"/>
  <c r="AF19" i="23" a="1"/>
  <c r="AF19" i="23" s="1"/>
  <c r="X20" i="23"/>
  <c r="Y20" i="23"/>
  <c r="Z20" i="23"/>
  <c r="AA20" i="23" a="1"/>
  <c r="AA20" i="23" s="1"/>
  <c r="AB20" i="23"/>
  <c r="AC20" i="23" a="1"/>
  <c r="AC20" i="23" s="1"/>
  <c r="AD20" i="23"/>
  <c r="AE20" i="23"/>
  <c r="AF20" i="23" a="1"/>
  <c r="AF20" i="23" s="1"/>
  <c r="X21" i="23"/>
  <c r="Y21" i="23"/>
  <c r="Z21" i="23"/>
  <c r="AA21" i="23" a="1"/>
  <c r="AA21" i="23"/>
  <c r="AB21" i="23"/>
  <c r="AC21" i="23" a="1"/>
  <c r="AC21" i="23" s="1"/>
  <c r="AD21" i="23"/>
  <c r="AE21" i="23"/>
  <c r="AF21" i="23" a="1"/>
  <c r="AF21" i="23" s="1"/>
  <c r="X22" i="23"/>
  <c r="Y22" i="23"/>
  <c r="Z22" i="23"/>
  <c r="AA22" i="23" a="1"/>
  <c r="AA22" i="23" s="1"/>
  <c r="AB22" i="23"/>
  <c r="AC22" i="23" a="1"/>
  <c r="AC22" i="23" s="1"/>
  <c r="AD22" i="23"/>
  <c r="AE22" i="23"/>
  <c r="AF22" i="23" a="1"/>
  <c r="AF22" i="23" s="1"/>
  <c r="X23" i="23"/>
  <c r="Y23" i="23"/>
  <c r="Z23" i="23"/>
  <c r="AA23" i="23" a="1"/>
  <c r="AA23" i="23"/>
  <c r="AB23" i="23"/>
  <c r="AC23" i="23" a="1"/>
  <c r="AC23" i="23" s="1"/>
  <c r="AD23" i="23"/>
  <c r="AE23" i="23"/>
  <c r="AF23" i="23" a="1"/>
  <c r="AF23" i="23" s="1"/>
  <c r="X24" i="23"/>
  <c r="Y24" i="23"/>
  <c r="Z24" i="23"/>
  <c r="AA24" i="23" a="1"/>
  <c r="AA24" i="23" s="1"/>
  <c r="AB24" i="23"/>
  <c r="AC24" i="23" a="1"/>
  <c r="AC24" i="23" s="1"/>
  <c r="AD24" i="23"/>
  <c r="AE24" i="23"/>
  <c r="AF24" i="23" a="1"/>
  <c r="AF24" i="23" s="1"/>
  <c r="X25" i="23"/>
  <c r="Y25" i="23"/>
  <c r="Z25" i="23"/>
  <c r="AA25" i="23" a="1"/>
  <c r="AA25" i="23"/>
  <c r="AB25" i="23"/>
  <c r="AC25" i="23" a="1"/>
  <c r="AC25" i="23" s="1"/>
  <c r="AD25" i="23"/>
  <c r="AE25" i="23"/>
  <c r="AF25" i="23" a="1"/>
  <c r="AF25" i="23" s="1"/>
  <c r="X26" i="23"/>
  <c r="Y26" i="23"/>
  <c r="Z26" i="23"/>
  <c r="AA26" i="23" a="1"/>
  <c r="AA26" i="23" s="1"/>
  <c r="AB26" i="23"/>
  <c r="AC26" i="23" a="1"/>
  <c r="AC26" i="23" s="1"/>
  <c r="AD26" i="23"/>
  <c r="AE26" i="23"/>
  <c r="AF26" i="23" a="1"/>
  <c r="AF26" i="23" s="1"/>
  <c r="X27" i="23"/>
  <c r="Y27" i="23"/>
  <c r="Z27" i="23"/>
  <c r="AA27" i="23" a="1"/>
  <c r="AA27" i="23"/>
  <c r="AB27" i="23"/>
  <c r="AC27" i="23" a="1"/>
  <c r="AC27" i="23" s="1"/>
  <c r="AD27" i="23"/>
  <c r="AE27" i="23"/>
  <c r="AF27" i="23" a="1"/>
  <c r="AF27" i="23" s="1"/>
  <c r="X28" i="23"/>
  <c r="Y28" i="23"/>
  <c r="Z28" i="23"/>
  <c r="AA28" i="23" a="1"/>
  <c r="AA28" i="23" s="1"/>
  <c r="AB28" i="23"/>
  <c r="AC28" i="23" a="1"/>
  <c r="AC28" i="23" s="1"/>
  <c r="AD28" i="23"/>
  <c r="AE28" i="23"/>
  <c r="AF28" i="23" a="1"/>
  <c r="AF28" i="23" s="1"/>
  <c r="X29" i="23"/>
  <c r="Y29" i="23"/>
  <c r="Z29" i="23"/>
  <c r="AA29" i="23" a="1"/>
  <c r="AA29" i="23"/>
  <c r="AB29" i="23"/>
  <c r="AC29" i="23" a="1"/>
  <c r="AC29" i="23" s="1"/>
  <c r="AD29" i="23"/>
  <c r="AE29" i="23"/>
  <c r="AF29" i="23" a="1"/>
  <c r="AF29" i="23" s="1"/>
  <c r="X30" i="23"/>
  <c r="Y30" i="23"/>
  <c r="Z30" i="23"/>
  <c r="AA30" i="23" a="1"/>
  <c r="AA30" i="23" s="1"/>
  <c r="AB30" i="23"/>
  <c r="AC30" i="23" a="1"/>
  <c r="AC30" i="23" s="1"/>
  <c r="AD30" i="23"/>
  <c r="AE30" i="23"/>
  <c r="AF30" i="23" a="1"/>
  <c r="AF30" i="23" s="1"/>
  <c r="X31" i="23"/>
  <c r="Y31" i="23"/>
  <c r="Z31" i="23"/>
  <c r="AA31" i="23" a="1"/>
  <c r="AA31" i="23"/>
  <c r="AB31" i="23"/>
  <c r="AC31" i="23" a="1"/>
  <c r="AC31" i="23" s="1"/>
  <c r="AD31" i="23"/>
  <c r="AE31" i="23"/>
  <c r="AF31" i="23" a="1"/>
  <c r="AF31" i="23" s="1"/>
  <c r="X32" i="23"/>
  <c r="Y32" i="23"/>
  <c r="Z32" i="23"/>
  <c r="AA32" i="23" a="1"/>
  <c r="AA32" i="23" s="1"/>
  <c r="AB32" i="23"/>
  <c r="AC32" i="23" a="1"/>
  <c r="AC32" i="23" s="1"/>
  <c r="AD32" i="23"/>
  <c r="AE32" i="23"/>
  <c r="AF32" i="23" a="1"/>
  <c r="AF32" i="23" s="1"/>
  <c r="X33" i="23"/>
  <c r="Y33" i="23"/>
  <c r="Z33" i="23"/>
  <c r="AA33" i="23" a="1"/>
  <c r="AA33" i="23"/>
  <c r="AB33" i="23"/>
  <c r="AC33" i="23" a="1"/>
  <c r="AC33" i="23" s="1"/>
  <c r="AD33" i="23"/>
  <c r="AE33" i="23"/>
  <c r="AF33" i="23" a="1"/>
  <c r="AF33" i="23" s="1"/>
  <c r="X34" i="23"/>
  <c r="Y34" i="23"/>
  <c r="Z34" i="23"/>
  <c r="AA34" i="23" a="1"/>
  <c r="AA34" i="23" s="1"/>
  <c r="AB34" i="23"/>
  <c r="AC34" i="23" a="1"/>
  <c r="AC34" i="23" s="1"/>
  <c r="AD34" i="23"/>
  <c r="AE34" i="23"/>
  <c r="AF34" i="23" a="1"/>
  <c r="AF34" i="23" s="1"/>
  <c r="X35" i="23"/>
  <c r="Y35" i="23"/>
  <c r="Z35" i="23"/>
  <c r="AA35" i="23" a="1"/>
  <c r="AA35" i="23"/>
  <c r="AB35" i="23"/>
  <c r="AC35" i="23" a="1"/>
  <c r="AC35" i="23" s="1"/>
  <c r="AD35" i="23"/>
  <c r="AE35" i="23"/>
  <c r="AF35" i="23" a="1"/>
  <c r="AF35" i="23" s="1"/>
  <c r="X36" i="23"/>
  <c r="Y36" i="23"/>
  <c r="Z36" i="23"/>
  <c r="AA36" i="23" a="1"/>
  <c r="AA36" i="23" s="1"/>
  <c r="AB36" i="23"/>
  <c r="AC36" i="23" a="1"/>
  <c r="AC36" i="23" s="1"/>
  <c r="AD36" i="23"/>
  <c r="AE36" i="23"/>
  <c r="AF36" i="23" a="1"/>
  <c r="AF36" i="23" s="1"/>
  <c r="X37" i="23"/>
  <c r="Y37" i="23"/>
  <c r="Z37" i="23"/>
  <c r="AA37" i="23" a="1"/>
  <c r="AA37" i="23"/>
  <c r="AB37" i="23"/>
  <c r="AC37" i="23" a="1"/>
  <c r="AC37" i="23" s="1"/>
  <c r="AD37" i="23"/>
  <c r="AE37" i="23"/>
  <c r="AF37" i="23" a="1"/>
  <c r="AF37" i="23" s="1"/>
  <c r="X38" i="23"/>
  <c r="Y38" i="23"/>
  <c r="Z38" i="23"/>
  <c r="AA38" i="23" a="1"/>
  <c r="AA38" i="23" s="1"/>
  <c r="AB38" i="23"/>
  <c r="AC38" i="23" a="1"/>
  <c r="AC38" i="23" s="1"/>
  <c r="AD38" i="23"/>
  <c r="AE38" i="23"/>
  <c r="AF38" i="23" a="1"/>
  <c r="AF38" i="23" s="1"/>
  <c r="X39" i="23"/>
  <c r="Y39" i="23"/>
  <c r="Z39" i="23"/>
  <c r="AA39" i="23" a="1"/>
  <c r="AA39" i="23"/>
  <c r="AB39" i="23"/>
  <c r="AC39" i="23" a="1"/>
  <c r="AC39" i="23" s="1"/>
  <c r="AD39" i="23"/>
  <c r="AE39" i="23"/>
  <c r="AF39" i="23" a="1"/>
  <c r="AF39" i="23" s="1"/>
  <c r="X40" i="23"/>
  <c r="Y40" i="23"/>
  <c r="Z40" i="23"/>
  <c r="AA40" i="23" a="1"/>
  <c r="AA40" i="23" s="1"/>
  <c r="AB40" i="23"/>
  <c r="AC40" i="23" a="1"/>
  <c r="AC40" i="23" s="1"/>
  <c r="AD40" i="23"/>
  <c r="AE40" i="23"/>
  <c r="AF40" i="23" a="1"/>
  <c r="AF40" i="23" s="1"/>
  <c r="X41" i="23"/>
  <c r="Y41" i="23"/>
  <c r="Z41" i="23"/>
  <c r="AA41" i="23" a="1"/>
  <c r="AA41" i="23"/>
  <c r="AB41" i="23"/>
  <c r="AC41" i="23" a="1"/>
  <c r="AC41" i="23" s="1"/>
  <c r="AD41" i="23"/>
  <c r="AE41" i="23"/>
  <c r="AF41" i="23" a="1"/>
  <c r="AF41" i="23" s="1"/>
  <c r="X42" i="23"/>
  <c r="Y42" i="23"/>
  <c r="Z42" i="23"/>
  <c r="AA42" i="23" a="1"/>
  <c r="AA42" i="23" s="1"/>
  <c r="AB42" i="23"/>
  <c r="AC42" i="23" a="1"/>
  <c r="AC42" i="23" s="1"/>
  <c r="AD42" i="23"/>
  <c r="AE42" i="23"/>
  <c r="AF42" i="23" a="1"/>
  <c r="AF42" i="23" s="1"/>
  <c r="X43" i="23"/>
  <c r="Y43" i="23"/>
  <c r="Z43" i="23"/>
  <c r="AA43" i="23" a="1"/>
  <c r="AA43" i="23"/>
  <c r="AB43" i="23"/>
  <c r="AC43" i="23" a="1"/>
  <c r="AC43" i="23" s="1"/>
  <c r="AD43" i="23"/>
  <c r="AE43" i="23"/>
  <c r="AF43" i="23" a="1"/>
  <c r="AF43" i="23" s="1"/>
  <c r="X44" i="23"/>
  <c r="Y44" i="23"/>
  <c r="Z44" i="23"/>
  <c r="AA44" i="23" a="1"/>
  <c r="AA44" i="23" s="1"/>
  <c r="AB44" i="23"/>
  <c r="AC44" i="23" a="1"/>
  <c r="AC44" i="23" s="1"/>
  <c r="AD44" i="23"/>
  <c r="AE44" i="23"/>
  <c r="AF44" i="23" a="1"/>
  <c r="AF44" i="23" s="1"/>
  <c r="X45" i="23"/>
  <c r="Y45" i="23"/>
  <c r="Z45" i="23"/>
  <c r="AA45" i="23" a="1"/>
  <c r="AA45" i="23"/>
  <c r="AB45" i="23"/>
  <c r="AC45" i="23" a="1"/>
  <c r="AC45" i="23" s="1"/>
  <c r="AD45" i="23"/>
  <c r="AE45" i="23"/>
  <c r="AF45" i="23" a="1"/>
  <c r="AF45" i="23" s="1"/>
  <c r="X46" i="23"/>
  <c r="Y46" i="23"/>
  <c r="Z46" i="23"/>
  <c r="AA46" i="23" a="1"/>
  <c r="AA46" i="23" s="1"/>
  <c r="AB46" i="23"/>
  <c r="AC46" i="23" a="1"/>
  <c r="AC46" i="23" s="1"/>
  <c r="AD46" i="23"/>
  <c r="AE46" i="23"/>
  <c r="AF46" i="23" a="1"/>
  <c r="AF46" i="23" s="1"/>
  <c r="X47" i="23"/>
  <c r="Y47" i="23"/>
  <c r="Z47" i="23"/>
  <c r="AA47" i="23" a="1"/>
  <c r="AA47" i="23"/>
  <c r="AB47" i="23"/>
  <c r="AC47" i="23" a="1"/>
  <c r="AC47" i="23" s="1"/>
  <c r="AD47" i="23"/>
  <c r="AE47" i="23"/>
  <c r="AF47" i="23" a="1"/>
  <c r="AF47" i="23" s="1"/>
  <c r="X48" i="23"/>
  <c r="Y48" i="23"/>
  <c r="Z48" i="23"/>
  <c r="AA48" i="23" a="1"/>
  <c r="AA48" i="23" s="1"/>
  <c r="AB48" i="23"/>
  <c r="AC48" i="23" a="1"/>
  <c r="AC48" i="23" s="1"/>
  <c r="AD48" i="23"/>
  <c r="AE48" i="23"/>
  <c r="AF48" i="23" a="1"/>
  <c r="AF48" i="23" s="1"/>
  <c r="X49" i="23"/>
  <c r="Y49" i="23"/>
  <c r="Z49" i="23"/>
  <c r="AA49" i="23" a="1"/>
  <c r="AA49" i="23"/>
  <c r="AB49" i="23"/>
  <c r="AC49" i="23" a="1"/>
  <c r="AC49" i="23" s="1"/>
  <c r="AD49" i="23"/>
  <c r="AE49" i="23"/>
  <c r="AF49" i="23" a="1"/>
  <c r="AF49" i="23" s="1"/>
  <c r="X50" i="23"/>
  <c r="Y50" i="23"/>
  <c r="Z50" i="23"/>
  <c r="AA50" i="23" a="1"/>
  <c r="AA50" i="23" s="1"/>
  <c r="AB50" i="23"/>
  <c r="AC50" i="23" a="1"/>
  <c r="AC50" i="23" s="1"/>
  <c r="AD50" i="23"/>
  <c r="AE50" i="23"/>
  <c r="AF50" i="23" a="1"/>
  <c r="AF50" i="23" s="1"/>
  <c r="X51" i="23"/>
  <c r="Y51" i="23"/>
  <c r="Z51" i="23"/>
  <c r="AA51" i="23" a="1"/>
  <c r="AA51" i="23"/>
  <c r="AB51" i="23"/>
  <c r="AC51" i="23" a="1"/>
  <c r="AC51" i="23" s="1"/>
  <c r="AD51" i="23"/>
  <c r="AE51" i="23"/>
  <c r="AF51" i="23" a="1"/>
  <c r="AF51" i="23" s="1"/>
  <c r="X52" i="23"/>
  <c r="Y52" i="23"/>
  <c r="Z52" i="23"/>
  <c r="AA52" i="23" a="1"/>
  <c r="AA52" i="23" s="1"/>
  <c r="AB52" i="23"/>
  <c r="AC52" i="23" a="1"/>
  <c r="AC52" i="23" s="1"/>
  <c r="AD52" i="23"/>
  <c r="AE52" i="23"/>
  <c r="AF52" i="23" a="1"/>
  <c r="AF52" i="23" s="1"/>
  <c r="X53" i="23"/>
  <c r="Y53" i="23"/>
  <c r="Z53" i="23"/>
  <c r="AA53" i="23" a="1"/>
  <c r="AA53" i="23"/>
  <c r="AB53" i="23"/>
  <c r="AC53" i="23" a="1"/>
  <c r="AC53" i="23" s="1"/>
  <c r="AD53" i="23"/>
  <c r="AE53" i="23"/>
  <c r="AF53" i="23" a="1"/>
  <c r="AF53" i="23" s="1"/>
  <c r="X54" i="23"/>
  <c r="Y54" i="23"/>
  <c r="Z54" i="23"/>
  <c r="AA54" i="23" a="1"/>
  <c r="AA54" i="23" s="1"/>
  <c r="AB54" i="23"/>
  <c r="AC54" i="23" a="1"/>
  <c r="AC54" i="23" s="1"/>
  <c r="AD54" i="23"/>
  <c r="AE54" i="23"/>
  <c r="AF54" i="23" a="1"/>
  <c r="AF54" i="23" s="1"/>
  <c r="X55" i="23"/>
  <c r="Y55" i="23"/>
  <c r="Z55" i="23"/>
  <c r="AA55" i="23" a="1"/>
  <c r="AA55" i="23"/>
  <c r="AB55" i="23"/>
  <c r="AC55" i="23" a="1"/>
  <c r="AC55" i="23" s="1"/>
  <c r="AD55" i="23"/>
  <c r="AE55" i="23"/>
  <c r="AF55" i="23" a="1"/>
  <c r="AF55" i="23" s="1"/>
  <c r="X56" i="23"/>
  <c r="Y56" i="23"/>
  <c r="Z56" i="23"/>
  <c r="AA56" i="23" a="1"/>
  <c r="AA56" i="23" s="1"/>
  <c r="AB56" i="23"/>
  <c r="AC56" i="23" a="1"/>
  <c r="AC56" i="23" s="1"/>
  <c r="AD56" i="23"/>
  <c r="AE56" i="23"/>
  <c r="AF56" i="23" a="1"/>
  <c r="AF56" i="23" s="1"/>
  <c r="X57" i="23"/>
  <c r="Y57" i="23"/>
  <c r="Z57" i="23"/>
  <c r="AA57" i="23" a="1"/>
  <c r="AA57" i="23"/>
  <c r="AB57" i="23"/>
  <c r="AC57" i="23" a="1"/>
  <c r="AC57" i="23" s="1"/>
  <c r="AD57" i="23"/>
  <c r="AE57" i="23"/>
  <c r="AF57" i="23" a="1"/>
  <c r="AF57" i="23" s="1"/>
  <c r="X58" i="23"/>
  <c r="Y58" i="23"/>
  <c r="Z58" i="23"/>
  <c r="AA58" i="23" a="1"/>
  <c r="AA58" i="23" s="1"/>
  <c r="AB58" i="23"/>
  <c r="AC58" i="23" a="1"/>
  <c r="AC58" i="23" s="1"/>
  <c r="AD58" i="23"/>
  <c r="AE58" i="23"/>
  <c r="AF58" i="23" a="1"/>
  <c r="AF58" i="23" s="1"/>
  <c r="X59" i="23"/>
  <c r="Y59" i="23"/>
  <c r="Z59" i="23"/>
  <c r="AA59" i="23" a="1"/>
  <c r="AA59" i="23"/>
  <c r="AB59" i="23"/>
  <c r="AC59" i="23" a="1"/>
  <c r="AC59" i="23" s="1"/>
  <c r="AD59" i="23"/>
  <c r="AE59" i="23"/>
  <c r="AF59" i="23" a="1"/>
  <c r="AF59" i="23" s="1"/>
  <c r="X60" i="23"/>
  <c r="Y60" i="23"/>
  <c r="Z60" i="23"/>
  <c r="AA60" i="23" a="1"/>
  <c r="AA60" i="23" s="1"/>
  <c r="AB60" i="23"/>
  <c r="AC60" i="23" a="1"/>
  <c r="AC60" i="23" s="1"/>
  <c r="AD60" i="23"/>
  <c r="AE60" i="23"/>
  <c r="AF60" i="23" a="1"/>
  <c r="AF60" i="23" s="1"/>
  <c r="X61" i="23"/>
  <c r="Y61" i="23"/>
  <c r="Z61" i="23"/>
  <c r="AA61" i="23" a="1"/>
  <c r="AA61" i="23"/>
  <c r="AB61" i="23"/>
  <c r="AC61" i="23" a="1"/>
  <c r="AC61" i="23" s="1"/>
  <c r="AD61" i="23"/>
  <c r="AE61" i="23"/>
  <c r="AF61" i="23" a="1"/>
  <c r="AF61" i="23" s="1"/>
  <c r="X62" i="23"/>
  <c r="Y62" i="23"/>
  <c r="Z62" i="23"/>
  <c r="AA62" i="23" a="1"/>
  <c r="AA62" i="23" s="1"/>
  <c r="AB62" i="23"/>
  <c r="AC62" i="23" a="1"/>
  <c r="AC62" i="23" s="1"/>
  <c r="AD62" i="23"/>
  <c r="AE62" i="23"/>
  <c r="AF62" i="23" a="1"/>
  <c r="AF62" i="23" s="1"/>
  <c r="X63" i="23"/>
  <c r="Y63" i="23"/>
  <c r="Z63" i="23"/>
  <c r="AA63" i="23" a="1"/>
  <c r="AA63" i="23"/>
  <c r="AB63" i="23"/>
  <c r="AC63" i="23" a="1"/>
  <c r="AC63" i="23" s="1"/>
  <c r="AD63" i="23"/>
  <c r="AE63" i="23"/>
  <c r="AF63" i="23" a="1"/>
  <c r="AF63" i="23" s="1"/>
  <c r="X64" i="23"/>
  <c r="Y64" i="23"/>
  <c r="Z64" i="23"/>
  <c r="AA64" i="23" a="1"/>
  <c r="AA64" i="23" s="1"/>
  <c r="AB64" i="23"/>
  <c r="AC64" i="23" a="1"/>
  <c r="AC64" i="23" s="1"/>
  <c r="AD64" i="23"/>
  <c r="AE64" i="23"/>
  <c r="AF64" i="23" a="1"/>
  <c r="AF64" i="23" s="1"/>
  <c r="X65" i="23"/>
  <c r="Y65" i="23"/>
  <c r="Z65" i="23"/>
  <c r="AA65" i="23" a="1"/>
  <c r="AA65" i="23"/>
  <c r="AB65" i="23"/>
  <c r="AC65" i="23" a="1"/>
  <c r="AC65" i="23" s="1"/>
  <c r="AD65" i="23"/>
  <c r="AE65" i="23"/>
  <c r="AF65" i="23" a="1"/>
  <c r="AF65" i="23" s="1"/>
  <c r="X66" i="23"/>
  <c r="Y66" i="23"/>
  <c r="Z66" i="23"/>
  <c r="AA66" i="23" a="1"/>
  <c r="AA66" i="23" s="1"/>
  <c r="AB66" i="23"/>
  <c r="AC66" i="23" a="1"/>
  <c r="AC66" i="23" s="1"/>
  <c r="AD66" i="23"/>
  <c r="AE66" i="23"/>
  <c r="AF66" i="23" a="1"/>
  <c r="AF66" i="23" s="1"/>
  <c r="X67" i="23"/>
  <c r="Y67" i="23"/>
  <c r="Z67" i="23"/>
  <c r="AA67" i="23" a="1"/>
  <c r="AA67" i="23"/>
  <c r="AB67" i="23"/>
  <c r="AC67" i="23" a="1"/>
  <c r="AC67" i="23" s="1"/>
  <c r="AD67" i="23"/>
  <c r="AE67" i="23"/>
  <c r="AF67" i="23" a="1"/>
  <c r="AF67" i="23" s="1"/>
  <c r="X68" i="23"/>
  <c r="Y68" i="23"/>
  <c r="Z68" i="23"/>
  <c r="AA68" i="23" a="1"/>
  <c r="AA68" i="23" s="1"/>
  <c r="AB68" i="23"/>
  <c r="AC68" i="23" a="1"/>
  <c r="AC68" i="23" s="1"/>
  <c r="AD68" i="23"/>
  <c r="AE68" i="23"/>
  <c r="AF68" i="23" a="1"/>
  <c r="AF68" i="23" s="1"/>
  <c r="X69" i="23"/>
  <c r="Y69" i="23"/>
  <c r="Z69" i="23"/>
  <c r="AA69" i="23" a="1"/>
  <c r="AA69" i="23"/>
  <c r="AB69" i="23"/>
  <c r="AC69" i="23" a="1"/>
  <c r="AC69" i="23" s="1"/>
  <c r="AD69" i="23"/>
  <c r="AE69" i="23"/>
  <c r="AF69" i="23" a="1"/>
  <c r="AF69" i="23" s="1"/>
  <c r="X70" i="23"/>
  <c r="Y70" i="23"/>
  <c r="Z70" i="23"/>
  <c r="AA70" i="23" a="1"/>
  <c r="AA70" i="23" s="1"/>
  <c r="AB70" i="23"/>
  <c r="AC70" i="23" a="1"/>
  <c r="AC70" i="23" s="1"/>
  <c r="AD70" i="23"/>
  <c r="AE70" i="23"/>
  <c r="AF70" i="23" a="1"/>
  <c r="AF70" i="23" s="1"/>
  <c r="X71" i="23"/>
  <c r="Y71" i="23"/>
  <c r="Z71" i="23"/>
  <c r="AA71" i="23" a="1"/>
  <c r="AA71" i="23"/>
  <c r="AB71" i="23"/>
  <c r="AC71" i="23" a="1"/>
  <c r="AC71" i="23"/>
  <c r="AD71" i="23"/>
  <c r="AE71" i="23"/>
  <c r="AF71" i="23" a="1"/>
  <c r="AF71" i="23" s="1"/>
  <c r="X72" i="23"/>
  <c r="Y72" i="23"/>
  <c r="Z72" i="23"/>
  <c r="AA72" i="23" a="1"/>
  <c r="AA72" i="23" s="1"/>
  <c r="AB72" i="23"/>
  <c r="AC72" i="23" a="1"/>
  <c r="AC72" i="23" s="1"/>
  <c r="AD72" i="23"/>
  <c r="AE72" i="23"/>
  <c r="AF72" i="23" a="1"/>
  <c r="AF72" i="23" s="1"/>
  <c r="X73" i="23"/>
  <c r="Y73" i="23"/>
  <c r="Z73" i="23"/>
  <c r="AA73" i="23" a="1"/>
  <c r="AA73" i="23"/>
  <c r="AB73" i="23"/>
  <c r="AC73" i="23" a="1"/>
  <c r="AC73" i="23" s="1"/>
  <c r="AD73" i="23"/>
  <c r="AE73" i="23"/>
  <c r="AF73" i="23" a="1"/>
  <c r="AF73" i="23" s="1"/>
  <c r="X74" i="23"/>
  <c r="Y74" i="23"/>
  <c r="Z74" i="23"/>
  <c r="AA74" i="23" a="1"/>
  <c r="AA74" i="23" s="1"/>
  <c r="AB74" i="23"/>
  <c r="AC74" i="23" a="1"/>
  <c r="AC74" i="23" s="1"/>
  <c r="AD74" i="23"/>
  <c r="AE74" i="23"/>
  <c r="AF74" i="23" a="1"/>
  <c r="AF74" i="23" s="1"/>
  <c r="X75" i="23"/>
  <c r="Y75" i="23"/>
  <c r="Z75" i="23"/>
  <c r="AA75" i="23" a="1"/>
  <c r="AA75" i="23"/>
  <c r="AB75" i="23"/>
  <c r="AC75" i="23" a="1"/>
  <c r="AC75" i="23" s="1"/>
  <c r="AD75" i="23"/>
  <c r="AE75" i="23"/>
  <c r="AF75" i="23" a="1"/>
  <c r="AF75" i="23" s="1"/>
  <c r="X76" i="23"/>
  <c r="Y76" i="23"/>
  <c r="Z76" i="23"/>
  <c r="AA76" i="23" a="1"/>
  <c r="AA76" i="23" s="1"/>
  <c r="AB76" i="23"/>
  <c r="AC76" i="23" a="1"/>
  <c r="AC76" i="23" s="1"/>
  <c r="AD76" i="23"/>
  <c r="AE76" i="23"/>
  <c r="AF76" i="23" a="1"/>
  <c r="AF76" i="23" s="1"/>
  <c r="X77" i="23"/>
  <c r="Y77" i="23"/>
  <c r="Z77" i="23"/>
  <c r="AA77" i="23" a="1"/>
  <c r="AA77" i="23"/>
  <c r="AB77" i="23"/>
  <c r="AC77" i="23" a="1"/>
  <c r="AC77" i="23" s="1"/>
  <c r="AD77" i="23"/>
  <c r="AE77" i="23"/>
  <c r="AF77" i="23" a="1"/>
  <c r="AF77" i="23" s="1"/>
  <c r="X78" i="23"/>
  <c r="Y78" i="23"/>
  <c r="Z78" i="23"/>
  <c r="AA78" i="23" a="1"/>
  <c r="AA78" i="23" s="1"/>
  <c r="AB78" i="23"/>
  <c r="AC78" i="23" a="1"/>
  <c r="AC78" i="23" s="1"/>
  <c r="AD78" i="23"/>
  <c r="AE78" i="23"/>
  <c r="AF78" i="23" a="1"/>
  <c r="AF78" i="23" s="1"/>
  <c r="X79" i="23"/>
  <c r="Y79" i="23"/>
  <c r="Z79" i="23"/>
  <c r="AA79" i="23" a="1"/>
  <c r="AA79" i="23"/>
  <c r="AB79" i="23"/>
  <c r="AC79" i="23" a="1"/>
  <c r="AC79" i="23" s="1"/>
  <c r="AD79" i="23"/>
  <c r="AE79" i="23"/>
  <c r="AF79" i="23" a="1"/>
  <c r="AF79" i="23" s="1"/>
  <c r="X80" i="23"/>
  <c r="Y80" i="23"/>
  <c r="Z80" i="23"/>
  <c r="AA80" i="23" a="1"/>
  <c r="AA80" i="23" s="1"/>
  <c r="AB80" i="23"/>
  <c r="AC80" i="23" a="1"/>
  <c r="AC80" i="23" s="1"/>
  <c r="AD80" i="23"/>
  <c r="AE80" i="23"/>
  <c r="AF80" i="23" a="1"/>
  <c r="AF80" i="23" s="1"/>
  <c r="X81" i="23"/>
  <c r="Y81" i="23"/>
  <c r="Z81" i="23"/>
  <c r="AA81" i="23" a="1"/>
  <c r="AA81" i="23"/>
  <c r="AB81" i="23"/>
  <c r="AC81" i="23" a="1"/>
  <c r="AC81" i="23" s="1"/>
  <c r="AD81" i="23"/>
  <c r="AE81" i="23"/>
  <c r="AF81" i="23" a="1"/>
  <c r="AF81" i="23" s="1"/>
  <c r="X82" i="23"/>
  <c r="Y82" i="23"/>
  <c r="Z82" i="23"/>
  <c r="AA82" i="23" a="1"/>
  <c r="AA82" i="23" s="1"/>
  <c r="AB82" i="23"/>
  <c r="AC82" i="23" a="1"/>
  <c r="AC82" i="23" s="1"/>
  <c r="AD82" i="23"/>
  <c r="AE82" i="23"/>
  <c r="AF82" i="23" a="1"/>
  <c r="AF82" i="23" s="1"/>
  <c r="X83" i="23"/>
  <c r="Y83" i="23"/>
  <c r="Z83" i="23"/>
  <c r="AA83" i="23" a="1"/>
  <c r="AA83" i="23"/>
  <c r="AB83" i="23"/>
  <c r="AC83" i="23" a="1"/>
  <c r="AC83" i="23" s="1"/>
  <c r="AD83" i="23"/>
  <c r="AE83" i="23"/>
  <c r="AF83" i="23" a="1"/>
  <c r="AF83" i="23" s="1"/>
  <c r="X84" i="23"/>
  <c r="Y84" i="23"/>
  <c r="Z84" i="23"/>
  <c r="AA84" i="23" a="1"/>
  <c r="AA84" i="23" s="1"/>
  <c r="AB84" i="23"/>
  <c r="AC84" i="23" a="1"/>
  <c r="AC84" i="23" s="1"/>
  <c r="AD84" i="23"/>
  <c r="AE84" i="23"/>
  <c r="AF84" i="23" a="1"/>
  <c r="AF84" i="23" s="1"/>
  <c r="X85" i="23"/>
  <c r="Y85" i="23"/>
  <c r="Z85" i="23"/>
  <c r="AA85" i="23" a="1"/>
  <c r="AA85" i="23"/>
  <c r="AB85" i="23"/>
  <c r="AC85" i="23" a="1"/>
  <c r="AC85" i="23" s="1"/>
  <c r="AD85" i="23"/>
  <c r="AE85" i="23"/>
  <c r="AF85" i="23" a="1"/>
  <c r="AF85" i="23" s="1"/>
  <c r="X86" i="23"/>
  <c r="Y86" i="23"/>
  <c r="Z86" i="23"/>
  <c r="AA86" i="23" a="1"/>
  <c r="AA86" i="23" s="1"/>
  <c r="AB86" i="23"/>
  <c r="AC86" i="23" a="1"/>
  <c r="AC86" i="23" s="1"/>
  <c r="AD86" i="23"/>
  <c r="AE86" i="23"/>
  <c r="AF86" i="23" a="1"/>
  <c r="AF86" i="23" s="1"/>
  <c r="X87" i="23"/>
  <c r="Y87" i="23"/>
  <c r="Z87" i="23"/>
  <c r="AA87" i="23" a="1"/>
  <c r="AA87" i="23"/>
  <c r="AB87" i="23"/>
  <c r="AC87" i="23" a="1"/>
  <c r="AC87" i="23" s="1"/>
  <c r="AD87" i="23"/>
  <c r="AE87" i="23"/>
  <c r="AF87" i="23" a="1"/>
  <c r="AF87" i="23" s="1"/>
  <c r="X88" i="23"/>
  <c r="Y88" i="23"/>
  <c r="Z88" i="23"/>
  <c r="AA88" i="23" a="1"/>
  <c r="AA88" i="23" s="1"/>
  <c r="AB88" i="23"/>
  <c r="AC88" i="23" a="1"/>
  <c r="AC88" i="23" s="1"/>
  <c r="AD88" i="23"/>
  <c r="AE88" i="23"/>
  <c r="AF88" i="23" a="1"/>
  <c r="AF88" i="23" s="1"/>
  <c r="X89" i="23"/>
  <c r="Y89" i="23"/>
  <c r="Z89" i="23"/>
  <c r="AA89" i="23" a="1"/>
  <c r="AA89" i="23"/>
  <c r="AB89" i="23"/>
  <c r="AC89" i="23" a="1"/>
  <c r="AC89" i="23" s="1"/>
  <c r="AD89" i="23"/>
  <c r="AE89" i="23"/>
  <c r="AF89" i="23" a="1"/>
  <c r="AF89" i="23" s="1"/>
  <c r="X90" i="23"/>
  <c r="Y90" i="23"/>
  <c r="Z90" i="23"/>
  <c r="AA90" i="23" a="1"/>
  <c r="AA90" i="23" s="1"/>
  <c r="AB90" i="23"/>
  <c r="AC90" i="23" a="1"/>
  <c r="AC90" i="23" s="1"/>
  <c r="AD90" i="23"/>
  <c r="AE90" i="23"/>
  <c r="AF90" i="23" a="1"/>
  <c r="AF90" i="23" s="1"/>
  <c r="X91" i="23"/>
  <c r="Y91" i="23"/>
  <c r="Z91" i="23"/>
  <c r="AA91" i="23" a="1"/>
  <c r="AA91" i="23" s="1"/>
  <c r="AB91" i="23"/>
  <c r="AC91" i="23" a="1"/>
  <c r="AC91" i="23" s="1"/>
  <c r="AD91" i="23"/>
  <c r="AE91" i="23"/>
  <c r="AF91" i="23" a="1"/>
  <c r="AF91" i="23" s="1"/>
  <c r="X92" i="23"/>
  <c r="Y92" i="23"/>
  <c r="Z92" i="23"/>
  <c r="AA92" i="23" a="1"/>
  <c r="AA92" i="23" s="1"/>
  <c r="AB92" i="23"/>
  <c r="AC92" i="23" a="1"/>
  <c r="AC92" i="23" s="1"/>
  <c r="AD92" i="23"/>
  <c r="AE92" i="23"/>
  <c r="AF92" i="23" a="1"/>
  <c r="AF92" i="23" s="1"/>
  <c r="X93" i="23"/>
  <c r="Y93" i="23"/>
  <c r="Z93" i="23"/>
  <c r="AA93" i="23" a="1"/>
  <c r="AA93" i="23" s="1"/>
  <c r="AB93" i="23"/>
  <c r="AC93" i="23" a="1"/>
  <c r="AC93" i="23" s="1"/>
  <c r="AD93" i="23"/>
  <c r="AE93" i="23"/>
  <c r="AF93" i="23" a="1"/>
  <c r="AF93" i="23" s="1"/>
  <c r="X94" i="23"/>
  <c r="Y94" i="23"/>
  <c r="Z94" i="23"/>
  <c r="AA94" i="23" a="1"/>
  <c r="AA94" i="23" s="1"/>
  <c r="AB94" i="23"/>
  <c r="AC94" i="23" a="1"/>
  <c r="AC94" i="23" s="1"/>
  <c r="AD94" i="23"/>
  <c r="AE94" i="23"/>
  <c r="AF94" i="23" a="1"/>
  <c r="AF94" i="23" s="1"/>
  <c r="X95" i="23"/>
  <c r="Y95" i="23"/>
  <c r="Z95" i="23"/>
  <c r="AA95" i="23" a="1"/>
  <c r="AA95" i="23" s="1"/>
  <c r="AB95" i="23"/>
  <c r="AC95" i="23" a="1"/>
  <c r="AC95" i="23" s="1"/>
  <c r="AD95" i="23"/>
  <c r="AE95" i="23"/>
  <c r="AF95" i="23" a="1"/>
  <c r="AF95" i="23" s="1"/>
  <c r="X96" i="23"/>
  <c r="Y96" i="23"/>
  <c r="Z96" i="23"/>
  <c r="AA96" i="23" a="1"/>
  <c r="AA96" i="23" s="1"/>
  <c r="AB96" i="23"/>
  <c r="AC96" i="23" a="1"/>
  <c r="AC96" i="23" s="1"/>
  <c r="AD96" i="23"/>
  <c r="AE96" i="23"/>
  <c r="AF96" i="23" a="1"/>
  <c r="AF96" i="23" s="1"/>
  <c r="X97" i="23"/>
  <c r="Y97" i="23"/>
  <c r="Z97" i="23"/>
  <c r="AA97" i="23" a="1"/>
  <c r="AA97" i="23" s="1"/>
  <c r="AB97" i="23"/>
  <c r="AC97" i="23" a="1"/>
  <c r="AC97" i="23" s="1"/>
  <c r="AD97" i="23"/>
  <c r="AE97" i="23"/>
  <c r="AF97" i="23" a="1"/>
  <c r="AF97" i="23" s="1"/>
  <c r="X98" i="23"/>
  <c r="Y98" i="23"/>
  <c r="Z98" i="23"/>
  <c r="AA98" i="23" a="1"/>
  <c r="AA98" i="23" s="1"/>
  <c r="AB98" i="23"/>
  <c r="AC98" i="23" a="1"/>
  <c r="AC98" i="23" s="1"/>
  <c r="AD98" i="23"/>
  <c r="AE98" i="23"/>
  <c r="AF98" i="23" a="1"/>
  <c r="AF98" i="23" s="1"/>
  <c r="X99" i="23"/>
  <c r="Y99" i="23"/>
  <c r="Z99" i="23"/>
  <c r="AA99" i="23" a="1"/>
  <c r="AA99" i="23" s="1"/>
  <c r="AB99" i="23"/>
  <c r="AC99" i="23" a="1"/>
  <c r="AC99" i="23" s="1"/>
  <c r="AD99" i="23"/>
  <c r="AE99" i="23"/>
  <c r="AF99" i="23" a="1"/>
  <c r="AF99" i="23" s="1"/>
  <c r="X100" i="23"/>
  <c r="Y100" i="23"/>
  <c r="Z100" i="23"/>
  <c r="AA100" i="23" a="1"/>
  <c r="AA100" i="23" s="1"/>
  <c r="AB100" i="23"/>
  <c r="AC100" i="23" a="1"/>
  <c r="AC100" i="23" s="1"/>
  <c r="AD100" i="23"/>
  <c r="AE100" i="23"/>
  <c r="AF100" i="23" a="1"/>
  <c r="AF100" i="23" s="1"/>
  <c r="X101" i="23"/>
  <c r="Y101" i="23"/>
  <c r="Z101" i="23"/>
  <c r="AA101" i="23" a="1"/>
  <c r="AA101" i="23" s="1"/>
  <c r="AB101" i="23"/>
  <c r="AC101" i="23" a="1"/>
  <c r="AC101" i="23" s="1"/>
  <c r="AD101" i="23"/>
  <c r="AE101" i="23"/>
  <c r="AF101" i="23" a="1"/>
  <c r="AF101" i="23" s="1"/>
  <c r="X102" i="23"/>
  <c r="Y102" i="23"/>
  <c r="Z102" i="23"/>
  <c r="AA102" i="23" a="1"/>
  <c r="AA102" i="23" s="1"/>
  <c r="AB102" i="23"/>
  <c r="AC102" i="23" a="1"/>
  <c r="AC102" i="23" s="1"/>
  <c r="AD102" i="23"/>
  <c r="AE102" i="23"/>
  <c r="AF102" i="23" a="1"/>
  <c r="AF102" i="23" s="1"/>
  <c r="X103" i="23"/>
  <c r="Y103" i="23"/>
  <c r="Z103" i="23"/>
  <c r="AA103" i="23" a="1"/>
  <c r="AA103" i="23" s="1"/>
  <c r="AB103" i="23"/>
  <c r="AC103" i="23" a="1"/>
  <c r="AC103" i="23" s="1"/>
  <c r="AD103" i="23"/>
  <c r="AE103" i="23"/>
  <c r="AF103" i="23" a="1"/>
  <c r="AF103" i="23" s="1"/>
  <c r="X104" i="23"/>
  <c r="Y104" i="23"/>
  <c r="Z104" i="23"/>
  <c r="AA104" i="23" a="1"/>
  <c r="AA104" i="23" s="1"/>
  <c r="AB104" i="23"/>
  <c r="AC104" i="23" a="1"/>
  <c r="AC104" i="23" s="1"/>
  <c r="AD104" i="23"/>
  <c r="AE104" i="23"/>
  <c r="AF104" i="23" a="1"/>
  <c r="AF104" i="23" s="1"/>
  <c r="X105" i="23"/>
  <c r="Y105" i="23"/>
  <c r="Z105" i="23"/>
  <c r="AA105" i="23" a="1"/>
  <c r="AA105" i="23" s="1"/>
  <c r="AB105" i="23"/>
  <c r="AC105" i="23" a="1"/>
  <c r="AC105" i="23" s="1"/>
  <c r="AD105" i="23"/>
  <c r="AE105" i="23"/>
  <c r="AF105" i="23" a="1"/>
  <c r="AF105" i="23" s="1"/>
  <c r="X106" i="23"/>
  <c r="Y106" i="23"/>
  <c r="Z106" i="23"/>
  <c r="AA106" i="23" a="1"/>
  <c r="AA106" i="23" s="1"/>
  <c r="AB106" i="23"/>
  <c r="AC106" i="23" a="1"/>
  <c r="AC106" i="23" s="1"/>
  <c r="AD106" i="23"/>
  <c r="AE106" i="23"/>
  <c r="AF106" i="23" a="1"/>
  <c r="AF106" i="23" s="1"/>
  <c r="X107" i="23"/>
  <c r="Y107" i="23"/>
  <c r="Z107" i="23"/>
  <c r="AA107" i="23" a="1"/>
  <c r="AA107" i="23" s="1"/>
  <c r="AB107" i="23"/>
  <c r="AC107" i="23" a="1"/>
  <c r="AC107" i="23" s="1"/>
  <c r="AD107" i="23"/>
  <c r="AE107" i="23"/>
  <c r="AF107" i="23" a="1"/>
  <c r="AF107" i="23" s="1"/>
  <c r="X108" i="23"/>
  <c r="Y108" i="23"/>
  <c r="Z108" i="23"/>
  <c r="AA108" i="23" a="1"/>
  <c r="AA108" i="23" s="1"/>
  <c r="AB108" i="23"/>
  <c r="AC108" i="23" a="1"/>
  <c r="AC108" i="23" s="1"/>
  <c r="AD108" i="23"/>
  <c r="AE108" i="23"/>
  <c r="AF108" i="23" a="1"/>
  <c r="AF108" i="23" s="1"/>
  <c r="X109" i="23"/>
  <c r="Y109" i="23"/>
  <c r="Z109" i="23"/>
  <c r="AA109" i="23" a="1"/>
  <c r="AA109" i="23" s="1"/>
  <c r="AB109" i="23"/>
  <c r="AC109" i="23" a="1"/>
  <c r="AC109" i="23" s="1"/>
  <c r="AD109" i="23"/>
  <c r="AE109" i="23"/>
  <c r="AF109" i="23" a="1"/>
  <c r="AF109" i="23" s="1"/>
  <c r="X110" i="23"/>
  <c r="Y110" i="23"/>
  <c r="Z110" i="23"/>
  <c r="AA110" i="23" a="1"/>
  <c r="AA110" i="23" s="1"/>
  <c r="AB110" i="23"/>
  <c r="AC110" i="23" a="1"/>
  <c r="AC110" i="23" s="1"/>
  <c r="AD110" i="23"/>
  <c r="AE110" i="23"/>
  <c r="AF110" i="23" a="1"/>
  <c r="AF110" i="23" s="1"/>
  <c r="X111" i="23"/>
  <c r="Y111" i="23"/>
  <c r="Z111" i="23"/>
  <c r="AA111" i="23" a="1"/>
  <c r="AA111" i="23" s="1"/>
  <c r="AB111" i="23"/>
  <c r="AC111" i="23" a="1"/>
  <c r="AC111" i="23" s="1"/>
  <c r="AD111" i="23"/>
  <c r="AE111" i="23"/>
  <c r="AF111" i="23" a="1"/>
  <c r="AF111" i="23" s="1"/>
  <c r="X112" i="23"/>
  <c r="Y112" i="23"/>
  <c r="Z112" i="23"/>
  <c r="AA112" i="23" a="1"/>
  <c r="AA112" i="23" s="1"/>
  <c r="AB112" i="23"/>
  <c r="AC112" i="23" a="1"/>
  <c r="AC112" i="23" s="1"/>
  <c r="AD112" i="23"/>
  <c r="AE112" i="23"/>
  <c r="AF112" i="23" a="1"/>
  <c r="AF112" i="23" s="1"/>
  <c r="X113" i="23"/>
  <c r="Y113" i="23"/>
  <c r="Z113" i="23"/>
  <c r="AA113" i="23" a="1"/>
  <c r="AA113" i="23" s="1"/>
  <c r="AB113" i="23"/>
  <c r="AC113" i="23" a="1"/>
  <c r="AC113" i="23"/>
  <c r="AD113" i="23"/>
  <c r="AE113" i="23"/>
  <c r="AF113" i="23" a="1"/>
  <c r="AF113" i="23" s="1"/>
  <c r="X114" i="23"/>
  <c r="Y114" i="23"/>
  <c r="Z114" i="23"/>
  <c r="AA114" i="23" a="1"/>
  <c r="AA114" i="23" s="1"/>
  <c r="AB114" i="23"/>
  <c r="AC114" i="23" a="1"/>
  <c r="AC114" i="23" s="1"/>
  <c r="AD114" i="23"/>
  <c r="AE114" i="23"/>
  <c r="AF114" i="23" a="1"/>
  <c r="AF114" i="23" s="1"/>
  <c r="X115" i="23"/>
  <c r="Y115" i="23"/>
  <c r="Z115" i="23"/>
  <c r="AA115" i="23" a="1"/>
  <c r="AA115" i="23" s="1"/>
  <c r="AB115" i="23"/>
  <c r="AC115" i="23" a="1"/>
  <c r="AC115" i="23" s="1"/>
  <c r="AD115" i="23"/>
  <c r="AE115" i="23"/>
  <c r="AF115" i="23" a="1"/>
  <c r="AF115" i="23" s="1"/>
  <c r="X116" i="23"/>
  <c r="Y116" i="23"/>
  <c r="Z116" i="23"/>
  <c r="AA116" i="23" a="1"/>
  <c r="AA116" i="23" s="1"/>
  <c r="AB116" i="23"/>
  <c r="AC116" i="23" a="1"/>
  <c r="AC116" i="23" s="1"/>
  <c r="AD116" i="23"/>
  <c r="AE116" i="23"/>
  <c r="AF116" i="23" a="1"/>
  <c r="AF116" i="23" s="1"/>
  <c r="X117" i="23"/>
  <c r="Y117" i="23"/>
  <c r="Z117" i="23"/>
  <c r="AA117" i="23" a="1"/>
  <c r="AA117" i="23" s="1"/>
  <c r="AB117" i="23"/>
  <c r="AC117" i="23" a="1"/>
  <c r="AC117" i="23" s="1"/>
  <c r="AD117" i="23"/>
  <c r="AE117" i="23"/>
  <c r="AF117" i="23" a="1"/>
  <c r="AF117" i="23" s="1"/>
  <c r="X118" i="23"/>
  <c r="Y118" i="23"/>
  <c r="Z118" i="23"/>
  <c r="AA118" i="23" a="1"/>
  <c r="AA118" i="23" s="1"/>
  <c r="AB118" i="23"/>
  <c r="AC118" i="23" a="1"/>
  <c r="AC118" i="23" s="1"/>
  <c r="AD118" i="23"/>
  <c r="AE118" i="23"/>
  <c r="AF118" i="23" a="1"/>
  <c r="AF118" i="23" s="1"/>
  <c r="X119" i="23"/>
  <c r="Y119" i="23"/>
  <c r="Z119" i="23"/>
  <c r="AA119" i="23" a="1"/>
  <c r="AA119" i="23" s="1"/>
  <c r="AB119" i="23"/>
  <c r="AC119" i="23" a="1"/>
  <c r="AC119" i="23" s="1"/>
  <c r="AD119" i="23"/>
  <c r="AE119" i="23"/>
  <c r="AF119" i="23" a="1"/>
  <c r="AF119" i="23" s="1"/>
  <c r="X120" i="23"/>
  <c r="Y120" i="23"/>
  <c r="Z120" i="23"/>
  <c r="AA120" i="23" a="1"/>
  <c r="AA120" i="23" s="1"/>
  <c r="AB120" i="23"/>
  <c r="AC120" i="23" a="1"/>
  <c r="AC120" i="23" s="1"/>
  <c r="AD120" i="23"/>
  <c r="AE120" i="23"/>
  <c r="AF120" i="23" a="1"/>
  <c r="AF120" i="23" s="1"/>
  <c r="X121" i="23"/>
  <c r="Y121" i="23"/>
  <c r="Z121" i="23"/>
  <c r="AA121" i="23" a="1"/>
  <c r="AA121" i="23" s="1"/>
  <c r="AB121" i="23"/>
  <c r="AC121" i="23" a="1"/>
  <c r="AC121" i="23" s="1"/>
  <c r="AD121" i="23"/>
  <c r="AE121" i="23"/>
  <c r="AF121" i="23" a="1"/>
  <c r="AF121" i="23" s="1"/>
  <c r="X122" i="23"/>
  <c r="Y122" i="23"/>
  <c r="Z122" i="23"/>
  <c r="AA122" i="23" a="1"/>
  <c r="AA122" i="23" s="1"/>
  <c r="AB122" i="23"/>
  <c r="AC122" i="23" a="1"/>
  <c r="AC122" i="23" s="1"/>
  <c r="AD122" i="23"/>
  <c r="AE122" i="23"/>
  <c r="AF122" i="23" a="1"/>
  <c r="AF122" i="23" s="1"/>
  <c r="X123" i="23"/>
  <c r="Y123" i="23"/>
  <c r="Z123" i="23"/>
  <c r="AA123" i="23" a="1"/>
  <c r="AA123" i="23" s="1"/>
  <c r="AB123" i="23"/>
  <c r="AC123" i="23" a="1"/>
  <c r="AC123" i="23" s="1"/>
  <c r="AD123" i="23"/>
  <c r="AE123" i="23"/>
  <c r="AF123" i="23" a="1"/>
  <c r="AF123" i="23" s="1"/>
  <c r="X124" i="23"/>
  <c r="Y124" i="23"/>
  <c r="Z124" i="23"/>
  <c r="AA124" i="23" a="1"/>
  <c r="AA124" i="23" s="1"/>
  <c r="AB124" i="23"/>
  <c r="AC124" i="23" a="1"/>
  <c r="AC124" i="23" s="1"/>
  <c r="AD124" i="23"/>
  <c r="AE124" i="23"/>
  <c r="AF124" i="23" a="1"/>
  <c r="AF124" i="23" s="1"/>
  <c r="X125" i="23"/>
  <c r="Y125" i="23"/>
  <c r="Z125" i="23"/>
  <c r="AA125" i="23" a="1"/>
  <c r="AA125" i="23" s="1"/>
  <c r="AB125" i="23"/>
  <c r="AC125" i="23" a="1"/>
  <c r="AC125" i="23" s="1"/>
  <c r="AD125" i="23"/>
  <c r="AE125" i="23"/>
  <c r="AF125" i="23" a="1"/>
  <c r="AF125" i="23" s="1"/>
  <c r="X126" i="23"/>
  <c r="Y126" i="23"/>
  <c r="Z126" i="23"/>
  <c r="AA126" i="23" a="1"/>
  <c r="AA126" i="23" s="1"/>
  <c r="AB126" i="23"/>
  <c r="AC126" i="23" a="1"/>
  <c r="AC126" i="23" s="1"/>
  <c r="AD126" i="23"/>
  <c r="AE126" i="23"/>
  <c r="AF126" i="23" a="1"/>
  <c r="AF126" i="23" s="1"/>
  <c r="X127" i="23"/>
  <c r="Y127" i="23"/>
  <c r="Z127" i="23"/>
  <c r="AA127" i="23" a="1"/>
  <c r="AA127" i="23" s="1"/>
  <c r="AB127" i="23"/>
  <c r="AC127" i="23" a="1"/>
  <c r="AC127" i="23" s="1"/>
  <c r="AD127" i="23"/>
  <c r="AE127" i="23"/>
  <c r="AF127" i="23" a="1"/>
  <c r="AF127" i="23" s="1"/>
  <c r="X128" i="23"/>
  <c r="Y128" i="23"/>
  <c r="Z128" i="23"/>
  <c r="AA128" i="23" a="1"/>
  <c r="AA128" i="23" s="1"/>
  <c r="AB128" i="23"/>
  <c r="AC128" i="23" a="1"/>
  <c r="AC128" i="23" s="1"/>
  <c r="AD128" i="23"/>
  <c r="AE128" i="23"/>
  <c r="AF128" i="23" a="1"/>
  <c r="AF128" i="23" s="1"/>
  <c r="X129" i="23"/>
  <c r="Y129" i="23"/>
  <c r="Z129" i="23"/>
  <c r="AA129" i="23" a="1"/>
  <c r="AA129" i="23" s="1"/>
  <c r="AB129" i="23"/>
  <c r="AC129" i="23" a="1"/>
  <c r="AC129" i="23" s="1"/>
  <c r="AD129" i="23"/>
  <c r="AE129" i="23"/>
  <c r="AF129" i="23" a="1"/>
  <c r="AF129" i="23" s="1"/>
  <c r="X130" i="23"/>
  <c r="Y130" i="23"/>
  <c r="Z130" i="23"/>
  <c r="AA130" i="23" a="1"/>
  <c r="AA130" i="23" s="1"/>
  <c r="AB130" i="23"/>
  <c r="AC130" i="23" a="1"/>
  <c r="AC130" i="23" s="1"/>
  <c r="AD130" i="23"/>
  <c r="AE130" i="23"/>
  <c r="AF130" i="23" a="1"/>
  <c r="AF130" i="23" s="1"/>
  <c r="X131" i="23"/>
  <c r="Y131" i="23"/>
  <c r="Z131" i="23"/>
  <c r="AA131" i="23" a="1"/>
  <c r="AA131" i="23" s="1"/>
  <c r="AB131" i="23"/>
  <c r="AC131" i="23" a="1"/>
  <c r="AC131" i="23" s="1"/>
  <c r="AD131" i="23"/>
  <c r="AE131" i="23"/>
  <c r="AF131" i="23" a="1"/>
  <c r="AF131" i="23" s="1"/>
  <c r="X132" i="23"/>
  <c r="Y132" i="23"/>
  <c r="Z132" i="23"/>
  <c r="AA132" i="23" a="1"/>
  <c r="AA132" i="23" s="1"/>
  <c r="AB132" i="23"/>
  <c r="AC132" i="23" a="1"/>
  <c r="AC132" i="23" s="1"/>
  <c r="AD132" i="23"/>
  <c r="AE132" i="23"/>
  <c r="AF132" i="23" a="1"/>
  <c r="AF132" i="23" s="1"/>
  <c r="X133" i="23"/>
  <c r="Y133" i="23"/>
  <c r="Z133" i="23"/>
  <c r="AA133" i="23" a="1"/>
  <c r="AA133" i="23" s="1"/>
  <c r="AB133" i="23"/>
  <c r="AC133" i="23" a="1"/>
  <c r="AC133" i="23" s="1"/>
  <c r="AD133" i="23"/>
  <c r="AE133" i="23"/>
  <c r="AF133" i="23" a="1"/>
  <c r="AF133" i="23" s="1"/>
  <c r="X134" i="23"/>
  <c r="Y134" i="23"/>
  <c r="Z134" i="23"/>
  <c r="AA134" i="23" a="1"/>
  <c r="AA134" i="23" s="1"/>
  <c r="AB134" i="23"/>
  <c r="AC134" i="23" a="1"/>
  <c r="AC134" i="23" s="1"/>
  <c r="AD134" i="23"/>
  <c r="AE134" i="23"/>
  <c r="AF134" i="23" a="1"/>
  <c r="AF134" i="23" s="1"/>
  <c r="X135" i="23"/>
  <c r="Y135" i="23"/>
  <c r="Z135" i="23"/>
  <c r="AA135" i="23" a="1"/>
  <c r="AA135" i="23" s="1"/>
  <c r="AB135" i="23"/>
  <c r="AC135" i="23" a="1"/>
  <c r="AC135" i="23" s="1"/>
  <c r="AD135" i="23"/>
  <c r="AE135" i="23"/>
  <c r="AF135" i="23" a="1"/>
  <c r="AF135" i="23" s="1"/>
  <c r="X136" i="23"/>
  <c r="Y136" i="23"/>
  <c r="Z136" i="23"/>
  <c r="AA136" i="23" a="1"/>
  <c r="AA136" i="23" s="1"/>
  <c r="AB136" i="23"/>
  <c r="AC136" i="23" a="1"/>
  <c r="AC136" i="23" s="1"/>
  <c r="AD136" i="23"/>
  <c r="AE136" i="23"/>
  <c r="AF136" i="23" a="1"/>
  <c r="AF136" i="23" s="1"/>
  <c r="X137" i="23"/>
  <c r="Y137" i="23"/>
  <c r="Z137" i="23"/>
  <c r="AA137" i="23" a="1"/>
  <c r="AA137" i="23" s="1"/>
  <c r="AB137" i="23"/>
  <c r="AC137" i="23" a="1"/>
  <c r="AC137" i="23" s="1"/>
  <c r="AD137" i="23"/>
  <c r="AE137" i="23"/>
  <c r="AF137" i="23" a="1"/>
  <c r="AF137" i="23" s="1"/>
  <c r="X138" i="23"/>
  <c r="Y138" i="23"/>
  <c r="Z138" i="23"/>
  <c r="AA138" i="23" a="1"/>
  <c r="AA138" i="23" s="1"/>
  <c r="AB138" i="23"/>
  <c r="AC138" i="23" a="1"/>
  <c r="AC138" i="23" s="1"/>
  <c r="AD138" i="23"/>
  <c r="AE138" i="23"/>
  <c r="AF138" i="23" a="1"/>
  <c r="AF138" i="23" s="1"/>
  <c r="X139" i="23"/>
  <c r="Y139" i="23"/>
  <c r="Z139" i="23"/>
  <c r="AA139" i="23" a="1"/>
  <c r="AA139" i="23" s="1"/>
  <c r="AB139" i="23"/>
  <c r="AC139" i="23" a="1"/>
  <c r="AC139" i="23" s="1"/>
  <c r="AD139" i="23"/>
  <c r="AE139" i="23"/>
  <c r="AF139" i="23" a="1"/>
  <c r="AF139" i="23" s="1"/>
  <c r="X140" i="23"/>
  <c r="Y140" i="23"/>
  <c r="Z140" i="23"/>
  <c r="AA140" i="23" a="1"/>
  <c r="AA140" i="23" s="1"/>
  <c r="AB140" i="23"/>
  <c r="AC140" i="23" a="1"/>
  <c r="AC140" i="23" s="1"/>
  <c r="AD140" i="23"/>
  <c r="AE140" i="23"/>
  <c r="AF140" i="23" a="1"/>
  <c r="AF140" i="23" s="1"/>
  <c r="X141" i="23"/>
  <c r="Y141" i="23"/>
  <c r="Z141" i="23"/>
  <c r="AA141" i="23" a="1"/>
  <c r="AA141" i="23" s="1"/>
  <c r="AB141" i="23"/>
  <c r="AC141" i="23" a="1"/>
  <c r="AC141" i="23" s="1"/>
  <c r="AD141" i="23"/>
  <c r="AE141" i="23"/>
  <c r="AF141" i="23" a="1"/>
  <c r="AF141" i="23" s="1"/>
  <c r="X142" i="23"/>
  <c r="Y142" i="23"/>
  <c r="Z142" i="23"/>
  <c r="AA142" i="23" a="1"/>
  <c r="AA142" i="23" s="1"/>
  <c r="AB142" i="23"/>
  <c r="AC142" i="23" a="1"/>
  <c r="AC142" i="23" s="1"/>
  <c r="AD142" i="23"/>
  <c r="AE142" i="23"/>
  <c r="AF142" i="23" a="1"/>
  <c r="AF142" i="23" s="1"/>
  <c r="X143" i="23"/>
  <c r="Y143" i="23"/>
  <c r="Z143" i="23"/>
  <c r="AA143" i="23" a="1"/>
  <c r="AA143" i="23" s="1"/>
  <c r="AB143" i="23"/>
  <c r="AC143" i="23" a="1"/>
  <c r="AC143" i="23" s="1"/>
  <c r="AD143" i="23"/>
  <c r="AE143" i="23"/>
  <c r="AF143" i="23" a="1"/>
  <c r="AF143" i="23" s="1"/>
  <c r="X144" i="23"/>
  <c r="Y144" i="23"/>
  <c r="Z144" i="23"/>
  <c r="AA144" i="23" a="1"/>
  <c r="AA144" i="23" s="1"/>
  <c r="AB144" i="23"/>
  <c r="AC144" i="23" a="1"/>
  <c r="AC144" i="23" s="1"/>
  <c r="AD144" i="23"/>
  <c r="AE144" i="23"/>
  <c r="AF144" i="23" a="1"/>
  <c r="AF144" i="23" s="1"/>
  <c r="X145" i="23"/>
  <c r="Y145" i="23"/>
  <c r="Z145" i="23"/>
  <c r="AA145" i="23" a="1"/>
  <c r="AA145" i="23" s="1"/>
  <c r="AB145" i="23"/>
  <c r="AC145" i="23" a="1"/>
  <c r="AC145" i="23" s="1"/>
  <c r="AD145" i="23"/>
  <c r="AE145" i="23"/>
  <c r="AF145" i="23" a="1"/>
  <c r="AF145" i="23" s="1"/>
  <c r="X146" i="23"/>
  <c r="Y146" i="23"/>
  <c r="Z146" i="23"/>
  <c r="AA146" i="23" a="1"/>
  <c r="AA146" i="23" s="1"/>
  <c r="AB146" i="23"/>
  <c r="AC146" i="23" a="1"/>
  <c r="AC146" i="23" s="1"/>
  <c r="AD146" i="23"/>
  <c r="AE146" i="23"/>
  <c r="AF146" i="23" a="1"/>
  <c r="AF146" i="23" s="1"/>
  <c r="X147" i="23"/>
  <c r="Y147" i="23"/>
  <c r="Z147" i="23"/>
  <c r="AA147" i="23" a="1"/>
  <c r="AA147" i="23" s="1"/>
  <c r="AB147" i="23"/>
  <c r="AC147" i="23" a="1"/>
  <c r="AC147" i="23" s="1"/>
  <c r="AD147" i="23"/>
  <c r="AE147" i="23"/>
  <c r="AF147" i="23" a="1"/>
  <c r="AF147" i="23" s="1"/>
  <c r="X148" i="23"/>
  <c r="Y148" i="23"/>
  <c r="Z148" i="23"/>
  <c r="AA148" i="23" a="1"/>
  <c r="AA148" i="23" s="1"/>
  <c r="AB148" i="23"/>
  <c r="AC148" i="23" a="1"/>
  <c r="AC148" i="23" s="1"/>
  <c r="AD148" i="23"/>
  <c r="AE148" i="23"/>
  <c r="AF148" i="23" a="1"/>
  <c r="AF148" i="23" s="1"/>
  <c r="X149" i="23"/>
  <c r="Y149" i="23"/>
  <c r="Z149" i="23"/>
  <c r="AA149" i="23" a="1"/>
  <c r="AA149" i="23" s="1"/>
  <c r="AB149" i="23"/>
  <c r="AC149" i="23" a="1"/>
  <c r="AC149" i="23" s="1"/>
  <c r="AD149" i="23"/>
  <c r="AE149" i="23"/>
  <c r="AF149" i="23" a="1"/>
  <c r="AF149" i="23" s="1"/>
  <c r="X150" i="23"/>
  <c r="Y150" i="23"/>
  <c r="Z150" i="23"/>
  <c r="AA150" i="23" a="1"/>
  <c r="AA150" i="23" s="1"/>
  <c r="AB150" i="23"/>
  <c r="AC150" i="23" a="1"/>
  <c r="AC150" i="23" s="1"/>
  <c r="AD150" i="23"/>
  <c r="AE150" i="23"/>
  <c r="AF150" i="23" a="1"/>
  <c r="AF150" i="23" s="1"/>
  <c r="X151" i="23"/>
  <c r="Y151" i="23"/>
  <c r="Z151" i="23"/>
  <c r="AA151" i="23" a="1"/>
  <c r="AA151" i="23" s="1"/>
  <c r="AB151" i="23"/>
  <c r="AC151" i="23" a="1"/>
  <c r="AC151" i="23" s="1"/>
  <c r="AD151" i="23"/>
  <c r="AE151" i="23"/>
  <c r="AF151" i="23" a="1"/>
  <c r="AF151" i="23" s="1"/>
  <c r="X152" i="23"/>
  <c r="Y152" i="23"/>
  <c r="Z152" i="23"/>
  <c r="AA152" i="23" a="1"/>
  <c r="AA152" i="23" s="1"/>
  <c r="AB152" i="23"/>
  <c r="AC152" i="23" a="1"/>
  <c r="AC152" i="23" s="1"/>
  <c r="AD152" i="23"/>
  <c r="AE152" i="23"/>
  <c r="AF152" i="23" a="1"/>
  <c r="AF152" i="23" s="1"/>
  <c r="X153" i="23"/>
  <c r="Y153" i="23"/>
  <c r="Z153" i="23"/>
  <c r="AA153" i="23" a="1"/>
  <c r="AA153" i="23" s="1"/>
  <c r="AB153" i="23"/>
  <c r="AC153" i="23" a="1"/>
  <c r="AC153" i="23"/>
  <c r="AD153" i="23"/>
  <c r="AE153" i="23"/>
  <c r="AF153" i="23" a="1"/>
  <c r="AF153" i="23" s="1"/>
  <c r="X154" i="23"/>
  <c r="Y154" i="23"/>
  <c r="Z154" i="23"/>
  <c r="AA154" i="23" a="1"/>
  <c r="AA154" i="23" s="1"/>
  <c r="AB154" i="23"/>
  <c r="AC154" i="23" a="1"/>
  <c r="AC154" i="23" s="1"/>
  <c r="AD154" i="23"/>
  <c r="AE154" i="23"/>
  <c r="AF154" i="23" a="1"/>
  <c r="AF154" i="23" s="1"/>
  <c r="X155" i="23"/>
  <c r="Y155" i="23"/>
  <c r="Z155" i="23"/>
  <c r="AA155" i="23" a="1"/>
  <c r="AA155" i="23" s="1"/>
  <c r="AB155" i="23"/>
  <c r="AC155" i="23" a="1"/>
  <c r="AC155" i="23" s="1"/>
  <c r="AD155" i="23"/>
  <c r="AE155" i="23"/>
  <c r="AF155" i="23" a="1"/>
  <c r="AF155" i="23" s="1"/>
  <c r="X156" i="23"/>
  <c r="Y156" i="23"/>
  <c r="Z156" i="23"/>
  <c r="AA156" i="23" a="1"/>
  <c r="AA156" i="23" s="1"/>
  <c r="AB156" i="23"/>
  <c r="AC156" i="23" a="1"/>
  <c r="AC156" i="23" s="1"/>
  <c r="AD156" i="23"/>
  <c r="AE156" i="23"/>
  <c r="AF156" i="23" a="1"/>
  <c r="AF156" i="23" s="1"/>
  <c r="X157" i="23"/>
  <c r="Y157" i="23"/>
  <c r="Z157" i="23"/>
  <c r="AA157" i="23" a="1"/>
  <c r="AA157" i="23" s="1"/>
  <c r="AB157" i="23"/>
  <c r="AC157" i="23" a="1"/>
  <c r="AC157" i="23" s="1"/>
  <c r="AD157" i="23"/>
  <c r="AE157" i="23"/>
  <c r="AF157" i="23" a="1"/>
  <c r="AF157" i="23" s="1"/>
  <c r="X158" i="23"/>
  <c r="Y158" i="23"/>
  <c r="Z158" i="23"/>
  <c r="AA158" i="23" a="1"/>
  <c r="AA158" i="23" s="1"/>
  <c r="AB158" i="23"/>
  <c r="AC158" i="23" a="1"/>
  <c r="AC158" i="23" s="1"/>
  <c r="AD158" i="23"/>
  <c r="AE158" i="23"/>
  <c r="AF158" i="23" a="1"/>
  <c r="AF158" i="23" s="1"/>
  <c r="X159" i="23"/>
  <c r="Y159" i="23"/>
  <c r="Z159" i="23"/>
  <c r="AA159" i="23" a="1"/>
  <c r="AA159" i="23" s="1"/>
  <c r="AB159" i="23"/>
  <c r="AC159" i="23" a="1"/>
  <c r="AC159" i="23" s="1"/>
  <c r="AD159" i="23"/>
  <c r="AE159" i="23"/>
  <c r="AF159" i="23" a="1"/>
  <c r="AF159" i="23" s="1"/>
  <c r="X160" i="23"/>
  <c r="Y160" i="23"/>
  <c r="Z160" i="23"/>
  <c r="AA160" i="23" a="1"/>
  <c r="AA160" i="23" s="1"/>
  <c r="AB160" i="23"/>
  <c r="AC160" i="23" a="1"/>
  <c r="AC160" i="23" s="1"/>
  <c r="AD160" i="23"/>
  <c r="AE160" i="23"/>
  <c r="AF160" i="23" a="1"/>
  <c r="AF160" i="23" s="1"/>
  <c r="X161" i="23"/>
  <c r="Y161" i="23"/>
  <c r="Z161" i="23"/>
  <c r="AA161" i="23" a="1"/>
  <c r="AA161" i="23" s="1"/>
  <c r="AB161" i="23"/>
  <c r="AC161" i="23" a="1"/>
  <c r="AC161" i="23" s="1"/>
  <c r="AD161" i="23"/>
  <c r="AE161" i="23"/>
  <c r="AF161" i="23" a="1"/>
  <c r="AF161" i="23" s="1"/>
  <c r="X162" i="23"/>
  <c r="Y162" i="23"/>
  <c r="Z162" i="23"/>
  <c r="AA162" i="23" a="1"/>
  <c r="AA162" i="23" s="1"/>
  <c r="AB162" i="23"/>
  <c r="AC162" i="23" a="1"/>
  <c r="AC162" i="23" s="1"/>
  <c r="AD162" i="23"/>
  <c r="AE162" i="23"/>
  <c r="AF162" i="23" a="1"/>
  <c r="AF162" i="23" s="1"/>
  <c r="X163" i="23"/>
  <c r="Y163" i="23"/>
  <c r="Z163" i="23"/>
  <c r="AA163" i="23" a="1"/>
  <c r="AA163" i="23" s="1"/>
  <c r="AB163" i="23"/>
  <c r="AC163" i="23" a="1"/>
  <c r="AC163" i="23" s="1"/>
  <c r="AD163" i="23"/>
  <c r="AE163" i="23"/>
  <c r="AF163" i="23" a="1"/>
  <c r="AF163" i="23" s="1"/>
  <c r="X164" i="23"/>
  <c r="Y164" i="23"/>
  <c r="Z164" i="23"/>
  <c r="AA164" i="23" a="1"/>
  <c r="AA164" i="23" s="1"/>
  <c r="AB164" i="23"/>
  <c r="AC164" i="23" a="1"/>
  <c r="AC164" i="23" s="1"/>
  <c r="AD164" i="23"/>
  <c r="AE164" i="23"/>
  <c r="AF164" i="23" a="1"/>
  <c r="AF164" i="23" s="1"/>
  <c r="X165" i="23"/>
  <c r="Y165" i="23"/>
  <c r="Z165" i="23"/>
  <c r="AA165" i="23" a="1"/>
  <c r="AA165" i="23" s="1"/>
  <c r="AB165" i="23"/>
  <c r="AC165" i="23" a="1"/>
  <c r="AC165" i="23" s="1"/>
  <c r="AD165" i="23"/>
  <c r="AE165" i="23"/>
  <c r="AF165" i="23" a="1"/>
  <c r="AF165" i="23" s="1"/>
  <c r="X166" i="23"/>
  <c r="Y166" i="23"/>
  <c r="Z166" i="23"/>
  <c r="AA166" i="23" a="1"/>
  <c r="AA166" i="23" s="1"/>
  <c r="AB166" i="23"/>
  <c r="AC166" i="23" a="1"/>
  <c r="AC166" i="23" s="1"/>
  <c r="AD166" i="23"/>
  <c r="AE166" i="23"/>
  <c r="AF166" i="23" a="1"/>
  <c r="AF166" i="23" s="1"/>
  <c r="X167" i="23"/>
  <c r="Y167" i="23"/>
  <c r="Z167" i="23"/>
  <c r="AA167" i="23" a="1"/>
  <c r="AA167" i="23" s="1"/>
  <c r="AB167" i="23"/>
  <c r="AC167" i="23" a="1"/>
  <c r="AC167" i="23" s="1"/>
  <c r="AD167" i="23"/>
  <c r="AE167" i="23"/>
  <c r="AF167" i="23" a="1"/>
  <c r="AF167" i="23" s="1"/>
  <c r="X168" i="23"/>
  <c r="Y168" i="23"/>
  <c r="Z168" i="23"/>
  <c r="AA168" i="23" a="1"/>
  <c r="AA168" i="23" s="1"/>
  <c r="AB168" i="23"/>
  <c r="AC168" i="23" a="1"/>
  <c r="AC168" i="23" s="1"/>
  <c r="AD168" i="23"/>
  <c r="AE168" i="23"/>
  <c r="AF168" i="23" a="1"/>
  <c r="AF168" i="23" s="1"/>
  <c r="X169" i="23"/>
  <c r="Y169" i="23"/>
  <c r="Z169" i="23"/>
  <c r="AA169" i="23" a="1"/>
  <c r="AA169" i="23" s="1"/>
  <c r="AB169" i="23"/>
  <c r="AC169" i="23" a="1"/>
  <c r="AC169" i="23"/>
  <c r="AD169" i="23"/>
  <c r="AE169" i="23"/>
  <c r="AF169" i="23" a="1"/>
  <c r="AF169" i="23" s="1"/>
  <c r="X170" i="23"/>
  <c r="Y170" i="23"/>
  <c r="Z170" i="23"/>
  <c r="AA170" i="23" a="1"/>
  <c r="AA170" i="23" s="1"/>
  <c r="AB170" i="23"/>
  <c r="AC170" i="23" a="1"/>
  <c r="AC170" i="23" s="1"/>
  <c r="AD170" i="23"/>
  <c r="AE170" i="23"/>
  <c r="AF170" i="23" a="1"/>
  <c r="AF170" i="23" s="1"/>
  <c r="X171" i="23"/>
  <c r="Y171" i="23"/>
  <c r="Z171" i="23"/>
  <c r="AA171" i="23" a="1"/>
  <c r="AA171" i="23" s="1"/>
  <c r="AB171" i="23"/>
  <c r="AC171" i="23" a="1"/>
  <c r="AC171" i="23" s="1"/>
  <c r="AD171" i="23"/>
  <c r="AE171" i="23"/>
  <c r="AF171" i="23" a="1"/>
  <c r="AF171" i="23" s="1"/>
  <c r="X172" i="23"/>
  <c r="Y172" i="23"/>
  <c r="Z172" i="23"/>
  <c r="AA172" i="23" a="1"/>
  <c r="AA172" i="23" s="1"/>
  <c r="AB172" i="23"/>
  <c r="AC172" i="23" a="1"/>
  <c r="AC172" i="23" s="1"/>
  <c r="AD172" i="23"/>
  <c r="AE172" i="23"/>
  <c r="AF172" i="23" a="1"/>
  <c r="AF172" i="23" s="1"/>
  <c r="X173" i="23"/>
  <c r="Y173" i="23"/>
  <c r="Z173" i="23"/>
  <c r="AA173" i="23" a="1"/>
  <c r="AA173" i="23" s="1"/>
  <c r="AB173" i="23"/>
  <c r="AC173" i="23" a="1"/>
  <c r="AC173" i="23" s="1"/>
  <c r="AD173" i="23"/>
  <c r="AE173" i="23"/>
  <c r="AF173" i="23" a="1"/>
  <c r="AF173" i="23" s="1"/>
  <c r="X174" i="23"/>
  <c r="Y174" i="23"/>
  <c r="Z174" i="23"/>
  <c r="AA174" i="23" a="1"/>
  <c r="AA174" i="23" s="1"/>
  <c r="AB174" i="23"/>
  <c r="AC174" i="23" a="1"/>
  <c r="AC174" i="23" s="1"/>
  <c r="AD174" i="23"/>
  <c r="AE174" i="23"/>
  <c r="AF174" i="23" a="1"/>
  <c r="AF174" i="23" s="1"/>
  <c r="X175" i="23"/>
  <c r="Y175" i="23"/>
  <c r="Z175" i="23"/>
  <c r="AA175" i="23" a="1"/>
  <c r="AA175" i="23" s="1"/>
  <c r="AB175" i="23"/>
  <c r="AC175" i="23" a="1"/>
  <c r="AC175" i="23" s="1"/>
  <c r="AD175" i="23"/>
  <c r="AE175" i="23"/>
  <c r="AF175" i="23" a="1"/>
  <c r="AF175" i="23" s="1"/>
  <c r="X176" i="23"/>
  <c r="Y176" i="23"/>
  <c r="Z176" i="23"/>
  <c r="AA176" i="23" a="1"/>
  <c r="AA176" i="23" s="1"/>
  <c r="AB176" i="23"/>
  <c r="AC176" i="23" a="1"/>
  <c r="AC176" i="23" s="1"/>
  <c r="AD176" i="23"/>
  <c r="AE176" i="23"/>
  <c r="AF176" i="23" a="1"/>
  <c r="AF176" i="23" s="1"/>
  <c r="X177" i="23"/>
  <c r="Y177" i="23"/>
  <c r="Z177" i="23"/>
  <c r="AA177" i="23" a="1"/>
  <c r="AA177" i="23" s="1"/>
  <c r="AB177" i="23"/>
  <c r="AC177" i="23" a="1"/>
  <c r="AC177" i="23"/>
  <c r="AD177" i="23"/>
  <c r="AE177" i="23"/>
  <c r="AF177" i="23" a="1"/>
  <c r="AF177" i="23" s="1"/>
  <c r="X178" i="23"/>
  <c r="Y178" i="23"/>
  <c r="Z178" i="23"/>
  <c r="AA178" i="23" a="1"/>
  <c r="AA178" i="23" s="1"/>
  <c r="AB178" i="23"/>
  <c r="AC178" i="23" a="1"/>
  <c r="AC178" i="23" s="1"/>
  <c r="AD178" i="23"/>
  <c r="AE178" i="23"/>
  <c r="AF178" i="23" a="1"/>
  <c r="AF178" i="23" s="1"/>
  <c r="X179" i="23"/>
  <c r="Y179" i="23"/>
  <c r="Z179" i="23"/>
  <c r="AA179" i="23" a="1"/>
  <c r="AA179" i="23" s="1"/>
  <c r="AB179" i="23"/>
  <c r="AC179" i="23" a="1"/>
  <c r="AC179" i="23" s="1"/>
  <c r="AD179" i="23"/>
  <c r="AE179" i="23"/>
  <c r="AF179" i="23" a="1"/>
  <c r="AF179" i="23" s="1"/>
  <c r="X180" i="23"/>
  <c r="Y180" i="23"/>
  <c r="Z180" i="23"/>
  <c r="AA180" i="23" a="1"/>
  <c r="AA180" i="23" s="1"/>
  <c r="AB180" i="23"/>
  <c r="AC180" i="23" a="1"/>
  <c r="AC180" i="23" s="1"/>
  <c r="AD180" i="23"/>
  <c r="AE180" i="23"/>
  <c r="AF180" i="23" a="1"/>
  <c r="AF180" i="23" s="1"/>
  <c r="X181" i="23"/>
  <c r="Y181" i="23"/>
  <c r="Z181" i="23"/>
  <c r="AA181" i="23" a="1"/>
  <c r="AA181" i="23" s="1"/>
  <c r="AB181" i="23"/>
  <c r="AC181" i="23" a="1"/>
  <c r="AC181" i="23" s="1"/>
  <c r="AD181" i="23"/>
  <c r="AE181" i="23"/>
  <c r="AF181" i="23" a="1"/>
  <c r="AF181" i="23" s="1"/>
  <c r="X182" i="23"/>
  <c r="Y182" i="23"/>
  <c r="Z182" i="23"/>
  <c r="AA182" i="23" a="1"/>
  <c r="AA182" i="23" s="1"/>
  <c r="AB182" i="23"/>
  <c r="AC182" i="23" a="1"/>
  <c r="AC182" i="23" s="1"/>
  <c r="AD182" i="23"/>
  <c r="AE182" i="23"/>
  <c r="AF182" i="23" a="1"/>
  <c r="AF182" i="23" s="1"/>
  <c r="X183" i="23"/>
  <c r="Y183" i="23"/>
  <c r="Z183" i="23"/>
  <c r="AA183" i="23" a="1"/>
  <c r="AA183" i="23" s="1"/>
  <c r="AB183" i="23"/>
  <c r="AC183" i="23" a="1"/>
  <c r="AC183" i="23" s="1"/>
  <c r="AD183" i="23"/>
  <c r="AE183" i="23"/>
  <c r="AF183" i="23" a="1"/>
  <c r="AF183" i="23" s="1"/>
  <c r="X184" i="23"/>
  <c r="Y184" i="23"/>
  <c r="Z184" i="23"/>
  <c r="AA184" i="23" a="1"/>
  <c r="AA184" i="23" s="1"/>
  <c r="AB184" i="23"/>
  <c r="AC184" i="23" a="1"/>
  <c r="AC184" i="23" s="1"/>
  <c r="AD184" i="23"/>
  <c r="AE184" i="23"/>
  <c r="AF184" i="23" a="1"/>
  <c r="AF184" i="23" s="1"/>
  <c r="X185" i="23"/>
  <c r="Y185" i="23"/>
  <c r="Z185" i="23"/>
  <c r="AA185" i="23" a="1"/>
  <c r="AA185" i="23" s="1"/>
  <c r="AB185" i="23"/>
  <c r="AC185" i="23" a="1"/>
  <c r="AC185" i="23" s="1"/>
  <c r="AD185" i="23"/>
  <c r="AE185" i="23"/>
  <c r="AF185" i="23" a="1"/>
  <c r="AF185" i="23" s="1"/>
  <c r="X186" i="23"/>
  <c r="Y186" i="23"/>
  <c r="Z186" i="23"/>
  <c r="AA186" i="23" a="1"/>
  <c r="AA186" i="23" s="1"/>
  <c r="AB186" i="23"/>
  <c r="AC186" i="23" a="1"/>
  <c r="AC186" i="23" s="1"/>
  <c r="AD186" i="23"/>
  <c r="AE186" i="23"/>
  <c r="AF186" i="23" a="1"/>
  <c r="AF186" i="23" s="1"/>
  <c r="X187" i="23"/>
  <c r="Y187" i="23"/>
  <c r="Z187" i="23"/>
  <c r="AA187" i="23" a="1"/>
  <c r="AA187" i="23" s="1"/>
  <c r="AB187" i="23"/>
  <c r="AC187" i="23" a="1"/>
  <c r="AC187" i="23" s="1"/>
  <c r="AD187" i="23"/>
  <c r="AE187" i="23"/>
  <c r="AF187" i="23" a="1"/>
  <c r="AF187" i="23" s="1"/>
  <c r="X188" i="23"/>
  <c r="Y188" i="23"/>
  <c r="Z188" i="23"/>
  <c r="AA188" i="23" a="1"/>
  <c r="AA188" i="23" s="1"/>
  <c r="AB188" i="23"/>
  <c r="AC188" i="23" a="1"/>
  <c r="AC188" i="23" s="1"/>
  <c r="AD188" i="23"/>
  <c r="AE188" i="23"/>
  <c r="AF188" i="23" a="1"/>
  <c r="AF188" i="23" s="1"/>
  <c r="X189" i="23"/>
  <c r="Y189" i="23"/>
  <c r="Z189" i="23"/>
  <c r="AA189" i="23" a="1"/>
  <c r="AA189" i="23" s="1"/>
  <c r="AB189" i="23"/>
  <c r="AC189" i="23" a="1"/>
  <c r="AC189" i="23" s="1"/>
  <c r="AD189" i="23"/>
  <c r="AE189" i="23"/>
  <c r="AF189" i="23" a="1"/>
  <c r="AF189" i="23" s="1"/>
  <c r="X190" i="23"/>
  <c r="Y190" i="23"/>
  <c r="Z190" i="23"/>
  <c r="AA190" i="23" a="1"/>
  <c r="AA190" i="23" s="1"/>
  <c r="AB190" i="23"/>
  <c r="AC190" i="23" a="1"/>
  <c r="AC190" i="23" s="1"/>
  <c r="AD190" i="23"/>
  <c r="AE190" i="23"/>
  <c r="AF190" i="23" a="1"/>
  <c r="AF190" i="23" s="1"/>
  <c r="X191" i="23"/>
  <c r="Y191" i="23"/>
  <c r="Z191" i="23"/>
  <c r="AA191" i="23" a="1"/>
  <c r="AA191" i="23" s="1"/>
  <c r="AB191" i="23"/>
  <c r="AC191" i="23" a="1"/>
  <c r="AC191" i="23" s="1"/>
  <c r="AD191" i="23"/>
  <c r="AE191" i="23"/>
  <c r="AF191" i="23" a="1"/>
  <c r="AF191" i="23" s="1"/>
  <c r="X192" i="23"/>
  <c r="Y192" i="23"/>
  <c r="Z192" i="23"/>
  <c r="AA192" i="23" a="1"/>
  <c r="AA192" i="23" s="1"/>
  <c r="AB192" i="23"/>
  <c r="AC192" i="23" a="1"/>
  <c r="AC192" i="23" s="1"/>
  <c r="AD192" i="23"/>
  <c r="AE192" i="23"/>
  <c r="AF192" i="23" a="1"/>
  <c r="AF192" i="23" s="1"/>
  <c r="X193" i="23"/>
  <c r="Y193" i="23"/>
  <c r="Z193" i="23"/>
  <c r="AA193" i="23" a="1"/>
  <c r="AA193" i="23"/>
  <c r="AB193" i="23"/>
  <c r="AC193" i="23" a="1"/>
  <c r="AC193" i="23" s="1"/>
  <c r="AD193" i="23"/>
  <c r="AE193" i="23"/>
  <c r="AF193" i="23" a="1"/>
  <c r="AF193" i="23" s="1"/>
  <c r="X194" i="23"/>
  <c r="Y194" i="23"/>
  <c r="Z194" i="23"/>
  <c r="AA194" i="23" a="1"/>
  <c r="AA194" i="23" s="1"/>
  <c r="AB194" i="23"/>
  <c r="AC194" i="23" a="1"/>
  <c r="AC194" i="23" s="1"/>
  <c r="AD194" i="23"/>
  <c r="AE194" i="23"/>
  <c r="AF194" i="23" a="1"/>
  <c r="AF194" i="23" s="1"/>
  <c r="X195" i="23"/>
  <c r="Y195" i="23"/>
  <c r="Z195" i="23"/>
  <c r="AA195" i="23" a="1"/>
  <c r="AA195" i="23"/>
  <c r="AB195" i="23"/>
  <c r="AC195" i="23" a="1"/>
  <c r="AC195" i="23" s="1"/>
  <c r="AD195" i="23"/>
  <c r="AE195" i="23"/>
  <c r="AF195" i="23" a="1"/>
  <c r="AF195" i="23" s="1"/>
  <c r="X196" i="23"/>
  <c r="Y196" i="23"/>
  <c r="Z196" i="23"/>
  <c r="AA196" i="23" a="1"/>
  <c r="AA196" i="23" s="1"/>
  <c r="AB196" i="23"/>
  <c r="AC196" i="23" a="1"/>
  <c r="AC196" i="23" s="1"/>
  <c r="AD196" i="23"/>
  <c r="AE196" i="23"/>
  <c r="AF196" i="23" a="1"/>
  <c r="AF196" i="23" s="1"/>
  <c r="X197" i="23"/>
  <c r="Y197" i="23"/>
  <c r="Z197" i="23"/>
  <c r="AA197" i="23" a="1"/>
  <c r="AA197" i="23"/>
  <c r="AB197" i="23"/>
  <c r="AC197" i="23" a="1"/>
  <c r="AC197" i="23" s="1"/>
  <c r="AD197" i="23"/>
  <c r="AE197" i="23"/>
  <c r="AF197" i="23" a="1"/>
  <c r="AF197" i="23" s="1"/>
  <c r="X198" i="23"/>
  <c r="Y198" i="23"/>
  <c r="Z198" i="23"/>
  <c r="AA198" i="23" a="1"/>
  <c r="AA198" i="23" s="1"/>
  <c r="AB198" i="23"/>
  <c r="AC198" i="23" a="1"/>
  <c r="AC198" i="23" s="1"/>
  <c r="AD198" i="23"/>
  <c r="AE198" i="23"/>
  <c r="AF198" i="23" a="1"/>
  <c r="AF198" i="23" s="1"/>
  <c r="X199" i="23"/>
  <c r="Y199" i="23"/>
  <c r="Z199" i="23"/>
  <c r="AA199" i="23" a="1"/>
  <c r="AA199" i="23"/>
  <c r="AB199" i="23"/>
  <c r="AC199" i="23" a="1"/>
  <c r="AC199" i="23" s="1"/>
  <c r="AD199" i="23"/>
  <c r="AE199" i="23"/>
  <c r="AF199" i="23" a="1"/>
  <c r="AF199" i="23" s="1"/>
  <c r="X200" i="23"/>
  <c r="Y200" i="23"/>
  <c r="Z200" i="23"/>
  <c r="AA200" i="23" a="1"/>
  <c r="AA200" i="23" s="1"/>
  <c r="AB200" i="23"/>
  <c r="AC200" i="23" a="1"/>
  <c r="AC200" i="23" s="1"/>
  <c r="AD200" i="23"/>
  <c r="AE200" i="23"/>
  <c r="AF200" i="23" a="1"/>
  <c r="AF200" i="23" s="1"/>
  <c r="X201" i="23"/>
  <c r="Y201" i="23"/>
  <c r="Z201" i="23"/>
  <c r="AA201" i="23" a="1"/>
  <c r="AA201" i="23"/>
  <c r="AB201" i="23"/>
  <c r="AC201" i="23" a="1"/>
  <c r="AC201" i="23" s="1"/>
  <c r="AD201" i="23"/>
  <c r="AE201" i="23"/>
  <c r="AF201" i="23" a="1"/>
  <c r="AF201" i="23" s="1"/>
  <c r="X202" i="23"/>
  <c r="Y202" i="23"/>
  <c r="Z202" i="23"/>
  <c r="AA202" i="23" a="1"/>
  <c r="AA202" i="23" s="1"/>
  <c r="AB202" i="23"/>
  <c r="AC202" i="23" a="1"/>
  <c r="AC202" i="23" s="1"/>
  <c r="AD202" i="23"/>
  <c r="AE202" i="23"/>
  <c r="AF202" i="23" a="1"/>
  <c r="AF202" i="23" s="1"/>
  <c r="X203" i="23"/>
  <c r="Y203" i="23"/>
  <c r="Z203" i="23"/>
  <c r="AA203" i="23" a="1"/>
  <c r="AA203" i="23"/>
  <c r="AB203" i="23"/>
  <c r="AC203" i="23" a="1"/>
  <c r="AC203" i="23" s="1"/>
  <c r="AD203" i="23"/>
  <c r="AE203" i="23"/>
  <c r="AF203" i="23" a="1"/>
  <c r="AF203" i="23" s="1"/>
  <c r="X204" i="23"/>
  <c r="Y204" i="23"/>
  <c r="Z204" i="23"/>
  <c r="AA204" i="23" a="1"/>
  <c r="AA204" i="23" s="1"/>
  <c r="AB204" i="23"/>
  <c r="AC204" i="23" a="1"/>
  <c r="AC204" i="23" s="1"/>
  <c r="AD204" i="23"/>
  <c r="AE204" i="23"/>
  <c r="AF204" i="23" a="1"/>
  <c r="AF204" i="23" s="1"/>
  <c r="X205" i="23"/>
  <c r="Y205" i="23"/>
  <c r="Z205" i="23"/>
  <c r="AA205" i="23" a="1"/>
  <c r="AA205" i="23"/>
  <c r="AB205" i="23"/>
  <c r="AC205" i="23" a="1"/>
  <c r="AC205" i="23" s="1"/>
  <c r="AD205" i="23"/>
  <c r="AE205" i="23"/>
  <c r="AF205" i="23" a="1"/>
  <c r="AF205" i="23" s="1"/>
  <c r="X206" i="23"/>
  <c r="Y206" i="23"/>
  <c r="Z206" i="23"/>
  <c r="AA206" i="23" a="1"/>
  <c r="AA206" i="23" s="1"/>
  <c r="AB206" i="23"/>
  <c r="AC206" i="23" a="1"/>
  <c r="AC206" i="23" s="1"/>
  <c r="AD206" i="23"/>
  <c r="AE206" i="23"/>
  <c r="AF206" i="23" a="1"/>
  <c r="AF206" i="23" s="1"/>
  <c r="X207" i="23"/>
  <c r="Y207" i="23"/>
  <c r="Z207" i="23"/>
  <c r="AA207" i="23" a="1"/>
  <c r="AA207" i="23"/>
  <c r="AB207" i="23"/>
  <c r="AC207" i="23" a="1"/>
  <c r="AC207" i="23" s="1"/>
  <c r="AD207" i="23"/>
  <c r="AE207" i="23"/>
  <c r="AF207" i="23" a="1"/>
  <c r="AF207" i="23" s="1"/>
  <c r="X208" i="23"/>
  <c r="Y208" i="23"/>
  <c r="Z208" i="23"/>
  <c r="AA208" i="23" a="1"/>
  <c r="AA208" i="23" s="1"/>
  <c r="AB208" i="23"/>
  <c r="AC208" i="23" a="1"/>
  <c r="AC208" i="23" s="1"/>
  <c r="AD208" i="23"/>
  <c r="AE208" i="23"/>
  <c r="AF208" i="23" a="1"/>
  <c r="AF208" i="23" s="1"/>
  <c r="X209" i="23"/>
  <c r="Y209" i="23"/>
  <c r="Z209" i="23"/>
  <c r="AA209" i="23" a="1"/>
  <c r="AA209" i="23"/>
  <c r="AB209" i="23"/>
  <c r="AC209" i="23" a="1"/>
  <c r="AC209" i="23" s="1"/>
  <c r="AD209" i="23"/>
  <c r="AE209" i="23"/>
  <c r="AF209" i="23" a="1"/>
  <c r="AF209" i="23" s="1"/>
  <c r="X210" i="23"/>
  <c r="Y210" i="23"/>
  <c r="Z210" i="23"/>
  <c r="AA210" i="23" a="1"/>
  <c r="AA210" i="23" s="1"/>
  <c r="AB210" i="23"/>
  <c r="AC210" i="23" a="1"/>
  <c r="AC210" i="23" s="1"/>
  <c r="AD210" i="23"/>
  <c r="AE210" i="23"/>
  <c r="AF210" i="23" a="1"/>
  <c r="AF210" i="23" s="1"/>
  <c r="X211" i="23"/>
  <c r="Y211" i="23"/>
  <c r="Z211" i="23"/>
  <c r="AA211" i="23" a="1"/>
  <c r="AA211" i="23"/>
  <c r="AB211" i="23"/>
  <c r="AC211" i="23" a="1"/>
  <c r="AC211" i="23" s="1"/>
  <c r="AD211" i="23"/>
  <c r="AE211" i="23"/>
  <c r="AF211" i="23" a="1"/>
  <c r="AF211" i="23" s="1"/>
  <c r="X212" i="23"/>
  <c r="Y212" i="23"/>
  <c r="Z212" i="23"/>
  <c r="AA212" i="23" a="1"/>
  <c r="AA212" i="23" s="1"/>
  <c r="AB212" i="23"/>
  <c r="AC212" i="23" a="1"/>
  <c r="AC212" i="23" s="1"/>
  <c r="AD212" i="23"/>
  <c r="AE212" i="23"/>
  <c r="AF212" i="23" a="1"/>
  <c r="AF212" i="23" s="1"/>
  <c r="X213" i="23"/>
  <c r="Y213" i="23"/>
  <c r="Z213" i="23"/>
  <c r="AA213" i="23" a="1"/>
  <c r="AA213" i="23"/>
  <c r="AB213" i="23"/>
  <c r="AC213" i="23" a="1"/>
  <c r="AC213" i="23" s="1"/>
  <c r="AD213" i="23"/>
  <c r="AE213" i="23"/>
  <c r="AF213" i="23" a="1"/>
  <c r="AF213" i="23" s="1"/>
  <c r="X214" i="23"/>
  <c r="Y214" i="23"/>
  <c r="Z214" i="23"/>
  <c r="AA214" i="23" a="1"/>
  <c r="AA214" i="23" s="1"/>
  <c r="AB214" i="23"/>
  <c r="AC214" i="23" a="1"/>
  <c r="AC214" i="23" s="1"/>
  <c r="AD214" i="23"/>
  <c r="AE214" i="23"/>
  <c r="AF214" i="23" a="1"/>
  <c r="AF214" i="23" s="1"/>
  <c r="X215" i="23"/>
  <c r="Y215" i="23"/>
  <c r="Z215" i="23"/>
  <c r="AA215" i="23" a="1"/>
  <c r="AA215" i="23"/>
  <c r="AB215" i="23"/>
  <c r="AC215" i="23" a="1"/>
  <c r="AC215" i="23" s="1"/>
  <c r="AD215" i="23"/>
  <c r="AE215" i="23"/>
  <c r="AF215" i="23" a="1"/>
  <c r="AF215" i="23" s="1"/>
  <c r="X216" i="23"/>
  <c r="Y216" i="23"/>
  <c r="Z216" i="23"/>
  <c r="AA216" i="23" a="1"/>
  <c r="AA216" i="23" s="1"/>
  <c r="AB216" i="23"/>
  <c r="AC216" i="23" a="1"/>
  <c r="AC216" i="23" s="1"/>
  <c r="AD216" i="23"/>
  <c r="AE216" i="23"/>
  <c r="AF216" i="23" a="1"/>
  <c r="AF216" i="23" s="1"/>
  <c r="X217" i="23"/>
  <c r="Y217" i="23"/>
  <c r="Z217" i="23"/>
  <c r="AA217" i="23" a="1"/>
  <c r="AA217" i="23"/>
  <c r="AB217" i="23"/>
  <c r="AC217" i="23" a="1"/>
  <c r="AC217" i="23" s="1"/>
  <c r="AD217" i="23"/>
  <c r="AE217" i="23"/>
  <c r="AF217" i="23" a="1"/>
  <c r="AF217" i="23" s="1"/>
  <c r="X218" i="23"/>
  <c r="Y218" i="23"/>
  <c r="Z218" i="23"/>
  <c r="AA218" i="23" a="1"/>
  <c r="AA218" i="23" s="1"/>
  <c r="AB218" i="23"/>
  <c r="AC218" i="23" a="1"/>
  <c r="AC218" i="23" s="1"/>
  <c r="AD218" i="23"/>
  <c r="AE218" i="23"/>
  <c r="AF218" i="23" a="1"/>
  <c r="AF218" i="23" s="1"/>
  <c r="X219" i="23"/>
  <c r="Y219" i="23"/>
  <c r="Z219" i="23"/>
  <c r="AA219" i="23" a="1"/>
  <c r="AA219" i="23"/>
  <c r="AB219" i="23"/>
  <c r="AC219" i="23" a="1"/>
  <c r="AC219" i="23" s="1"/>
  <c r="AD219" i="23"/>
  <c r="AE219" i="23"/>
  <c r="AF219" i="23" a="1"/>
  <c r="AF219" i="23" s="1"/>
  <c r="X220" i="23"/>
  <c r="Y220" i="23"/>
  <c r="Z220" i="23"/>
  <c r="AA220" i="23" a="1"/>
  <c r="AA220" i="23" s="1"/>
  <c r="AB220" i="23"/>
  <c r="AC220" i="23" a="1"/>
  <c r="AC220" i="23" s="1"/>
  <c r="AD220" i="23"/>
  <c r="AE220" i="23"/>
  <c r="AF220" i="23" a="1"/>
  <c r="AF220" i="23" s="1"/>
  <c r="X221" i="23"/>
  <c r="Y221" i="23"/>
  <c r="Z221" i="23"/>
  <c r="AA221" i="23" a="1"/>
  <c r="AA221" i="23"/>
  <c r="AB221" i="23"/>
  <c r="AC221" i="23" a="1"/>
  <c r="AC221" i="23" s="1"/>
  <c r="AD221" i="23"/>
  <c r="AE221" i="23"/>
  <c r="AF221" i="23" a="1"/>
  <c r="AF221" i="23" s="1"/>
  <c r="X222" i="23"/>
  <c r="Y222" i="23"/>
  <c r="Z222" i="23"/>
  <c r="AA222" i="23" a="1"/>
  <c r="AA222" i="23" s="1"/>
  <c r="AB222" i="23"/>
  <c r="AC222" i="23" a="1"/>
  <c r="AC222" i="23" s="1"/>
  <c r="AD222" i="23"/>
  <c r="AE222" i="23"/>
  <c r="AF222" i="23" a="1"/>
  <c r="AF222" i="23" s="1"/>
  <c r="X223" i="23"/>
  <c r="Y223" i="23"/>
  <c r="Z223" i="23"/>
  <c r="AA223" i="23" a="1"/>
  <c r="AA223" i="23"/>
  <c r="AB223" i="23"/>
  <c r="AC223" i="23" a="1"/>
  <c r="AC223" i="23" s="1"/>
  <c r="AD223" i="23"/>
  <c r="AE223" i="23"/>
  <c r="AF223" i="23" a="1"/>
  <c r="AF223" i="23" s="1"/>
  <c r="X224" i="23"/>
  <c r="Y224" i="23"/>
  <c r="Z224" i="23"/>
  <c r="AA224" i="23" a="1"/>
  <c r="AA224" i="23" s="1"/>
  <c r="AB224" i="23"/>
  <c r="AC224" i="23" a="1"/>
  <c r="AC224" i="23" s="1"/>
  <c r="AD224" i="23"/>
  <c r="AE224" i="23"/>
  <c r="AF224" i="23" a="1"/>
  <c r="AF224" i="23" s="1"/>
  <c r="X225" i="23"/>
  <c r="Y225" i="23"/>
  <c r="Z225" i="23"/>
  <c r="AA225" i="23" a="1"/>
  <c r="AA225" i="23"/>
  <c r="AB225" i="23"/>
  <c r="AC225" i="23" a="1"/>
  <c r="AC225" i="23"/>
  <c r="AD225" i="23"/>
  <c r="AE225" i="23"/>
  <c r="AF225" i="23" a="1"/>
  <c r="AF225" i="23" s="1"/>
  <c r="X226" i="23"/>
  <c r="Y226" i="23"/>
  <c r="Z226" i="23"/>
  <c r="AA226" i="23" a="1"/>
  <c r="AA226" i="23" s="1"/>
  <c r="AB226" i="23"/>
  <c r="AC226" i="23" a="1"/>
  <c r="AC226" i="23" s="1"/>
  <c r="AD226" i="23"/>
  <c r="AE226" i="23"/>
  <c r="AF226" i="23" a="1"/>
  <c r="AF226" i="23" s="1"/>
  <c r="X227" i="23"/>
  <c r="Y227" i="23"/>
  <c r="Z227" i="23"/>
  <c r="AA227" i="23" a="1"/>
  <c r="AA227" i="23"/>
  <c r="AB227" i="23"/>
  <c r="AC227" i="23" a="1"/>
  <c r="AC227" i="23" s="1"/>
  <c r="AD227" i="23"/>
  <c r="AE227" i="23"/>
  <c r="AF227" i="23" a="1"/>
  <c r="AF227" i="23" s="1"/>
  <c r="X228" i="23"/>
  <c r="Y228" i="23"/>
  <c r="Z228" i="23"/>
  <c r="AA228" i="23" a="1"/>
  <c r="AA228" i="23" s="1"/>
  <c r="AB228" i="23"/>
  <c r="AC228" i="23" a="1"/>
  <c r="AC228" i="23" s="1"/>
  <c r="AD228" i="23"/>
  <c r="AE228" i="23"/>
  <c r="AF228" i="23" a="1"/>
  <c r="AF228" i="23" s="1"/>
  <c r="X229" i="23"/>
  <c r="Y229" i="23"/>
  <c r="Z229" i="23"/>
  <c r="AA229" i="23" a="1"/>
  <c r="AA229" i="23"/>
  <c r="AB229" i="23"/>
  <c r="AC229" i="23" a="1"/>
  <c r="AC229" i="23" s="1"/>
  <c r="AD229" i="23"/>
  <c r="AE229" i="23"/>
  <c r="AF229" i="23" a="1"/>
  <c r="AF229" i="23" s="1"/>
  <c r="X230" i="23"/>
  <c r="Y230" i="23"/>
  <c r="Z230" i="23"/>
  <c r="AA230" i="23" a="1"/>
  <c r="AA230" i="23" s="1"/>
  <c r="AB230" i="23"/>
  <c r="AC230" i="23" a="1"/>
  <c r="AC230" i="23" s="1"/>
  <c r="AD230" i="23"/>
  <c r="AE230" i="23"/>
  <c r="AF230" i="23" a="1"/>
  <c r="AF230" i="23" s="1"/>
  <c r="X231" i="23"/>
  <c r="Y231" i="23"/>
  <c r="Z231" i="23"/>
  <c r="AA231" i="23" a="1"/>
  <c r="AA231" i="23"/>
  <c r="AB231" i="23"/>
  <c r="AC231" i="23" a="1"/>
  <c r="AC231" i="23" s="1"/>
  <c r="AD231" i="23"/>
  <c r="AE231" i="23"/>
  <c r="AF231" i="23" a="1"/>
  <c r="AF231" i="23" s="1"/>
  <c r="X232" i="23"/>
  <c r="Y232" i="23"/>
  <c r="Z232" i="23"/>
  <c r="AA232" i="23" a="1"/>
  <c r="AA232" i="23" s="1"/>
  <c r="AB232" i="23"/>
  <c r="AC232" i="23" a="1"/>
  <c r="AC232" i="23" s="1"/>
  <c r="AD232" i="23"/>
  <c r="AE232" i="23"/>
  <c r="AF232" i="23" a="1"/>
  <c r="AF232" i="23" s="1"/>
  <c r="X233" i="23"/>
  <c r="Y233" i="23"/>
  <c r="Z233" i="23"/>
  <c r="AA233" i="23" a="1"/>
  <c r="AA233" i="23"/>
  <c r="AB233" i="23"/>
  <c r="AC233" i="23" a="1"/>
  <c r="AC233" i="23" s="1"/>
  <c r="AD233" i="23"/>
  <c r="AE233" i="23"/>
  <c r="AF233" i="23" a="1"/>
  <c r="AF233" i="23" s="1"/>
  <c r="X234" i="23"/>
  <c r="Y234" i="23"/>
  <c r="Z234" i="23"/>
  <c r="AA234" i="23" a="1"/>
  <c r="AA234" i="23" s="1"/>
  <c r="AB234" i="23"/>
  <c r="AC234" i="23" a="1"/>
  <c r="AC234" i="23" s="1"/>
  <c r="AD234" i="23"/>
  <c r="AE234" i="23"/>
  <c r="AF234" i="23" a="1"/>
  <c r="AF234" i="23" s="1"/>
  <c r="X235" i="23"/>
  <c r="Y235" i="23"/>
  <c r="Z235" i="23"/>
  <c r="AA235" i="23" a="1"/>
  <c r="AA235" i="23"/>
  <c r="AB235" i="23"/>
  <c r="AC235" i="23" a="1"/>
  <c r="AC235" i="23" s="1"/>
  <c r="AD235" i="23"/>
  <c r="AE235" i="23"/>
  <c r="AF235" i="23" a="1"/>
  <c r="AF235" i="23" s="1"/>
  <c r="X236" i="23"/>
  <c r="Y236" i="23"/>
  <c r="Z236" i="23"/>
  <c r="AA236" i="23" a="1"/>
  <c r="AA236" i="23" s="1"/>
  <c r="AB236" i="23"/>
  <c r="AC236" i="23" a="1"/>
  <c r="AC236" i="23" s="1"/>
  <c r="AD236" i="23"/>
  <c r="AE236" i="23"/>
  <c r="AF236" i="23" a="1"/>
  <c r="AF236" i="23" s="1"/>
  <c r="X237" i="23"/>
  <c r="Y237" i="23"/>
  <c r="Z237" i="23"/>
  <c r="AA237" i="23" a="1"/>
  <c r="AA237" i="23"/>
  <c r="AB237" i="23"/>
  <c r="AC237" i="23" a="1"/>
  <c r="AC237" i="23" s="1"/>
  <c r="AD237" i="23"/>
  <c r="AE237" i="23"/>
  <c r="AF237" i="23" a="1"/>
  <c r="AF237" i="23" s="1"/>
  <c r="X238" i="23"/>
  <c r="Y238" i="23"/>
  <c r="Z238" i="23"/>
  <c r="AA238" i="23" a="1"/>
  <c r="AA238" i="23"/>
  <c r="AB238" i="23"/>
  <c r="AC238" i="23" a="1"/>
  <c r="AC238" i="23" s="1"/>
  <c r="AD238" i="23"/>
  <c r="AE238" i="23"/>
  <c r="AF238" i="23" a="1"/>
  <c r="AF238" i="23" s="1"/>
  <c r="X239" i="23"/>
  <c r="Y239" i="23"/>
  <c r="Z239" i="23"/>
  <c r="AA239" i="23" a="1"/>
  <c r="AA239" i="23" s="1"/>
  <c r="AB239" i="23"/>
  <c r="AC239" i="23" a="1"/>
  <c r="AC239" i="23" s="1"/>
  <c r="AD239" i="23"/>
  <c r="AE239" i="23"/>
  <c r="AF239" i="23" a="1"/>
  <c r="AF239" i="23" s="1"/>
  <c r="X240" i="23"/>
  <c r="Y240" i="23"/>
  <c r="Z240" i="23"/>
  <c r="AA240" i="23" a="1"/>
  <c r="AA240" i="23" s="1"/>
  <c r="AB240" i="23"/>
  <c r="AC240" i="23" a="1"/>
  <c r="AC240" i="23" s="1"/>
  <c r="AD240" i="23"/>
  <c r="AE240" i="23"/>
  <c r="AF240" i="23" a="1"/>
  <c r="AF240" i="23" s="1"/>
  <c r="X241" i="23"/>
  <c r="Y241" i="23"/>
  <c r="Z241" i="23"/>
  <c r="AA241" i="23" a="1"/>
  <c r="AA241" i="23" s="1"/>
  <c r="AB241" i="23"/>
  <c r="AC241" i="23" a="1"/>
  <c r="AC241" i="23" s="1"/>
  <c r="AD241" i="23"/>
  <c r="AE241" i="23"/>
  <c r="AF241" i="23" a="1"/>
  <c r="AF241" i="23" s="1"/>
  <c r="X242" i="23"/>
  <c r="Y242" i="23"/>
  <c r="Z242" i="23"/>
  <c r="AA242" i="23" a="1"/>
  <c r="AA242" i="23"/>
  <c r="AB242" i="23"/>
  <c r="AC242" i="23" a="1"/>
  <c r="AC242" i="23" s="1"/>
  <c r="AD242" i="23"/>
  <c r="AE242" i="23"/>
  <c r="AF242" i="23" a="1"/>
  <c r="AF242" i="23" s="1"/>
  <c r="X243" i="23"/>
  <c r="Y243" i="23"/>
  <c r="Z243" i="23"/>
  <c r="AA243" i="23" a="1"/>
  <c r="AA243" i="23" s="1"/>
  <c r="AB243" i="23"/>
  <c r="AC243" i="23" a="1"/>
  <c r="AC243" i="23" s="1"/>
  <c r="AD243" i="23"/>
  <c r="AE243" i="23"/>
  <c r="AF243" i="23" a="1"/>
  <c r="AF243" i="23" s="1"/>
  <c r="X244" i="23"/>
  <c r="Y244" i="23"/>
  <c r="Z244" i="23"/>
  <c r="AA244" i="23" a="1"/>
  <c r="AA244" i="23"/>
  <c r="AB244" i="23"/>
  <c r="AC244" i="23" a="1"/>
  <c r="AC244" i="23" s="1"/>
  <c r="AD244" i="23"/>
  <c r="AE244" i="23"/>
  <c r="AF244" i="23" a="1"/>
  <c r="AF244" i="23" s="1"/>
  <c r="X245" i="23"/>
  <c r="Y245" i="23"/>
  <c r="Z245" i="23"/>
  <c r="AA245" i="23" a="1"/>
  <c r="AA245" i="23" s="1"/>
  <c r="AB245" i="23"/>
  <c r="AC245" i="23" a="1"/>
  <c r="AC245" i="23" s="1"/>
  <c r="AD245" i="23"/>
  <c r="AE245" i="23"/>
  <c r="AF245" i="23" a="1"/>
  <c r="AF245" i="23" s="1"/>
  <c r="X246" i="23"/>
  <c r="Y246" i="23"/>
  <c r="Z246" i="23"/>
  <c r="AA246" i="23" a="1"/>
  <c r="AA246" i="23"/>
  <c r="AB246" i="23"/>
  <c r="AC246" i="23" a="1"/>
  <c r="AC246" i="23" s="1"/>
  <c r="AD246" i="23"/>
  <c r="AE246" i="23"/>
  <c r="AF246" i="23" a="1"/>
  <c r="AF246" i="23" s="1"/>
  <c r="X247" i="23"/>
  <c r="Y247" i="23"/>
  <c r="Z247" i="23"/>
  <c r="AA247" i="23" a="1"/>
  <c r="AA247" i="23" s="1"/>
  <c r="AB247" i="23"/>
  <c r="AC247" i="23" a="1"/>
  <c r="AC247" i="23" s="1"/>
  <c r="AD247" i="23"/>
  <c r="AE247" i="23"/>
  <c r="AF247" i="23" a="1"/>
  <c r="AF247" i="23" s="1"/>
  <c r="X248" i="23"/>
  <c r="Y248" i="23"/>
  <c r="Z248" i="23"/>
  <c r="AA248" i="23" a="1"/>
  <c r="AA248" i="23" s="1"/>
  <c r="AB248" i="23"/>
  <c r="AC248" i="23" a="1"/>
  <c r="AC248" i="23" s="1"/>
  <c r="AD248" i="23"/>
  <c r="AE248" i="23"/>
  <c r="AF248" i="23" a="1"/>
  <c r="AF248" i="23" s="1"/>
  <c r="X249" i="23"/>
  <c r="Y249" i="23"/>
  <c r="Z249" i="23"/>
  <c r="AA249" i="23" a="1"/>
  <c r="AA249" i="23" s="1"/>
  <c r="AB249" i="23"/>
  <c r="AC249" i="23" a="1"/>
  <c r="AC249" i="23" s="1"/>
  <c r="AD249" i="23"/>
  <c r="AE249" i="23"/>
  <c r="AF249" i="23" a="1"/>
  <c r="AF249" i="23" s="1"/>
  <c r="X250" i="23"/>
  <c r="Y250" i="23"/>
  <c r="Z250" i="23"/>
  <c r="AA250" i="23" a="1"/>
  <c r="AA250" i="23"/>
  <c r="AB250" i="23"/>
  <c r="AC250" i="23" a="1"/>
  <c r="AC250" i="23" s="1"/>
  <c r="AD250" i="23"/>
  <c r="AE250" i="23"/>
  <c r="AF250" i="23" a="1"/>
  <c r="AF250" i="23" s="1"/>
  <c r="X251" i="23"/>
  <c r="Y251" i="23"/>
  <c r="Z251" i="23"/>
  <c r="AA251" i="23" a="1"/>
  <c r="AA251" i="23" s="1"/>
  <c r="AB251" i="23"/>
  <c r="AC251" i="23" a="1"/>
  <c r="AC251" i="23" s="1"/>
  <c r="AD251" i="23"/>
  <c r="AE251" i="23"/>
  <c r="AF251" i="23" a="1"/>
  <c r="AF251" i="23" s="1"/>
  <c r="X252" i="23"/>
  <c r="Y252" i="23"/>
  <c r="Z252" i="23"/>
  <c r="AA252" i="23" a="1"/>
  <c r="AA252" i="23"/>
  <c r="AB252" i="23"/>
  <c r="AC252" i="23" a="1"/>
  <c r="AC252" i="23" s="1"/>
  <c r="AD252" i="23"/>
  <c r="AE252" i="23"/>
  <c r="AF252" i="23" a="1"/>
  <c r="AF252" i="23" s="1"/>
  <c r="X253" i="23"/>
  <c r="Y253" i="23"/>
  <c r="Z253" i="23"/>
  <c r="AA253" i="23" a="1"/>
  <c r="AA253" i="23" s="1"/>
  <c r="AB253" i="23"/>
  <c r="AC253" i="23" a="1"/>
  <c r="AC253" i="23" s="1"/>
  <c r="AD253" i="23"/>
  <c r="AE253" i="23"/>
  <c r="AF253" i="23" a="1"/>
  <c r="AF253" i="23" s="1"/>
  <c r="X254" i="23"/>
  <c r="Y254" i="23"/>
  <c r="Z254" i="23"/>
  <c r="AA254" i="23" a="1"/>
  <c r="AA254" i="23"/>
  <c r="AB254" i="23"/>
  <c r="AC254" i="23" a="1"/>
  <c r="AC254" i="23" s="1"/>
  <c r="AD254" i="23"/>
  <c r="AE254" i="23"/>
  <c r="AF254" i="23" a="1"/>
  <c r="AF254" i="23" s="1"/>
  <c r="X255" i="23"/>
  <c r="Y255" i="23"/>
  <c r="Z255" i="23"/>
  <c r="AA255" i="23" a="1"/>
  <c r="AA255" i="23" s="1"/>
  <c r="AB255" i="23"/>
  <c r="AC255" i="23" a="1"/>
  <c r="AC255" i="23" s="1"/>
  <c r="AD255" i="23"/>
  <c r="AE255" i="23"/>
  <c r="AF255" i="23" a="1"/>
  <c r="AF255" i="23" s="1"/>
  <c r="X256" i="23"/>
  <c r="Y256" i="23"/>
  <c r="Z256" i="23"/>
  <c r="AA256" i="23" a="1"/>
  <c r="AA256" i="23" s="1"/>
  <c r="AB256" i="23"/>
  <c r="AC256" i="23" a="1"/>
  <c r="AC256" i="23" s="1"/>
  <c r="AD256" i="23"/>
  <c r="AE256" i="23"/>
  <c r="AF256" i="23" a="1"/>
  <c r="AF256" i="23" s="1"/>
  <c r="X257" i="23"/>
  <c r="Y257" i="23"/>
  <c r="Z257" i="23"/>
  <c r="AA257" i="23" a="1"/>
  <c r="AA257" i="23" s="1"/>
  <c r="AB257" i="23"/>
  <c r="AC257" i="23" a="1"/>
  <c r="AC257" i="23" s="1"/>
  <c r="AD257" i="23"/>
  <c r="AE257" i="23"/>
  <c r="AF257" i="23" a="1"/>
  <c r="AF257" i="23" s="1"/>
  <c r="X258" i="23"/>
  <c r="Y258" i="23"/>
  <c r="Z258" i="23"/>
  <c r="AA258" i="23" a="1"/>
  <c r="AA258" i="23"/>
  <c r="AB258" i="23"/>
  <c r="AC258" i="23" a="1"/>
  <c r="AC258" i="23" s="1"/>
  <c r="AD258" i="23"/>
  <c r="AE258" i="23"/>
  <c r="AF258" i="23" a="1"/>
  <c r="AF258" i="23" s="1"/>
  <c r="X259" i="23"/>
  <c r="Y259" i="23"/>
  <c r="Z259" i="23"/>
  <c r="AA259" i="23" a="1"/>
  <c r="AA259" i="23" s="1"/>
  <c r="AB259" i="23"/>
  <c r="AC259" i="23" a="1"/>
  <c r="AC259" i="23" s="1"/>
  <c r="AD259" i="23"/>
  <c r="AE259" i="23"/>
  <c r="AF259" i="23" a="1"/>
  <c r="AF259" i="23" s="1"/>
  <c r="X260" i="23"/>
  <c r="Y260" i="23"/>
  <c r="Z260" i="23"/>
  <c r="AA260" i="23" a="1"/>
  <c r="AA260" i="23"/>
  <c r="AB260" i="23"/>
  <c r="AC260" i="23" a="1"/>
  <c r="AC260" i="23" s="1"/>
  <c r="AD260" i="23"/>
  <c r="AE260" i="23"/>
  <c r="AF260" i="23" a="1"/>
  <c r="AF260" i="23" s="1"/>
  <c r="X261" i="23"/>
  <c r="Y261" i="23"/>
  <c r="Z261" i="23"/>
  <c r="AA261" i="23" a="1"/>
  <c r="AA261" i="23" s="1"/>
  <c r="AB261" i="23"/>
  <c r="AC261" i="23" a="1"/>
  <c r="AC261" i="23" s="1"/>
  <c r="AD261" i="23"/>
  <c r="AE261" i="23"/>
  <c r="AF261" i="23" a="1"/>
  <c r="AF261" i="23" s="1"/>
  <c r="X262" i="23"/>
  <c r="Y262" i="23"/>
  <c r="Z262" i="23"/>
  <c r="AA262" i="23" a="1"/>
  <c r="AA262" i="23"/>
  <c r="AB262" i="23"/>
  <c r="AC262" i="23" a="1"/>
  <c r="AC262" i="23" s="1"/>
  <c r="AD262" i="23"/>
  <c r="AE262" i="23"/>
  <c r="AF262" i="23" a="1"/>
  <c r="AF262" i="23" s="1"/>
  <c r="X263" i="23"/>
  <c r="Y263" i="23"/>
  <c r="Z263" i="23"/>
  <c r="AA263" i="23" a="1"/>
  <c r="AA263" i="23" s="1"/>
  <c r="AB263" i="23"/>
  <c r="AC263" i="23" a="1"/>
  <c r="AC263" i="23" s="1"/>
  <c r="AD263" i="23"/>
  <c r="AE263" i="23"/>
  <c r="AF263" i="23" a="1"/>
  <c r="AF263" i="23" s="1"/>
  <c r="X264" i="23"/>
  <c r="Y264" i="23"/>
  <c r="Z264" i="23"/>
  <c r="AA264" i="23" a="1"/>
  <c r="AA264" i="23" s="1"/>
  <c r="AB264" i="23"/>
  <c r="AC264" i="23" a="1"/>
  <c r="AC264" i="23" s="1"/>
  <c r="AD264" i="23"/>
  <c r="AE264" i="23"/>
  <c r="AF264" i="23" a="1"/>
  <c r="AF264" i="23" s="1"/>
  <c r="X265" i="23"/>
  <c r="Y265" i="23"/>
  <c r="Z265" i="23"/>
  <c r="AA265" i="23" a="1"/>
  <c r="AA265" i="23" s="1"/>
  <c r="AB265" i="23"/>
  <c r="AC265" i="23" a="1"/>
  <c r="AC265" i="23" s="1"/>
  <c r="AD265" i="23"/>
  <c r="AE265" i="23"/>
  <c r="AF265" i="23" a="1"/>
  <c r="AF265" i="23" s="1"/>
  <c r="X266" i="23"/>
  <c r="Y266" i="23"/>
  <c r="Z266" i="23"/>
  <c r="AA266" i="23" a="1"/>
  <c r="AA266" i="23"/>
  <c r="AB266" i="23"/>
  <c r="AC266" i="23" a="1"/>
  <c r="AC266" i="23" s="1"/>
  <c r="AD266" i="23"/>
  <c r="AE266" i="23"/>
  <c r="AF266" i="23" a="1"/>
  <c r="AF266" i="23" s="1"/>
  <c r="X267" i="23"/>
  <c r="Y267" i="23"/>
  <c r="Z267" i="23"/>
  <c r="AA267" i="23" a="1"/>
  <c r="AA267" i="23" s="1"/>
  <c r="AB267" i="23"/>
  <c r="AC267" i="23" a="1"/>
  <c r="AC267" i="23" s="1"/>
  <c r="AD267" i="23"/>
  <c r="AE267" i="23"/>
  <c r="AF267" i="23" a="1"/>
  <c r="AF267" i="23" s="1"/>
  <c r="X268" i="23"/>
  <c r="Y268" i="23"/>
  <c r="Z268" i="23"/>
  <c r="AA268" i="23" a="1"/>
  <c r="AA268" i="23" s="1"/>
  <c r="AB268" i="23"/>
  <c r="AC268" i="23" a="1"/>
  <c r="AC268" i="23" s="1"/>
  <c r="AD268" i="23"/>
  <c r="AE268" i="23"/>
  <c r="AF268" i="23" a="1"/>
  <c r="AF268" i="23" s="1"/>
  <c r="X269" i="23"/>
  <c r="Y269" i="23"/>
  <c r="Z269" i="23"/>
  <c r="AA269" i="23" a="1"/>
  <c r="AA269" i="23" s="1"/>
  <c r="AB269" i="23"/>
  <c r="AC269" i="23" a="1"/>
  <c r="AC269" i="23" s="1"/>
  <c r="AD269" i="23"/>
  <c r="AE269" i="23"/>
  <c r="AF269" i="23" a="1"/>
  <c r="AF269" i="23" s="1"/>
  <c r="X270" i="23"/>
  <c r="Y270" i="23"/>
  <c r="Z270" i="23"/>
  <c r="AA270" i="23" a="1"/>
  <c r="AA270" i="23"/>
  <c r="AB270" i="23"/>
  <c r="AC270" i="23" a="1"/>
  <c r="AC270" i="23" s="1"/>
  <c r="AD270" i="23"/>
  <c r="AE270" i="23"/>
  <c r="AF270" i="23" a="1"/>
  <c r="AF270" i="23" s="1"/>
  <c r="X271" i="23"/>
  <c r="Y271" i="23"/>
  <c r="Z271" i="23"/>
  <c r="AA271" i="23" a="1"/>
  <c r="AA271" i="23" s="1"/>
  <c r="AB271" i="23"/>
  <c r="AC271" i="23" a="1"/>
  <c r="AC271" i="23" s="1"/>
  <c r="AD271" i="23"/>
  <c r="AE271" i="23"/>
  <c r="AF271" i="23" a="1"/>
  <c r="AF271" i="23" s="1"/>
  <c r="X272" i="23"/>
  <c r="Y272" i="23"/>
  <c r="Z272" i="23"/>
  <c r="AA272" i="23" a="1"/>
  <c r="AA272" i="23" s="1"/>
  <c r="AB272" i="23"/>
  <c r="AC272" i="23" a="1"/>
  <c r="AC272" i="23" s="1"/>
  <c r="AD272" i="23"/>
  <c r="AE272" i="23"/>
  <c r="AF272" i="23" a="1"/>
  <c r="AF272" i="23" s="1"/>
  <c r="X273" i="23"/>
  <c r="Y273" i="23"/>
  <c r="Z273" i="23"/>
  <c r="AA273" i="23" a="1"/>
  <c r="AA273" i="23" s="1"/>
  <c r="AB273" i="23"/>
  <c r="AC273" i="23" a="1"/>
  <c r="AC273" i="23" s="1"/>
  <c r="AD273" i="23"/>
  <c r="AE273" i="23"/>
  <c r="AF273" i="23" a="1"/>
  <c r="AF273" i="23" s="1"/>
  <c r="X274" i="23"/>
  <c r="Y274" i="23"/>
  <c r="Z274" i="23"/>
  <c r="AA274" i="23" a="1"/>
  <c r="AA274" i="23"/>
  <c r="AB274" i="23"/>
  <c r="AC274" i="23" a="1"/>
  <c r="AC274" i="23" s="1"/>
  <c r="AD274" i="23"/>
  <c r="AE274" i="23"/>
  <c r="AF274" i="23" a="1"/>
  <c r="AF274" i="23" s="1"/>
  <c r="X275" i="23"/>
  <c r="Y275" i="23"/>
  <c r="Z275" i="23"/>
  <c r="AA275" i="23" a="1"/>
  <c r="AA275" i="23" s="1"/>
  <c r="AB275" i="23"/>
  <c r="AC275" i="23" a="1"/>
  <c r="AC275" i="23"/>
  <c r="AD275" i="23"/>
  <c r="AE275" i="23"/>
  <c r="AF275" i="23" a="1"/>
  <c r="AF275" i="23" s="1"/>
  <c r="X276" i="23"/>
  <c r="Y276" i="23"/>
  <c r="Z276" i="23"/>
  <c r="AA276" i="23" a="1"/>
  <c r="AA276" i="23"/>
  <c r="AB276" i="23"/>
  <c r="AC276" i="23" a="1"/>
  <c r="AC276" i="23" s="1"/>
  <c r="AD276" i="23"/>
  <c r="AE276" i="23"/>
  <c r="AF276" i="23" a="1"/>
  <c r="AF276" i="23" s="1"/>
  <c r="X277" i="23"/>
  <c r="Y277" i="23"/>
  <c r="Z277" i="23"/>
  <c r="AA277" i="23" a="1"/>
  <c r="AA277" i="23" s="1"/>
  <c r="AB277" i="23"/>
  <c r="AC277" i="23" a="1"/>
  <c r="AC277" i="23" s="1"/>
  <c r="AD277" i="23"/>
  <c r="AE277" i="23"/>
  <c r="AF277" i="23" a="1"/>
  <c r="AF277" i="23" s="1"/>
  <c r="X278" i="23"/>
  <c r="Y278" i="23"/>
  <c r="Z278" i="23"/>
  <c r="AA278" i="23" a="1"/>
  <c r="AA278" i="23"/>
  <c r="AB278" i="23"/>
  <c r="AC278" i="23" a="1"/>
  <c r="AC278" i="23" s="1"/>
  <c r="AD278" i="23"/>
  <c r="AE278" i="23"/>
  <c r="AF278" i="23" a="1"/>
  <c r="AF278" i="23" s="1"/>
  <c r="X279" i="23"/>
  <c r="Y279" i="23"/>
  <c r="Z279" i="23"/>
  <c r="AA279" i="23" a="1"/>
  <c r="AA279" i="23" s="1"/>
  <c r="AB279" i="23"/>
  <c r="AC279" i="23" a="1"/>
  <c r="AC279" i="23" s="1"/>
  <c r="AD279" i="23"/>
  <c r="AE279" i="23"/>
  <c r="AF279" i="23" a="1"/>
  <c r="AF279" i="23" s="1"/>
  <c r="X280" i="23"/>
  <c r="Y280" i="23"/>
  <c r="Z280" i="23"/>
  <c r="AA280" i="23" a="1"/>
  <c r="AA280" i="23" s="1"/>
  <c r="AB280" i="23"/>
  <c r="AC280" i="23" a="1"/>
  <c r="AC280" i="23" s="1"/>
  <c r="AD280" i="23"/>
  <c r="AE280" i="23"/>
  <c r="AF280" i="23" a="1"/>
  <c r="AF280" i="23" s="1"/>
  <c r="X281" i="23"/>
  <c r="Y281" i="23"/>
  <c r="Z281" i="23"/>
  <c r="AA281" i="23" a="1"/>
  <c r="AA281" i="23" s="1"/>
  <c r="AB281" i="23"/>
  <c r="AC281" i="23" a="1"/>
  <c r="AC281" i="23" s="1"/>
  <c r="AD281" i="23"/>
  <c r="AE281" i="23"/>
  <c r="AF281" i="23" a="1"/>
  <c r="AF281" i="23" s="1"/>
  <c r="X282" i="23"/>
  <c r="Y282" i="23"/>
  <c r="Z282" i="23"/>
  <c r="AA282" i="23" a="1"/>
  <c r="AA282" i="23"/>
  <c r="AB282" i="23"/>
  <c r="AC282" i="23" a="1"/>
  <c r="AC282" i="23" s="1"/>
  <c r="AD282" i="23"/>
  <c r="AE282" i="23"/>
  <c r="AF282" i="23" a="1"/>
  <c r="AF282" i="23" s="1"/>
  <c r="X283" i="23"/>
  <c r="Y283" i="23"/>
  <c r="Z283" i="23"/>
  <c r="AA283" i="23" a="1"/>
  <c r="AA283" i="23" s="1"/>
  <c r="AB283" i="23"/>
  <c r="AC283" i="23" a="1"/>
  <c r="AC283" i="23" s="1"/>
  <c r="AD283" i="23"/>
  <c r="AE283" i="23"/>
  <c r="AF283" i="23" a="1"/>
  <c r="AF283" i="23" s="1"/>
  <c r="X284" i="23"/>
  <c r="Y284" i="23"/>
  <c r="Z284" i="23"/>
  <c r="AA284" i="23" a="1"/>
  <c r="AA284" i="23" s="1"/>
  <c r="AB284" i="23"/>
  <c r="AC284" i="23" a="1"/>
  <c r="AC284" i="23" s="1"/>
  <c r="AD284" i="23"/>
  <c r="AE284" i="23"/>
  <c r="AF284" i="23" a="1"/>
  <c r="AF284" i="23" s="1"/>
  <c r="X285" i="23"/>
  <c r="Y285" i="23"/>
  <c r="Z285" i="23"/>
  <c r="AA285" i="23" a="1"/>
  <c r="AA285" i="23" s="1"/>
  <c r="AB285" i="23"/>
  <c r="AC285" i="23" a="1"/>
  <c r="AC285" i="23" s="1"/>
  <c r="AD285" i="23"/>
  <c r="AE285" i="23"/>
  <c r="AF285" i="23" a="1"/>
  <c r="AF285" i="23" s="1"/>
  <c r="X286" i="23"/>
  <c r="Y286" i="23"/>
  <c r="Z286" i="23"/>
  <c r="AA286" i="23" a="1"/>
  <c r="AA286" i="23"/>
  <c r="AB286" i="23"/>
  <c r="AC286" i="23" a="1"/>
  <c r="AC286" i="23" s="1"/>
  <c r="AD286" i="23"/>
  <c r="AE286" i="23"/>
  <c r="AF286" i="23" a="1"/>
  <c r="AF286" i="23" s="1"/>
  <c r="X287" i="23"/>
  <c r="Y287" i="23"/>
  <c r="Z287" i="23"/>
  <c r="AA287" i="23" a="1"/>
  <c r="AA287" i="23" s="1"/>
  <c r="AB287" i="23"/>
  <c r="AC287" i="23" a="1"/>
  <c r="AC287" i="23" s="1"/>
  <c r="AD287" i="23"/>
  <c r="AE287" i="23"/>
  <c r="AF287" i="23" a="1"/>
  <c r="AF287" i="23" s="1"/>
  <c r="X288" i="23"/>
  <c r="Y288" i="23"/>
  <c r="Z288" i="23"/>
  <c r="AA288" i="23" a="1"/>
  <c r="AA288" i="23" s="1"/>
  <c r="AB288" i="23"/>
  <c r="AC288" i="23" a="1"/>
  <c r="AC288" i="23" s="1"/>
  <c r="AD288" i="23"/>
  <c r="AE288" i="23"/>
  <c r="AF288" i="23" a="1"/>
  <c r="AF288" i="23" s="1"/>
  <c r="X289" i="23"/>
  <c r="Y289" i="23"/>
  <c r="Z289" i="23"/>
  <c r="AA289" i="23" a="1"/>
  <c r="AA289" i="23" s="1"/>
  <c r="AB289" i="23"/>
  <c r="AC289" i="23" a="1"/>
  <c r="AC289" i="23"/>
  <c r="AD289" i="23"/>
  <c r="AE289" i="23"/>
  <c r="AF289" i="23" a="1"/>
  <c r="AF289" i="23" s="1"/>
  <c r="X290" i="23"/>
  <c r="Y290" i="23"/>
  <c r="Z290" i="23"/>
  <c r="AA290" i="23" a="1"/>
  <c r="AA290" i="23"/>
  <c r="AB290" i="23"/>
  <c r="AC290" i="23" a="1"/>
  <c r="AC290" i="23" s="1"/>
  <c r="AD290" i="23"/>
  <c r="AE290" i="23"/>
  <c r="AF290" i="23" a="1"/>
  <c r="AF290" i="23" s="1"/>
  <c r="X291" i="23"/>
  <c r="Y291" i="23"/>
  <c r="Z291" i="23"/>
  <c r="AA291" i="23" a="1"/>
  <c r="AA291" i="23" s="1"/>
  <c r="AB291" i="23"/>
  <c r="AC291" i="23" a="1"/>
  <c r="AC291" i="23" s="1"/>
  <c r="AD291" i="23"/>
  <c r="AE291" i="23"/>
  <c r="AF291" i="23" a="1"/>
  <c r="AF291" i="23" s="1"/>
  <c r="X292" i="23"/>
  <c r="Y292" i="23"/>
  <c r="Z292" i="23"/>
  <c r="AA292" i="23" a="1"/>
  <c r="AA292" i="23"/>
  <c r="AB292" i="23"/>
  <c r="AC292" i="23" a="1"/>
  <c r="AC292" i="23" s="1"/>
  <c r="AD292" i="23"/>
  <c r="AE292" i="23"/>
  <c r="AF292" i="23" a="1"/>
  <c r="AF292" i="23" s="1"/>
  <c r="X293" i="23"/>
  <c r="Y293" i="23"/>
  <c r="Z293" i="23"/>
  <c r="AA293" i="23" a="1"/>
  <c r="AA293" i="23" s="1"/>
  <c r="AB293" i="23"/>
  <c r="AC293" i="23" a="1"/>
  <c r="AC293" i="23" s="1"/>
  <c r="AD293" i="23"/>
  <c r="AE293" i="23"/>
  <c r="AF293" i="23" a="1"/>
  <c r="AF293" i="23" s="1"/>
  <c r="X294" i="23"/>
  <c r="Y294" i="23"/>
  <c r="Z294" i="23"/>
  <c r="AA294" i="23" a="1"/>
  <c r="AA294" i="23"/>
  <c r="AB294" i="23"/>
  <c r="AC294" i="23" a="1"/>
  <c r="AC294" i="23" s="1"/>
  <c r="AD294" i="23"/>
  <c r="AE294" i="23"/>
  <c r="AF294" i="23" a="1"/>
  <c r="AF294" i="23" s="1"/>
  <c r="X295" i="23"/>
  <c r="Y295" i="23"/>
  <c r="Z295" i="23"/>
  <c r="AA295" i="23" a="1"/>
  <c r="AA295" i="23" s="1"/>
  <c r="AB295" i="23"/>
  <c r="AC295" i="23" a="1"/>
  <c r="AC295" i="23" s="1"/>
  <c r="AD295" i="23"/>
  <c r="AE295" i="23"/>
  <c r="AF295" i="23" a="1"/>
  <c r="AF295" i="23" s="1"/>
  <c r="X296" i="23"/>
  <c r="Y296" i="23"/>
  <c r="Z296" i="23"/>
  <c r="AA296" i="23" a="1"/>
  <c r="AA296" i="23" s="1"/>
  <c r="AB296" i="23"/>
  <c r="AC296" i="23" a="1"/>
  <c r="AC296" i="23"/>
  <c r="AD296" i="23"/>
  <c r="AE296" i="23"/>
  <c r="AF296" i="23" a="1"/>
  <c r="AF296" i="23" s="1"/>
  <c r="X297" i="23"/>
  <c r="Y297" i="23"/>
  <c r="Z297" i="23"/>
  <c r="AA297" i="23" a="1"/>
  <c r="AA297" i="23" s="1"/>
  <c r="AB297" i="23"/>
  <c r="AC297" i="23" a="1"/>
  <c r="AC297" i="23" s="1"/>
  <c r="AD297" i="23"/>
  <c r="AE297" i="23"/>
  <c r="AF297" i="23" a="1"/>
  <c r="AF297" i="23" s="1"/>
  <c r="X298" i="23"/>
  <c r="Y298" i="23"/>
  <c r="Z298" i="23"/>
  <c r="AA298" i="23" a="1"/>
  <c r="AA298" i="23"/>
  <c r="AB298" i="23"/>
  <c r="AC298" i="23" a="1"/>
  <c r="AC298" i="23" s="1"/>
  <c r="AD298" i="23"/>
  <c r="AE298" i="23"/>
  <c r="AF298" i="23" a="1"/>
  <c r="AF298" i="23" s="1"/>
  <c r="X299" i="23"/>
  <c r="Y299" i="23"/>
  <c r="Z299" i="23"/>
  <c r="AA299" i="23" a="1"/>
  <c r="AA299" i="23" s="1"/>
  <c r="AB299" i="23"/>
  <c r="AC299" i="23" a="1"/>
  <c r="AC299" i="23" s="1"/>
  <c r="AD299" i="23"/>
  <c r="AE299" i="23"/>
  <c r="AF299" i="23" a="1"/>
  <c r="AF299" i="23" s="1"/>
  <c r="X300" i="23"/>
  <c r="Y300" i="23"/>
  <c r="Z300" i="23"/>
  <c r="AA300" i="23" a="1"/>
  <c r="AA300" i="23" s="1"/>
  <c r="AB300" i="23"/>
  <c r="AC300" i="23" a="1"/>
  <c r="AC300" i="23" s="1"/>
  <c r="AD300" i="23"/>
  <c r="AE300" i="23"/>
  <c r="AF300" i="23" a="1"/>
  <c r="AF300" i="23" s="1"/>
  <c r="X301" i="23"/>
  <c r="Y301" i="23"/>
  <c r="Z301" i="23"/>
  <c r="AA301" i="23" a="1"/>
  <c r="AA301" i="23" s="1"/>
  <c r="AB301" i="23"/>
  <c r="AC301" i="23" a="1"/>
  <c r="AC301" i="23" s="1"/>
  <c r="AD301" i="23"/>
  <c r="AE301" i="23"/>
  <c r="AF301" i="23" a="1"/>
  <c r="AF301" i="23" s="1"/>
  <c r="X302" i="23"/>
  <c r="Y302" i="23"/>
  <c r="Z302" i="23"/>
  <c r="AA302" i="23" a="1"/>
  <c r="AA302" i="23"/>
  <c r="AB302" i="23"/>
  <c r="AC302" i="23" a="1"/>
  <c r="AC302" i="23" s="1"/>
  <c r="AD302" i="23"/>
  <c r="AE302" i="23"/>
  <c r="AF302" i="23" a="1"/>
  <c r="AF302" i="23" s="1"/>
  <c r="X303" i="23"/>
  <c r="Y303" i="23"/>
  <c r="Z303" i="23"/>
  <c r="AA303" i="23" a="1"/>
  <c r="AA303" i="23" s="1"/>
  <c r="AB303" i="23"/>
  <c r="AC303" i="23" a="1"/>
  <c r="AC303" i="23" s="1"/>
  <c r="AD303" i="23"/>
  <c r="AE303" i="23"/>
  <c r="AF303" i="23" a="1"/>
  <c r="AF303" i="23" s="1"/>
  <c r="X304" i="23"/>
  <c r="Y304" i="23"/>
  <c r="Z304" i="23"/>
  <c r="AA304" i="23" a="1"/>
  <c r="AA304" i="23" s="1"/>
  <c r="AB304" i="23"/>
  <c r="AC304" i="23" a="1"/>
  <c r="AC304" i="23" s="1"/>
  <c r="AD304" i="23"/>
  <c r="AE304" i="23"/>
  <c r="AF304" i="23" a="1"/>
  <c r="AF304" i="23" s="1"/>
  <c r="X305" i="23"/>
  <c r="Y305" i="23"/>
  <c r="Z305" i="23"/>
  <c r="AA305" i="23" a="1"/>
  <c r="AA305" i="23" s="1"/>
  <c r="AB305" i="23"/>
  <c r="AC305" i="23" a="1"/>
  <c r="AC305" i="23" s="1"/>
  <c r="AD305" i="23"/>
  <c r="AE305" i="23"/>
  <c r="AF305" i="23" a="1"/>
  <c r="AF305" i="23" s="1"/>
  <c r="X306" i="23"/>
  <c r="Y306" i="23"/>
  <c r="Z306" i="23"/>
  <c r="AA306" i="23" a="1"/>
  <c r="AA306" i="23"/>
  <c r="AB306" i="23"/>
  <c r="AC306" i="23" a="1"/>
  <c r="AC306" i="23" s="1"/>
  <c r="AD306" i="23"/>
  <c r="AE306" i="23"/>
  <c r="AF306" i="23" a="1"/>
  <c r="AF306" i="23" s="1"/>
  <c r="X307" i="23"/>
  <c r="Y307" i="23"/>
  <c r="Z307" i="23"/>
  <c r="AA307" i="23" a="1"/>
  <c r="AA307" i="23" s="1"/>
  <c r="AB307" i="23"/>
  <c r="AC307" i="23" a="1"/>
  <c r="AC307" i="23" s="1"/>
  <c r="AD307" i="23"/>
  <c r="AE307" i="23"/>
  <c r="AF307" i="23" a="1"/>
  <c r="AF307" i="23" s="1"/>
  <c r="X308" i="23"/>
  <c r="Y308" i="23"/>
  <c r="Z308" i="23"/>
  <c r="AA308" i="23" a="1"/>
  <c r="AA308" i="23"/>
  <c r="AB308" i="23"/>
  <c r="AC308" i="23" a="1"/>
  <c r="AC308" i="23" s="1"/>
  <c r="AD308" i="23"/>
  <c r="AE308" i="23"/>
  <c r="AF308" i="23" a="1"/>
  <c r="AF308" i="23" s="1"/>
  <c r="X309" i="23"/>
  <c r="Y309" i="23"/>
  <c r="Z309" i="23"/>
  <c r="AA309" i="23" a="1"/>
  <c r="AA309" i="23" s="1"/>
  <c r="AB309" i="23"/>
  <c r="AC309" i="23" a="1"/>
  <c r="AC309" i="23" s="1"/>
  <c r="AD309" i="23"/>
  <c r="AE309" i="23"/>
  <c r="AF309" i="23" a="1"/>
  <c r="AF309" i="23" s="1"/>
  <c r="X310" i="23"/>
  <c r="Y310" i="23"/>
  <c r="Z310" i="23"/>
  <c r="AA310" i="23" a="1"/>
  <c r="AA310" i="23"/>
  <c r="AB310" i="23"/>
  <c r="AC310" i="23" a="1"/>
  <c r="AC310" i="23" s="1"/>
  <c r="AD310" i="23"/>
  <c r="AE310" i="23"/>
  <c r="AF310" i="23" a="1"/>
  <c r="AF310" i="23" s="1"/>
  <c r="X311" i="23"/>
  <c r="Y311" i="23"/>
  <c r="Z311" i="23"/>
  <c r="AA311" i="23" a="1"/>
  <c r="AA311" i="23" s="1"/>
  <c r="AB311" i="23"/>
  <c r="AC311" i="23" a="1"/>
  <c r="AC311" i="23" s="1"/>
  <c r="AD311" i="23"/>
  <c r="AE311" i="23"/>
  <c r="AF311" i="23" a="1"/>
  <c r="AF311" i="23" s="1"/>
  <c r="X312" i="23"/>
  <c r="Y312" i="23"/>
  <c r="Z312" i="23"/>
  <c r="AA312" i="23" a="1"/>
  <c r="AA312" i="23" s="1"/>
  <c r="AB312" i="23"/>
  <c r="AC312" i="23" a="1"/>
  <c r="AC312" i="23" s="1"/>
  <c r="AD312" i="23"/>
  <c r="AE312" i="23"/>
  <c r="AF312" i="23" a="1"/>
  <c r="AF312" i="23" s="1"/>
  <c r="X313" i="23"/>
  <c r="Y313" i="23"/>
  <c r="Z313" i="23"/>
  <c r="AA313" i="23" a="1"/>
  <c r="AA313" i="23" s="1"/>
  <c r="AB313" i="23"/>
  <c r="AC313" i="23" a="1"/>
  <c r="AC313" i="23" s="1"/>
  <c r="AD313" i="23"/>
  <c r="AE313" i="23"/>
  <c r="AF313" i="23" a="1"/>
  <c r="AF313" i="23" s="1"/>
  <c r="X314" i="23"/>
  <c r="Y314" i="23"/>
  <c r="Z314" i="23"/>
  <c r="AA314" i="23" a="1"/>
  <c r="AA314" i="23"/>
  <c r="AB314" i="23"/>
  <c r="AC314" i="23" a="1"/>
  <c r="AC314" i="23" s="1"/>
  <c r="AD314" i="23"/>
  <c r="AE314" i="23"/>
  <c r="AF314" i="23" a="1"/>
  <c r="AF314" i="23" s="1"/>
  <c r="X315" i="23"/>
  <c r="Y315" i="23"/>
  <c r="Z315" i="23"/>
  <c r="AA315" i="23" a="1"/>
  <c r="AA315" i="23" s="1"/>
  <c r="AB315" i="23"/>
  <c r="AC315" i="23" a="1"/>
  <c r="AC315" i="23" s="1"/>
  <c r="AD315" i="23"/>
  <c r="AE315" i="23"/>
  <c r="AF315" i="23" a="1"/>
  <c r="AF315" i="23" s="1"/>
  <c r="X316" i="23"/>
  <c r="Y316" i="23"/>
  <c r="Z316" i="23"/>
  <c r="AA316" i="23" a="1"/>
  <c r="AA316" i="23" s="1"/>
  <c r="AB316" i="23"/>
  <c r="AC316" i="23" a="1"/>
  <c r="AC316" i="23" s="1"/>
  <c r="AD316" i="23"/>
  <c r="AE316" i="23"/>
  <c r="AF316" i="23" a="1"/>
  <c r="AF316" i="23" s="1"/>
  <c r="X317" i="23"/>
  <c r="Y317" i="23"/>
  <c r="Z317" i="23"/>
  <c r="AA317" i="23" a="1"/>
  <c r="AA317" i="23"/>
  <c r="AB317" i="23"/>
  <c r="AC317" i="23" a="1"/>
  <c r="AC317" i="23"/>
  <c r="AD317" i="23"/>
  <c r="AE317" i="23"/>
  <c r="AF317" i="23" a="1"/>
  <c r="AF317" i="23" s="1"/>
  <c r="X318" i="23"/>
  <c r="Y318" i="23"/>
  <c r="Z318" i="23"/>
  <c r="AA318" i="23" a="1"/>
  <c r="AA318" i="23" s="1"/>
  <c r="AB318" i="23"/>
  <c r="AC318" i="23" a="1"/>
  <c r="AC318" i="23" s="1"/>
  <c r="AD318" i="23"/>
  <c r="AE318" i="23"/>
  <c r="AF318" i="23" a="1"/>
  <c r="AF318" i="23" s="1"/>
  <c r="X319" i="23"/>
  <c r="Y319" i="23"/>
  <c r="Z319" i="23"/>
  <c r="AA319" i="23" a="1"/>
  <c r="AA319" i="23"/>
  <c r="AB319" i="23"/>
  <c r="AC319" i="23" a="1"/>
  <c r="AC319" i="23" s="1"/>
  <c r="AD319" i="23"/>
  <c r="AE319" i="23"/>
  <c r="AF319" i="23" a="1"/>
  <c r="AF319" i="23" s="1"/>
  <c r="X320" i="23"/>
  <c r="Y320" i="23"/>
  <c r="Z320" i="23"/>
  <c r="AA320" i="23" a="1"/>
  <c r="AA320" i="23" s="1"/>
  <c r="AB320" i="23"/>
  <c r="AC320" i="23" a="1"/>
  <c r="AC320" i="23" s="1"/>
  <c r="AD320" i="23"/>
  <c r="AE320" i="23"/>
  <c r="AF320" i="23" a="1"/>
  <c r="AF320" i="23" s="1"/>
  <c r="X321" i="23"/>
  <c r="Y321" i="23"/>
  <c r="Z321" i="23"/>
  <c r="AA321" i="23" a="1"/>
  <c r="AA321" i="23"/>
  <c r="AB321" i="23"/>
  <c r="AC321" i="23" a="1"/>
  <c r="AC321" i="23"/>
  <c r="AD321" i="23"/>
  <c r="AE321" i="23"/>
  <c r="AF321" i="23" a="1"/>
  <c r="AF321" i="23" s="1"/>
  <c r="X322" i="23"/>
  <c r="Y322" i="23"/>
  <c r="Z322" i="23"/>
  <c r="AA322" i="23" a="1"/>
  <c r="AA322" i="23" s="1"/>
  <c r="AB322" i="23"/>
  <c r="AC322" i="23" a="1"/>
  <c r="AC322" i="23" s="1"/>
  <c r="AD322" i="23"/>
  <c r="AE322" i="23"/>
  <c r="AF322" i="23" a="1"/>
  <c r="AF322" i="23" s="1"/>
  <c r="X323" i="23"/>
  <c r="Y323" i="23"/>
  <c r="Z323" i="23"/>
  <c r="AA323" i="23" a="1"/>
  <c r="AA323" i="23"/>
  <c r="AB323" i="23"/>
  <c r="AC323" i="23" a="1"/>
  <c r="AC323" i="23" s="1"/>
  <c r="AD323" i="23"/>
  <c r="AE323" i="23"/>
  <c r="AF323" i="23" a="1"/>
  <c r="AF323" i="23" s="1"/>
  <c r="X324" i="23"/>
  <c r="Y324" i="23"/>
  <c r="Z324" i="23"/>
  <c r="AA324" i="23" a="1"/>
  <c r="AA324" i="23" s="1"/>
  <c r="AB324" i="23"/>
  <c r="AC324" i="23" a="1"/>
  <c r="AC324" i="23" s="1"/>
  <c r="AD324" i="23"/>
  <c r="AE324" i="23"/>
  <c r="AF324" i="23" a="1"/>
  <c r="AF324" i="23" s="1"/>
  <c r="X325" i="23"/>
  <c r="Y325" i="23"/>
  <c r="Z325" i="23"/>
  <c r="AA325" i="23" a="1"/>
  <c r="AA325" i="23"/>
  <c r="AB325" i="23"/>
  <c r="AC325" i="23" a="1"/>
  <c r="AC325" i="23"/>
  <c r="AD325" i="23"/>
  <c r="AE325" i="23"/>
  <c r="AF325" i="23" a="1"/>
  <c r="AF325" i="23" s="1"/>
  <c r="X326" i="23"/>
  <c r="Y326" i="23"/>
  <c r="Z326" i="23"/>
  <c r="AA326" i="23" a="1"/>
  <c r="AA326" i="23" s="1"/>
  <c r="AB326" i="23"/>
  <c r="AC326" i="23" a="1"/>
  <c r="AC326" i="23" s="1"/>
  <c r="AD326" i="23"/>
  <c r="AE326" i="23"/>
  <c r="AF326" i="23" a="1"/>
  <c r="AF326" i="23" s="1"/>
  <c r="X327" i="23"/>
  <c r="Y327" i="23"/>
  <c r="Z327" i="23"/>
  <c r="AA327" i="23" a="1"/>
  <c r="AA327" i="23"/>
  <c r="AB327" i="23"/>
  <c r="AC327" i="23" a="1"/>
  <c r="AC327" i="23" s="1"/>
  <c r="AD327" i="23"/>
  <c r="AE327" i="23"/>
  <c r="AF327" i="23" a="1"/>
  <c r="AF327" i="23" s="1"/>
  <c r="X328" i="23"/>
  <c r="Y328" i="23"/>
  <c r="Z328" i="23"/>
  <c r="AA328" i="23" a="1"/>
  <c r="AA328" i="23" s="1"/>
  <c r="AB328" i="23"/>
  <c r="AC328" i="23" a="1"/>
  <c r="AC328" i="23" s="1"/>
  <c r="AD328" i="23"/>
  <c r="AE328" i="23"/>
  <c r="AF328" i="23" a="1"/>
  <c r="AF328" i="23" s="1"/>
  <c r="X329" i="23"/>
  <c r="Y329" i="23"/>
  <c r="Z329" i="23"/>
  <c r="AA329" i="23" a="1"/>
  <c r="AA329" i="23"/>
  <c r="AB329" i="23"/>
  <c r="AC329" i="23" a="1"/>
  <c r="AC329" i="23" s="1"/>
  <c r="AD329" i="23"/>
  <c r="AE329" i="23"/>
  <c r="AF329" i="23" a="1"/>
  <c r="AF329" i="23" s="1"/>
  <c r="X330" i="23"/>
  <c r="Y330" i="23"/>
  <c r="Z330" i="23"/>
  <c r="AA330" i="23" a="1"/>
  <c r="AA330" i="23" s="1"/>
  <c r="AB330" i="23"/>
  <c r="AC330" i="23" a="1"/>
  <c r="AC330" i="23" s="1"/>
  <c r="AD330" i="23"/>
  <c r="AE330" i="23"/>
  <c r="AF330" i="23" a="1"/>
  <c r="AF330" i="23" s="1"/>
  <c r="X331" i="23"/>
  <c r="Y331" i="23"/>
  <c r="Z331" i="23"/>
  <c r="AA331" i="23" a="1"/>
  <c r="AA331" i="23"/>
  <c r="AB331" i="23"/>
  <c r="AC331" i="23" a="1"/>
  <c r="AC331" i="23" s="1"/>
  <c r="AD331" i="23"/>
  <c r="AE331" i="23"/>
  <c r="AF331" i="23" a="1"/>
  <c r="AF331" i="23" s="1"/>
  <c r="X332" i="23"/>
  <c r="Y332" i="23"/>
  <c r="Z332" i="23"/>
  <c r="AA332" i="23" a="1"/>
  <c r="AA332" i="23" s="1"/>
  <c r="AB332" i="23"/>
  <c r="AC332" i="23" a="1"/>
  <c r="AC332" i="23" s="1"/>
  <c r="AD332" i="23"/>
  <c r="AE332" i="23"/>
  <c r="AF332" i="23" a="1"/>
  <c r="AF332" i="23" s="1"/>
  <c r="X333" i="23"/>
  <c r="Y333" i="23"/>
  <c r="Z333" i="23"/>
  <c r="AA333" i="23" a="1"/>
  <c r="AA333" i="23"/>
  <c r="AB333" i="23"/>
  <c r="AC333" i="23" a="1"/>
  <c r="AC333" i="23" s="1"/>
  <c r="AD333" i="23"/>
  <c r="AE333" i="23"/>
  <c r="AF333" i="23" a="1"/>
  <c r="AF333" i="23" s="1"/>
  <c r="X334" i="23"/>
  <c r="Y334" i="23"/>
  <c r="Z334" i="23"/>
  <c r="AA334" i="23" a="1"/>
  <c r="AA334" i="23" s="1"/>
  <c r="AB334" i="23"/>
  <c r="AC334" i="23" a="1"/>
  <c r="AC334" i="23" s="1"/>
  <c r="AD334" i="23"/>
  <c r="AE334" i="23"/>
  <c r="AF334" i="23" a="1"/>
  <c r="AF334" i="23" s="1"/>
  <c r="X335" i="23"/>
  <c r="Y335" i="23"/>
  <c r="Z335" i="23"/>
  <c r="AA335" i="23" a="1"/>
  <c r="AA335" i="23"/>
  <c r="AB335" i="23"/>
  <c r="AC335" i="23" a="1"/>
  <c r="AC335" i="23" s="1"/>
  <c r="AD335" i="23"/>
  <c r="AE335" i="23"/>
  <c r="AF335" i="23" a="1"/>
  <c r="AF335" i="23" s="1"/>
  <c r="X336" i="23"/>
  <c r="Y336" i="23"/>
  <c r="Z336" i="23"/>
  <c r="AA336" i="23" a="1"/>
  <c r="AA336" i="23" s="1"/>
  <c r="AB336" i="23"/>
  <c r="AC336" i="23" a="1"/>
  <c r="AC336" i="23" s="1"/>
  <c r="AD336" i="23"/>
  <c r="AE336" i="23"/>
  <c r="AF336" i="23" a="1"/>
  <c r="AF336" i="23" s="1"/>
  <c r="X337" i="23"/>
  <c r="Y337" i="23"/>
  <c r="Z337" i="23"/>
  <c r="AA337" i="23" a="1"/>
  <c r="AA337" i="23"/>
  <c r="AB337" i="23"/>
  <c r="AC337" i="23" a="1"/>
  <c r="AC337" i="23" s="1"/>
  <c r="AD337" i="23"/>
  <c r="AE337" i="23"/>
  <c r="AF337" i="23" a="1"/>
  <c r="AF337" i="23" s="1"/>
  <c r="X338" i="23"/>
  <c r="Y338" i="23"/>
  <c r="Z338" i="23"/>
  <c r="AA338" i="23" a="1"/>
  <c r="AA338" i="23" s="1"/>
  <c r="AB338" i="23"/>
  <c r="AC338" i="23" a="1"/>
  <c r="AC338" i="23" s="1"/>
  <c r="AD338" i="23"/>
  <c r="AE338" i="23"/>
  <c r="AF338" i="23" a="1"/>
  <c r="AF338" i="23" s="1"/>
  <c r="X339" i="23"/>
  <c r="Y339" i="23"/>
  <c r="Z339" i="23"/>
  <c r="AA339" i="23" a="1"/>
  <c r="AA339" i="23"/>
  <c r="AB339" i="23"/>
  <c r="AC339" i="23" a="1"/>
  <c r="AC339" i="23" s="1"/>
  <c r="AD339" i="23"/>
  <c r="AE339" i="23"/>
  <c r="AF339" i="23" a="1"/>
  <c r="AF339" i="23" s="1"/>
  <c r="X340" i="23"/>
  <c r="Y340" i="23"/>
  <c r="Z340" i="23"/>
  <c r="AA340" i="23" a="1"/>
  <c r="AA340" i="23" s="1"/>
  <c r="AB340" i="23"/>
  <c r="AC340" i="23" a="1"/>
  <c r="AC340" i="23" s="1"/>
  <c r="AD340" i="23"/>
  <c r="AE340" i="23"/>
  <c r="AF340" i="23" a="1"/>
  <c r="AF340" i="23" s="1"/>
  <c r="X341" i="23"/>
  <c r="Y341" i="23"/>
  <c r="Z341" i="23"/>
  <c r="AA341" i="23" a="1"/>
  <c r="AA341" i="23"/>
  <c r="AB341" i="23"/>
  <c r="AC341" i="23" a="1"/>
  <c r="AC341" i="23" s="1"/>
  <c r="AD341" i="23"/>
  <c r="AE341" i="23"/>
  <c r="AF341" i="23" a="1"/>
  <c r="AF341" i="23" s="1"/>
  <c r="X342" i="23"/>
  <c r="Y342" i="23"/>
  <c r="Z342" i="23"/>
  <c r="AA342" i="23" a="1"/>
  <c r="AA342" i="23" s="1"/>
  <c r="AB342" i="23"/>
  <c r="AC342" i="23" a="1"/>
  <c r="AC342" i="23" s="1"/>
  <c r="AD342" i="23"/>
  <c r="AE342" i="23"/>
  <c r="AF342" i="23" a="1"/>
  <c r="AF342" i="23" s="1"/>
  <c r="X343" i="23"/>
  <c r="Y343" i="23"/>
  <c r="Z343" i="23"/>
  <c r="AA343" i="23" a="1"/>
  <c r="AA343" i="23"/>
  <c r="AB343" i="23"/>
  <c r="AC343" i="23" a="1"/>
  <c r="AC343" i="23" s="1"/>
  <c r="AD343" i="23"/>
  <c r="AE343" i="23"/>
  <c r="AF343" i="23" a="1"/>
  <c r="AF343" i="23" s="1"/>
  <c r="X344" i="23"/>
  <c r="Y344" i="23"/>
  <c r="Z344" i="23"/>
  <c r="AA344" i="23" a="1"/>
  <c r="AA344" i="23" s="1"/>
  <c r="AB344" i="23"/>
  <c r="AC344" i="23" a="1"/>
  <c r="AC344" i="23" s="1"/>
  <c r="AD344" i="23"/>
  <c r="AE344" i="23"/>
  <c r="AF344" i="23" a="1"/>
  <c r="AF344" i="23" s="1"/>
  <c r="X345" i="23"/>
  <c r="Y345" i="23"/>
  <c r="Z345" i="23"/>
  <c r="AA345" i="23" a="1"/>
  <c r="AA345" i="23"/>
  <c r="AB345" i="23"/>
  <c r="AC345" i="23" a="1"/>
  <c r="AC345" i="23"/>
  <c r="AD345" i="23"/>
  <c r="AE345" i="23"/>
  <c r="AF345" i="23" a="1"/>
  <c r="AF345" i="23" s="1"/>
  <c r="X346" i="23"/>
  <c r="Y346" i="23"/>
  <c r="Z346" i="23"/>
  <c r="AA346" i="23" a="1"/>
  <c r="AA346" i="23" s="1"/>
  <c r="AB346" i="23"/>
  <c r="AC346" i="23" a="1"/>
  <c r="AC346" i="23" s="1"/>
  <c r="AD346" i="23"/>
  <c r="AE346" i="23"/>
  <c r="AF346" i="23" a="1"/>
  <c r="AF346" i="23" s="1"/>
  <c r="X347" i="23"/>
  <c r="Y347" i="23"/>
  <c r="Z347" i="23"/>
  <c r="AA347" i="23" a="1"/>
  <c r="AA347" i="23"/>
  <c r="AB347" i="23"/>
  <c r="AC347" i="23" a="1"/>
  <c r="AC347" i="23" s="1"/>
  <c r="AD347" i="23"/>
  <c r="AE347" i="23"/>
  <c r="AF347" i="23" a="1"/>
  <c r="AF347" i="23" s="1"/>
  <c r="X348" i="23"/>
  <c r="Y348" i="23"/>
  <c r="Z348" i="23"/>
  <c r="AA348" i="23" a="1"/>
  <c r="AA348" i="23" s="1"/>
  <c r="AB348" i="23"/>
  <c r="AC348" i="23" a="1"/>
  <c r="AC348" i="23" s="1"/>
  <c r="AD348" i="23"/>
  <c r="AE348" i="23"/>
  <c r="AF348" i="23" a="1"/>
  <c r="AF348" i="23" s="1"/>
  <c r="X349" i="23"/>
  <c r="Y349" i="23"/>
  <c r="Z349" i="23"/>
  <c r="AA349" i="23" a="1"/>
  <c r="AA349" i="23"/>
  <c r="AB349" i="23"/>
  <c r="AC349" i="23" a="1"/>
  <c r="AC349" i="23"/>
  <c r="AD349" i="23"/>
  <c r="AE349" i="23"/>
  <c r="AF349" i="23" a="1"/>
  <c r="AF349" i="23" s="1"/>
  <c r="X350" i="23"/>
  <c r="Y350" i="23"/>
  <c r="Z350" i="23"/>
  <c r="AA350" i="23" a="1"/>
  <c r="AA350" i="23" s="1"/>
  <c r="AB350" i="23"/>
  <c r="AC350" i="23" a="1"/>
  <c r="AC350" i="23" s="1"/>
  <c r="AD350" i="23"/>
  <c r="AE350" i="23"/>
  <c r="AF350" i="23" a="1"/>
  <c r="AF350" i="23" s="1"/>
  <c r="X351" i="23"/>
  <c r="Y351" i="23"/>
  <c r="Z351" i="23"/>
  <c r="AA351" i="23" a="1"/>
  <c r="AA351" i="23"/>
  <c r="AB351" i="23"/>
  <c r="AC351" i="23" a="1"/>
  <c r="AC351" i="23" s="1"/>
  <c r="AD351" i="23"/>
  <c r="AE351" i="23"/>
  <c r="AF351" i="23" a="1"/>
  <c r="AF351" i="23" s="1"/>
  <c r="X352" i="23"/>
  <c r="Y352" i="23"/>
  <c r="Z352" i="23"/>
  <c r="AA352" i="23" a="1"/>
  <c r="AA352" i="23" s="1"/>
  <c r="AB352" i="23"/>
  <c r="AC352" i="23" a="1"/>
  <c r="AC352" i="23" s="1"/>
  <c r="AD352" i="23"/>
  <c r="AE352" i="23"/>
  <c r="AF352" i="23" a="1"/>
  <c r="AF352" i="23" s="1"/>
  <c r="X353" i="23"/>
  <c r="Y353" i="23"/>
  <c r="Z353" i="23"/>
  <c r="AA353" i="23" a="1"/>
  <c r="AA353" i="23"/>
  <c r="AB353" i="23"/>
  <c r="AC353" i="23" a="1"/>
  <c r="AC353" i="23"/>
  <c r="AD353" i="23"/>
  <c r="AE353" i="23"/>
  <c r="AF353" i="23" a="1"/>
  <c r="AF353" i="23" s="1"/>
  <c r="X354" i="23"/>
  <c r="Y354" i="23"/>
  <c r="Z354" i="23"/>
  <c r="AA354" i="23" a="1"/>
  <c r="AA354" i="23" s="1"/>
  <c r="AB354" i="23"/>
  <c r="AC354" i="23" a="1"/>
  <c r="AC354" i="23" s="1"/>
  <c r="AD354" i="23"/>
  <c r="AE354" i="23"/>
  <c r="AF354" i="23" a="1"/>
  <c r="AF354" i="23" s="1"/>
  <c r="X355" i="23"/>
  <c r="Y355" i="23"/>
  <c r="Z355" i="23"/>
  <c r="AA355" i="23" a="1"/>
  <c r="AA355" i="23"/>
  <c r="AB355" i="23"/>
  <c r="AC355" i="23" a="1"/>
  <c r="AC355" i="23" s="1"/>
  <c r="AD355" i="23"/>
  <c r="AE355" i="23"/>
  <c r="AF355" i="23" a="1"/>
  <c r="AF355" i="23" s="1"/>
  <c r="X356" i="23"/>
  <c r="Y356" i="23"/>
  <c r="Z356" i="23"/>
  <c r="AA356" i="23" a="1"/>
  <c r="AA356" i="23" s="1"/>
  <c r="AB356" i="23"/>
  <c r="AC356" i="23" a="1"/>
  <c r="AC356" i="23" s="1"/>
  <c r="AD356" i="23"/>
  <c r="AE356" i="23"/>
  <c r="AF356" i="23" a="1"/>
  <c r="AF356" i="23" s="1"/>
  <c r="X357" i="23"/>
  <c r="Y357" i="23"/>
  <c r="Z357" i="23"/>
  <c r="AA357" i="23" a="1"/>
  <c r="AA357" i="23"/>
  <c r="AB357" i="23"/>
  <c r="AC357" i="23" a="1"/>
  <c r="AC357" i="23" s="1"/>
  <c r="AD357" i="23"/>
  <c r="AE357" i="23"/>
  <c r="AF357" i="23" a="1"/>
  <c r="AF357" i="23" s="1"/>
  <c r="X358" i="23"/>
  <c r="Y358" i="23"/>
  <c r="Z358" i="23"/>
  <c r="AA358" i="23" a="1"/>
  <c r="AA358" i="23" s="1"/>
  <c r="AB358" i="23"/>
  <c r="AC358" i="23" a="1"/>
  <c r="AC358" i="23" s="1"/>
  <c r="AD358" i="23"/>
  <c r="AE358" i="23"/>
  <c r="AF358" i="23" a="1"/>
  <c r="AF358" i="23" s="1"/>
  <c r="X359" i="23"/>
  <c r="Y359" i="23"/>
  <c r="Z359" i="23"/>
  <c r="AA359" i="23" a="1"/>
  <c r="AA359" i="23"/>
  <c r="AB359" i="23"/>
  <c r="AC359" i="23" a="1"/>
  <c r="AC359" i="23" s="1"/>
  <c r="AD359" i="23"/>
  <c r="AE359" i="23"/>
  <c r="AF359" i="23" a="1"/>
  <c r="AF359" i="23" s="1"/>
  <c r="X360" i="23"/>
  <c r="Y360" i="23"/>
  <c r="Z360" i="23"/>
  <c r="AA360" i="23" a="1"/>
  <c r="AA360" i="23" s="1"/>
  <c r="AB360" i="23"/>
  <c r="AC360" i="23" a="1"/>
  <c r="AC360" i="23" s="1"/>
  <c r="AD360" i="23"/>
  <c r="AE360" i="23"/>
  <c r="AF360" i="23" a="1"/>
  <c r="AF360" i="23" s="1"/>
  <c r="X361" i="23"/>
  <c r="Y361" i="23"/>
  <c r="Z361" i="23"/>
  <c r="AA361" i="23" a="1"/>
  <c r="AA361" i="23"/>
  <c r="AB361" i="23"/>
  <c r="AC361" i="23" a="1"/>
  <c r="AC361" i="23" s="1"/>
  <c r="AD361" i="23"/>
  <c r="AE361" i="23"/>
  <c r="AF361" i="23" a="1"/>
  <c r="AF361" i="23" s="1"/>
  <c r="X362" i="23"/>
  <c r="Y362" i="23"/>
  <c r="Z362" i="23"/>
  <c r="AA362" i="23" a="1"/>
  <c r="AA362" i="23" s="1"/>
  <c r="AB362" i="23"/>
  <c r="AC362" i="23" a="1"/>
  <c r="AC362" i="23" s="1"/>
  <c r="AD362" i="23"/>
  <c r="AE362" i="23"/>
  <c r="AF362" i="23" a="1"/>
  <c r="AF362" i="23" s="1"/>
  <c r="X363" i="23"/>
  <c r="Y363" i="23"/>
  <c r="Z363" i="23"/>
  <c r="AA363" i="23" a="1"/>
  <c r="AA363" i="23"/>
  <c r="AB363" i="23"/>
  <c r="AC363" i="23" a="1"/>
  <c r="AC363" i="23" s="1"/>
  <c r="AD363" i="23"/>
  <c r="AE363" i="23"/>
  <c r="AF363" i="23" a="1"/>
  <c r="AF363" i="23" s="1"/>
  <c r="X364" i="23"/>
  <c r="Y364" i="23"/>
  <c r="Z364" i="23"/>
  <c r="AA364" i="23" a="1"/>
  <c r="AA364" i="23" s="1"/>
  <c r="AB364" i="23"/>
  <c r="AC364" i="23" a="1"/>
  <c r="AC364" i="23" s="1"/>
  <c r="AD364" i="23"/>
  <c r="AE364" i="23"/>
  <c r="AF364" i="23" a="1"/>
  <c r="AF364" i="23" s="1"/>
  <c r="X365" i="23"/>
  <c r="Y365" i="23"/>
  <c r="Z365" i="23"/>
  <c r="AA365" i="23" a="1"/>
  <c r="AA365" i="23"/>
  <c r="AB365" i="23"/>
  <c r="AC365" i="23" a="1"/>
  <c r="AC365" i="23" s="1"/>
  <c r="AD365" i="23"/>
  <c r="AE365" i="23"/>
  <c r="AF365" i="23" a="1"/>
  <c r="AF365" i="23" s="1"/>
  <c r="X366" i="23"/>
  <c r="Y366" i="23"/>
  <c r="Z366" i="23"/>
  <c r="AA366" i="23" a="1"/>
  <c r="AA366" i="23" s="1"/>
  <c r="AB366" i="23"/>
  <c r="AC366" i="23" a="1"/>
  <c r="AC366" i="23" s="1"/>
  <c r="AD366" i="23"/>
  <c r="AE366" i="23"/>
  <c r="AF366" i="23" a="1"/>
  <c r="AF366" i="23" s="1"/>
  <c r="X367" i="23"/>
  <c r="Y367" i="23"/>
  <c r="Z367" i="23"/>
  <c r="AA367" i="23" a="1"/>
  <c r="AA367" i="23"/>
  <c r="AB367" i="23"/>
  <c r="AC367" i="23" a="1"/>
  <c r="AC367" i="23" s="1"/>
  <c r="AD367" i="23"/>
  <c r="AE367" i="23"/>
  <c r="AF367" i="23" a="1"/>
  <c r="AF367" i="23" s="1"/>
  <c r="X368" i="23"/>
  <c r="Y368" i="23"/>
  <c r="Z368" i="23"/>
  <c r="AA368" i="23" a="1"/>
  <c r="AA368" i="23" s="1"/>
  <c r="AB368" i="23"/>
  <c r="AC368" i="23" a="1"/>
  <c r="AC368" i="23" s="1"/>
  <c r="AD368" i="23"/>
  <c r="AE368" i="23"/>
  <c r="AF368" i="23" a="1"/>
  <c r="AF368" i="23" s="1"/>
  <c r="X369" i="23"/>
  <c r="Y369" i="23"/>
  <c r="Z369" i="23"/>
  <c r="AA369" i="23" a="1"/>
  <c r="AA369" i="23"/>
  <c r="AB369" i="23"/>
  <c r="AC369" i="23" a="1"/>
  <c r="AC369" i="23" s="1"/>
  <c r="AD369" i="23"/>
  <c r="AE369" i="23"/>
  <c r="AF369" i="23" a="1"/>
  <c r="AF369" i="23" s="1"/>
  <c r="X370" i="23"/>
  <c r="Y370" i="23"/>
  <c r="Z370" i="23"/>
  <c r="AA370" i="23" a="1"/>
  <c r="AA370" i="23" s="1"/>
  <c r="AB370" i="23"/>
  <c r="AC370" i="23" a="1"/>
  <c r="AC370" i="23" s="1"/>
  <c r="AD370" i="23"/>
  <c r="AE370" i="23"/>
  <c r="AF370" i="23" a="1"/>
  <c r="AF370" i="23" s="1"/>
  <c r="X371" i="23"/>
  <c r="Y371" i="23"/>
  <c r="Z371" i="23"/>
  <c r="AA371" i="23" a="1"/>
  <c r="AA371" i="23"/>
  <c r="AB371" i="23"/>
  <c r="AC371" i="23" a="1"/>
  <c r="AC371" i="23" s="1"/>
  <c r="AD371" i="23"/>
  <c r="AE371" i="23"/>
  <c r="AF371" i="23" a="1"/>
  <c r="AF371" i="23" s="1"/>
  <c r="X372" i="23"/>
  <c r="Y372" i="23"/>
  <c r="Z372" i="23"/>
  <c r="AA372" i="23" a="1"/>
  <c r="AA372" i="23" s="1"/>
  <c r="AB372" i="23"/>
  <c r="AC372" i="23" a="1"/>
  <c r="AC372" i="23" s="1"/>
  <c r="AD372" i="23"/>
  <c r="AE372" i="23"/>
  <c r="AF372" i="23" a="1"/>
  <c r="AF372" i="23" s="1"/>
  <c r="X373" i="23"/>
  <c r="Y373" i="23"/>
  <c r="Z373" i="23"/>
  <c r="AA373" i="23" a="1"/>
  <c r="AA373" i="23"/>
  <c r="AB373" i="23"/>
  <c r="AC373" i="23" a="1"/>
  <c r="AC373" i="23" s="1"/>
  <c r="AD373" i="23"/>
  <c r="AE373" i="23"/>
  <c r="AF373" i="23" a="1"/>
  <c r="AF373" i="23" s="1"/>
  <c r="X374" i="23"/>
  <c r="Y374" i="23"/>
  <c r="Z374" i="23"/>
  <c r="AA374" i="23" a="1"/>
  <c r="AA374" i="23" s="1"/>
  <c r="AB374" i="23"/>
  <c r="AC374" i="23" a="1"/>
  <c r="AC374" i="23" s="1"/>
  <c r="AD374" i="23"/>
  <c r="AE374" i="23"/>
  <c r="AF374" i="23" a="1"/>
  <c r="AF374" i="23" s="1"/>
  <c r="X375" i="23"/>
  <c r="Y375" i="23"/>
  <c r="Z375" i="23"/>
  <c r="AA375" i="23" a="1"/>
  <c r="AA375" i="23"/>
  <c r="AB375" i="23"/>
  <c r="AC375" i="23" a="1"/>
  <c r="AC375" i="23" s="1"/>
  <c r="AD375" i="23"/>
  <c r="AE375" i="23"/>
  <c r="AF375" i="23" a="1"/>
  <c r="AF375" i="23" s="1"/>
  <c r="X376" i="23"/>
  <c r="Y376" i="23"/>
  <c r="Z376" i="23"/>
  <c r="AA376" i="23" a="1"/>
  <c r="AA376" i="23" s="1"/>
  <c r="AB376" i="23"/>
  <c r="AC376" i="23" a="1"/>
  <c r="AC376" i="23" s="1"/>
  <c r="AD376" i="23"/>
  <c r="AE376" i="23"/>
  <c r="AF376" i="23" a="1"/>
  <c r="AF376" i="23" s="1"/>
  <c r="X377" i="23"/>
  <c r="Y377" i="23"/>
  <c r="Z377" i="23"/>
  <c r="AA377" i="23" a="1"/>
  <c r="AA377" i="23"/>
  <c r="AB377" i="23"/>
  <c r="AC377" i="23" a="1"/>
  <c r="AC377" i="23" s="1"/>
  <c r="AD377" i="23"/>
  <c r="AE377" i="23"/>
  <c r="AF377" i="23" a="1"/>
  <c r="AF377" i="23" s="1"/>
  <c r="X378" i="23"/>
  <c r="Y378" i="23"/>
  <c r="Z378" i="23"/>
  <c r="AA378" i="23" a="1"/>
  <c r="AA378" i="23" s="1"/>
  <c r="AB378" i="23"/>
  <c r="AC378" i="23" a="1"/>
  <c r="AC378" i="23" s="1"/>
  <c r="AD378" i="23"/>
  <c r="AE378" i="23"/>
  <c r="AF378" i="23" a="1"/>
  <c r="AF378" i="23" s="1"/>
  <c r="X379" i="23"/>
  <c r="Y379" i="23"/>
  <c r="Z379" i="23"/>
  <c r="AA379" i="23" a="1"/>
  <c r="AA379" i="23"/>
  <c r="AB379" i="23"/>
  <c r="AC379" i="23" a="1"/>
  <c r="AC379" i="23" s="1"/>
  <c r="AD379" i="23"/>
  <c r="AE379" i="23"/>
  <c r="AF379" i="23" a="1"/>
  <c r="AF379" i="23" s="1"/>
  <c r="X380" i="23"/>
  <c r="Y380" i="23"/>
  <c r="Z380" i="23"/>
  <c r="AA380" i="23" a="1"/>
  <c r="AA380" i="23" s="1"/>
  <c r="AB380" i="23"/>
  <c r="AC380" i="23" a="1"/>
  <c r="AC380" i="23" s="1"/>
  <c r="AD380" i="23"/>
  <c r="AE380" i="23"/>
  <c r="AF380" i="23" a="1"/>
  <c r="AF380" i="23" s="1"/>
  <c r="X381" i="23"/>
  <c r="Y381" i="23"/>
  <c r="Z381" i="23"/>
  <c r="AA381" i="23" a="1"/>
  <c r="AA381" i="23"/>
  <c r="AB381" i="23"/>
  <c r="AC381" i="23" a="1"/>
  <c r="AC381" i="23" s="1"/>
  <c r="AD381" i="23"/>
  <c r="AE381" i="23"/>
  <c r="AF381" i="23" a="1"/>
  <c r="AF381" i="23" s="1"/>
  <c r="X382" i="23"/>
  <c r="Y382" i="23"/>
  <c r="Z382" i="23"/>
  <c r="AA382" i="23" a="1"/>
  <c r="AA382" i="23" s="1"/>
  <c r="AB382" i="23"/>
  <c r="AC382" i="23" a="1"/>
  <c r="AC382" i="23" s="1"/>
  <c r="AD382" i="23"/>
  <c r="AE382" i="23"/>
  <c r="AF382" i="23" a="1"/>
  <c r="AF382" i="23" s="1"/>
  <c r="X383" i="23"/>
  <c r="Y383" i="23"/>
  <c r="Z383" i="23"/>
  <c r="AA383" i="23" a="1"/>
  <c r="AA383" i="23"/>
  <c r="AB383" i="23"/>
  <c r="AC383" i="23" a="1"/>
  <c r="AC383" i="23" s="1"/>
  <c r="AD383" i="23"/>
  <c r="AE383" i="23"/>
  <c r="AF383" i="23" a="1"/>
  <c r="AF383" i="23" s="1"/>
  <c r="X384" i="23"/>
  <c r="Y384" i="23"/>
  <c r="Z384" i="23"/>
  <c r="AA384" i="23" a="1"/>
  <c r="AA384" i="23" s="1"/>
  <c r="AB384" i="23"/>
  <c r="AC384" i="23" a="1"/>
  <c r="AC384" i="23" s="1"/>
  <c r="AD384" i="23"/>
  <c r="AE384" i="23"/>
  <c r="AF384" i="23" a="1"/>
  <c r="AF384" i="23" s="1"/>
  <c r="X385" i="23"/>
  <c r="Y385" i="23"/>
  <c r="Z385" i="23"/>
  <c r="AA385" i="23" a="1"/>
  <c r="AA385" i="23"/>
  <c r="AB385" i="23"/>
  <c r="AC385" i="23" a="1"/>
  <c r="AC385" i="23" s="1"/>
  <c r="AD385" i="23"/>
  <c r="AE385" i="23"/>
  <c r="AF385" i="23" a="1"/>
  <c r="AF385" i="23" s="1"/>
  <c r="X386" i="23"/>
  <c r="Y386" i="23"/>
  <c r="Z386" i="23"/>
  <c r="AA386" i="23" a="1"/>
  <c r="AA386" i="23" s="1"/>
  <c r="AB386" i="23"/>
  <c r="AC386" i="23" a="1"/>
  <c r="AC386" i="23" s="1"/>
  <c r="AD386" i="23"/>
  <c r="AE386" i="23"/>
  <c r="AF386" i="23" a="1"/>
  <c r="AF386" i="23" s="1"/>
  <c r="X387" i="23"/>
  <c r="Y387" i="23"/>
  <c r="Z387" i="23"/>
  <c r="AA387" i="23" a="1"/>
  <c r="AA387" i="23"/>
  <c r="AB387" i="23"/>
  <c r="AC387" i="23" a="1"/>
  <c r="AC387" i="23" s="1"/>
  <c r="AD387" i="23"/>
  <c r="AE387" i="23"/>
  <c r="AF387" i="23" a="1"/>
  <c r="AF387" i="23" s="1"/>
  <c r="X388" i="23"/>
  <c r="Y388" i="23"/>
  <c r="Z388" i="23"/>
  <c r="AA388" i="23" a="1"/>
  <c r="AA388" i="23" s="1"/>
  <c r="AB388" i="23"/>
  <c r="AC388" i="23" a="1"/>
  <c r="AC388" i="23" s="1"/>
  <c r="AD388" i="23"/>
  <c r="AE388" i="23"/>
  <c r="AF388" i="23" a="1"/>
  <c r="AF388" i="23" s="1"/>
  <c r="X389" i="23"/>
  <c r="Y389" i="23"/>
  <c r="Z389" i="23"/>
  <c r="AA389" i="23" a="1"/>
  <c r="AA389" i="23"/>
  <c r="AB389" i="23"/>
  <c r="AC389" i="23" a="1"/>
  <c r="AC389" i="23" s="1"/>
  <c r="AD389" i="23"/>
  <c r="AE389" i="23"/>
  <c r="AF389" i="23" a="1"/>
  <c r="AF389" i="23" s="1"/>
  <c r="X390" i="23"/>
  <c r="Y390" i="23"/>
  <c r="Z390" i="23"/>
  <c r="AA390" i="23" a="1"/>
  <c r="AA390" i="23" s="1"/>
  <c r="AB390" i="23"/>
  <c r="AC390" i="23" a="1"/>
  <c r="AC390" i="23" s="1"/>
  <c r="AD390" i="23"/>
  <c r="AE390" i="23"/>
  <c r="AF390" i="23" a="1"/>
  <c r="AF390" i="23" s="1"/>
  <c r="X391" i="23"/>
  <c r="Y391" i="23"/>
  <c r="Z391" i="23"/>
  <c r="AA391" i="23" a="1"/>
  <c r="AA391" i="23"/>
  <c r="AB391" i="23"/>
  <c r="AC391" i="23" a="1"/>
  <c r="AC391" i="23" s="1"/>
  <c r="AD391" i="23"/>
  <c r="AE391" i="23"/>
  <c r="AF391" i="23" a="1"/>
  <c r="AF391" i="23" s="1"/>
  <c r="X392" i="23"/>
  <c r="Y392" i="23"/>
  <c r="Z392" i="23"/>
  <c r="AA392" i="23" a="1"/>
  <c r="AA392" i="23" s="1"/>
  <c r="AB392" i="23"/>
  <c r="AC392" i="23" a="1"/>
  <c r="AC392" i="23" s="1"/>
  <c r="AD392" i="23"/>
  <c r="AE392" i="23"/>
  <c r="AF392" i="23" a="1"/>
  <c r="AF392" i="23" s="1"/>
  <c r="X393" i="23"/>
  <c r="Y393" i="23"/>
  <c r="Z393" i="23"/>
  <c r="AA393" i="23" a="1"/>
  <c r="AA393" i="23"/>
  <c r="AB393" i="23"/>
  <c r="AC393" i="23" a="1"/>
  <c r="AC393" i="23" s="1"/>
  <c r="AD393" i="23"/>
  <c r="AE393" i="23"/>
  <c r="AF393" i="23" a="1"/>
  <c r="AF393" i="23" s="1"/>
  <c r="X394" i="23"/>
  <c r="Y394" i="23"/>
  <c r="Z394" i="23"/>
  <c r="AA394" i="23" a="1"/>
  <c r="AA394" i="23" s="1"/>
  <c r="AB394" i="23"/>
  <c r="AC394" i="23" a="1"/>
  <c r="AC394" i="23" s="1"/>
  <c r="AD394" i="23"/>
  <c r="AE394" i="23"/>
  <c r="AF394" i="23" a="1"/>
  <c r="AF394" i="23" s="1"/>
  <c r="X395" i="23"/>
  <c r="Y395" i="23"/>
  <c r="Z395" i="23"/>
  <c r="AA395" i="23" a="1"/>
  <c r="AA395" i="23"/>
  <c r="AB395" i="23"/>
  <c r="AC395" i="23" a="1"/>
  <c r="AC395" i="23" s="1"/>
  <c r="AD395" i="23"/>
  <c r="AE395" i="23"/>
  <c r="AF395" i="23" a="1"/>
  <c r="AF395" i="23" s="1"/>
  <c r="X396" i="23"/>
  <c r="Y396" i="23"/>
  <c r="Z396" i="23"/>
  <c r="AA396" i="23" a="1"/>
  <c r="AA396" i="23" s="1"/>
  <c r="AB396" i="23"/>
  <c r="AC396" i="23" a="1"/>
  <c r="AC396" i="23" s="1"/>
  <c r="AD396" i="23"/>
  <c r="AE396" i="23"/>
  <c r="AF396" i="23" a="1"/>
  <c r="AF396" i="23" s="1"/>
  <c r="X397" i="23"/>
  <c r="Y397" i="23"/>
  <c r="Z397" i="23"/>
  <c r="AA397" i="23" a="1"/>
  <c r="AA397" i="23"/>
  <c r="AB397" i="23"/>
  <c r="AC397" i="23" a="1"/>
  <c r="AC397" i="23" s="1"/>
  <c r="AD397" i="23"/>
  <c r="AE397" i="23"/>
  <c r="AF397" i="23" a="1"/>
  <c r="AF397" i="23" s="1"/>
  <c r="X398" i="23"/>
  <c r="Y398" i="23"/>
  <c r="Z398" i="23"/>
  <c r="AA398" i="23" a="1"/>
  <c r="AA398" i="23" s="1"/>
  <c r="AB398" i="23"/>
  <c r="AC398" i="23" a="1"/>
  <c r="AC398" i="23" s="1"/>
  <c r="AD398" i="23"/>
  <c r="AE398" i="23"/>
  <c r="AF398" i="23" a="1"/>
  <c r="AF398" i="23" s="1"/>
  <c r="X399" i="23"/>
  <c r="Y399" i="23"/>
  <c r="Z399" i="23"/>
  <c r="AA399" i="23" a="1"/>
  <c r="AA399" i="23"/>
  <c r="AB399" i="23"/>
  <c r="AC399" i="23" a="1"/>
  <c r="AC399" i="23" s="1"/>
  <c r="AD399" i="23"/>
  <c r="AE399" i="23"/>
  <c r="AF399" i="23" a="1"/>
  <c r="AF399" i="23" s="1"/>
  <c r="X400" i="23"/>
  <c r="Y400" i="23"/>
  <c r="Z400" i="23"/>
  <c r="AA400" i="23" a="1"/>
  <c r="AA400" i="23" s="1"/>
  <c r="AB400" i="23"/>
  <c r="AC400" i="23" a="1"/>
  <c r="AC400" i="23" s="1"/>
  <c r="AD400" i="23"/>
  <c r="AE400" i="23"/>
  <c r="AF400" i="23" a="1"/>
  <c r="AF400" i="23" s="1"/>
  <c r="X401" i="23"/>
  <c r="Y401" i="23"/>
  <c r="Z401" i="23"/>
  <c r="AA401" i="23" a="1"/>
  <c r="AA401" i="23"/>
  <c r="AB401" i="23"/>
  <c r="AC401" i="23" a="1"/>
  <c r="AC401" i="23" s="1"/>
  <c r="AD401" i="23"/>
  <c r="AE401" i="23"/>
  <c r="AF401" i="23" a="1"/>
  <c r="AF401" i="23" s="1"/>
  <c r="X402" i="23"/>
  <c r="Y402" i="23"/>
  <c r="Z402" i="23"/>
  <c r="AA402" i="23" a="1"/>
  <c r="AA402" i="23" s="1"/>
  <c r="AB402" i="23"/>
  <c r="AC402" i="23" a="1"/>
  <c r="AC402" i="23" s="1"/>
  <c r="AD402" i="23"/>
  <c r="AE402" i="23"/>
  <c r="AF402" i="23" a="1"/>
  <c r="AF402" i="23" s="1"/>
  <c r="X403" i="23"/>
  <c r="Y403" i="23"/>
  <c r="Z403" i="23"/>
  <c r="AA403" i="23" a="1"/>
  <c r="AA403" i="23"/>
  <c r="AB403" i="23"/>
  <c r="AC403" i="23" a="1"/>
  <c r="AC403" i="23" s="1"/>
  <c r="AD403" i="23"/>
  <c r="AE403" i="23"/>
  <c r="AF403" i="23" a="1"/>
  <c r="AF403" i="23" s="1"/>
  <c r="X404" i="23"/>
  <c r="Y404" i="23"/>
  <c r="Z404" i="23"/>
  <c r="AA404" i="23" a="1"/>
  <c r="AA404" i="23" s="1"/>
  <c r="AB404" i="23"/>
  <c r="AC404" i="23" a="1"/>
  <c r="AC404" i="23" s="1"/>
  <c r="AD404" i="23"/>
  <c r="AE404" i="23"/>
  <c r="AF404" i="23" a="1"/>
  <c r="AF404" i="23" s="1"/>
  <c r="X405" i="23"/>
  <c r="Y405" i="23"/>
  <c r="Z405" i="23"/>
  <c r="AA405" i="23" a="1"/>
  <c r="AA405" i="23"/>
  <c r="AB405" i="23"/>
  <c r="AC405" i="23" a="1"/>
  <c r="AC405" i="23" s="1"/>
  <c r="AD405" i="23"/>
  <c r="AE405" i="23"/>
  <c r="AF405" i="23" a="1"/>
  <c r="AF405" i="23" s="1"/>
  <c r="X406" i="23"/>
  <c r="Y406" i="23"/>
  <c r="Z406" i="23"/>
  <c r="AA406" i="23" a="1"/>
  <c r="AA406" i="23" s="1"/>
  <c r="AB406" i="23"/>
  <c r="AC406" i="23" a="1"/>
  <c r="AC406" i="23" s="1"/>
  <c r="AD406" i="23"/>
  <c r="AE406" i="23"/>
  <c r="AF406" i="23" a="1"/>
  <c r="AF406" i="23" s="1"/>
  <c r="X407" i="23"/>
  <c r="Y407" i="23"/>
  <c r="Z407" i="23"/>
  <c r="AA407" i="23" a="1"/>
  <c r="AA407" i="23"/>
  <c r="AB407" i="23"/>
  <c r="AC407" i="23" a="1"/>
  <c r="AC407" i="23" s="1"/>
  <c r="AD407" i="23"/>
  <c r="AE407" i="23"/>
  <c r="AF407" i="23" a="1"/>
  <c r="AF407" i="23" s="1"/>
  <c r="X408" i="23"/>
  <c r="Y408" i="23"/>
  <c r="Z408" i="23"/>
  <c r="AA408" i="23" a="1"/>
  <c r="AA408" i="23" s="1"/>
  <c r="AB408" i="23"/>
  <c r="AC408" i="23" a="1"/>
  <c r="AC408" i="23" s="1"/>
  <c r="AD408" i="23"/>
  <c r="AE408" i="23"/>
  <c r="AF408" i="23" a="1"/>
  <c r="AF408" i="23" s="1"/>
  <c r="X409" i="23"/>
  <c r="Y409" i="23"/>
  <c r="Z409" i="23"/>
  <c r="AA409" i="23" a="1"/>
  <c r="AA409" i="23"/>
  <c r="AB409" i="23"/>
  <c r="AC409" i="23" a="1"/>
  <c r="AC409" i="23" s="1"/>
  <c r="AD409" i="23"/>
  <c r="AE409" i="23"/>
  <c r="AF409" i="23" a="1"/>
  <c r="AF409" i="23" s="1"/>
  <c r="X410" i="23"/>
  <c r="Y410" i="23"/>
  <c r="Z410" i="23"/>
  <c r="AA410" i="23" a="1"/>
  <c r="AA410" i="23" s="1"/>
  <c r="AB410" i="23"/>
  <c r="AC410" i="23" a="1"/>
  <c r="AC410" i="23" s="1"/>
  <c r="AD410" i="23"/>
  <c r="AE410" i="23"/>
  <c r="AF410" i="23" a="1"/>
  <c r="AF410" i="23" s="1"/>
  <c r="X411" i="23"/>
  <c r="Y411" i="23"/>
  <c r="Z411" i="23"/>
  <c r="AA411" i="23" a="1"/>
  <c r="AA411" i="23"/>
  <c r="AB411" i="23"/>
  <c r="AC411" i="23" a="1"/>
  <c r="AC411" i="23" s="1"/>
  <c r="AD411" i="23"/>
  <c r="AE411" i="23"/>
  <c r="AF411" i="23" a="1"/>
  <c r="AF411" i="23" s="1"/>
  <c r="X412" i="23"/>
  <c r="Y412" i="23"/>
  <c r="Z412" i="23"/>
  <c r="AA412" i="23" a="1"/>
  <c r="AA412" i="23" s="1"/>
  <c r="AB412" i="23"/>
  <c r="AC412" i="23" a="1"/>
  <c r="AC412" i="23" s="1"/>
  <c r="AD412" i="23"/>
  <c r="AE412" i="23"/>
  <c r="AF412" i="23" a="1"/>
  <c r="AF412" i="23" s="1"/>
  <c r="X413" i="23"/>
  <c r="Y413" i="23"/>
  <c r="Z413" i="23"/>
  <c r="AA413" i="23" a="1"/>
  <c r="AA413" i="23"/>
  <c r="AB413" i="23"/>
  <c r="AC413" i="23" a="1"/>
  <c r="AC413" i="23" s="1"/>
  <c r="AD413" i="23"/>
  <c r="AE413" i="23"/>
  <c r="AF413" i="23" a="1"/>
  <c r="AF413" i="23" s="1"/>
  <c r="X414" i="23"/>
  <c r="Y414" i="23"/>
  <c r="Z414" i="23"/>
  <c r="AA414" i="23" a="1"/>
  <c r="AA414" i="23" s="1"/>
  <c r="AB414" i="23"/>
  <c r="AC414" i="23" a="1"/>
  <c r="AC414" i="23" s="1"/>
  <c r="AD414" i="23"/>
  <c r="AE414" i="23"/>
  <c r="AF414" i="23" a="1"/>
  <c r="AF414" i="23" s="1"/>
  <c r="X415" i="23"/>
  <c r="Y415" i="23"/>
  <c r="Z415" i="23"/>
  <c r="AA415" i="23" a="1"/>
  <c r="AA415" i="23"/>
  <c r="AB415" i="23"/>
  <c r="AC415" i="23" a="1"/>
  <c r="AC415" i="23"/>
  <c r="AD415" i="23"/>
  <c r="AE415" i="23"/>
  <c r="AF415" i="23" a="1"/>
  <c r="AF415" i="23" s="1"/>
  <c r="X416" i="23"/>
  <c r="Y416" i="23"/>
  <c r="Z416" i="23"/>
  <c r="AA416" i="23" a="1"/>
  <c r="AA416" i="23" s="1"/>
  <c r="AB416" i="23"/>
  <c r="AC416" i="23" a="1"/>
  <c r="AC416" i="23" s="1"/>
  <c r="AD416" i="23"/>
  <c r="AE416" i="23"/>
  <c r="AF416" i="23" a="1"/>
  <c r="AF416" i="23" s="1"/>
  <c r="X417" i="23"/>
  <c r="Y417" i="23"/>
  <c r="Z417" i="23"/>
  <c r="AA417" i="23" a="1"/>
  <c r="AA417" i="23"/>
  <c r="AB417" i="23"/>
  <c r="AC417" i="23" a="1"/>
  <c r="AC417" i="23" s="1"/>
  <c r="AD417" i="23"/>
  <c r="AE417" i="23"/>
  <c r="AF417" i="23" a="1"/>
  <c r="AF417" i="23" s="1"/>
  <c r="X418" i="23"/>
  <c r="Y418" i="23"/>
  <c r="Z418" i="23"/>
  <c r="AA418" i="23" a="1"/>
  <c r="AA418" i="23" s="1"/>
  <c r="AB418" i="23"/>
  <c r="AC418" i="23" a="1"/>
  <c r="AC418" i="23" s="1"/>
  <c r="AD418" i="23"/>
  <c r="AE418" i="23"/>
  <c r="AF418" i="23" a="1"/>
  <c r="AF418" i="23" s="1"/>
  <c r="X419" i="23"/>
  <c r="Y419" i="23"/>
  <c r="Z419" i="23"/>
  <c r="AA419" i="23" a="1"/>
  <c r="AA419" i="23"/>
  <c r="AB419" i="23"/>
  <c r="AC419" i="23" a="1"/>
  <c r="AC419" i="23"/>
  <c r="AD419" i="23"/>
  <c r="AE419" i="23"/>
  <c r="AF419" i="23" a="1"/>
  <c r="AF419" i="23" s="1"/>
  <c r="X420" i="23"/>
  <c r="Y420" i="23"/>
  <c r="Z420" i="23"/>
  <c r="AA420" i="23" a="1"/>
  <c r="AA420" i="23" s="1"/>
  <c r="AB420" i="23"/>
  <c r="AC420" i="23" a="1"/>
  <c r="AC420" i="23" s="1"/>
  <c r="AD420" i="23"/>
  <c r="AE420" i="23"/>
  <c r="AF420" i="23" a="1"/>
  <c r="AF420" i="23" s="1"/>
  <c r="X421" i="23"/>
  <c r="Y421" i="23"/>
  <c r="Z421" i="23"/>
  <c r="AA421" i="23" a="1"/>
  <c r="AA421" i="23"/>
  <c r="AB421" i="23"/>
  <c r="AC421" i="23" a="1"/>
  <c r="AC421" i="23" s="1"/>
  <c r="AD421" i="23"/>
  <c r="AE421" i="23"/>
  <c r="AF421" i="23" a="1"/>
  <c r="AF421" i="23" s="1"/>
  <c r="X422" i="23"/>
  <c r="Y422" i="23"/>
  <c r="Z422" i="23"/>
  <c r="AA422" i="23" a="1"/>
  <c r="AA422" i="23" s="1"/>
  <c r="AB422" i="23"/>
  <c r="AC422" i="23" a="1"/>
  <c r="AC422" i="23" s="1"/>
  <c r="AD422" i="23"/>
  <c r="AE422" i="23"/>
  <c r="AF422" i="23" a="1"/>
  <c r="AF422" i="23" s="1"/>
  <c r="X423" i="23"/>
  <c r="Y423" i="23"/>
  <c r="Z423" i="23"/>
  <c r="AA423" i="23" a="1"/>
  <c r="AA423" i="23"/>
  <c r="AB423" i="23"/>
  <c r="AC423" i="23" a="1"/>
  <c r="AC423" i="23"/>
  <c r="AD423" i="23"/>
  <c r="AE423" i="23"/>
  <c r="AF423" i="23" a="1"/>
  <c r="AF423" i="23" s="1"/>
  <c r="X424" i="23"/>
  <c r="Y424" i="23"/>
  <c r="Z424" i="23"/>
  <c r="AA424" i="23" a="1"/>
  <c r="AA424" i="23" s="1"/>
  <c r="AB424" i="23"/>
  <c r="AC424" i="23" a="1"/>
  <c r="AC424" i="23" s="1"/>
  <c r="AD424" i="23"/>
  <c r="AE424" i="23"/>
  <c r="AF424" i="23" a="1"/>
  <c r="AF424" i="23" s="1"/>
  <c r="X425" i="23"/>
  <c r="Y425" i="23"/>
  <c r="Z425" i="23"/>
  <c r="AA425" i="23" a="1"/>
  <c r="AA425" i="23"/>
  <c r="AB425" i="23"/>
  <c r="AC425" i="23" a="1"/>
  <c r="AC425" i="23" s="1"/>
  <c r="AD425" i="23"/>
  <c r="AE425" i="23"/>
  <c r="AF425" i="23" a="1"/>
  <c r="AF425" i="23" s="1"/>
  <c r="X426" i="23"/>
  <c r="Y426" i="23"/>
  <c r="Z426" i="23"/>
  <c r="AA426" i="23" a="1"/>
  <c r="AA426" i="23" s="1"/>
  <c r="AB426" i="23"/>
  <c r="AC426" i="23" a="1"/>
  <c r="AC426" i="23" s="1"/>
  <c r="AD426" i="23"/>
  <c r="AE426" i="23"/>
  <c r="AF426" i="23" a="1"/>
  <c r="AF426" i="23" s="1"/>
  <c r="X427" i="23"/>
  <c r="Y427" i="23"/>
  <c r="Z427" i="23"/>
  <c r="AA427" i="23" a="1"/>
  <c r="AA427" i="23"/>
  <c r="AB427" i="23"/>
  <c r="AC427" i="23" a="1"/>
  <c r="AC427" i="23" s="1"/>
  <c r="AD427" i="23"/>
  <c r="AE427" i="23"/>
  <c r="AF427" i="23" a="1"/>
  <c r="AF427" i="23" s="1"/>
  <c r="X428" i="23"/>
  <c r="Y428" i="23"/>
  <c r="Z428" i="23"/>
  <c r="AA428" i="23" a="1"/>
  <c r="AA428" i="23" s="1"/>
  <c r="AB428" i="23"/>
  <c r="AC428" i="23" a="1"/>
  <c r="AC428" i="23" s="1"/>
  <c r="AD428" i="23"/>
  <c r="AE428" i="23"/>
  <c r="AF428" i="23" a="1"/>
  <c r="AF428" i="23" s="1"/>
  <c r="X429" i="23"/>
  <c r="Y429" i="23"/>
  <c r="Z429" i="23"/>
  <c r="AA429" i="23" a="1"/>
  <c r="AA429" i="23"/>
  <c r="AB429" i="23"/>
  <c r="AC429" i="23" a="1"/>
  <c r="AC429" i="23" s="1"/>
  <c r="AD429" i="23"/>
  <c r="AE429" i="23"/>
  <c r="AF429" i="23" a="1"/>
  <c r="AF429" i="23" s="1"/>
  <c r="X430" i="23"/>
  <c r="Y430" i="23"/>
  <c r="Z430" i="23"/>
  <c r="AA430" i="23" a="1"/>
  <c r="AA430" i="23" s="1"/>
  <c r="AB430" i="23"/>
  <c r="AC430" i="23" a="1"/>
  <c r="AC430" i="23" s="1"/>
  <c r="AD430" i="23"/>
  <c r="AE430" i="23"/>
  <c r="AF430" i="23" a="1"/>
  <c r="AF430" i="23" s="1"/>
  <c r="X431" i="23"/>
  <c r="Y431" i="23"/>
  <c r="Z431" i="23"/>
  <c r="AA431" i="23" a="1"/>
  <c r="AA431" i="23"/>
  <c r="AB431" i="23"/>
  <c r="AC431" i="23" a="1"/>
  <c r="AC431" i="23" s="1"/>
  <c r="AD431" i="23"/>
  <c r="AE431" i="23"/>
  <c r="AF431" i="23" a="1"/>
  <c r="AF431" i="23" s="1"/>
  <c r="X432" i="23"/>
  <c r="Y432" i="23"/>
  <c r="Z432" i="23"/>
  <c r="AA432" i="23" a="1"/>
  <c r="AA432" i="23" s="1"/>
  <c r="AB432" i="23"/>
  <c r="AC432" i="23" a="1"/>
  <c r="AC432" i="23" s="1"/>
  <c r="AD432" i="23"/>
  <c r="AE432" i="23"/>
  <c r="AF432" i="23" a="1"/>
  <c r="AF432" i="23" s="1"/>
  <c r="X433" i="23"/>
  <c r="Y433" i="23"/>
  <c r="Z433" i="23"/>
  <c r="AA433" i="23" a="1"/>
  <c r="AA433" i="23"/>
  <c r="AB433" i="23"/>
  <c r="AC433" i="23" a="1"/>
  <c r="AC433" i="23" s="1"/>
  <c r="AD433" i="23"/>
  <c r="AE433" i="23"/>
  <c r="AF433" i="23" a="1"/>
  <c r="AF433" i="23" s="1"/>
  <c r="X434" i="23"/>
  <c r="Y434" i="23"/>
  <c r="Z434" i="23"/>
  <c r="AA434" i="23" a="1"/>
  <c r="AA434" i="23" s="1"/>
  <c r="AB434" i="23"/>
  <c r="AC434" i="23" a="1"/>
  <c r="AC434" i="23" s="1"/>
  <c r="AD434" i="23"/>
  <c r="AE434" i="23"/>
  <c r="AF434" i="23" a="1"/>
  <c r="AF434" i="23" s="1"/>
  <c r="X435" i="23"/>
  <c r="Y435" i="23"/>
  <c r="Z435" i="23"/>
  <c r="AA435" i="23" a="1"/>
  <c r="AA435" i="23"/>
  <c r="AB435" i="23"/>
  <c r="AC435" i="23" a="1"/>
  <c r="AC435" i="23"/>
  <c r="AD435" i="23"/>
  <c r="AE435" i="23"/>
  <c r="AF435" i="23" a="1"/>
  <c r="AF435" i="23" s="1"/>
  <c r="X436" i="23"/>
  <c r="Y436" i="23"/>
  <c r="Z436" i="23"/>
  <c r="AA436" i="23" a="1"/>
  <c r="AA436" i="23" s="1"/>
  <c r="AB436" i="23"/>
  <c r="AC436" i="23" a="1"/>
  <c r="AC436" i="23" s="1"/>
  <c r="AD436" i="23"/>
  <c r="AE436" i="23"/>
  <c r="AF436" i="23" a="1"/>
  <c r="AF436" i="23" s="1"/>
  <c r="X437" i="23"/>
  <c r="Y437" i="23"/>
  <c r="Z437" i="23"/>
  <c r="AA437" i="23" a="1"/>
  <c r="AA437" i="23"/>
  <c r="AB437" i="23"/>
  <c r="AC437" i="23" a="1"/>
  <c r="AC437" i="23" s="1"/>
  <c r="AD437" i="23"/>
  <c r="AE437" i="23"/>
  <c r="AF437" i="23" a="1"/>
  <c r="AF437" i="23" s="1"/>
  <c r="X438" i="23"/>
  <c r="Y438" i="23"/>
  <c r="Z438" i="23"/>
  <c r="AA438" i="23" a="1"/>
  <c r="AA438" i="23" s="1"/>
  <c r="AB438" i="23"/>
  <c r="AC438" i="23" a="1"/>
  <c r="AC438" i="23" s="1"/>
  <c r="AD438" i="23"/>
  <c r="AE438" i="23"/>
  <c r="AF438" i="23" a="1"/>
  <c r="AF438" i="23" s="1"/>
  <c r="X439" i="23"/>
  <c r="Y439" i="23"/>
  <c r="Z439" i="23"/>
  <c r="AA439" i="23" a="1"/>
  <c r="AA439" i="23"/>
  <c r="AB439" i="23"/>
  <c r="AC439" i="23" a="1"/>
  <c r="AC439" i="23"/>
  <c r="AD439" i="23"/>
  <c r="AE439" i="23"/>
  <c r="AF439" i="23" a="1"/>
  <c r="AF439" i="23" s="1"/>
  <c r="X440" i="23"/>
  <c r="Y440" i="23"/>
  <c r="Z440" i="23"/>
  <c r="AA440" i="23" a="1"/>
  <c r="AA440" i="23" s="1"/>
  <c r="AB440" i="23"/>
  <c r="AC440" i="23" a="1"/>
  <c r="AC440" i="23" s="1"/>
  <c r="AD440" i="23"/>
  <c r="AE440" i="23"/>
  <c r="AF440" i="23" a="1"/>
  <c r="AF440" i="23" s="1"/>
  <c r="X441" i="23"/>
  <c r="Y441" i="23"/>
  <c r="Z441" i="23"/>
  <c r="AA441" i="23" a="1"/>
  <c r="AA441" i="23"/>
  <c r="AB441" i="23"/>
  <c r="AC441" i="23" a="1"/>
  <c r="AC441" i="23" s="1"/>
  <c r="AD441" i="23"/>
  <c r="AE441" i="23"/>
  <c r="AF441" i="23" a="1"/>
  <c r="AF441" i="23" s="1"/>
  <c r="X442" i="23"/>
  <c r="Y442" i="23"/>
  <c r="Z442" i="23"/>
  <c r="AA442" i="23" a="1"/>
  <c r="AA442" i="23"/>
  <c r="AB442" i="23"/>
  <c r="AC442" i="23" a="1"/>
  <c r="AC442" i="23" s="1"/>
  <c r="AD442" i="23"/>
  <c r="AE442" i="23"/>
  <c r="AF442" i="23" a="1"/>
  <c r="AF442" i="23" s="1"/>
  <c r="X443" i="23"/>
  <c r="Y443" i="23"/>
  <c r="Z443" i="23"/>
  <c r="AA443" i="23" a="1"/>
  <c r="AA443" i="23"/>
  <c r="AB443" i="23"/>
  <c r="AC443" i="23" a="1"/>
  <c r="AC443" i="23" s="1"/>
  <c r="AD443" i="23"/>
  <c r="AE443" i="23"/>
  <c r="AF443" i="23" a="1"/>
  <c r="AF443" i="23" s="1"/>
  <c r="X444" i="23"/>
  <c r="Y444" i="23"/>
  <c r="Z444" i="23"/>
  <c r="AA444" i="23" a="1"/>
  <c r="AA444" i="23"/>
  <c r="AB444" i="23"/>
  <c r="AC444" i="23" a="1"/>
  <c r="AC444" i="23" s="1"/>
  <c r="AD444" i="23"/>
  <c r="AE444" i="23"/>
  <c r="AF444" i="23" a="1"/>
  <c r="AF444" i="23" s="1"/>
  <c r="X445" i="23"/>
  <c r="Y445" i="23"/>
  <c r="Z445" i="23"/>
  <c r="AA445" i="23" a="1"/>
  <c r="AA445" i="23"/>
  <c r="AB445" i="23"/>
  <c r="AC445" i="23" a="1"/>
  <c r="AC445" i="23" s="1"/>
  <c r="AD445" i="23"/>
  <c r="AE445" i="23"/>
  <c r="AF445" i="23" a="1"/>
  <c r="AF445" i="23" s="1"/>
  <c r="X446" i="23"/>
  <c r="Y446" i="23"/>
  <c r="Z446" i="23"/>
  <c r="AA446" i="23" a="1"/>
  <c r="AA446" i="23"/>
  <c r="AB446" i="23"/>
  <c r="AC446" i="23" a="1"/>
  <c r="AC446" i="23" s="1"/>
  <c r="AD446" i="23"/>
  <c r="AE446" i="23"/>
  <c r="AF446" i="23" a="1"/>
  <c r="AF446" i="23" s="1"/>
  <c r="X447" i="23"/>
  <c r="Y447" i="23"/>
  <c r="Z447" i="23"/>
  <c r="AA447" i="23" a="1"/>
  <c r="AA447" i="23"/>
  <c r="AB447" i="23"/>
  <c r="AC447" i="23" a="1"/>
  <c r="AC447" i="23" s="1"/>
  <c r="AD447" i="23"/>
  <c r="AE447" i="23"/>
  <c r="AF447" i="23" a="1"/>
  <c r="AF447" i="23" s="1"/>
  <c r="X448" i="23"/>
  <c r="Y448" i="23"/>
  <c r="Z448" i="23"/>
  <c r="AA448" i="23" a="1"/>
  <c r="AA448" i="23"/>
  <c r="AB448" i="23"/>
  <c r="AC448" i="23" a="1"/>
  <c r="AC448" i="23" s="1"/>
  <c r="AD448" i="23"/>
  <c r="AE448" i="23"/>
  <c r="AF448" i="23" a="1"/>
  <c r="AF448" i="23" s="1"/>
  <c r="X449" i="23"/>
  <c r="Y449" i="23"/>
  <c r="Z449" i="23"/>
  <c r="AA449" i="23" a="1"/>
  <c r="AA449" i="23"/>
  <c r="AB449" i="23"/>
  <c r="AC449" i="23" a="1"/>
  <c r="AC449" i="23" s="1"/>
  <c r="AD449" i="23"/>
  <c r="AE449" i="23"/>
  <c r="AF449" i="23" a="1"/>
  <c r="AF449" i="23" s="1"/>
  <c r="X450" i="23"/>
  <c r="Y450" i="23"/>
  <c r="Z450" i="23"/>
  <c r="AA450" i="23" a="1"/>
  <c r="AA450" i="23"/>
  <c r="AB450" i="23"/>
  <c r="AC450" i="23" a="1"/>
  <c r="AC450" i="23" s="1"/>
  <c r="AD450" i="23"/>
  <c r="AE450" i="23"/>
  <c r="AF450" i="23" a="1"/>
  <c r="AF450" i="23" s="1"/>
  <c r="X451" i="23"/>
  <c r="Y451" i="23"/>
  <c r="Z451" i="23"/>
  <c r="AA451" i="23" a="1"/>
  <c r="AA451" i="23"/>
  <c r="AB451" i="23"/>
  <c r="AC451" i="23" a="1"/>
  <c r="AC451" i="23" s="1"/>
  <c r="AD451" i="23"/>
  <c r="AE451" i="23"/>
  <c r="AF451" i="23" a="1"/>
  <c r="AF451" i="23" s="1"/>
  <c r="X452" i="23"/>
  <c r="Y452" i="23"/>
  <c r="Z452" i="23"/>
  <c r="AA452" i="23" a="1"/>
  <c r="AA452" i="23"/>
  <c r="AB452" i="23"/>
  <c r="AC452" i="23" a="1"/>
  <c r="AC452" i="23" s="1"/>
  <c r="AD452" i="23"/>
  <c r="AE452" i="23"/>
  <c r="AF452" i="23" a="1"/>
  <c r="AF452" i="23" s="1"/>
  <c r="X453" i="23"/>
  <c r="Y453" i="23"/>
  <c r="Z453" i="23"/>
  <c r="AA453" i="23" a="1"/>
  <c r="AA453" i="23"/>
  <c r="AB453" i="23"/>
  <c r="AC453" i="23" a="1"/>
  <c r="AC453" i="23" s="1"/>
  <c r="AD453" i="23"/>
  <c r="AE453" i="23"/>
  <c r="AF453" i="23" a="1"/>
  <c r="AF453" i="23" s="1"/>
  <c r="X454" i="23"/>
  <c r="Y454" i="23"/>
  <c r="Z454" i="23"/>
  <c r="AA454" i="23" a="1"/>
  <c r="AA454" i="23"/>
  <c r="AB454" i="23"/>
  <c r="AC454" i="23" a="1"/>
  <c r="AC454" i="23" s="1"/>
  <c r="AD454" i="23"/>
  <c r="AE454" i="23"/>
  <c r="AF454" i="23" a="1"/>
  <c r="AF454" i="23" s="1"/>
  <c r="X455" i="23"/>
  <c r="Y455" i="23"/>
  <c r="Z455" i="23"/>
  <c r="AA455" i="23" a="1"/>
  <c r="AA455" i="23"/>
  <c r="AB455" i="23"/>
  <c r="AC455" i="23" a="1"/>
  <c r="AC455" i="23" s="1"/>
  <c r="AD455" i="23"/>
  <c r="AE455" i="23"/>
  <c r="AF455" i="23" a="1"/>
  <c r="AF455" i="23" s="1"/>
  <c r="X456" i="23"/>
  <c r="Y456" i="23"/>
  <c r="Z456" i="23"/>
  <c r="AA456" i="23" a="1"/>
  <c r="AA456" i="23"/>
  <c r="AB456" i="23"/>
  <c r="AC456" i="23" a="1"/>
  <c r="AC456" i="23" s="1"/>
  <c r="AD456" i="23"/>
  <c r="AE456" i="23"/>
  <c r="AF456" i="23" a="1"/>
  <c r="AF456" i="23" s="1"/>
  <c r="X457" i="23"/>
  <c r="Y457" i="23"/>
  <c r="Z457" i="23"/>
  <c r="AA457" i="23" a="1"/>
  <c r="AA457" i="23"/>
  <c r="AB457" i="23"/>
  <c r="AC457" i="23" a="1"/>
  <c r="AC457" i="23" s="1"/>
  <c r="AD457" i="23"/>
  <c r="AE457" i="23"/>
  <c r="AF457" i="23" a="1"/>
  <c r="AF457" i="23" s="1"/>
  <c r="X458" i="23"/>
  <c r="Y458" i="23"/>
  <c r="Z458" i="23"/>
  <c r="AA458" i="23" a="1"/>
  <c r="AA458" i="23"/>
  <c r="AB458" i="23"/>
  <c r="AC458" i="23" a="1"/>
  <c r="AC458" i="23" s="1"/>
  <c r="AD458" i="23"/>
  <c r="AE458" i="23"/>
  <c r="AF458" i="23" a="1"/>
  <c r="AF458" i="23" s="1"/>
  <c r="X459" i="23"/>
  <c r="Y459" i="23"/>
  <c r="Z459" i="23"/>
  <c r="AA459" i="23" a="1"/>
  <c r="AA459" i="23"/>
  <c r="AB459" i="23"/>
  <c r="AC459" i="23" a="1"/>
  <c r="AC459" i="23" s="1"/>
  <c r="AD459" i="23"/>
  <c r="AE459" i="23"/>
  <c r="AF459" i="23" a="1"/>
  <c r="AF459" i="23" s="1"/>
  <c r="X460" i="23"/>
  <c r="Y460" i="23"/>
  <c r="Z460" i="23"/>
  <c r="AA460" i="23" a="1"/>
  <c r="AA460" i="23"/>
  <c r="AB460" i="23"/>
  <c r="AC460" i="23" a="1"/>
  <c r="AC460" i="23" s="1"/>
  <c r="AD460" i="23"/>
  <c r="AE460" i="23"/>
  <c r="AF460" i="23" a="1"/>
  <c r="AF460" i="23" s="1"/>
  <c r="X461" i="23"/>
  <c r="Y461" i="23"/>
  <c r="Z461" i="23"/>
  <c r="AA461" i="23" a="1"/>
  <c r="AA461" i="23"/>
  <c r="AB461" i="23"/>
  <c r="AC461" i="23" a="1"/>
  <c r="AC461" i="23" s="1"/>
  <c r="AD461" i="23"/>
  <c r="AE461" i="23"/>
  <c r="AF461" i="23" a="1"/>
  <c r="AF461" i="23" s="1"/>
  <c r="X462" i="23"/>
  <c r="Y462" i="23"/>
  <c r="Z462" i="23"/>
  <c r="AA462" i="23" a="1"/>
  <c r="AA462" i="23"/>
  <c r="AB462" i="23"/>
  <c r="AC462" i="23" a="1"/>
  <c r="AC462" i="23" s="1"/>
  <c r="AD462" i="23"/>
  <c r="AE462" i="23"/>
  <c r="AF462" i="23" a="1"/>
  <c r="AF462" i="23" s="1"/>
  <c r="X463" i="23"/>
  <c r="Y463" i="23"/>
  <c r="Z463" i="23"/>
  <c r="AA463" i="23" a="1"/>
  <c r="AA463" i="23"/>
  <c r="AB463" i="23"/>
  <c r="AC463" i="23" a="1"/>
  <c r="AC463" i="23" s="1"/>
  <c r="AD463" i="23"/>
  <c r="AE463" i="23"/>
  <c r="AF463" i="23" a="1"/>
  <c r="AF463" i="23" s="1"/>
  <c r="X464" i="23"/>
  <c r="Y464" i="23"/>
  <c r="Z464" i="23"/>
  <c r="AA464" i="23" a="1"/>
  <c r="AA464" i="23"/>
  <c r="AB464" i="23"/>
  <c r="AC464" i="23" a="1"/>
  <c r="AC464" i="23" s="1"/>
  <c r="AD464" i="23"/>
  <c r="AE464" i="23"/>
  <c r="AF464" i="23" a="1"/>
  <c r="AF464" i="23" s="1"/>
  <c r="X465" i="23"/>
  <c r="Y465" i="23"/>
  <c r="Z465" i="23"/>
  <c r="AA465" i="23" a="1"/>
  <c r="AA465" i="23"/>
  <c r="AB465" i="23"/>
  <c r="AC465" i="23" a="1"/>
  <c r="AC465" i="23" s="1"/>
  <c r="AD465" i="23"/>
  <c r="AE465" i="23"/>
  <c r="AF465" i="23" a="1"/>
  <c r="AF465" i="23" s="1"/>
  <c r="X466" i="23"/>
  <c r="Y466" i="23"/>
  <c r="Z466" i="23"/>
  <c r="AA466" i="23" a="1"/>
  <c r="AA466" i="23"/>
  <c r="AB466" i="23"/>
  <c r="AC466" i="23" a="1"/>
  <c r="AC466" i="23" s="1"/>
  <c r="AD466" i="23"/>
  <c r="AE466" i="23"/>
  <c r="AF466" i="23" a="1"/>
  <c r="AF466" i="23" s="1"/>
  <c r="X467" i="23"/>
  <c r="Y467" i="23"/>
  <c r="Z467" i="23"/>
  <c r="AA467" i="23" a="1"/>
  <c r="AA467" i="23"/>
  <c r="AB467" i="23"/>
  <c r="AC467" i="23" a="1"/>
  <c r="AC467" i="23" s="1"/>
  <c r="AD467" i="23"/>
  <c r="AE467" i="23"/>
  <c r="AF467" i="23" a="1"/>
  <c r="AF467" i="23" s="1"/>
  <c r="X468" i="23"/>
  <c r="Y468" i="23"/>
  <c r="Z468" i="23"/>
  <c r="AA468" i="23" a="1"/>
  <c r="AA468" i="23"/>
  <c r="AB468" i="23"/>
  <c r="AC468" i="23" a="1"/>
  <c r="AC468" i="23" s="1"/>
  <c r="AD468" i="23"/>
  <c r="AE468" i="23"/>
  <c r="AF468" i="23" a="1"/>
  <c r="AF468" i="23" s="1"/>
  <c r="X469" i="23"/>
  <c r="Y469" i="23"/>
  <c r="Z469" i="23"/>
  <c r="AA469" i="23" a="1"/>
  <c r="AA469" i="23"/>
  <c r="AB469" i="23"/>
  <c r="AC469" i="23" a="1"/>
  <c r="AC469" i="23" s="1"/>
  <c r="AD469" i="23"/>
  <c r="AE469" i="23"/>
  <c r="AF469" i="23" a="1"/>
  <c r="AF469" i="23" s="1"/>
  <c r="X470" i="23"/>
  <c r="Y470" i="23"/>
  <c r="Z470" i="23"/>
  <c r="AA470" i="23" a="1"/>
  <c r="AA470" i="23"/>
  <c r="AB470" i="23"/>
  <c r="AC470" i="23" a="1"/>
  <c r="AC470" i="23" s="1"/>
  <c r="AD470" i="23"/>
  <c r="AE470" i="23"/>
  <c r="AF470" i="23" a="1"/>
  <c r="AF470" i="23" s="1"/>
  <c r="X471" i="23"/>
  <c r="Y471" i="23"/>
  <c r="Z471" i="23"/>
  <c r="AA471" i="23" a="1"/>
  <c r="AA471" i="23"/>
  <c r="AB471" i="23"/>
  <c r="AC471" i="23" a="1"/>
  <c r="AC471" i="23" s="1"/>
  <c r="AD471" i="23"/>
  <c r="AE471" i="23"/>
  <c r="AF471" i="23" a="1"/>
  <c r="AF471" i="23" s="1"/>
  <c r="X472" i="23"/>
  <c r="Y472" i="23"/>
  <c r="Z472" i="23"/>
  <c r="AA472" i="23" a="1"/>
  <c r="AA472" i="23"/>
  <c r="AB472" i="23"/>
  <c r="AC472" i="23" a="1"/>
  <c r="AC472" i="23" s="1"/>
  <c r="AD472" i="23"/>
  <c r="AE472" i="23"/>
  <c r="AF472" i="23" a="1"/>
  <c r="AF472" i="23" s="1"/>
  <c r="X473" i="23"/>
  <c r="Y473" i="23"/>
  <c r="Z473" i="23"/>
  <c r="AA473" i="23" a="1"/>
  <c r="AA473" i="23"/>
  <c r="AB473" i="23"/>
  <c r="AC473" i="23" a="1"/>
  <c r="AC473" i="23" s="1"/>
  <c r="AD473" i="23"/>
  <c r="AE473" i="23"/>
  <c r="AF473" i="23" a="1"/>
  <c r="AF473" i="23" s="1"/>
  <c r="X474" i="23"/>
  <c r="Y474" i="23"/>
  <c r="Z474" i="23"/>
  <c r="AA474" i="23" a="1"/>
  <c r="AA474" i="23"/>
  <c r="AB474" i="23"/>
  <c r="AC474" i="23" a="1"/>
  <c r="AC474" i="23" s="1"/>
  <c r="AD474" i="23"/>
  <c r="AE474" i="23"/>
  <c r="AF474" i="23" a="1"/>
  <c r="AF474" i="23" s="1"/>
  <c r="X475" i="23"/>
  <c r="Y475" i="23"/>
  <c r="Z475" i="23"/>
  <c r="AA475" i="23" a="1"/>
  <c r="AA475" i="23"/>
  <c r="AB475" i="23"/>
  <c r="AC475" i="23" a="1"/>
  <c r="AC475" i="23" s="1"/>
  <c r="AD475" i="23"/>
  <c r="AE475" i="23"/>
  <c r="AF475" i="23" a="1"/>
  <c r="AF475" i="23" s="1"/>
  <c r="X476" i="23"/>
  <c r="Y476" i="23"/>
  <c r="Z476" i="23"/>
  <c r="AA476" i="23" a="1"/>
  <c r="AA476" i="23"/>
  <c r="AB476" i="23"/>
  <c r="AC476" i="23" a="1"/>
  <c r="AC476" i="23" s="1"/>
  <c r="AD476" i="23"/>
  <c r="AE476" i="23"/>
  <c r="AF476" i="23" a="1"/>
  <c r="AF476" i="23" s="1"/>
  <c r="X477" i="23"/>
  <c r="Y477" i="23"/>
  <c r="Z477" i="23"/>
  <c r="AA477" i="23" a="1"/>
  <c r="AA477" i="23"/>
  <c r="AB477" i="23"/>
  <c r="AC477" i="23" a="1"/>
  <c r="AC477" i="23" s="1"/>
  <c r="AD477" i="23"/>
  <c r="AE477" i="23"/>
  <c r="AF477" i="23" a="1"/>
  <c r="AF477" i="23" s="1"/>
  <c r="X478" i="23"/>
  <c r="Y478" i="23"/>
  <c r="Z478" i="23"/>
  <c r="AA478" i="23" a="1"/>
  <c r="AA478" i="23"/>
  <c r="AB478" i="23"/>
  <c r="AC478" i="23" a="1"/>
  <c r="AC478" i="23" s="1"/>
  <c r="AD478" i="23"/>
  <c r="AE478" i="23"/>
  <c r="AF478" i="23" a="1"/>
  <c r="AF478" i="23" s="1"/>
  <c r="X479" i="23"/>
  <c r="Y479" i="23"/>
  <c r="Z479" i="23"/>
  <c r="AA479" i="23" a="1"/>
  <c r="AA479" i="23"/>
  <c r="AB479" i="23"/>
  <c r="AC479" i="23" a="1"/>
  <c r="AC479" i="23" s="1"/>
  <c r="AD479" i="23"/>
  <c r="AE479" i="23"/>
  <c r="AF479" i="23" a="1"/>
  <c r="AF479" i="23" s="1"/>
  <c r="X480" i="23"/>
  <c r="Y480" i="23"/>
  <c r="Z480" i="23"/>
  <c r="AA480" i="23" a="1"/>
  <c r="AA480" i="23"/>
  <c r="AB480" i="23"/>
  <c r="AC480" i="23" a="1"/>
  <c r="AC480" i="23" s="1"/>
  <c r="AD480" i="23"/>
  <c r="AE480" i="23"/>
  <c r="AF480" i="23" a="1"/>
  <c r="AF480" i="23" s="1"/>
  <c r="X481" i="23"/>
  <c r="Y481" i="23"/>
  <c r="Z481" i="23"/>
  <c r="AA481" i="23" a="1"/>
  <c r="AA481" i="23"/>
  <c r="AB481" i="23"/>
  <c r="AC481" i="23" a="1"/>
  <c r="AC481" i="23" s="1"/>
  <c r="AD481" i="23"/>
  <c r="AE481" i="23"/>
  <c r="AF481" i="23" a="1"/>
  <c r="AF481" i="23" s="1"/>
  <c r="X482" i="23"/>
  <c r="Y482" i="23"/>
  <c r="Z482" i="23"/>
  <c r="AA482" i="23" a="1"/>
  <c r="AA482" i="23"/>
  <c r="AB482" i="23"/>
  <c r="AC482" i="23" a="1"/>
  <c r="AC482" i="23" s="1"/>
  <c r="AD482" i="23"/>
  <c r="AE482" i="23"/>
  <c r="AF482" i="23" a="1"/>
  <c r="AF482" i="23" s="1"/>
  <c r="X483" i="23"/>
  <c r="Y483" i="23"/>
  <c r="Z483" i="23"/>
  <c r="AA483" i="23" a="1"/>
  <c r="AA483" i="23"/>
  <c r="AB483" i="23"/>
  <c r="AC483" i="23" a="1"/>
  <c r="AC483" i="23" s="1"/>
  <c r="AD483" i="23"/>
  <c r="AE483" i="23"/>
  <c r="AF483" i="23" a="1"/>
  <c r="AF483" i="23" s="1"/>
  <c r="X484" i="23"/>
  <c r="Y484" i="23"/>
  <c r="Z484" i="23"/>
  <c r="AA484" i="23" a="1"/>
  <c r="AA484" i="23"/>
  <c r="AB484" i="23"/>
  <c r="AC484" i="23" a="1"/>
  <c r="AC484" i="23" s="1"/>
  <c r="AD484" i="23"/>
  <c r="AE484" i="23"/>
  <c r="AF484" i="23" a="1"/>
  <c r="AF484" i="23" s="1"/>
  <c r="X485" i="23"/>
  <c r="Y485" i="23"/>
  <c r="Z485" i="23"/>
  <c r="AA485" i="23" a="1"/>
  <c r="AA485" i="23"/>
  <c r="AB485" i="23"/>
  <c r="AC485" i="23" a="1"/>
  <c r="AC485" i="23" s="1"/>
  <c r="AD485" i="23"/>
  <c r="AE485" i="23"/>
  <c r="AF485" i="23" a="1"/>
  <c r="AF485" i="23" s="1"/>
  <c r="X486" i="23"/>
  <c r="Y486" i="23"/>
  <c r="Z486" i="23"/>
  <c r="AA486" i="23" a="1"/>
  <c r="AA486" i="23"/>
  <c r="AB486" i="23"/>
  <c r="AC486" i="23" a="1"/>
  <c r="AC486" i="23" s="1"/>
  <c r="AD486" i="23"/>
  <c r="AE486" i="23"/>
  <c r="AF486" i="23" a="1"/>
  <c r="AF486" i="23" s="1"/>
  <c r="X487" i="23"/>
  <c r="Y487" i="23"/>
  <c r="Z487" i="23"/>
  <c r="AA487" i="23" a="1"/>
  <c r="AA487" i="23"/>
  <c r="AB487" i="23"/>
  <c r="AC487" i="23" a="1"/>
  <c r="AC487" i="23" s="1"/>
  <c r="AD487" i="23"/>
  <c r="AE487" i="23"/>
  <c r="AF487" i="23" a="1"/>
  <c r="AF487" i="23" s="1"/>
  <c r="X488" i="23"/>
  <c r="Y488" i="23"/>
  <c r="Z488" i="23"/>
  <c r="AA488" i="23" a="1"/>
  <c r="AA488" i="23"/>
  <c r="AB488" i="23"/>
  <c r="AC488" i="23" a="1"/>
  <c r="AC488" i="23" s="1"/>
  <c r="AD488" i="23"/>
  <c r="AE488" i="23"/>
  <c r="AF488" i="23" a="1"/>
  <c r="AF488" i="23" s="1"/>
  <c r="X489" i="23"/>
  <c r="Y489" i="23"/>
  <c r="Z489" i="23"/>
  <c r="AA489" i="23" a="1"/>
  <c r="AA489" i="23"/>
  <c r="AB489" i="23"/>
  <c r="AC489" i="23" a="1"/>
  <c r="AC489" i="23" s="1"/>
  <c r="AD489" i="23"/>
  <c r="AE489" i="23"/>
  <c r="AF489" i="23" a="1"/>
  <c r="AF489" i="23" s="1"/>
  <c r="X490" i="23"/>
  <c r="Y490" i="23"/>
  <c r="Z490" i="23"/>
  <c r="AA490" i="23" a="1"/>
  <c r="AA490" i="23"/>
  <c r="AB490" i="23"/>
  <c r="AC490" i="23" a="1"/>
  <c r="AC490" i="23" s="1"/>
  <c r="AD490" i="23"/>
  <c r="AE490" i="23"/>
  <c r="AF490" i="23" a="1"/>
  <c r="AF490" i="23" s="1"/>
  <c r="X491" i="23"/>
  <c r="Y491" i="23"/>
  <c r="Z491" i="23"/>
  <c r="AA491" i="23" a="1"/>
  <c r="AA491" i="23"/>
  <c r="AB491" i="23"/>
  <c r="AC491" i="23" a="1"/>
  <c r="AC491" i="23" s="1"/>
  <c r="AD491" i="23"/>
  <c r="AE491" i="23"/>
  <c r="AF491" i="23" a="1"/>
  <c r="AF491" i="23" s="1"/>
  <c r="X492" i="23"/>
  <c r="Y492" i="23"/>
  <c r="Z492" i="23"/>
  <c r="AA492" i="23" a="1"/>
  <c r="AA492" i="23"/>
  <c r="AB492" i="23"/>
  <c r="AC492" i="23" a="1"/>
  <c r="AC492" i="23" s="1"/>
  <c r="AD492" i="23"/>
  <c r="AE492" i="23"/>
  <c r="AF492" i="23" a="1"/>
  <c r="AF492" i="23" s="1"/>
  <c r="X493" i="23"/>
  <c r="Y493" i="23"/>
  <c r="Z493" i="23"/>
  <c r="AA493" i="23" a="1"/>
  <c r="AA493" i="23"/>
  <c r="AB493" i="23"/>
  <c r="AC493" i="23" a="1"/>
  <c r="AC493" i="23" s="1"/>
  <c r="AD493" i="23"/>
  <c r="AE493" i="23"/>
  <c r="AF493" i="23" a="1"/>
  <c r="AF493" i="23" s="1"/>
  <c r="X494" i="23"/>
  <c r="Y494" i="23"/>
  <c r="Z494" i="23"/>
  <c r="AA494" i="23" a="1"/>
  <c r="AA494" i="23"/>
  <c r="AB494" i="23"/>
  <c r="AC494" i="23" a="1"/>
  <c r="AC494" i="23" s="1"/>
  <c r="AD494" i="23"/>
  <c r="AE494" i="23"/>
  <c r="AF494" i="23" a="1"/>
  <c r="AF494" i="23" s="1"/>
  <c r="X495" i="23"/>
  <c r="Y495" i="23"/>
  <c r="Z495" i="23"/>
  <c r="AA495" i="23" a="1"/>
  <c r="AA495" i="23"/>
  <c r="AB495" i="23"/>
  <c r="AC495" i="23" a="1"/>
  <c r="AC495" i="23" s="1"/>
  <c r="AD495" i="23"/>
  <c r="AE495" i="23"/>
  <c r="AF495" i="23" a="1"/>
  <c r="AF495" i="23" s="1"/>
  <c r="X496" i="23"/>
  <c r="Y496" i="23"/>
  <c r="Z496" i="23"/>
  <c r="AA496" i="23" a="1"/>
  <c r="AA496" i="23"/>
  <c r="AB496" i="23"/>
  <c r="AC496" i="23" a="1"/>
  <c r="AC496" i="23" s="1"/>
  <c r="AD496" i="23"/>
  <c r="AE496" i="23"/>
  <c r="AF496" i="23" a="1"/>
  <c r="AF496" i="23" s="1"/>
  <c r="X497" i="23"/>
  <c r="Y497" i="23"/>
  <c r="Z497" i="23"/>
  <c r="AA497" i="23" a="1"/>
  <c r="AA497" i="23"/>
  <c r="AB497" i="23"/>
  <c r="AC497" i="23" a="1"/>
  <c r="AC497" i="23" s="1"/>
  <c r="AD497" i="23"/>
  <c r="AE497" i="23"/>
  <c r="AF497" i="23" a="1"/>
  <c r="AF497" i="23" s="1"/>
  <c r="X498" i="23"/>
  <c r="Y498" i="23"/>
  <c r="Z498" i="23"/>
  <c r="AA498" i="23" a="1"/>
  <c r="AA498" i="23"/>
  <c r="AB498" i="23"/>
  <c r="AC498" i="23" a="1"/>
  <c r="AC498" i="23" s="1"/>
  <c r="AD498" i="23"/>
  <c r="AE498" i="23"/>
  <c r="AF498" i="23" a="1"/>
  <c r="AF498" i="23" s="1"/>
  <c r="X499" i="23"/>
  <c r="Y499" i="23"/>
  <c r="Z499" i="23"/>
  <c r="AA499" i="23" a="1"/>
  <c r="AA499" i="23"/>
  <c r="AB499" i="23"/>
  <c r="AC499" i="23" a="1"/>
  <c r="AC499" i="23" s="1"/>
  <c r="AD499" i="23"/>
  <c r="AE499" i="23"/>
  <c r="AF499" i="23" a="1"/>
  <c r="AF499" i="23" s="1"/>
  <c r="X500" i="23"/>
  <c r="Y500" i="23"/>
  <c r="Z500" i="23"/>
  <c r="AA500" i="23" a="1"/>
  <c r="AA500" i="23"/>
  <c r="AB500" i="23"/>
  <c r="AC500" i="23" a="1"/>
  <c r="AC500" i="23" s="1"/>
  <c r="AD500" i="23"/>
  <c r="AE500" i="23"/>
  <c r="AF500" i="23" a="1"/>
  <c r="AF500" i="23" s="1"/>
  <c r="X501" i="23"/>
  <c r="Y501" i="23"/>
  <c r="Z501" i="23"/>
  <c r="AA501" i="23" a="1"/>
  <c r="AA501" i="23"/>
  <c r="AB501" i="23"/>
  <c r="AC501" i="23" a="1"/>
  <c r="AC501" i="23" s="1"/>
  <c r="AD501" i="23"/>
  <c r="AE501" i="23"/>
  <c r="AF501" i="23" a="1"/>
  <c r="AF501" i="23" s="1"/>
  <c r="X502" i="23"/>
  <c r="Y502" i="23"/>
  <c r="Z502" i="23"/>
  <c r="AA502" i="23" a="1"/>
  <c r="AA502" i="23"/>
  <c r="AB502" i="23"/>
  <c r="AC502" i="23" a="1"/>
  <c r="AC502" i="23" s="1"/>
  <c r="AD502" i="23"/>
  <c r="AE502" i="23"/>
  <c r="AF502" i="23" a="1"/>
  <c r="AF502" i="23" s="1"/>
  <c r="X503" i="23"/>
  <c r="Y503" i="23"/>
  <c r="Z503" i="23"/>
  <c r="AA503" i="23" a="1"/>
  <c r="AA503" i="23"/>
  <c r="AB503" i="23"/>
  <c r="AC503" i="23" a="1"/>
  <c r="AC503" i="23" s="1"/>
  <c r="AD503" i="23"/>
  <c r="AE503" i="23"/>
  <c r="AF503" i="23" a="1"/>
  <c r="AF503" i="23" s="1"/>
  <c r="X504" i="23"/>
  <c r="Y504" i="23"/>
  <c r="Z504" i="23"/>
  <c r="AA504" i="23" a="1"/>
  <c r="AA504" i="23"/>
  <c r="AB504" i="23"/>
  <c r="AC504" i="23" a="1"/>
  <c r="AC504" i="23" s="1"/>
  <c r="AD504" i="23"/>
  <c r="AE504" i="23"/>
  <c r="AF504" i="23" a="1"/>
  <c r="AF504" i="23" s="1"/>
  <c r="X505" i="23"/>
  <c r="Y505" i="23"/>
  <c r="Z505" i="23"/>
  <c r="AA505" i="23" a="1"/>
  <c r="AA505" i="23"/>
  <c r="AB505" i="23"/>
  <c r="AC505" i="23" a="1"/>
  <c r="AC505" i="23" s="1"/>
  <c r="AD505" i="23"/>
  <c r="AE505" i="23"/>
  <c r="AF505" i="23" a="1"/>
  <c r="AF505" i="23" s="1"/>
  <c r="X506" i="23"/>
  <c r="Y506" i="23"/>
  <c r="Z506" i="23"/>
  <c r="AA506" i="23" a="1"/>
  <c r="AA506" i="23"/>
  <c r="AB506" i="23"/>
  <c r="AC506" i="23" a="1"/>
  <c r="AC506" i="23" s="1"/>
  <c r="AD506" i="23"/>
  <c r="AE506" i="23"/>
  <c r="AF506" i="23" a="1"/>
  <c r="AF506" i="23" s="1"/>
  <c r="X507" i="23"/>
  <c r="Y507" i="23"/>
  <c r="Z507" i="23"/>
  <c r="AA507" i="23" a="1"/>
  <c r="AA507" i="23"/>
  <c r="AB507" i="23"/>
  <c r="AC507" i="23" a="1"/>
  <c r="AC507" i="23" s="1"/>
  <c r="AD507" i="23"/>
  <c r="AE507" i="23"/>
  <c r="AF507" i="23" a="1"/>
  <c r="AF507" i="23" s="1"/>
  <c r="X508" i="23"/>
  <c r="Y508" i="23"/>
  <c r="Z508" i="23"/>
  <c r="AA508" i="23" a="1"/>
  <c r="AA508" i="23"/>
  <c r="AB508" i="23"/>
  <c r="AC508" i="23" a="1"/>
  <c r="AC508" i="23" s="1"/>
  <c r="AD508" i="23"/>
  <c r="AE508" i="23"/>
  <c r="AF508" i="23" a="1"/>
  <c r="AF508" i="23" s="1"/>
  <c r="X509" i="23"/>
  <c r="Y509" i="23"/>
  <c r="Z509" i="23"/>
  <c r="AA509" i="23" a="1"/>
  <c r="AA509" i="23"/>
  <c r="AB509" i="23"/>
  <c r="AC509" i="23" a="1"/>
  <c r="AC509" i="23" s="1"/>
  <c r="AD509" i="23"/>
  <c r="AE509" i="23"/>
  <c r="AF509" i="23" a="1"/>
  <c r="AF509" i="23" s="1"/>
  <c r="X510" i="23"/>
  <c r="Y510" i="23"/>
  <c r="Z510" i="23"/>
  <c r="AA510" i="23" a="1"/>
  <c r="AA510" i="23"/>
  <c r="AB510" i="23"/>
  <c r="AC510" i="23" a="1"/>
  <c r="AC510" i="23" s="1"/>
  <c r="AD510" i="23"/>
  <c r="AE510" i="23"/>
  <c r="AF510" i="23" a="1"/>
  <c r="AF510" i="23" s="1"/>
  <c r="X511" i="23"/>
  <c r="Y511" i="23"/>
  <c r="Z511" i="23"/>
  <c r="AA511" i="23" a="1"/>
  <c r="AA511" i="23"/>
  <c r="AB511" i="23"/>
  <c r="AC511" i="23" a="1"/>
  <c r="AC511" i="23" s="1"/>
  <c r="AD511" i="23"/>
  <c r="AE511" i="23"/>
  <c r="AF511" i="23" a="1"/>
  <c r="AF511" i="23" s="1"/>
  <c r="X512" i="23"/>
  <c r="Y512" i="23"/>
  <c r="Z512" i="23"/>
  <c r="AA512" i="23" a="1"/>
  <c r="AA512" i="23"/>
  <c r="AB512" i="23"/>
  <c r="AC512" i="23" a="1"/>
  <c r="AC512" i="23" s="1"/>
  <c r="AD512" i="23"/>
  <c r="AE512" i="23"/>
  <c r="AF512" i="23" a="1"/>
  <c r="AF512" i="23" s="1"/>
  <c r="X513" i="23"/>
  <c r="Y513" i="23"/>
  <c r="Z513" i="23"/>
  <c r="AA513" i="23" a="1"/>
  <c r="AA513" i="23"/>
  <c r="AB513" i="23"/>
  <c r="AC513" i="23" a="1"/>
  <c r="AC513" i="23" s="1"/>
  <c r="AD513" i="23"/>
  <c r="AE513" i="23"/>
  <c r="AF513" i="23" a="1"/>
  <c r="AF513" i="23" s="1"/>
  <c r="X514" i="23"/>
  <c r="Y514" i="23"/>
  <c r="Z514" i="23"/>
  <c r="AA514" i="23" a="1"/>
  <c r="AA514" i="23"/>
  <c r="AB514" i="23"/>
  <c r="AC514" i="23" a="1"/>
  <c r="AC514" i="23" s="1"/>
  <c r="AD514" i="23"/>
  <c r="AE514" i="23"/>
  <c r="AF514" i="23" a="1"/>
  <c r="AF514" i="23" s="1"/>
  <c r="X515" i="23"/>
  <c r="Y515" i="23"/>
  <c r="Z515" i="23"/>
  <c r="AA515" i="23" a="1"/>
  <c r="AA515" i="23"/>
  <c r="AB515" i="23"/>
  <c r="AC515" i="23" a="1"/>
  <c r="AC515" i="23" s="1"/>
  <c r="AD515" i="23"/>
  <c r="AE515" i="23"/>
  <c r="AF515" i="23" a="1"/>
  <c r="AF515" i="23" s="1"/>
  <c r="X516" i="23"/>
  <c r="Y516" i="23"/>
  <c r="Z516" i="23"/>
  <c r="AA516" i="23" a="1"/>
  <c r="AA516" i="23"/>
  <c r="AB516" i="23"/>
  <c r="AC516" i="23" a="1"/>
  <c r="AC516" i="23" s="1"/>
  <c r="AD516" i="23"/>
  <c r="AE516" i="23"/>
  <c r="AF516" i="23" a="1"/>
  <c r="AF516" i="23" s="1"/>
  <c r="X517" i="23"/>
  <c r="Y517" i="23"/>
  <c r="Z517" i="23"/>
  <c r="AA517" i="23" a="1"/>
  <c r="AA517" i="23"/>
  <c r="AB517" i="23"/>
  <c r="AC517" i="23" a="1"/>
  <c r="AC517" i="23" s="1"/>
  <c r="AD517" i="23"/>
  <c r="AE517" i="23"/>
  <c r="AF517" i="23" a="1"/>
  <c r="AF517" i="23" s="1"/>
  <c r="X518" i="23"/>
  <c r="Y518" i="23"/>
  <c r="Z518" i="23"/>
  <c r="AA518" i="23" a="1"/>
  <c r="AA518" i="23"/>
  <c r="AB518" i="23"/>
  <c r="AC518" i="23" a="1"/>
  <c r="AC518" i="23" s="1"/>
  <c r="AD518" i="23"/>
  <c r="AE518" i="23"/>
  <c r="AF518" i="23" a="1"/>
  <c r="AF518" i="23" s="1"/>
  <c r="X519" i="23"/>
  <c r="Y519" i="23"/>
  <c r="Z519" i="23"/>
  <c r="AA519" i="23" a="1"/>
  <c r="AA519" i="23"/>
  <c r="AB519" i="23"/>
  <c r="AC519" i="23" a="1"/>
  <c r="AC519" i="23" s="1"/>
  <c r="AD519" i="23"/>
  <c r="AE519" i="23"/>
  <c r="AF519" i="23" a="1"/>
  <c r="AF519" i="23" s="1"/>
  <c r="X520" i="23"/>
  <c r="Y520" i="23"/>
  <c r="Z520" i="23"/>
  <c r="AA520" i="23" a="1"/>
  <c r="AA520" i="23"/>
  <c r="AB520" i="23"/>
  <c r="AC520" i="23" a="1"/>
  <c r="AC520" i="23" s="1"/>
  <c r="AD520" i="23"/>
  <c r="AE520" i="23"/>
  <c r="AF520" i="23" a="1"/>
  <c r="AF520" i="23" s="1"/>
  <c r="X521" i="23"/>
  <c r="Y521" i="23"/>
  <c r="Z521" i="23"/>
  <c r="AA521" i="23" a="1"/>
  <c r="AA521" i="23"/>
  <c r="AB521" i="23"/>
  <c r="AC521" i="23" a="1"/>
  <c r="AC521" i="23" s="1"/>
  <c r="AD521" i="23"/>
  <c r="AE521" i="23"/>
  <c r="AF521" i="23" a="1"/>
  <c r="AF521" i="23" s="1"/>
  <c r="X522" i="23"/>
  <c r="Y522" i="23"/>
  <c r="Z522" i="23"/>
  <c r="AA522" i="23" a="1"/>
  <c r="AA522" i="23"/>
  <c r="AB522" i="23"/>
  <c r="AC522" i="23" a="1"/>
  <c r="AC522" i="23" s="1"/>
  <c r="AD522" i="23"/>
  <c r="AE522" i="23"/>
  <c r="AF522" i="23" a="1"/>
  <c r="AF522" i="23" s="1"/>
  <c r="X523" i="23"/>
  <c r="Y523" i="23"/>
  <c r="Z523" i="23"/>
  <c r="AA523" i="23" a="1"/>
  <c r="AA523" i="23"/>
  <c r="AB523" i="23"/>
  <c r="AC523" i="23" a="1"/>
  <c r="AC523" i="23" s="1"/>
  <c r="AD523" i="23"/>
  <c r="AE523" i="23"/>
  <c r="AF523" i="23" a="1"/>
  <c r="AF523" i="23" s="1"/>
  <c r="X524" i="23"/>
  <c r="Y524" i="23"/>
  <c r="Z524" i="23"/>
  <c r="AA524" i="23" a="1"/>
  <c r="AA524" i="23"/>
  <c r="AB524" i="23"/>
  <c r="AC524" i="23" a="1"/>
  <c r="AC524" i="23" s="1"/>
  <c r="AD524" i="23"/>
  <c r="AE524" i="23"/>
  <c r="AF524" i="23" a="1"/>
  <c r="AF524" i="23" s="1"/>
  <c r="X525" i="23"/>
  <c r="Y525" i="23"/>
  <c r="Z525" i="23"/>
  <c r="AA525" i="23" a="1"/>
  <c r="AA525" i="23"/>
  <c r="AB525" i="23"/>
  <c r="AC525" i="23" a="1"/>
  <c r="AC525" i="23" s="1"/>
  <c r="AD525" i="23"/>
  <c r="AE525" i="23"/>
  <c r="AF525" i="23" a="1"/>
  <c r="AF525" i="23" s="1"/>
  <c r="X526" i="23"/>
  <c r="Y526" i="23"/>
  <c r="Z526" i="23"/>
  <c r="AA526" i="23" a="1"/>
  <c r="AA526" i="23"/>
  <c r="AB526" i="23"/>
  <c r="AC526" i="23" a="1"/>
  <c r="AC526" i="23" s="1"/>
  <c r="AD526" i="23"/>
  <c r="AE526" i="23"/>
  <c r="AF526" i="23" a="1"/>
  <c r="AF526" i="23" s="1"/>
  <c r="X527" i="23"/>
  <c r="Y527" i="23"/>
  <c r="Z527" i="23"/>
  <c r="AA527" i="23" a="1"/>
  <c r="AA527" i="23"/>
  <c r="AB527" i="23"/>
  <c r="AC527" i="23" a="1"/>
  <c r="AC527" i="23" s="1"/>
  <c r="AD527" i="23"/>
  <c r="AE527" i="23"/>
  <c r="AF527" i="23" a="1"/>
  <c r="AF527" i="23" s="1"/>
  <c r="X528" i="23"/>
  <c r="Y528" i="23"/>
  <c r="Z528" i="23"/>
  <c r="AA528" i="23" a="1"/>
  <c r="AA528" i="23"/>
  <c r="AB528" i="23"/>
  <c r="AC528" i="23" a="1"/>
  <c r="AC528" i="23" s="1"/>
  <c r="AD528" i="23"/>
  <c r="AE528" i="23"/>
  <c r="AF528" i="23" a="1"/>
  <c r="AF528" i="23" s="1"/>
  <c r="X529" i="23"/>
  <c r="Y529" i="23"/>
  <c r="Z529" i="23"/>
  <c r="AA529" i="23" a="1"/>
  <c r="AA529" i="23"/>
  <c r="AB529" i="23"/>
  <c r="AC529" i="23" a="1"/>
  <c r="AC529" i="23" s="1"/>
  <c r="AD529" i="23"/>
  <c r="AE529" i="23"/>
  <c r="AF529" i="23" a="1"/>
  <c r="AF529" i="23" s="1"/>
  <c r="X530" i="23"/>
  <c r="Y530" i="23"/>
  <c r="Z530" i="23"/>
  <c r="AA530" i="23" a="1"/>
  <c r="AA530" i="23"/>
  <c r="AB530" i="23"/>
  <c r="AC530" i="23" a="1"/>
  <c r="AC530" i="23" s="1"/>
  <c r="AD530" i="23"/>
  <c r="AE530" i="23"/>
  <c r="AF530" i="23" a="1"/>
  <c r="AF530" i="23" s="1"/>
  <c r="X531" i="23"/>
  <c r="Y531" i="23"/>
  <c r="Z531" i="23"/>
  <c r="AA531" i="23" a="1"/>
  <c r="AA531" i="23"/>
  <c r="AB531" i="23"/>
  <c r="AC531" i="23" a="1"/>
  <c r="AC531" i="23" s="1"/>
  <c r="AD531" i="23"/>
  <c r="AE531" i="23"/>
  <c r="AF531" i="23" a="1"/>
  <c r="AF531" i="23" s="1"/>
  <c r="X532" i="23"/>
  <c r="Y532" i="23"/>
  <c r="Z532" i="23"/>
  <c r="AA532" i="23" a="1"/>
  <c r="AA532" i="23"/>
  <c r="AB532" i="23"/>
  <c r="AC532" i="23" a="1"/>
  <c r="AC532" i="23" s="1"/>
  <c r="AD532" i="23"/>
  <c r="AE532" i="23"/>
  <c r="AF532" i="23" a="1"/>
  <c r="AF532" i="23" s="1"/>
  <c r="X533" i="23"/>
  <c r="Y533" i="23"/>
  <c r="Z533" i="23"/>
  <c r="AA533" i="23" a="1"/>
  <c r="AA533" i="23"/>
  <c r="AB533" i="23"/>
  <c r="AC533" i="23" a="1"/>
  <c r="AC533" i="23" s="1"/>
  <c r="AD533" i="23"/>
  <c r="AE533" i="23"/>
  <c r="AF533" i="23" a="1"/>
  <c r="AF533" i="23" s="1"/>
  <c r="X534" i="23"/>
  <c r="Y534" i="23"/>
  <c r="Z534" i="23"/>
  <c r="AA534" i="23" a="1"/>
  <c r="AA534" i="23"/>
  <c r="AB534" i="23"/>
  <c r="AC534" i="23" a="1"/>
  <c r="AC534" i="23" s="1"/>
  <c r="AD534" i="23"/>
  <c r="AE534" i="23"/>
  <c r="AF534" i="23" a="1"/>
  <c r="AF534" i="23" s="1"/>
  <c r="X535" i="23"/>
  <c r="Y535" i="23"/>
  <c r="Z535" i="23"/>
  <c r="AA535" i="23" a="1"/>
  <c r="AA535" i="23"/>
  <c r="AB535" i="23"/>
  <c r="AC535" i="23" a="1"/>
  <c r="AC535" i="23" s="1"/>
  <c r="AD535" i="23"/>
  <c r="AE535" i="23"/>
  <c r="AF535" i="23" a="1"/>
  <c r="AF535" i="23" s="1"/>
  <c r="X536" i="23"/>
  <c r="Y536" i="23"/>
  <c r="Z536" i="23"/>
  <c r="AA536" i="23" a="1"/>
  <c r="AA536" i="23" s="1"/>
  <c r="AB536" i="23"/>
  <c r="AC536" i="23" a="1"/>
  <c r="AC536" i="23" s="1"/>
  <c r="AD536" i="23"/>
  <c r="AE536" i="23"/>
  <c r="AF536" i="23" a="1"/>
  <c r="AF536" i="23" s="1"/>
  <c r="X537" i="23"/>
  <c r="Y537" i="23"/>
  <c r="Z537" i="23"/>
  <c r="AA537" i="23" a="1"/>
  <c r="AA537" i="23"/>
  <c r="AB537" i="23"/>
  <c r="AC537" i="23" a="1"/>
  <c r="AC537" i="23" s="1"/>
  <c r="AD537" i="23"/>
  <c r="AE537" i="23"/>
  <c r="AF537" i="23" a="1"/>
  <c r="AF537" i="23" s="1"/>
  <c r="X538" i="23"/>
  <c r="Y538" i="23"/>
  <c r="Z538" i="23"/>
  <c r="AA538" i="23" a="1"/>
  <c r="AA538" i="23" s="1"/>
  <c r="AB538" i="23"/>
  <c r="AC538" i="23" a="1"/>
  <c r="AC538" i="23" s="1"/>
  <c r="AD538" i="23"/>
  <c r="AE538" i="23"/>
  <c r="AF538" i="23" a="1"/>
  <c r="AF538" i="23" s="1"/>
  <c r="X539" i="23"/>
  <c r="Y539" i="23"/>
  <c r="Z539" i="23"/>
  <c r="AA539" i="23" a="1"/>
  <c r="AA539" i="23"/>
  <c r="AB539" i="23"/>
  <c r="AC539" i="23" a="1"/>
  <c r="AC539" i="23" s="1"/>
  <c r="AD539" i="23"/>
  <c r="AE539" i="23"/>
  <c r="AF539" i="23" a="1"/>
  <c r="AF539" i="23" s="1"/>
  <c r="X540" i="23"/>
  <c r="Y540" i="23"/>
  <c r="Z540" i="23"/>
  <c r="AA540" i="23" a="1"/>
  <c r="AA540" i="23" s="1"/>
  <c r="AB540" i="23"/>
  <c r="AC540" i="23" a="1"/>
  <c r="AC540" i="23" s="1"/>
  <c r="AD540" i="23"/>
  <c r="AE540" i="23"/>
  <c r="AF540" i="23" a="1"/>
  <c r="AF540" i="23" s="1"/>
  <c r="X541" i="23"/>
  <c r="Y541" i="23"/>
  <c r="Z541" i="23"/>
  <c r="AA541" i="23" a="1"/>
  <c r="AA541" i="23"/>
  <c r="AB541" i="23"/>
  <c r="AC541" i="23" a="1"/>
  <c r="AC541" i="23" s="1"/>
  <c r="AD541" i="23"/>
  <c r="AE541" i="23"/>
  <c r="AF541" i="23" a="1"/>
  <c r="AF541" i="23" s="1"/>
  <c r="X542" i="23"/>
  <c r="Y542" i="23"/>
  <c r="Z542" i="23"/>
  <c r="AA542" i="23" a="1"/>
  <c r="AA542" i="23" s="1"/>
  <c r="AB542" i="23"/>
  <c r="AC542" i="23" a="1"/>
  <c r="AC542" i="23" s="1"/>
  <c r="AD542" i="23"/>
  <c r="AE542" i="23"/>
  <c r="AF542" i="23" a="1"/>
  <c r="AF542" i="23" s="1"/>
  <c r="X543" i="23"/>
  <c r="Y543" i="23"/>
  <c r="Z543" i="23"/>
  <c r="AA543" i="23" a="1"/>
  <c r="AA543" i="23"/>
  <c r="AB543" i="23"/>
  <c r="AC543" i="23" a="1"/>
  <c r="AC543" i="23" s="1"/>
  <c r="AD543" i="23"/>
  <c r="AE543" i="23"/>
  <c r="AF543" i="23" a="1"/>
  <c r="AF543" i="23" s="1"/>
  <c r="X544" i="23"/>
  <c r="Y544" i="23"/>
  <c r="Z544" i="23"/>
  <c r="AA544" i="23" a="1"/>
  <c r="AA544" i="23" s="1"/>
  <c r="AB544" i="23"/>
  <c r="AC544" i="23" a="1"/>
  <c r="AC544" i="23" s="1"/>
  <c r="AD544" i="23"/>
  <c r="AE544" i="23"/>
  <c r="AF544" i="23" a="1"/>
  <c r="AF544" i="23" s="1"/>
  <c r="X545" i="23"/>
  <c r="Y545" i="23"/>
  <c r="Z545" i="23"/>
  <c r="AA545" i="23" a="1"/>
  <c r="AA545" i="23"/>
  <c r="AB545" i="23"/>
  <c r="AC545" i="23" a="1"/>
  <c r="AC545" i="23" s="1"/>
  <c r="AD545" i="23"/>
  <c r="AE545" i="23"/>
  <c r="AF545" i="23" a="1"/>
  <c r="AF545" i="23" s="1"/>
  <c r="X546" i="23"/>
  <c r="Y546" i="23"/>
  <c r="Z546" i="23"/>
  <c r="AA546" i="23" a="1"/>
  <c r="AA546" i="23" s="1"/>
  <c r="AB546" i="23"/>
  <c r="AC546" i="23" a="1"/>
  <c r="AC546" i="23" s="1"/>
  <c r="AD546" i="23"/>
  <c r="AE546" i="23"/>
  <c r="AF546" i="23" a="1"/>
  <c r="AF546" i="23" s="1"/>
  <c r="X547" i="23"/>
  <c r="Y547" i="23"/>
  <c r="Z547" i="23"/>
  <c r="AA547" i="23" a="1"/>
  <c r="AA547" i="23" s="1"/>
  <c r="AB547" i="23"/>
  <c r="AC547" i="23" a="1"/>
  <c r="AC547" i="23" s="1"/>
  <c r="AD547" i="23"/>
  <c r="AE547" i="23"/>
  <c r="AF547" i="23" a="1"/>
  <c r="AF547" i="23" s="1"/>
  <c r="X548" i="23"/>
  <c r="Y548" i="23"/>
  <c r="Z548" i="23"/>
  <c r="AA548" i="23" a="1"/>
  <c r="AA548" i="23" s="1"/>
  <c r="AB548" i="23"/>
  <c r="AC548" i="23" a="1"/>
  <c r="AC548" i="23"/>
  <c r="AD548" i="23"/>
  <c r="AE548" i="23"/>
  <c r="AF548" i="23" a="1"/>
  <c r="AF548" i="23" s="1"/>
  <c r="X549" i="23"/>
  <c r="Y549" i="23"/>
  <c r="Z549" i="23"/>
  <c r="AA549" i="23" a="1"/>
  <c r="AA549" i="23"/>
  <c r="AB549" i="23"/>
  <c r="AC549" i="23" a="1"/>
  <c r="AC549" i="23" s="1"/>
  <c r="AD549" i="23"/>
  <c r="AE549" i="23"/>
  <c r="AF549" i="23" a="1"/>
  <c r="AF549" i="23" s="1"/>
  <c r="X550" i="23"/>
  <c r="Y550" i="23"/>
  <c r="Z550" i="23"/>
  <c r="AA550" i="23" a="1"/>
  <c r="AA550" i="23" s="1"/>
  <c r="AB550" i="23"/>
  <c r="AC550" i="23" a="1"/>
  <c r="AC550" i="23" s="1"/>
  <c r="AD550" i="23"/>
  <c r="AE550" i="23"/>
  <c r="AF550" i="23" a="1"/>
  <c r="AF550" i="23" s="1"/>
  <c r="X551" i="23"/>
  <c r="Y551" i="23"/>
  <c r="Z551" i="23"/>
  <c r="AA551" i="23" a="1"/>
  <c r="AA551" i="23" s="1"/>
  <c r="AB551" i="23"/>
  <c r="AC551" i="23" a="1"/>
  <c r="AC551" i="23" s="1"/>
  <c r="AD551" i="23"/>
  <c r="AE551" i="23"/>
  <c r="AF551" i="23" a="1"/>
  <c r="AF551" i="23" s="1"/>
  <c r="X552" i="23"/>
  <c r="Y552" i="23"/>
  <c r="Z552" i="23"/>
  <c r="AA552" i="23" a="1"/>
  <c r="AA552" i="23" s="1"/>
  <c r="AB552" i="23"/>
  <c r="AC552" i="23" a="1"/>
  <c r="AC552" i="23" s="1"/>
  <c r="AD552" i="23"/>
  <c r="AE552" i="23"/>
  <c r="AF552" i="23" a="1"/>
  <c r="AF552" i="23" s="1"/>
  <c r="X553" i="23"/>
  <c r="Y553" i="23"/>
  <c r="Z553" i="23"/>
  <c r="AA553" i="23" a="1"/>
  <c r="AA553" i="23" s="1"/>
  <c r="AB553" i="23"/>
  <c r="AC553" i="23" a="1"/>
  <c r="AC553" i="23" s="1"/>
  <c r="AD553" i="23"/>
  <c r="AE553" i="23"/>
  <c r="AF553" i="23" a="1"/>
  <c r="AF553" i="23" s="1"/>
  <c r="X554" i="23"/>
  <c r="Y554" i="23"/>
  <c r="Z554" i="23"/>
  <c r="AA554" i="23" a="1"/>
  <c r="AA554" i="23" s="1"/>
  <c r="AB554" i="23"/>
  <c r="AC554" i="23" a="1"/>
  <c r="AC554" i="23" s="1"/>
  <c r="AD554" i="23"/>
  <c r="AE554" i="23"/>
  <c r="AF554" i="23" a="1"/>
  <c r="AF554" i="23" s="1"/>
  <c r="X555" i="23"/>
  <c r="Y555" i="23"/>
  <c r="Z555" i="23"/>
  <c r="AA555" i="23" a="1"/>
  <c r="AA555" i="23" s="1"/>
  <c r="AB555" i="23"/>
  <c r="AC555" i="23" a="1"/>
  <c r="AC555" i="23" s="1"/>
  <c r="AD555" i="23"/>
  <c r="AE555" i="23"/>
  <c r="AF555" i="23" a="1"/>
  <c r="AF555" i="23" s="1"/>
  <c r="X556" i="23"/>
  <c r="Y556" i="23"/>
  <c r="Z556" i="23"/>
  <c r="AA556" i="23" a="1"/>
  <c r="AA556" i="23" s="1"/>
  <c r="AB556" i="23"/>
  <c r="AC556" i="23" a="1"/>
  <c r="AC556" i="23" s="1"/>
  <c r="AD556" i="23"/>
  <c r="AE556" i="23"/>
  <c r="AF556" i="23" a="1"/>
  <c r="AF556" i="23" s="1"/>
  <c r="X557" i="23"/>
  <c r="Y557" i="23"/>
  <c r="Z557" i="23"/>
  <c r="AA557" i="23" a="1"/>
  <c r="AA557" i="23" s="1"/>
  <c r="AB557" i="23"/>
  <c r="AC557" i="23" a="1"/>
  <c r="AC557" i="23" s="1"/>
  <c r="AD557" i="23"/>
  <c r="AE557" i="23"/>
  <c r="AF557" i="23" a="1"/>
  <c r="AF557" i="23" s="1"/>
  <c r="X558" i="23"/>
  <c r="Y558" i="23"/>
  <c r="Z558" i="23"/>
  <c r="AA558" i="23" a="1"/>
  <c r="AA558" i="23" s="1"/>
  <c r="AB558" i="23"/>
  <c r="AC558" i="23" a="1"/>
  <c r="AC558" i="23" s="1"/>
  <c r="AD558" i="23"/>
  <c r="AE558" i="23"/>
  <c r="AF558" i="23" a="1"/>
  <c r="AF558" i="23" s="1"/>
  <c r="X559" i="23"/>
  <c r="Y559" i="23"/>
  <c r="Z559" i="23"/>
  <c r="AA559" i="23" a="1"/>
  <c r="AA559" i="23"/>
  <c r="AB559" i="23"/>
  <c r="AC559" i="23" a="1"/>
  <c r="AC559" i="23" s="1"/>
  <c r="AD559" i="23"/>
  <c r="AE559" i="23"/>
  <c r="AF559" i="23" a="1"/>
  <c r="AF559" i="23" s="1"/>
  <c r="X560" i="23"/>
  <c r="Y560" i="23"/>
  <c r="Z560" i="23"/>
  <c r="AA560" i="23" a="1"/>
  <c r="AA560" i="23" s="1"/>
  <c r="AB560" i="23"/>
  <c r="AC560" i="23" a="1"/>
  <c r="AC560" i="23"/>
  <c r="AD560" i="23"/>
  <c r="AE560" i="23"/>
  <c r="AF560" i="23" a="1"/>
  <c r="AF560" i="23" s="1"/>
  <c r="X561" i="23"/>
  <c r="Y561" i="23"/>
  <c r="Z561" i="23"/>
  <c r="AA561" i="23" a="1"/>
  <c r="AA561" i="23"/>
  <c r="AB561" i="23"/>
  <c r="AC561" i="23" a="1"/>
  <c r="AC561" i="23" s="1"/>
  <c r="AD561" i="23"/>
  <c r="AE561" i="23"/>
  <c r="AF561" i="23" a="1"/>
  <c r="AF561" i="23" s="1"/>
  <c r="X562" i="23"/>
  <c r="Y562" i="23"/>
  <c r="Z562" i="23"/>
  <c r="AA562" i="23" a="1"/>
  <c r="AA562" i="23" s="1"/>
  <c r="AB562" i="23"/>
  <c r="AC562" i="23" a="1"/>
  <c r="AC562" i="23" s="1"/>
  <c r="AD562" i="23"/>
  <c r="AE562" i="23"/>
  <c r="AF562" i="23" a="1"/>
  <c r="AF562" i="23" s="1"/>
  <c r="X563" i="23"/>
  <c r="Y563" i="23"/>
  <c r="Z563" i="23"/>
  <c r="AA563" i="23" a="1"/>
  <c r="AA563" i="23" s="1"/>
  <c r="AB563" i="23"/>
  <c r="AC563" i="23" a="1"/>
  <c r="AC563" i="23" s="1"/>
  <c r="AD563" i="23"/>
  <c r="AE563" i="23"/>
  <c r="AF563" i="23" a="1"/>
  <c r="AF563" i="23" s="1"/>
  <c r="X564" i="23"/>
  <c r="Y564" i="23"/>
  <c r="Z564" i="23"/>
  <c r="AA564" i="23" a="1"/>
  <c r="AA564" i="23" s="1"/>
  <c r="AB564" i="23"/>
  <c r="AC564" i="23" a="1"/>
  <c r="AC564" i="23" s="1"/>
  <c r="AD564" i="23"/>
  <c r="AE564" i="23"/>
  <c r="AF564" i="23" a="1"/>
  <c r="AF564" i="23" s="1"/>
  <c r="X565" i="23"/>
  <c r="Y565" i="23"/>
  <c r="Z565" i="23"/>
  <c r="AA565" i="23" a="1"/>
  <c r="AA565" i="23"/>
  <c r="AB565" i="23"/>
  <c r="AC565" i="23" a="1"/>
  <c r="AC565" i="23" s="1"/>
  <c r="AD565" i="23"/>
  <c r="AE565" i="23"/>
  <c r="AF565" i="23" a="1"/>
  <c r="AF565" i="23" s="1"/>
  <c r="X566" i="23"/>
  <c r="Y566" i="23"/>
  <c r="Z566" i="23"/>
  <c r="AA566" i="23" a="1"/>
  <c r="AA566" i="23" s="1"/>
  <c r="AB566" i="23"/>
  <c r="AC566" i="23" a="1"/>
  <c r="AC566" i="23" s="1"/>
  <c r="AD566" i="23"/>
  <c r="AE566" i="23"/>
  <c r="AF566" i="23" a="1"/>
  <c r="AF566" i="23" s="1"/>
  <c r="X567" i="23"/>
  <c r="Y567" i="23"/>
  <c r="Z567" i="23"/>
  <c r="AA567" i="23" a="1"/>
  <c r="AA567" i="23" s="1"/>
  <c r="AB567" i="23"/>
  <c r="AC567" i="23" a="1"/>
  <c r="AC567" i="23" s="1"/>
  <c r="AD567" i="23"/>
  <c r="AE567" i="23"/>
  <c r="AF567" i="23" a="1"/>
  <c r="AF567" i="23" s="1"/>
  <c r="X568" i="23"/>
  <c r="Y568" i="23"/>
  <c r="Z568" i="23"/>
  <c r="AA568" i="23" a="1"/>
  <c r="AA568" i="23" s="1"/>
  <c r="AB568" i="23"/>
  <c r="AC568" i="23" a="1"/>
  <c r="AC568" i="23" s="1"/>
  <c r="AD568" i="23"/>
  <c r="AE568" i="23"/>
  <c r="AF568" i="23" a="1"/>
  <c r="AF568" i="23" s="1"/>
  <c r="X569" i="23"/>
  <c r="Y569" i="23"/>
  <c r="Z569" i="23"/>
  <c r="AA569" i="23" a="1"/>
  <c r="AA569" i="23" s="1"/>
  <c r="AB569" i="23"/>
  <c r="AC569" i="23" a="1"/>
  <c r="AC569" i="23" s="1"/>
  <c r="AD569" i="23"/>
  <c r="AE569" i="23"/>
  <c r="AF569" i="23" a="1"/>
  <c r="AF569" i="23" s="1"/>
  <c r="X570" i="23"/>
  <c r="Y570" i="23"/>
  <c r="Z570" i="23"/>
  <c r="AA570" i="23" a="1"/>
  <c r="AA570" i="23" s="1"/>
  <c r="AB570" i="23"/>
  <c r="AC570" i="23" a="1"/>
  <c r="AC570" i="23" s="1"/>
  <c r="AD570" i="23"/>
  <c r="AE570" i="23"/>
  <c r="AF570" i="23" a="1"/>
  <c r="AF570" i="23" s="1"/>
  <c r="X571" i="23"/>
  <c r="Y571" i="23"/>
  <c r="Z571" i="23"/>
  <c r="AA571" i="23" a="1"/>
  <c r="AA571" i="23" s="1"/>
  <c r="AB571" i="23"/>
  <c r="AC571" i="23" a="1"/>
  <c r="AC571" i="23" s="1"/>
  <c r="AD571" i="23"/>
  <c r="AE571" i="23"/>
  <c r="AF571" i="23" a="1"/>
  <c r="AF571" i="23" s="1"/>
  <c r="X572" i="23"/>
  <c r="Y572" i="23"/>
  <c r="Z572" i="23"/>
  <c r="AA572" i="23" a="1"/>
  <c r="AA572" i="23" s="1"/>
  <c r="AB572" i="23"/>
  <c r="AC572" i="23" a="1"/>
  <c r="AC572" i="23" s="1"/>
  <c r="AD572" i="23"/>
  <c r="AE572" i="23"/>
  <c r="AF572" i="23" a="1"/>
  <c r="AF572" i="23" s="1"/>
  <c r="X573" i="23"/>
  <c r="Y573" i="23"/>
  <c r="Z573" i="23"/>
  <c r="AA573" i="23" a="1"/>
  <c r="AA573" i="23" s="1"/>
  <c r="AB573" i="23"/>
  <c r="AC573" i="23" a="1"/>
  <c r="AC573" i="23" s="1"/>
  <c r="AD573" i="23"/>
  <c r="AE573" i="23"/>
  <c r="AF573" i="23" a="1"/>
  <c r="AF573" i="23" s="1"/>
  <c r="X574" i="23"/>
  <c r="Y574" i="23"/>
  <c r="Z574" i="23"/>
  <c r="AA574" i="23" a="1"/>
  <c r="AA574" i="23" s="1"/>
  <c r="AB574" i="23"/>
  <c r="AC574" i="23" a="1"/>
  <c r="AC574" i="23" s="1"/>
  <c r="AD574" i="23"/>
  <c r="AE574" i="23"/>
  <c r="AF574" i="23" a="1"/>
  <c r="AF574" i="23" s="1"/>
  <c r="X575" i="23"/>
  <c r="Y575" i="23"/>
  <c r="Z575" i="23"/>
  <c r="AA575" i="23" a="1"/>
  <c r="AA575" i="23" s="1"/>
  <c r="AB575" i="23"/>
  <c r="AC575" i="23" a="1"/>
  <c r="AC575" i="23" s="1"/>
  <c r="AD575" i="23"/>
  <c r="AE575" i="23"/>
  <c r="AF575" i="23" a="1"/>
  <c r="AF575" i="23" s="1"/>
  <c r="X576" i="23"/>
  <c r="Y576" i="23"/>
  <c r="Z576" i="23"/>
  <c r="AA576" i="23" a="1"/>
  <c r="AA576" i="23" s="1"/>
  <c r="AB576" i="23"/>
  <c r="AC576" i="23" a="1"/>
  <c r="AC576" i="23" s="1"/>
  <c r="AD576" i="23"/>
  <c r="AE576" i="23"/>
  <c r="AF576" i="23" a="1"/>
  <c r="AF576" i="23" s="1"/>
  <c r="X577" i="23"/>
  <c r="Y577" i="23"/>
  <c r="Z577" i="23"/>
  <c r="AA577" i="23" a="1"/>
  <c r="AA577" i="23"/>
  <c r="AB577" i="23"/>
  <c r="AC577" i="23" a="1"/>
  <c r="AC577" i="23" s="1"/>
  <c r="AD577" i="23"/>
  <c r="AE577" i="23"/>
  <c r="AF577" i="23" a="1"/>
  <c r="AF577" i="23" s="1"/>
  <c r="X578" i="23"/>
  <c r="Y578" i="23"/>
  <c r="Z578" i="23"/>
  <c r="AA578" i="23" a="1"/>
  <c r="AA578" i="23" s="1"/>
  <c r="AB578" i="23"/>
  <c r="AC578" i="23" a="1"/>
  <c r="AC578" i="23" s="1"/>
  <c r="AD578" i="23"/>
  <c r="AE578" i="23"/>
  <c r="AF578" i="23" a="1"/>
  <c r="AF578" i="23" s="1"/>
  <c r="X579" i="23"/>
  <c r="Y579" i="23"/>
  <c r="Z579" i="23"/>
  <c r="AA579" i="23" a="1"/>
  <c r="AA579" i="23" s="1"/>
  <c r="AB579" i="23"/>
  <c r="AC579" i="23" a="1"/>
  <c r="AC579" i="23" s="1"/>
  <c r="AD579" i="23"/>
  <c r="AE579" i="23"/>
  <c r="AF579" i="23" a="1"/>
  <c r="AF579" i="23" s="1"/>
  <c r="X580" i="23"/>
  <c r="Y580" i="23"/>
  <c r="Z580" i="23"/>
  <c r="AA580" i="23" a="1"/>
  <c r="AA580" i="23" s="1"/>
  <c r="AB580" i="23"/>
  <c r="AC580" i="23" a="1"/>
  <c r="AC580" i="23" s="1"/>
  <c r="AD580" i="23"/>
  <c r="AE580" i="23"/>
  <c r="AF580" i="23" a="1"/>
  <c r="AF580" i="23" s="1"/>
  <c r="X581" i="23"/>
  <c r="Y581" i="23"/>
  <c r="Z581" i="23"/>
  <c r="AA581" i="23" a="1"/>
  <c r="AA581" i="23"/>
  <c r="AB581" i="23"/>
  <c r="AC581" i="23" a="1"/>
  <c r="AC581" i="23" s="1"/>
  <c r="AD581" i="23"/>
  <c r="AE581" i="23"/>
  <c r="AF581" i="23" a="1"/>
  <c r="AF581" i="23" s="1"/>
  <c r="X582" i="23"/>
  <c r="Y582" i="23"/>
  <c r="Z582" i="23"/>
  <c r="AA582" i="23" a="1"/>
  <c r="AA582" i="23" s="1"/>
  <c r="AB582" i="23"/>
  <c r="AC582" i="23" a="1"/>
  <c r="AC582" i="23" s="1"/>
  <c r="AD582" i="23"/>
  <c r="AE582" i="23"/>
  <c r="AF582" i="23" a="1"/>
  <c r="AF582" i="23" s="1"/>
  <c r="X583" i="23"/>
  <c r="Y583" i="23"/>
  <c r="Z583" i="23"/>
  <c r="AA583" i="23" a="1"/>
  <c r="AA583" i="23" s="1"/>
  <c r="AB583" i="23"/>
  <c r="AC583" i="23" a="1"/>
  <c r="AC583" i="23" s="1"/>
  <c r="AD583" i="23"/>
  <c r="AE583" i="23"/>
  <c r="AF583" i="23" a="1"/>
  <c r="AF583" i="23" s="1"/>
  <c r="X584" i="23"/>
  <c r="Y584" i="23"/>
  <c r="Z584" i="23"/>
  <c r="AA584" i="23" a="1"/>
  <c r="AA584" i="23" s="1"/>
  <c r="AB584" i="23"/>
  <c r="AC584" i="23" a="1"/>
  <c r="AC584" i="23" s="1"/>
  <c r="AD584" i="23"/>
  <c r="AE584" i="23"/>
  <c r="AF584" i="23" a="1"/>
  <c r="AF584" i="23" s="1"/>
  <c r="X585" i="23"/>
  <c r="Y585" i="23"/>
  <c r="Z585" i="23"/>
  <c r="AA585" i="23" a="1"/>
  <c r="AA585" i="23" s="1"/>
  <c r="AB585" i="23"/>
  <c r="AC585" i="23" a="1"/>
  <c r="AC585" i="23" s="1"/>
  <c r="AD585" i="23"/>
  <c r="AE585" i="23"/>
  <c r="AF585" i="23" a="1"/>
  <c r="AF585" i="23" s="1"/>
  <c r="X586" i="23"/>
  <c r="Y586" i="23"/>
  <c r="Z586" i="23"/>
  <c r="AA586" i="23" a="1"/>
  <c r="AA586" i="23" s="1"/>
  <c r="AB586" i="23"/>
  <c r="AC586" i="23" a="1"/>
  <c r="AC586" i="23" s="1"/>
  <c r="AD586" i="23"/>
  <c r="AE586" i="23"/>
  <c r="AF586" i="23" a="1"/>
  <c r="AF586" i="23" s="1"/>
  <c r="X587" i="23"/>
  <c r="Y587" i="23"/>
  <c r="Z587" i="23"/>
  <c r="AA587" i="23" a="1"/>
  <c r="AA587" i="23" s="1"/>
  <c r="AB587" i="23"/>
  <c r="AC587" i="23" a="1"/>
  <c r="AC587" i="23" s="1"/>
  <c r="AD587" i="23"/>
  <c r="AE587" i="23"/>
  <c r="AF587" i="23" a="1"/>
  <c r="AF587" i="23" s="1"/>
  <c r="X588" i="23"/>
  <c r="Y588" i="23"/>
  <c r="Z588" i="23"/>
  <c r="AA588" i="23" a="1"/>
  <c r="AA588" i="23" s="1"/>
  <c r="AB588" i="23"/>
  <c r="AC588" i="23" a="1"/>
  <c r="AC588" i="23" s="1"/>
  <c r="AD588" i="23"/>
  <c r="AE588" i="23"/>
  <c r="AF588" i="23" a="1"/>
  <c r="AF588" i="23" s="1"/>
  <c r="X589" i="23"/>
  <c r="Y589" i="23"/>
  <c r="Z589" i="23"/>
  <c r="AA589" i="23" a="1"/>
  <c r="AA589" i="23" s="1"/>
  <c r="AB589" i="23"/>
  <c r="AC589" i="23" a="1"/>
  <c r="AC589" i="23" s="1"/>
  <c r="AD589" i="23"/>
  <c r="AE589" i="23"/>
  <c r="AF589" i="23" a="1"/>
  <c r="AF589" i="23" s="1"/>
  <c r="X590" i="23"/>
  <c r="Y590" i="23"/>
  <c r="Z590" i="23"/>
  <c r="AA590" i="23" a="1"/>
  <c r="AA590" i="23" s="1"/>
  <c r="AB590" i="23"/>
  <c r="AC590" i="23" a="1"/>
  <c r="AC590" i="23" s="1"/>
  <c r="AD590" i="23"/>
  <c r="AE590" i="23"/>
  <c r="AF590" i="23" a="1"/>
  <c r="AF590" i="23" s="1"/>
  <c r="X591" i="23"/>
  <c r="Y591" i="23"/>
  <c r="Z591" i="23"/>
  <c r="AA591" i="23" a="1"/>
  <c r="AA591" i="23" s="1"/>
  <c r="AB591" i="23"/>
  <c r="AC591" i="23" a="1"/>
  <c r="AC591" i="23" s="1"/>
  <c r="AD591" i="23"/>
  <c r="AE591" i="23"/>
  <c r="AF591" i="23" a="1"/>
  <c r="AF591" i="23" s="1"/>
  <c r="X592" i="23"/>
  <c r="Y592" i="23"/>
  <c r="Z592" i="23"/>
  <c r="AA592" i="23" a="1"/>
  <c r="AA592" i="23" s="1"/>
  <c r="AB592" i="23"/>
  <c r="AC592" i="23" a="1"/>
  <c r="AC592" i="23"/>
  <c r="AD592" i="23"/>
  <c r="AE592" i="23"/>
  <c r="AF592" i="23" a="1"/>
  <c r="AF592" i="23" s="1"/>
  <c r="X593" i="23"/>
  <c r="Y593" i="23"/>
  <c r="Z593" i="23"/>
  <c r="AA593" i="23" a="1"/>
  <c r="AA593" i="23"/>
  <c r="AB593" i="23"/>
  <c r="AC593" i="23" a="1"/>
  <c r="AC593" i="23" s="1"/>
  <c r="AD593" i="23"/>
  <c r="AE593" i="23"/>
  <c r="AF593" i="23" a="1"/>
  <c r="AF593" i="23" s="1"/>
  <c r="X594" i="23"/>
  <c r="Y594" i="23"/>
  <c r="Z594" i="23"/>
  <c r="AA594" i="23" a="1"/>
  <c r="AA594" i="23" s="1"/>
  <c r="AB594" i="23"/>
  <c r="AC594" i="23" a="1"/>
  <c r="AC594" i="23" s="1"/>
  <c r="AD594" i="23"/>
  <c r="AE594" i="23"/>
  <c r="AF594" i="23" a="1"/>
  <c r="AF594" i="23" s="1"/>
  <c r="X595" i="23"/>
  <c r="Y595" i="23"/>
  <c r="Z595" i="23"/>
  <c r="AA595" i="23" a="1"/>
  <c r="AA595" i="23" s="1"/>
  <c r="AB595" i="23"/>
  <c r="AC595" i="23" a="1"/>
  <c r="AC595" i="23" s="1"/>
  <c r="AD595" i="23"/>
  <c r="AE595" i="23"/>
  <c r="AF595" i="23" a="1"/>
  <c r="AF595" i="23" s="1"/>
  <c r="X596" i="23"/>
  <c r="Y596" i="23"/>
  <c r="Z596" i="23"/>
  <c r="AA596" i="23" a="1"/>
  <c r="AA596" i="23" s="1"/>
  <c r="AB596" i="23"/>
  <c r="AC596" i="23" a="1"/>
  <c r="AC596" i="23" s="1"/>
  <c r="AD596" i="23"/>
  <c r="AE596" i="23"/>
  <c r="AF596" i="23" a="1"/>
  <c r="AF596" i="23" s="1"/>
  <c r="X597" i="23"/>
  <c r="Y597" i="23"/>
  <c r="Z597" i="23"/>
  <c r="AA597" i="23" a="1"/>
  <c r="AA597" i="23"/>
  <c r="AB597" i="23"/>
  <c r="AC597" i="23" a="1"/>
  <c r="AC597" i="23" s="1"/>
  <c r="AD597" i="23"/>
  <c r="AE597" i="23"/>
  <c r="AF597" i="23" a="1"/>
  <c r="AF597" i="23" s="1"/>
  <c r="X598" i="23"/>
  <c r="Y598" i="23"/>
  <c r="Z598" i="23"/>
  <c r="AA598" i="23" a="1"/>
  <c r="AA598" i="23" s="1"/>
  <c r="AB598" i="23"/>
  <c r="AC598" i="23" a="1"/>
  <c r="AC598" i="23" s="1"/>
  <c r="AD598" i="23"/>
  <c r="AE598" i="23"/>
  <c r="AF598" i="23" a="1"/>
  <c r="AF598" i="23" s="1"/>
  <c r="X599" i="23"/>
  <c r="Y599" i="23"/>
  <c r="Z599" i="23"/>
  <c r="AA599" i="23" a="1"/>
  <c r="AA599" i="23" s="1"/>
  <c r="AB599" i="23"/>
  <c r="AC599" i="23" a="1"/>
  <c r="AC599" i="23" s="1"/>
  <c r="AD599" i="23"/>
  <c r="AE599" i="23"/>
  <c r="AF599" i="23" a="1"/>
  <c r="AF599" i="23" s="1"/>
  <c r="X600" i="23"/>
  <c r="Y600" i="23"/>
  <c r="Z600" i="23"/>
  <c r="AA600" i="23" a="1"/>
  <c r="AA600" i="23" s="1"/>
  <c r="AB600" i="23"/>
  <c r="AC600" i="23" a="1"/>
  <c r="AC600" i="23" s="1"/>
  <c r="AD600" i="23"/>
  <c r="AE600" i="23"/>
  <c r="AF600" i="23" a="1"/>
  <c r="AF600" i="23" s="1"/>
  <c r="X601" i="23"/>
  <c r="Y601" i="23"/>
  <c r="Z601" i="23"/>
  <c r="AA601" i="23" a="1"/>
  <c r="AA601" i="23" s="1"/>
  <c r="AB601" i="23"/>
  <c r="AC601" i="23" a="1"/>
  <c r="AC601" i="23" s="1"/>
  <c r="AD601" i="23"/>
  <c r="AE601" i="23"/>
  <c r="AF601" i="23" a="1"/>
  <c r="AF601" i="23" s="1"/>
  <c r="X602" i="23"/>
  <c r="Y602" i="23"/>
  <c r="Z602" i="23"/>
  <c r="AA602" i="23" a="1"/>
  <c r="AA602" i="23" s="1"/>
  <c r="AB602" i="23"/>
  <c r="AC602" i="23" a="1"/>
  <c r="AC602" i="23" s="1"/>
  <c r="AD602" i="23"/>
  <c r="AE602" i="23"/>
  <c r="AF602" i="23" a="1"/>
  <c r="AF602" i="23" s="1"/>
  <c r="X603" i="23"/>
  <c r="Y603" i="23"/>
  <c r="Z603" i="23"/>
  <c r="AA603" i="23" a="1"/>
  <c r="AA603" i="23" s="1"/>
  <c r="AB603" i="23"/>
  <c r="AC603" i="23" a="1"/>
  <c r="AC603" i="23" s="1"/>
  <c r="AD603" i="23"/>
  <c r="AE603" i="23"/>
  <c r="AF603" i="23" a="1"/>
  <c r="AF603" i="23" s="1"/>
  <c r="X604" i="23"/>
  <c r="Y604" i="23"/>
  <c r="Z604" i="23"/>
  <c r="AA604" i="23" a="1"/>
  <c r="AA604" i="23" s="1"/>
  <c r="AB604" i="23"/>
  <c r="AC604" i="23" a="1"/>
  <c r="AC604" i="23" s="1"/>
  <c r="AD604" i="23"/>
  <c r="AE604" i="23"/>
  <c r="AF604" i="23" a="1"/>
  <c r="AF604" i="23" s="1"/>
  <c r="X605" i="23"/>
  <c r="Y605" i="23"/>
  <c r="Z605" i="23"/>
  <c r="AA605" i="23" a="1"/>
  <c r="AA605" i="23" s="1"/>
  <c r="AB605" i="23"/>
  <c r="AC605" i="23" a="1"/>
  <c r="AC605" i="23" s="1"/>
  <c r="AD605" i="23"/>
  <c r="AE605" i="23"/>
  <c r="AF605" i="23" a="1"/>
  <c r="AF605" i="23" s="1"/>
  <c r="X606" i="23"/>
  <c r="Y606" i="23"/>
  <c r="Z606" i="23"/>
  <c r="AA606" i="23" a="1"/>
  <c r="AA606" i="23" s="1"/>
  <c r="AB606" i="23"/>
  <c r="AC606" i="23" a="1"/>
  <c r="AC606" i="23" s="1"/>
  <c r="AD606" i="23"/>
  <c r="AE606" i="23"/>
  <c r="AF606" i="23" a="1"/>
  <c r="AF606" i="23" s="1"/>
  <c r="X607" i="23"/>
  <c r="Y607" i="23"/>
  <c r="Z607" i="23"/>
  <c r="AA607" i="23" a="1"/>
  <c r="AA607" i="23"/>
  <c r="AB607" i="23"/>
  <c r="AC607" i="23" a="1"/>
  <c r="AC607" i="23" s="1"/>
  <c r="AD607" i="23"/>
  <c r="AE607" i="23"/>
  <c r="AF607" i="23" a="1"/>
  <c r="AF607" i="23" s="1"/>
  <c r="X608" i="23"/>
  <c r="Y608" i="23"/>
  <c r="Z608" i="23"/>
  <c r="AA608" i="23" a="1"/>
  <c r="AA608" i="23" s="1"/>
  <c r="AB608" i="23"/>
  <c r="AC608" i="23" a="1"/>
  <c r="AC608" i="23" s="1"/>
  <c r="AD608" i="23"/>
  <c r="AE608" i="23"/>
  <c r="AF608" i="23" a="1"/>
  <c r="AF608" i="23" s="1"/>
  <c r="X609" i="23"/>
  <c r="Y609" i="23"/>
  <c r="Z609" i="23"/>
  <c r="AA609" i="23" a="1"/>
  <c r="AA609" i="23"/>
  <c r="AB609" i="23"/>
  <c r="AC609" i="23" a="1"/>
  <c r="AC609" i="23" s="1"/>
  <c r="AD609" i="23"/>
  <c r="AE609" i="23"/>
  <c r="AF609" i="23" a="1"/>
  <c r="AF609" i="23" s="1"/>
  <c r="X610" i="23"/>
  <c r="Y610" i="23"/>
  <c r="Z610" i="23"/>
  <c r="AA610" i="23" a="1"/>
  <c r="AA610" i="23" s="1"/>
  <c r="AB610" i="23"/>
  <c r="AC610" i="23" a="1"/>
  <c r="AC610" i="23" s="1"/>
  <c r="AD610" i="23"/>
  <c r="AE610" i="23"/>
  <c r="AF610" i="23" a="1"/>
  <c r="AF610" i="23" s="1"/>
  <c r="X611" i="23"/>
  <c r="Y611" i="23"/>
  <c r="Z611" i="23"/>
  <c r="AA611" i="23" a="1"/>
  <c r="AA611" i="23" s="1"/>
  <c r="AB611" i="23"/>
  <c r="AC611" i="23" a="1"/>
  <c r="AC611" i="23" s="1"/>
  <c r="AD611" i="23"/>
  <c r="AE611" i="23"/>
  <c r="AF611" i="23" a="1"/>
  <c r="AF611" i="23" s="1"/>
  <c r="X612" i="23"/>
  <c r="Y612" i="23"/>
  <c r="Z612" i="23"/>
  <c r="AA612" i="23" a="1"/>
  <c r="AA612" i="23" s="1"/>
  <c r="AB612" i="23"/>
  <c r="AC612" i="23" a="1"/>
  <c r="AC612" i="23" s="1"/>
  <c r="AD612" i="23"/>
  <c r="AE612" i="23"/>
  <c r="AF612" i="23" a="1"/>
  <c r="AF612" i="23" s="1"/>
  <c r="X613" i="23"/>
  <c r="Y613" i="23"/>
  <c r="Z613" i="23"/>
  <c r="AA613" i="23" a="1"/>
  <c r="AA613" i="23"/>
  <c r="AB613" i="23"/>
  <c r="AC613" i="23" a="1"/>
  <c r="AC613" i="23" s="1"/>
  <c r="AD613" i="23"/>
  <c r="AE613" i="23"/>
  <c r="AF613" i="23" a="1"/>
  <c r="AF613" i="23" s="1"/>
  <c r="X614" i="23"/>
  <c r="Y614" i="23"/>
  <c r="Z614" i="23"/>
  <c r="AA614" i="23" a="1"/>
  <c r="AA614" i="23" s="1"/>
  <c r="AB614" i="23"/>
  <c r="AC614" i="23" a="1"/>
  <c r="AC614" i="23" s="1"/>
  <c r="AD614" i="23"/>
  <c r="AE614" i="23"/>
  <c r="AF614" i="23" a="1"/>
  <c r="AF614" i="23" s="1"/>
  <c r="X615" i="23"/>
  <c r="Y615" i="23"/>
  <c r="Z615" i="23"/>
  <c r="AA615" i="23" a="1"/>
  <c r="AA615" i="23" s="1"/>
  <c r="AB615" i="23"/>
  <c r="AC615" i="23" a="1"/>
  <c r="AC615" i="23" s="1"/>
  <c r="AD615" i="23"/>
  <c r="AE615" i="23"/>
  <c r="AF615" i="23" a="1"/>
  <c r="AF615" i="23" s="1"/>
  <c r="X616" i="23"/>
  <c r="Y616" i="23"/>
  <c r="Z616" i="23"/>
  <c r="AA616" i="23" a="1"/>
  <c r="AA616" i="23" s="1"/>
  <c r="AB616" i="23"/>
  <c r="AC616" i="23" a="1"/>
  <c r="AC616" i="23" s="1"/>
  <c r="AD616" i="23"/>
  <c r="AE616" i="23"/>
  <c r="AF616" i="23" a="1"/>
  <c r="AF616" i="23" s="1"/>
  <c r="X617" i="23"/>
  <c r="Y617" i="23"/>
  <c r="Z617" i="23"/>
  <c r="AA617" i="23" a="1"/>
  <c r="AA617" i="23" s="1"/>
  <c r="AB617" i="23"/>
  <c r="AC617" i="23" a="1"/>
  <c r="AC617" i="23" s="1"/>
  <c r="AD617" i="23"/>
  <c r="AE617" i="23"/>
  <c r="AF617" i="23" a="1"/>
  <c r="AF617" i="23" s="1"/>
  <c r="X618" i="23"/>
  <c r="Y618" i="23"/>
  <c r="Z618" i="23"/>
  <c r="AA618" i="23" a="1"/>
  <c r="AA618" i="23" s="1"/>
  <c r="AB618" i="23"/>
  <c r="AC618" i="23" a="1"/>
  <c r="AC618" i="23" s="1"/>
  <c r="AD618" i="23"/>
  <c r="AE618" i="23"/>
  <c r="AF618" i="23" a="1"/>
  <c r="AF618" i="23" s="1"/>
  <c r="X619" i="23"/>
  <c r="Y619" i="23"/>
  <c r="Z619" i="23"/>
  <c r="AA619" i="23" a="1"/>
  <c r="AA619" i="23" s="1"/>
  <c r="AB619" i="23"/>
  <c r="AC619" i="23" a="1"/>
  <c r="AC619" i="23" s="1"/>
  <c r="AD619" i="23"/>
  <c r="AE619" i="23"/>
  <c r="AF619" i="23" a="1"/>
  <c r="AF619" i="23" s="1"/>
  <c r="X620" i="23"/>
  <c r="Y620" i="23"/>
  <c r="Z620" i="23"/>
  <c r="AA620" i="23" a="1"/>
  <c r="AA620" i="23" s="1"/>
  <c r="AB620" i="23"/>
  <c r="AC620" i="23" a="1"/>
  <c r="AC620" i="23" s="1"/>
  <c r="AD620" i="23"/>
  <c r="AE620" i="23"/>
  <c r="AF620" i="23" a="1"/>
  <c r="AF620" i="23" s="1"/>
  <c r="X621" i="23"/>
  <c r="Y621" i="23"/>
  <c r="Z621" i="23"/>
  <c r="AA621" i="23" a="1"/>
  <c r="AA621" i="23" s="1"/>
  <c r="AB621" i="23"/>
  <c r="AC621" i="23" a="1"/>
  <c r="AC621" i="23" s="1"/>
  <c r="AD621" i="23"/>
  <c r="AE621" i="23"/>
  <c r="AF621" i="23" a="1"/>
  <c r="AF621" i="23" s="1"/>
  <c r="X622" i="23"/>
  <c r="Y622" i="23"/>
  <c r="Z622" i="23"/>
  <c r="AA622" i="23" a="1"/>
  <c r="AA622" i="23" s="1"/>
  <c r="AB622" i="23"/>
  <c r="AC622" i="23" a="1"/>
  <c r="AC622" i="23" s="1"/>
  <c r="AD622" i="23"/>
  <c r="AE622" i="23"/>
  <c r="AF622" i="23" a="1"/>
  <c r="AF622" i="23" s="1"/>
  <c r="X623" i="23"/>
  <c r="Y623" i="23"/>
  <c r="Z623" i="23"/>
  <c r="AA623" i="23" a="1"/>
  <c r="AA623" i="23"/>
  <c r="AB623" i="23"/>
  <c r="AC623" i="23" a="1"/>
  <c r="AC623" i="23" s="1"/>
  <c r="AD623" i="23"/>
  <c r="AE623" i="23"/>
  <c r="AF623" i="23" a="1"/>
  <c r="AF623" i="23" s="1"/>
  <c r="X624" i="23"/>
  <c r="Y624" i="23"/>
  <c r="Z624" i="23"/>
  <c r="AA624" i="23" a="1"/>
  <c r="AA624" i="23" s="1"/>
  <c r="AB624" i="23"/>
  <c r="AC624" i="23" a="1"/>
  <c r="AC624" i="23" s="1"/>
  <c r="AD624" i="23"/>
  <c r="AE624" i="23"/>
  <c r="AF624" i="23" a="1"/>
  <c r="AF624" i="23" s="1"/>
  <c r="X625" i="23"/>
  <c r="Y625" i="23"/>
  <c r="Z625" i="23"/>
  <c r="AA625" i="23" a="1"/>
  <c r="AA625" i="23"/>
  <c r="AB625" i="23"/>
  <c r="AC625" i="23" a="1"/>
  <c r="AC625" i="23" s="1"/>
  <c r="AD625" i="23"/>
  <c r="AE625" i="23"/>
  <c r="AF625" i="23" a="1"/>
  <c r="AF625" i="23" s="1"/>
  <c r="X626" i="23"/>
  <c r="Y626" i="23"/>
  <c r="Z626" i="23"/>
  <c r="AA626" i="23" a="1"/>
  <c r="AA626" i="23" s="1"/>
  <c r="AB626" i="23"/>
  <c r="AC626" i="23" a="1"/>
  <c r="AC626" i="23" s="1"/>
  <c r="AD626" i="23"/>
  <c r="AE626" i="23"/>
  <c r="AF626" i="23" a="1"/>
  <c r="AF626" i="23" s="1"/>
  <c r="X627" i="23"/>
  <c r="Y627" i="23"/>
  <c r="Z627" i="23"/>
  <c r="AA627" i="23" a="1"/>
  <c r="AA627" i="23" s="1"/>
  <c r="AB627" i="23"/>
  <c r="AC627" i="23" a="1"/>
  <c r="AC627" i="23" s="1"/>
  <c r="AD627" i="23"/>
  <c r="AE627" i="23"/>
  <c r="AF627" i="23" a="1"/>
  <c r="AF627" i="23" s="1"/>
  <c r="X628" i="23"/>
  <c r="Y628" i="23"/>
  <c r="Z628" i="23"/>
  <c r="AA628" i="23" a="1"/>
  <c r="AA628" i="23" s="1"/>
  <c r="AB628" i="23"/>
  <c r="AC628" i="23" a="1"/>
  <c r="AC628" i="23" s="1"/>
  <c r="AD628" i="23"/>
  <c r="AE628" i="23"/>
  <c r="AF628" i="23" a="1"/>
  <c r="AF628" i="23" s="1"/>
  <c r="X629" i="23"/>
  <c r="Y629" i="23"/>
  <c r="Z629" i="23"/>
  <c r="AA629" i="23" a="1"/>
  <c r="AA629" i="23"/>
  <c r="AB629" i="23"/>
  <c r="AC629" i="23" a="1"/>
  <c r="AC629" i="23" s="1"/>
  <c r="AD629" i="23"/>
  <c r="AE629" i="23"/>
  <c r="AF629" i="23" a="1"/>
  <c r="AF629" i="23" s="1"/>
  <c r="X630" i="23"/>
  <c r="Y630" i="23"/>
  <c r="Z630" i="23"/>
  <c r="AA630" i="23" a="1"/>
  <c r="AA630" i="23" s="1"/>
  <c r="AB630" i="23"/>
  <c r="AC630" i="23" a="1"/>
  <c r="AC630" i="23" s="1"/>
  <c r="AD630" i="23"/>
  <c r="AE630" i="23"/>
  <c r="AF630" i="23" a="1"/>
  <c r="AF630" i="23" s="1"/>
  <c r="X631" i="23"/>
  <c r="Y631" i="23"/>
  <c r="Z631" i="23"/>
  <c r="AA631" i="23" a="1"/>
  <c r="AA631" i="23" s="1"/>
  <c r="AB631" i="23"/>
  <c r="AC631" i="23" a="1"/>
  <c r="AC631" i="23" s="1"/>
  <c r="AD631" i="23"/>
  <c r="AE631" i="23"/>
  <c r="AF631" i="23" a="1"/>
  <c r="AF631" i="23" s="1"/>
  <c r="X632" i="23"/>
  <c r="Y632" i="23"/>
  <c r="Z632" i="23"/>
  <c r="AA632" i="23" a="1"/>
  <c r="AA632" i="23" s="1"/>
  <c r="AB632" i="23"/>
  <c r="AC632" i="23" a="1"/>
  <c r="AC632" i="23" s="1"/>
  <c r="AD632" i="23"/>
  <c r="AE632" i="23"/>
  <c r="AF632" i="23" a="1"/>
  <c r="AF632" i="23" s="1"/>
  <c r="X633" i="23"/>
  <c r="Y633" i="23"/>
  <c r="Z633" i="23"/>
  <c r="AA633" i="23" a="1"/>
  <c r="AA633" i="23" s="1"/>
  <c r="AB633" i="23"/>
  <c r="AC633" i="23" a="1"/>
  <c r="AC633" i="23" s="1"/>
  <c r="AD633" i="23"/>
  <c r="AE633" i="23"/>
  <c r="AF633" i="23" a="1"/>
  <c r="AF633" i="23" s="1"/>
  <c r="X634" i="23"/>
  <c r="Y634" i="23"/>
  <c r="Z634" i="23"/>
  <c r="AA634" i="23" a="1"/>
  <c r="AA634" i="23" s="1"/>
  <c r="AB634" i="23"/>
  <c r="AC634" i="23" a="1"/>
  <c r="AC634" i="23" s="1"/>
  <c r="AD634" i="23"/>
  <c r="AE634" i="23"/>
  <c r="AF634" i="23" a="1"/>
  <c r="AF634" i="23" s="1"/>
  <c r="X635" i="23"/>
  <c r="Y635" i="23"/>
  <c r="Z635" i="23"/>
  <c r="AA635" i="23" a="1"/>
  <c r="AA635" i="23" s="1"/>
  <c r="AB635" i="23"/>
  <c r="AC635" i="23" a="1"/>
  <c r="AC635" i="23" s="1"/>
  <c r="AD635" i="23"/>
  <c r="AE635" i="23"/>
  <c r="AF635" i="23" a="1"/>
  <c r="AF635" i="23" s="1"/>
  <c r="X636" i="23"/>
  <c r="Y636" i="23"/>
  <c r="Z636" i="23"/>
  <c r="AA636" i="23" a="1"/>
  <c r="AA636" i="23" s="1"/>
  <c r="AB636" i="23"/>
  <c r="AC636" i="23" a="1"/>
  <c r="AC636" i="23" s="1"/>
  <c r="AD636" i="23"/>
  <c r="AE636" i="23"/>
  <c r="AF636" i="23" a="1"/>
  <c r="AF636" i="23" s="1"/>
  <c r="X637" i="23"/>
  <c r="Y637" i="23"/>
  <c r="Z637" i="23"/>
  <c r="AA637" i="23" a="1"/>
  <c r="AA637" i="23" s="1"/>
  <c r="AB637" i="23"/>
  <c r="AC637" i="23" a="1"/>
  <c r="AC637" i="23" s="1"/>
  <c r="AD637" i="23"/>
  <c r="AE637" i="23"/>
  <c r="AF637" i="23" a="1"/>
  <c r="AF637" i="23" s="1"/>
  <c r="X638" i="23"/>
  <c r="Y638" i="23"/>
  <c r="Z638" i="23"/>
  <c r="AA638" i="23" a="1"/>
  <c r="AA638" i="23" s="1"/>
  <c r="AB638" i="23"/>
  <c r="AC638" i="23" a="1"/>
  <c r="AC638" i="23" s="1"/>
  <c r="AD638" i="23"/>
  <c r="AE638" i="23"/>
  <c r="AF638" i="23" a="1"/>
  <c r="AF638" i="23" s="1"/>
  <c r="X639" i="23"/>
  <c r="Y639" i="23"/>
  <c r="Z639" i="23"/>
  <c r="AA639" i="23" a="1"/>
  <c r="AA639" i="23" s="1"/>
  <c r="AB639" i="23"/>
  <c r="AC639" i="23" a="1"/>
  <c r="AC639" i="23" s="1"/>
  <c r="AD639" i="23"/>
  <c r="AE639" i="23"/>
  <c r="AF639" i="23" a="1"/>
  <c r="AF639" i="23" s="1"/>
  <c r="X640" i="23"/>
  <c r="Y640" i="23"/>
  <c r="Z640" i="23"/>
  <c r="AA640" i="23" a="1"/>
  <c r="AA640" i="23" s="1"/>
  <c r="AB640" i="23"/>
  <c r="AC640" i="23" a="1"/>
  <c r="AC640" i="23" s="1"/>
  <c r="AD640" i="23"/>
  <c r="AE640" i="23"/>
  <c r="AF640" i="23" a="1"/>
  <c r="AF640" i="23" s="1"/>
  <c r="X641" i="23"/>
  <c r="Y641" i="23"/>
  <c r="Z641" i="23"/>
  <c r="AA641" i="23" a="1"/>
  <c r="AA641" i="23"/>
  <c r="AB641" i="23"/>
  <c r="AC641" i="23" a="1"/>
  <c r="AC641" i="23" s="1"/>
  <c r="AD641" i="23"/>
  <c r="AE641" i="23"/>
  <c r="AF641" i="23" a="1"/>
  <c r="AF641" i="23" s="1"/>
  <c r="X642" i="23"/>
  <c r="Y642" i="23"/>
  <c r="Z642" i="23"/>
  <c r="AA642" i="23" a="1"/>
  <c r="AA642" i="23" s="1"/>
  <c r="AB642" i="23"/>
  <c r="AC642" i="23" a="1"/>
  <c r="AC642" i="23" s="1"/>
  <c r="AD642" i="23"/>
  <c r="AE642" i="23"/>
  <c r="AF642" i="23" a="1"/>
  <c r="AF642" i="23" s="1"/>
  <c r="X643" i="23"/>
  <c r="Y643" i="23"/>
  <c r="Z643" i="23"/>
  <c r="AA643" i="23" a="1"/>
  <c r="AA643" i="23" s="1"/>
  <c r="AB643" i="23"/>
  <c r="AC643" i="23" a="1"/>
  <c r="AC643" i="23" s="1"/>
  <c r="AD643" i="23"/>
  <c r="AE643" i="23"/>
  <c r="AF643" i="23" a="1"/>
  <c r="AF643" i="23" s="1"/>
  <c r="X644" i="23"/>
  <c r="Y644" i="23"/>
  <c r="Z644" i="23"/>
  <c r="AA644" i="23" a="1"/>
  <c r="AA644" i="23" s="1"/>
  <c r="AB644" i="23"/>
  <c r="AC644" i="23" a="1"/>
  <c r="AC644" i="23" s="1"/>
  <c r="AD644" i="23"/>
  <c r="AE644" i="23"/>
  <c r="AF644" i="23" a="1"/>
  <c r="AF644" i="23" s="1"/>
  <c r="X645" i="23"/>
  <c r="Y645" i="23"/>
  <c r="Z645" i="23"/>
  <c r="AA645" i="23" a="1"/>
  <c r="AA645" i="23"/>
  <c r="AB645" i="23"/>
  <c r="AC645" i="23" a="1"/>
  <c r="AC645" i="23" s="1"/>
  <c r="AD645" i="23"/>
  <c r="AE645" i="23"/>
  <c r="AF645" i="23" a="1"/>
  <c r="AF645" i="23" s="1"/>
  <c r="X646" i="23"/>
  <c r="Y646" i="23"/>
  <c r="Z646" i="23"/>
  <c r="AA646" i="23" a="1"/>
  <c r="AA646" i="23" s="1"/>
  <c r="AB646" i="23"/>
  <c r="AC646" i="23" a="1"/>
  <c r="AC646" i="23" s="1"/>
  <c r="AD646" i="23"/>
  <c r="AE646" i="23"/>
  <c r="AF646" i="23" a="1"/>
  <c r="AF646" i="23" s="1"/>
  <c r="X647" i="23"/>
  <c r="Y647" i="23"/>
  <c r="Z647" i="23"/>
  <c r="AA647" i="23" a="1"/>
  <c r="AA647" i="23" s="1"/>
  <c r="AB647" i="23"/>
  <c r="AC647" i="23" a="1"/>
  <c r="AC647" i="23" s="1"/>
  <c r="AD647" i="23"/>
  <c r="AE647" i="23"/>
  <c r="AF647" i="23" a="1"/>
  <c r="AF647" i="23" s="1"/>
  <c r="X648" i="23"/>
  <c r="Y648" i="23"/>
  <c r="Z648" i="23"/>
  <c r="AA648" i="23" a="1"/>
  <c r="AA648" i="23" s="1"/>
  <c r="AB648" i="23"/>
  <c r="AC648" i="23" a="1"/>
  <c r="AC648" i="23" s="1"/>
  <c r="AD648" i="23"/>
  <c r="AE648" i="23"/>
  <c r="AF648" i="23" a="1"/>
  <c r="AF648" i="23" s="1"/>
  <c r="X649" i="23"/>
  <c r="Y649" i="23"/>
  <c r="Z649" i="23"/>
  <c r="AA649" i="23" a="1"/>
  <c r="AA649" i="23" s="1"/>
  <c r="AB649" i="23"/>
  <c r="AC649" i="23" a="1"/>
  <c r="AC649" i="23" s="1"/>
  <c r="AD649" i="23"/>
  <c r="AE649" i="23"/>
  <c r="AF649" i="23" a="1"/>
  <c r="AF649" i="23" s="1"/>
  <c r="X650" i="23"/>
  <c r="Y650" i="23"/>
  <c r="Z650" i="23"/>
  <c r="AA650" i="23" a="1"/>
  <c r="AA650" i="23" s="1"/>
  <c r="AB650" i="23"/>
  <c r="AC650" i="23" a="1"/>
  <c r="AC650" i="23" s="1"/>
  <c r="AD650" i="23"/>
  <c r="AE650" i="23"/>
  <c r="AF650" i="23" a="1"/>
  <c r="AF650" i="23" s="1"/>
  <c r="X651" i="23"/>
  <c r="Y651" i="23"/>
  <c r="Z651" i="23"/>
  <c r="AA651" i="23" a="1"/>
  <c r="AA651" i="23" s="1"/>
  <c r="AB651" i="23"/>
  <c r="AC651" i="23" a="1"/>
  <c r="AC651" i="23" s="1"/>
  <c r="AD651" i="23"/>
  <c r="AE651" i="23"/>
  <c r="AF651" i="23" a="1"/>
  <c r="AF651" i="23" s="1"/>
  <c r="X652" i="23"/>
  <c r="Y652" i="23"/>
  <c r="Z652" i="23"/>
  <c r="AA652" i="23" a="1"/>
  <c r="AA652" i="23" s="1"/>
  <c r="AB652" i="23"/>
  <c r="AC652" i="23" a="1"/>
  <c r="AC652" i="23" s="1"/>
  <c r="AD652" i="23"/>
  <c r="AE652" i="23"/>
  <c r="AF652" i="23" a="1"/>
  <c r="AF652" i="23" s="1"/>
  <c r="X653" i="23"/>
  <c r="Y653" i="23"/>
  <c r="Z653" i="23"/>
  <c r="AA653" i="23" a="1"/>
  <c r="AA653" i="23" s="1"/>
  <c r="AB653" i="23"/>
  <c r="AC653" i="23" a="1"/>
  <c r="AC653" i="23" s="1"/>
  <c r="AD653" i="23"/>
  <c r="AE653" i="23"/>
  <c r="AF653" i="23" a="1"/>
  <c r="AF653" i="23" s="1"/>
  <c r="X654" i="23"/>
  <c r="Y654" i="23"/>
  <c r="Z654" i="23"/>
  <c r="AA654" i="23" a="1"/>
  <c r="AA654" i="23" s="1"/>
  <c r="AB654" i="23"/>
  <c r="AC654" i="23" a="1"/>
  <c r="AC654" i="23" s="1"/>
  <c r="AD654" i="23"/>
  <c r="AE654" i="23"/>
  <c r="AF654" i="23" a="1"/>
  <c r="AF654" i="23" s="1"/>
  <c r="X655" i="23"/>
  <c r="Y655" i="23"/>
  <c r="Z655" i="23"/>
  <c r="AA655" i="23" a="1"/>
  <c r="AA655" i="23" s="1"/>
  <c r="AB655" i="23"/>
  <c r="AC655" i="23" a="1"/>
  <c r="AC655" i="23" s="1"/>
  <c r="AD655" i="23"/>
  <c r="AE655" i="23"/>
  <c r="AF655" i="23" a="1"/>
  <c r="AF655" i="23" s="1"/>
  <c r="X656" i="23"/>
  <c r="Y656" i="23"/>
  <c r="Z656" i="23"/>
  <c r="AA656" i="23" a="1"/>
  <c r="AA656" i="23" s="1"/>
  <c r="AB656" i="23"/>
  <c r="AC656" i="23" a="1"/>
  <c r="AC656" i="23" s="1"/>
  <c r="AD656" i="23"/>
  <c r="AE656" i="23"/>
  <c r="AF656" i="23" a="1"/>
  <c r="AF656" i="23" s="1"/>
  <c r="X657" i="23"/>
  <c r="Y657" i="23"/>
  <c r="Z657" i="23"/>
  <c r="AA657" i="23" a="1"/>
  <c r="AA657" i="23"/>
  <c r="AB657" i="23"/>
  <c r="AC657" i="23" a="1"/>
  <c r="AC657" i="23" s="1"/>
  <c r="AD657" i="23"/>
  <c r="AE657" i="23"/>
  <c r="AF657" i="23" a="1"/>
  <c r="AF657" i="23" s="1"/>
  <c r="X658" i="23"/>
  <c r="Y658" i="23"/>
  <c r="Z658" i="23"/>
  <c r="AA658" i="23" a="1"/>
  <c r="AA658" i="23" s="1"/>
  <c r="AB658" i="23"/>
  <c r="AC658" i="23" a="1"/>
  <c r="AC658" i="23" s="1"/>
  <c r="AD658" i="23"/>
  <c r="AE658" i="23"/>
  <c r="AF658" i="23" a="1"/>
  <c r="AF658" i="23" s="1"/>
  <c r="X659" i="23"/>
  <c r="Y659" i="23"/>
  <c r="Z659" i="23"/>
  <c r="AA659" i="23" a="1"/>
  <c r="AA659" i="23" s="1"/>
  <c r="AB659" i="23"/>
  <c r="AC659" i="23" a="1"/>
  <c r="AC659" i="23" s="1"/>
  <c r="AD659" i="23"/>
  <c r="AE659" i="23"/>
  <c r="AF659" i="23" a="1"/>
  <c r="AF659" i="23" s="1"/>
  <c r="X660" i="23"/>
  <c r="Y660" i="23"/>
  <c r="Z660" i="23"/>
  <c r="AA660" i="23" a="1"/>
  <c r="AA660" i="23" s="1"/>
  <c r="AB660" i="23"/>
  <c r="AC660" i="23" a="1"/>
  <c r="AC660" i="23" s="1"/>
  <c r="AD660" i="23"/>
  <c r="AE660" i="23"/>
  <c r="AF660" i="23" a="1"/>
  <c r="AF660" i="23" s="1"/>
  <c r="X661" i="23"/>
  <c r="Y661" i="23"/>
  <c r="Z661" i="23"/>
  <c r="AA661" i="23" a="1"/>
  <c r="AA661" i="23"/>
  <c r="AB661" i="23"/>
  <c r="AC661" i="23" a="1"/>
  <c r="AC661" i="23" s="1"/>
  <c r="AD661" i="23"/>
  <c r="AE661" i="23"/>
  <c r="AF661" i="23" a="1"/>
  <c r="AF661" i="23" s="1"/>
  <c r="X662" i="23"/>
  <c r="Y662" i="23"/>
  <c r="Z662" i="23"/>
  <c r="AA662" i="23" a="1"/>
  <c r="AA662" i="23" s="1"/>
  <c r="AB662" i="23"/>
  <c r="AC662" i="23" a="1"/>
  <c r="AC662" i="23" s="1"/>
  <c r="AD662" i="23"/>
  <c r="AE662" i="23"/>
  <c r="AF662" i="23" a="1"/>
  <c r="AF662" i="23" s="1"/>
  <c r="X663" i="23"/>
  <c r="Y663" i="23"/>
  <c r="Z663" i="23"/>
  <c r="AA663" i="23" a="1"/>
  <c r="AA663" i="23" s="1"/>
  <c r="AB663" i="23"/>
  <c r="AC663" i="23" a="1"/>
  <c r="AC663" i="23" s="1"/>
  <c r="AD663" i="23"/>
  <c r="AE663" i="23"/>
  <c r="AF663" i="23" a="1"/>
  <c r="AF663" i="23" s="1"/>
  <c r="X664" i="23"/>
  <c r="Y664" i="23"/>
  <c r="Z664" i="23"/>
  <c r="AA664" i="23" a="1"/>
  <c r="AA664" i="23" s="1"/>
  <c r="AB664" i="23"/>
  <c r="AC664" i="23" a="1"/>
  <c r="AC664" i="23" s="1"/>
  <c r="AD664" i="23"/>
  <c r="AE664" i="23"/>
  <c r="AF664" i="23" a="1"/>
  <c r="AF664" i="23" s="1"/>
  <c r="X665" i="23"/>
  <c r="Y665" i="23"/>
  <c r="Z665" i="23"/>
  <c r="AA665" i="23" a="1"/>
  <c r="AA665" i="23" s="1"/>
  <c r="AB665" i="23"/>
  <c r="AC665" i="23" a="1"/>
  <c r="AC665" i="23" s="1"/>
  <c r="AD665" i="23"/>
  <c r="AE665" i="23"/>
  <c r="AF665" i="23" a="1"/>
  <c r="AF665" i="23" s="1"/>
  <c r="X666" i="23"/>
  <c r="Y666" i="23"/>
  <c r="Z666" i="23"/>
  <c r="AA666" i="23" a="1"/>
  <c r="AA666" i="23" s="1"/>
  <c r="AB666" i="23"/>
  <c r="AC666" i="23" a="1"/>
  <c r="AC666" i="23" s="1"/>
  <c r="AD666" i="23"/>
  <c r="AE666" i="23"/>
  <c r="AF666" i="23" a="1"/>
  <c r="AF666" i="23" s="1"/>
  <c r="X667" i="23"/>
  <c r="Y667" i="23"/>
  <c r="Z667" i="23"/>
  <c r="AA667" i="23" a="1"/>
  <c r="AA667" i="23" s="1"/>
  <c r="AB667" i="23"/>
  <c r="AC667" i="23" a="1"/>
  <c r="AC667" i="23" s="1"/>
  <c r="AD667" i="23"/>
  <c r="AE667" i="23"/>
  <c r="AF667" i="23" a="1"/>
  <c r="AF667" i="23" s="1"/>
  <c r="X668" i="23"/>
  <c r="Y668" i="23"/>
  <c r="Z668" i="23"/>
  <c r="AA668" i="23" a="1"/>
  <c r="AA668" i="23" s="1"/>
  <c r="AB668" i="23"/>
  <c r="AC668" i="23" a="1"/>
  <c r="AC668" i="23" s="1"/>
  <c r="AD668" i="23"/>
  <c r="AE668" i="23"/>
  <c r="AF668" i="23" a="1"/>
  <c r="AF668" i="23" s="1"/>
  <c r="X669" i="23"/>
  <c r="Y669" i="23"/>
  <c r="Z669" i="23"/>
  <c r="AA669" i="23" a="1"/>
  <c r="AA669" i="23" s="1"/>
  <c r="AB669" i="23"/>
  <c r="AC669" i="23" a="1"/>
  <c r="AC669" i="23" s="1"/>
  <c r="AD669" i="23"/>
  <c r="AE669" i="23"/>
  <c r="AF669" i="23" a="1"/>
  <c r="AF669" i="23" s="1"/>
  <c r="X670" i="23"/>
  <c r="Y670" i="23"/>
  <c r="Z670" i="23"/>
  <c r="AA670" i="23" a="1"/>
  <c r="AA670" i="23" s="1"/>
  <c r="AB670" i="23"/>
  <c r="AC670" i="23" a="1"/>
  <c r="AC670" i="23" s="1"/>
  <c r="AD670" i="23"/>
  <c r="AE670" i="23"/>
  <c r="AF670" i="23" a="1"/>
  <c r="AF670" i="23" s="1"/>
  <c r="X671" i="23"/>
  <c r="Y671" i="23"/>
  <c r="Z671" i="23"/>
  <c r="AA671" i="23" a="1"/>
  <c r="AA671" i="23"/>
  <c r="AB671" i="23"/>
  <c r="AC671" i="23" a="1"/>
  <c r="AC671" i="23" s="1"/>
  <c r="AD671" i="23"/>
  <c r="AE671" i="23"/>
  <c r="AF671" i="23" a="1"/>
  <c r="AF671" i="23" s="1"/>
  <c r="X672" i="23"/>
  <c r="Y672" i="23"/>
  <c r="Z672" i="23"/>
  <c r="AA672" i="23" a="1"/>
  <c r="AA672" i="23" s="1"/>
  <c r="AB672" i="23"/>
  <c r="AC672" i="23" a="1"/>
  <c r="AC672" i="23" s="1"/>
  <c r="AD672" i="23"/>
  <c r="AE672" i="23"/>
  <c r="AF672" i="23" a="1"/>
  <c r="AF672" i="23" s="1"/>
  <c r="X673" i="23"/>
  <c r="Y673" i="23"/>
  <c r="Z673" i="23"/>
  <c r="AA673" i="23" a="1"/>
  <c r="AA673" i="23"/>
  <c r="AB673" i="23"/>
  <c r="AC673" i="23" a="1"/>
  <c r="AC673" i="23" s="1"/>
  <c r="AD673" i="23"/>
  <c r="AE673" i="23"/>
  <c r="AF673" i="23" a="1"/>
  <c r="AF673" i="23" s="1"/>
  <c r="X674" i="23"/>
  <c r="Y674" i="23"/>
  <c r="Z674" i="23"/>
  <c r="AA674" i="23" a="1"/>
  <c r="AA674" i="23" s="1"/>
  <c r="AB674" i="23"/>
  <c r="AC674" i="23" a="1"/>
  <c r="AC674" i="23" s="1"/>
  <c r="AD674" i="23"/>
  <c r="AE674" i="23"/>
  <c r="AF674" i="23" a="1"/>
  <c r="AF674" i="23" s="1"/>
  <c r="X675" i="23"/>
  <c r="Y675" i="23"/>
  <c r="Z675" i="23"/>
  <c r="AA675" i="23" a="1"/>
  <c r="AA675" i="23" s="1"/>
  <c r="AB675" i="23"/>
  <c r="AC675" i="23" a="1"/>
  <c r="AC675" i="23" s="1"/>
  <c r="AD675" i="23"/>
  <c r="AE675" i="23"/>
  <c r="AF675" i="23" a="1"/>
  <c r="AF675" i="23" s="1"/>
  <c r="X676" i="23"/>
  <c r="Y676" i="23"/>
  <c r="Z676" i="23"/>
  <c r="AA676" i="23" a="1"/>
  <c r="AA676" i="23" s="1"/>
  <c r="AB676" i="23"/>
  <c r="AC676" i="23" a="1"/>
  <c r="AC676" i="23" s="1"/>
  <c r="AD676" i="23"/>
  <c r="AE676" i="23"/>
  <c r="AF676" i="23" a="1"/>
  <c r="AF676" i="23" s="1"/>
  <c r="X677" i="23"/>
  <c r="Y677" i="23"/>
  <c r="Z677" i="23"/>
  <c r="AA677" i="23" a="1"/>
  <c r="AA677" i="23"/>
  <c r="AB677" i="23"/>
  <c r="AC677" i="23" a="1"/>
  <c r="AC677" i="23" s="1"/>
  <c r="AD677" i="23"/>
  <c r="AE677" i="23"/>
  <c r="AF677" i="23" a="1"/>
  <c r="AF677" i="23" s="1"/>
  <c r="X678" i="23"/>
  <c r="Y678" i="23"/>
  <c r="Z678" i="23"/>
  <c r="AA678" i="23" a="1"/>
  <c r="AA678" i="23" s="1"/>
  <c r="AB678" i="23"/>
  <c r="AC678" i="23" a="1"/>
  <c r="AC678" i="23" s="1"/>
  <c r="AD678" i="23"/>
  <c r="AE678" i="23"/>
  <c r="AF678" i="23" a="1"/>
  <c r="AF678" i="23" s="1"/>
  <c r="X679" i="23"/>
  <c r="Y679" i="23"/>
  <c r="Z679" i="23"/>
  <c r="AA679" i="23" a="1"/>
  <c r="AA679" i="23" s="1"/>
  <c r="AB679" i="23"/>
  <c r="AC679" i="23" a="1"/>
  <c r="AC679" i="23" s="1"/>
  <c r="AD679" i="23"/>
  <c r="AE679" i="23"/>
  <c r="AF679" i="23" a="1"/>
  <c r="AF679" i="23" s="1"/>
  <c r="X680" i="23"/>
  <c r="Y680" i="23"/>
  <c r="Z680" i="23"/>
  <c r="AA680" i="23" a="1"/>
  <c r="AA680" i="23" s="1"/>
  <c r="AB680" i="23"/>
  <c r="AC680" i="23" a="1"/>
  <c r="AC680" i="23" s="1"/>
  <c r="AD680" i="23"/>
  <c r="AE680" i="23"/>
  <c r="AF680" i="23" a="1"/>
  <c r="AF680" i="23" s="1"/>
  <c r="X681" i="23"/>
  <c r="Y681" i="23"/>
  <c r="Z681" i="23"/>
  <c r="AA681" i="23" a="1"/>
  <c r="AA681" i="23" s="1"/>
  <c r="AB681" i="23"/>
  <c r="AC681" i="23" a="1"/>
  <c r="AC681" i="23" s="1"/>
  <c r="AD681" i="23"/>
  <c r="AE681" i="23"/>
  <c r="AF681" i="23" a="1"/>
  <c r="AF681" i="23" s="1"/>
  <c r="X682" i="23"/>
  <c r="Y682" i="23"/>
  <c r="Z682" i="23"/>
  <c r="AA682" i="23" a="1"/>
  <c r="AA682" i="23" s="1"/>
  <c r="AB682" i="23"/>
  <c r="AC682" i="23" a="1"/>
  <c r="AC682" i="23" s="1"/>
  <c r="AD682" i="23"/>
  <c r="AE682" i="23"/>
  <c r="AF682" i="23" a="1"/>
  <c r="AF682" i="23" s="1"/>
  <c r="X683" i="23"/>
  <c r="Y683" i="23"/>
  <c r="Z683" i="23"/>
  <c r="AA683" i="23" a="1"/>
  <c r="AA683" i="23" s="1"/>
  <c r="AB683" i="23"/>
  <c r="AC683" i="23" a="1"/>
  <c r="AC683" i="23" s="1"/>
  <c r="AD683" i="23"/>
  <c r="AE683" i="23"/>
  <c r="AF683" i="23" a="1"/>
  <c r="AF683" i="23" s="1"/>
  <c r="X684" i="23"/>
  <c r="Y684" i="23"/>
  <c r="Z684" i="23"/>
  <c r="AA684" i="23" a="1"/>
  <c r="AA684" i="23" s="1"/>
  <c r="AB684" i="23"/>
  <c r="AC684" i="23" a="1"/>
  <c r="AC684" i="23" s="1"/>
  <c r="AD684" i="23"/>
  <c r="AE684" i="23"/>
  <c r="AF684" i="23" a="1"/>
  <c r="AF684" i="23" s="1"/>
  <c r="X685" i="23"/>
  <c r="Y685" i="23"/>
  <c r="Z685" i="23"/>
  <c r="AA685" i="23" a="1"/>
  <c r="AA685" i="23" s="1"/>
  <c r="AB685" i="23"/>
  <c r="AC685" i="23" a="1"/>
  <c r="AC685" i="23" s="1"/>
  <c r="AD685" i="23"/>
  <c r="AE685" i="23"/>
  <c r="AF685" i="23" a="1"/>
  <c r="AF685" i="23" s="1"/>
  <c r="X686" i="23"/>
  <c r="Y686" i="23"/>
  <c r="Z686" i="23"/>
  <c r="AA686" i="23" a="1"/>
  <c r="AA686" i="23" s="1"/>
  <c r="AB686" i="23"/>
  <c r="AC686" i="23" a="1"/>
  <c r="AC686" i="23" s="1"/>
  <c r="AD686" i="23"/>
  <c r="AE686" i="23"/>
  <c r="AF686" i="23" a="1"/>
  <c r="AF686" i="23" s="1"/>
  <c r="X687" i="23"/>
  <c r="Y687" i="23"/>
  <c r="Z687" i="23"/>
  <c r="AA687" i="23" a="1"/>
  <c r="AA687" i="23"/>
  <c r="AB687" i="23"/>
  <c r="AC687" i="23" a="1"/>
  <c r="AC687" i="23" s="1"/>
  <c r="AD687" i="23"/>
  <c r="AE687" i="23"/>
  <c r="AF687" i="23" a="1"/>
  <c r="AF687" i="23" s="1"/>
  <c r="X688" i="23"/>
  <c r="Y688" i="23"/>
  <c r="Z688" i="23"/>
  <c r="AA688" i="23" a="1"/>
  <c r="AA688" i="23" s="1"/>
  <c r="AB688" i="23"/>
  <c r="AC688" i="23" a="1"/>
  <c r="AC688" i="23" s="1"/>
  <c r="AD688" i="23"/>
  <c r="AE688" i="23"/>
  <c r="AF688" i="23" a="1"/>
  <c r="AF688" i="23" s="1"/>
  <c r="X689" i="23"/>
  <c r="Y689" i="23"/>
  <c r="Z689" i="23"/>
  <c r="AA689" i="23" a="1"/>
  <c r="AA689" i="23"/>
  <c r="AB689" i="23"/>
  <c r="AC689" i="23" a="1"/>
  <c r="AC689" i="23" s="1"/>
  <c r="AD689" i="23"/>
  <c r="AE689" i="23"/>
  <c r="AF689" i="23" a="1"/>
  <c r="AF689" i="23" s="1"/>
  <c r="X690" i="23"/>
  <c r="Y690" i="23"/>
  <c r="Z690" i="23"/>
  <c r="AA690" i="23" a="1"/>
  <c r="AA690" i="23" s="1"/>
  <c r="AB690" i="23"/>
  <c r="AC690" i="23" a="1"/>
  <c r="AC690" i="23" s="1"/>
  <c r="AD690" i="23"/>
  <c r="AE690" i="23"/>
  <c r="AF690" i="23" a="1"/>
  <c r="AF690" i="23" s="1"/>
  <c r="X691" i="23"/>
  <c r="Y691" i="23"/>
  <c r="Z691" i="23"/>
  <c r="AA691" i="23" a="1"/>
  <c r="AA691" i="23" s="1"/>
  <c r="AB691" i="23"/>
  <c r="AC691" i="23" a="1"/>
  <c r="AC691" i="23" s="1"/>
  <c r="AD691" i="23"/>
  <c r="AE691" i="23"/>
  <c r="AF691" i="23" a="1"/>
  <c r="AF691" i="23" s="1"/>
  <c r="X692" i="23"/>
  <c r="Y692" i="23"/>
  <c r="Z692" i="23"/>
  <c r="AA692" i="23" a="1"/>
  <c r="AA692" i="23" s="1"/>
  <c r="AB692" i="23"/>
  <c r="AC692" i="23" a="1"/>
  <c r="AC692" i="23" s="1"/>
  <c r="AD692" i="23"/>
  <c r="AE692" i="23"/>
  <c r="AF692" i="23" a="1"/>
  <c r="AF692" i="23" s="1"/>
  <c r="X693" i="23"/>
  <c r="Y693" i="23"/>
  <c r="Z693" i="23"/>
  <c r="AA693" i="23" a="1"/>
  <c r="AA693" i="23"/>
  <c r="AB693" i="23"/>
  <c r="AC693" i="23" a="1"/>
  <c r="AC693" i="23" s="1"/>
  <c r="AD693" i="23"/>
  <c r="AE693" i="23"/>
  <c r="AF693" i="23" a="1"/>
  <c r="AF693" i="23" s="1"/>
  <c r="X694" i="23"/>
  <c r="Y694" i="23"/>
  <c r="Z694" i="23"/>
  <c r="AA694" i="23" a="1"/>
  <c r="AA694" i="23" s="1"/>
  <c r="AB694" i="23"/>
  <c r="AC694" i="23" a="1"/>
  <c r="AC694" i="23" s="1"/>
  <c r="AD694" i="23"/>
  <c r="AE694" i="23"/>
  <c r="AF694" i="23" a="1"/>
  <c r="AF694" i="23" s="1"/>
  <c r="X695" i="23"/>
  <c r="Y695" i="23"/>
  <c r="Z695" i="23"/>
  <c r="AA695" i="23" a="1"/>
  <c r="AA695" i="23"/>
  <c r="AB695" i="23"/>
  <c r="AC695" i="23" a="1"/>
  <c r="AC695" i="23" s="1"/>
  <c r="AD695" i="23"/>
  <c r="AE695" i="23"/>
  <c r="AF695" i="23" a="1"/>
  <c r="AF695" i="23" s="1"/>
  <c r="X696" i="23"/>
  <c r="Y696" i="23"/>
  <c r="Z696" i="23"/>
  <c r="AA696" i="23" a="1"/>
  <c r="AA696" i="23" s="1"/>
  <c r="AB696" i="23"/>
  <c r="AC696" i="23" a="1"/>
  <c r="AC696" i="23" s="1"/>
  <c r="AD696" i="23"/>
  <c r="AE696" i="23"/>
  <c r="AF696" i="23" a="1"/>
  <c r="AF696" i="23" s="1"/>
  <c r="X697" i="23"/>
  <c r="Y697" i="23"/>
  <c r="Z697" i="23"/>
  <c r="AA697" i="23" a="1"/>
  <c r="AA697" i="23" s="1"/>
  <c r="AB697" i="23"/>
  <c r="AC697" i="23" a="1"/>
  <c r="AC697" i="23" s="1"/>
  <c r="AD697" i="23"/>
  <c r="AE697" i="23"/>
  <c r="AF697" i="23" a="1"/>
  <c r="AF697" i="23" s="1"/>
  <c r="X698" i="23"/>
  <c r="Y698" i="23"/>
  <c r="Z698" i="23"/>
  <c r="AA698" i="23" a="1"/>
  <c r="AA698" i="23" s="1"/>
  <c r="AB698" i="23"/>
  <c r="AC698" i="23" a="1"/>
  <c r="AC698" i="23" s="1"/>
  <c r="AD698" i="23"/>
  <c r="AE698" i="23"/>
  <c r="AF698" i="23" a="1"/>
  <c r="AF698" i="23" s="1"/>
  <c r="X699" i="23"/>
  <c r="Y699" i="23"/>
  <c r="Z699" i="23"/>
  <c r="AA699" i="23" a="1"/>
  <c r="AA699" i="23" s="1"/>
  <c r="AB699" i="23"/>
  <c r="AC699" i="23" a="1"/>
  <c r="AC699" i="23" s="1"/>
  <c r="AD699" i="23"/>
  <c r="AE699" i="23"/>
  <c r="AF699" i="23" a="1"/>
  <c r="AF699" i="23" s="1"/>
  <c r="X700" i="23"/>
  <c r="Y700" i="23"/>
  <c r="Z700" i="23"/>
  <c r="AA700" i="23" a="1"/>
  <c r="AA700" i="23" s="1"/>
  <c r="AB700" i="23"/>
  <c r="AC700" i="23" a="1"/>
  <c r="AC700" i="23" s="1"/>
  <c r="AD700" i="23"/>
  <c r="AE700" i="23"/>
  <c r="AF700" i="23" a="1"/>
  <c r="AF700" i="23" s="1"/>
  <c r="X701" i="23"/>
  <c r="Y701" i="23"/>
  <c r="Z701" i="23"/>
  <c r="AA701" i="23" a="1"/>
  <c r="AA701" i="23" s="1"/>
  <c r="AB701" i="23"/>
  <c r="AC701" i="23" a="1"/>
  <c r="AC701" i="23" s="1"/>
  <c r="AD701" i="23"/>
  <c r="AE701" i="23"/>
  <c r="AF701" i="23" a="1"/>
  <c r="AF701" i="23" s="1"/>
  <c r="X702" i="23"/>
  <c r="Y702" i="23"/>
  <c r="Z702" i="23"/>
  <c r="AA702" i="23" a="1"/>
  <c r="AA702" i="23" s="1"/>
  <c r="AB702" i="23"/>
  <c r="AC702" i="23" a="1"/>
  <c r="AC702" i="23" s="1"/>
  <c r="AD702" i="23"/>
  <c r="AE702" i="23"/>
  <c r="AF702" i="23" a="1"/>
  <c r="AF702" i="23" s="1"/>
  <c r="X703" i="23"/>
  <c r="Y703" i="23"/>
  <c r="Z703" i="23"/>
  <c r="AA703" i="23" a="1"/>
  <c r="AA703" i="23"/>
  <c r="AB703" i="23"/>
  <c r="AC703" i="23" a="1"/>
  <c r="AC703" i="23" s="1"/>
  <c r="AD703" i="23"/>
  <c r="AE703" i="23"/>
  <c r="AF703" i="23" a="1"/>
  <c r="AF703" i="23" s="1"/>
  <c r="X704" i="23"/>
  <c r="Y704" i="23"/>
  <c r="Z704" i="23"/>
  <c r="AA704" i="23" a="1"/>
  <c r="AA704" i="23" s="1"/>
  <c r="AB704" i="23"/>
  <c r="AC704" i="23" a="1"/>
  <c r="AC704" i="23"/>
  <c r="AD704" i="23"/>
  <c r="AE704" i="23"/>
  <c r="AF704" i="23" a="1"/>
  <c r="AF704" i="23" s="1"/>
  <c r="X705" i="23"/>
  <c r="Y705" i="23"/>
  <c r="Z705" i="23"/>
  <c r="AA705" i="23" a="1"/>
  <c r="AA705" i="23"/>
  <c r="AB705" i="23"/>
  <c r="AC705" i="23" a="1"/>
  <c r="AC705" i="23" s="1"/>
  <c r="AD705" i="23"/>
  <c r="AE705" i="23"/>
  <c r="AF705" i="23" a="1"/>
  <c r="AF705" i="23" s="1"/>
  <c r="X706" i="23"/>
  <c r="Y706" i="23"/>
  <c r="Z706" i="23"/>
  <c r="AA706" i="23" a="1"/>
  <c r="AA706" i="23" s="1"/>
  <c r="AB706" i="23"/>
  <c r="AC706" i="23" a="1"/>
  <c r="AC706" i="23" s="1"/>
  <c r="AD706" i="23"/>
  <c r="AE706" i="23"/>
  <c r="AF706" i="23" a="1"/>
  <c r="AF706" i="23" s="1"/>
  <c r="X707" i="23"/>
  <c r="Y707" i="23"/>
  <c r="Z707" i="23"/>
  <c r="AA707" i="23" a="1"/>
  <c r="AA707" i="23" s="1"/>
  <c r="AB707" i="23"/>
  <c r="AC707" i="23" a="1"/>
  <c r="AC707" i="23" s="1"/>
  <c r="AD707" i="23"/>
  <c r="AE707" i="23"/>
  <c r="AF707" i="23" a="1"/>
  <c r="AF707" i="23" s="1"/>
  <c r="X708" i="23"/>
  <c r="Y708" i="23"/>
  <c r="Z708" i="23"/>
  <c r="AA708" i="23" a="1"/>
  <c r="AA708" i="23" s="1"/>
  <c r="AB708" i="23"/>
  <c r="AC708" i="23" a="1"/>
  <c r="AC708" i="23" s="1"/>
  <c r="AD708" i="23"/>
  <c r="AE708" i="23"/>
  <c r="AF708" i="23" a="1"/>
  <c r="AF708" i="23" s="1"/>
  <c r="X709" i="23"/>
  <c r="Y709" i="23"/>
  <c r="Z709" i="23"/>
  <c r="AA709" i="23" a="1"/>
  <c r="AA709" i="23"/>
  <c r="AB709" i="23"/>
  <c r="AC709" i="23" a="1"/>
  <c r="AC709" i="23" s="1"/>
  <c r="AD709" i="23"/>
  <c r="AE709" i="23"/>
  <c r="AF709" i="23" a="1"/>
  <c r="AF709" i="23" s="1"/>
  <c r="X710" i="23"/>
  <c r="Y710" i="23"/>
  <c r="Z710" i="23"/>
  <c r="AA710" i="23" a="1"/>
  <c r="AA710" i="23" s="1"/>
  <c r="AB710" i="23"/>
  <c r="AC710" i="23" a="1"/>
  <c r="AC710" i="23" s="1"/>
  <c r="AD710" i="23"/>
  <c r="AE710" i="23"/>
  <c r="AF710" i="23" a="1"/>
  <c r="AF710" i="23" s="1"/>
  <c r="X711" i="23"/>
  <c r="Y711" i="23"/>
  <c r="Z711" i="23"/>
  <c r="AA711" i="23" a="1"/>
  <c r="AA711" i="23" s="1"/>
  <c r="AB711" i="23"/>
  <c r="AC711" i="23" a="1"/>
  <c r="AC711" i="23" s="1"/>
  <c r="AD711" i="23"/>
  <c r="AE711" i="23"/>
  <c r="AF711" i="23" a="1"/>
  <c r="AF711" i="23" s="1"/>
  <c r="X712" i="23"/>
  <c r="Y712" i="23"/>
  <c r="Z712" i="23"/>
  <c r="AA712" i="23" a="1"/>
  <c r="AA712" i="23" s="1"/>
  <c r="AB712" i="23"/>
  <c r="AC712" i="23" a="1"/>
  <c r="AC712" i="23" s="1"/>
  <c r="AD712" i="23"/>
  <c r="AE712" i="23"/>
  <c r="AF712" i="23" a="1"/>
  <c r="AF712" i="23" s="1"/>
  <c r="X713" i="23"/>
  <c r="Y713" i="23"/>
  <c r="Z713" i="23"/>
  <c r="AA713" i="23" a="1"/>
  <c r="AA713" i="23" s="1"/>
  <c r="AB713" i="23"/>
  <c r="AC713" i="23" a="1"/>
  <c r="AC713" i="23" s="1"/>
  <c r="AD713" i="23"/>
  <c r="AE713" i="23"/>
  <c r="AF713" i="23" a="1"/>
  <c r="AF713" i="23" s="1"/>
  <c r="X714" i="23"/>
  <c r="Y714" i="23"/>
  <c r="Z714" i="23"/>
  <c r="AA714" i="23" a="1"/>
  <c r="AA714" i="23" s="1"/>
  <c r="AB714" i="23"/>
  <c r="AC714" i="23" a="1"/>
  <c r="AC714" i="23" s="1"/>
  <c r="AD714" i="23"/>
  <c r="AE714" i="23"/>
  <c r="AF714" i="23" a="1"/>
  <c r="AF714" i="23" s="1"/>
  <c r="X715" i="23"/>
  <c r="Y715" i="23"/>
  <c r="Z715" i="23"/>
  <c r="AA715" i="23" a="1"/>
  <c r="AA715" i="23" s="1"/>
  <c r="AB715" i="23"/>
  <c r="AC715" i="23" a="1"/>
  <c r="AC715" i="23" s="1"/>
  <c r="AD715" i="23"/>
  <c r="AE715" i="23"/>
  <c r="AF715" i="23" a="1"/>
  <c r="AF715" i="23" s="1"/>
  <c r="X716" i="23"/>
  <c r="Y716" i="23"/>
  <c r="Z716" i="23"/>
  <c r="AA716" i="23" a="1"/>
  <c r="AA716" i="23" s="1"/>
  <c r="AB716" i="23"/>
  <c r="AC716" i="23" a="1"/>
  <c r="AC716" i="23" s="1"/>
  <c r="AD716" i="23"/>
  <c r="AE716" i="23"/>
  <c r="AF716" i="23" a="1"/>
  <c r="AF716" i="23" s="1"/>
  <c r="X717" i="23"/>
  <c r="Y717" i="23"/>
  <c r="Z717" i="23"/>
  <c r="AA717" i="23" a="1"/>
  <c r="AA717" i="23" s="1"/>
  <c r="AB717" i="23"/>
  <c r="AC717" i="23" a="1"/>
  <c r="AC717" i="23" s="1"/>
  <c r="AD717" i="23"/>
  <c r="AE717" i="23"/>
  <c r="AF717" i="23" a="1"/>
  <c r="AF717" i="23" s="1"/>
  <c r="X718" i="23"/>
  <c r="Y718" i="23"/>
  <c r="Z718" i="23"/>
  <c r="AA718" i="23" a="1"/>
  <c r="AA718" i="23" s="1"/>
  <c r="AB718" i="23"/>
  <c r="AC718" i="23" a="1"/>
  <c r="AC718" i="23" s="1"/>
  <c r="AD718" i="23"/>
  <c r="AE718" i="23"/>
  <c r="AF718" i="23" a="1"/>
  <c r="AF718" i="23" s="1"/>
  <c r="X719" i="23"/>
  <c r="Y719" i="23"/>
  <c r="Z719" i="23"/>
  <c r="AA719" i="23" a="1"/>
  <c r="AA719" i="23"/>
  <c r="AB719" i="23"/>
  <c r="AC719" i="23" a="1"/>
  <c r="AC719" i="23" s="1"/>
  <c r="AD719" i="23"/>
  <c r="AE719" i="23"/>
  <c r="AF719" i="23" a="1"/>
  <c r="AF719" i="23" s="1"/>
  <c r="X720" i="23"/>
  <c r="Y720" i="23"/>
  <c r="Z720" i="23"/>
  <c r="AA720" i="23" a="1"/>
  <c r="AA720" i="23" s="1"/>
  <c r="AB720" i="23"/>
  <c r="AC720" i="23" a="1"/>
  <c r="AC720" i="23" s="1"/>
  <c r="AD720" i="23"/>
  <c r="AE720" i="23"/>
  <c r="AF720" i="23" a="1"/>
  <c r="AF720" i="23" s="1"/>
  <c r="X721" i="23"/>
  <c r="Y721" i="23"/>
  <c r="Z721" i="23"/>
  <c r="AA721" i="23" a="1"/>
  <c r="AA721" i="23"/>
  <c r="AB721" i="23"/>
  <c r="AC721" i="23" a="1"/>
  <c r="AC721" i="23" s="1"/>
  <c r="AD721" i="23"/>
  <c r="AE721" i="23"/>
  <c r="AF721" i="23" a="1"/>
  <c r="AF721" i="23" s="1"/>
  <c r="X722" i="23"/>
  <c r="Y722" i="23"/>
  <c r="Z722" i="23"/>
  <c r="AA722" i="23" a="1"/>
  <c r="AA722" i="23" s="1"/>
  <c r="AB722" i="23"/>
  <c r="AC722" i="23" a="1"/>
  <c r="AC722" i="23" s="1"/>
  <c r="AD722" i="23"/>
  <c r="AE722" i="23"/>
  <c r="AF722" i="23" a="1"/>
  <c r="AF722" i="23" s="1"/>
  <c r="X723" i="23"/>
  <c r="Y723" i="23"/>
  <c r="Z723" i="23"/>
  <c r="AA723" i="23" a="1"/>
  <c r="AA723" i="23" s="1"/>
  <c r="AB723" i="23"/>
  <c r="AC723" i="23" a="1"/>
  <c r="AC723" i="23" s="1"/>
  <c r="AD723" i="23"/>
  <c r="AE723" i="23"/>
  <c r="AF723" i="23" a="1"/>
  <c r="AF723" i="23" s="1"/>
  <c r="X724" i="23"/>
  <c r="Y724" i="23"/>
  <c r="Z724" i="23"/>
  <c r="AA724" i="23" a="1"/>
  <c r="AA724" i="23" s="1"/>
  <c r="AB724" i="23"/>
  <c r="AC724" i="23" a="1"/>
  <c r="AC724" i="23"/>
  <c r="AD724" i="23"/>
  <c r="AE724" i="23"/>
  <c r="AF724" i="23" a="1"/>
  <c r="AF724" i="23" s="1"/>
  <c r="X725" i="23"/>
  <c r="Y725" i="23"/>
  <c r="Z725" i="23"/>
  <c r="AA725" i="23" a="1"/>
  <c r="AA725" i="23"/>
  <c r="AB725" i="23"/>
  <c r="AC725" i="23" a="1"/>
  <c r="AC725" i="23" s="1"/>
  <c r="AD725" i="23"/>
  <c r="AE725" i="23"/>
  <c r="AF725" i="23" a="1"/>
  <c r="AF725" i="23" s="1"/>
  <c r="X726" i="23"/>
  <c r="Y726" i="23"/>
  <c r="Z726" i="23"/>
  <c r="AA726" i="23" a="1"/>
  <c r="AA726" i="23" s="1"/>
  <c r="AB726" i="23"/>
  <c r="AC726" i="23" a="1"/>
  <c r="AC726" i="23" s="1"/>
  <c r="AD726" i="23"/>
  <c r="AE726" i="23"/>
  <c r="AF726" i="23" a="1"/>
  <c r="AF726" i="23" s="1"/>
  <c r="X727" i="23"/>
  <c r="Y727" i="23"/>
  <c r="Z727" i="23"/>
  <c r="AA727" i="23" a="1"/>
  <c r="AA727" i="23"/>
  <c r="AB727" i="23"/>
  <c r="AC727" i="23" a="1"/>
  <c r="AC727" i="23"/>
  <c r="AD727" i="23"/>
  <c r="AE727" i="23"/>
  <c r="AF727" i="23" a="1"/>
  <c r="AF727" i="23" s="1"/>
  <c r="X728" i="23"/>
  <c r="Y728" i="23"/>
  <c r="Z728" i="23"/>
  <c r="AA728" i="23" a="1"/>
  <c r="AA728" i="23" s="1"/>
  <c r="AB728" i="23"/>
  <c r="AC728" i="23" a="1"/>
  <c r="AC728" i="23" s="1"/>
  <c r="AD728" i="23"/>
  <c r="AE728" i="23"/>
  <c r="AF728" i="23" a="1"/>
  <c r="AF728" i="23" s="1"/>
  <c r="X729" i="23"/>
  <c r="Y729" i="23"/>
  <c r="Z729" i="23"/>
  <c r="AA729" i="23" a="1"/>
  <c r="AA729" i="23" s="1"/>
  <c r="AB729" i="23"/>
  <c r="AC729" i="23" a="1"/>
  <c r="AC729" i="23" s="1"/>
  <c r="AD729" i="23"/>
  <c r="AE729" i="23"/>
  <c r="AF729" i="23" a="1"/>
  <c r="AF729" i="23" s="1"/>
  <c r="X730" i="23"/>
  <c r="Y730" i="23"/>
  <c r="Z730" i="23"/>
  <c r="AA730" i="23" a="1"/>
  <c r="AA730" i="23"/>
  <c r="AB730" i="23"/>
  <c r="AC730" i="23" a="1"/>
  <c r="AC730" i="23" s="1"/>
  <c r="AD730" i="23"/>
  <c r="AE730" i="23"/>
  <c r="AF730" i="23" a="1"/>
  <c r="AF730" i="23" s="1"/>
  <c r="X731" i="23"/>
  <c r="Y731" i="23"/>
  <c r="Z731" i="23"/>
  <c r="AA731" i="23" a="1"/>
  <c r="AA731" i="23" s="1"/>
  <c r="AB731" i="23"/>
  <c r="AC731" i="23" a="1"/>
  <c r="AC731" i="23" s="1"/>
  <c r="AD731" i="23"/>
  <c r="AE731" i="23"/>
  <c r="AF731" i="23" a="1"/>
  <c r="AF731" i="23" s="1"/>
  <c r="X732" i="23"/>
  <c r="Y732" i="23"/>
  <c r="Z732" i="23"/>
  <c r="AA732" i="23" a="1"/>
  <c r="AA732" i="23"/>
  <c r="AB732" i="23"/>
  <c r="AC732" i="23" a="1"/>
  <c r="AC732" i="23" s="1"/>
  <c r="AD732" i="23"/>
  <c r="AE732" i="23"/>
  <c r="AF732" i="23" a="1"/>
  <c r="AF732" i="23" s="1"/>
  <c r="X733" i="23"/>
  <c r="Y733" i="23"/>
  <c r="Z733" i="23"/>
  <c r="AA733" i="23" a="1"/>
  <c r="AA733" i="23" s="1"/>
  <c r="AB733" i="23"/>
  <c r="AC733" i="23" a="1"/>
  <c r="AC733" i="23" s="1"/>
  <c r="AD733" i="23"/>
  <c r="AE733" i="23"/>
  <c r="AF733" i="23" a="1"/>
  <c r="AF733" i="23" s="1"/>
  <c r="X734" i="23"/>
  <c r="Y734" i="23"/>
  <c r="Z734" i="23"/>
  <c r="AA734" i="23" a="1"/>
  <c r="AA734" i="23"/>
  <c r="AB734" i="23"/>
  <c r="AC734" i="23" a="1"/>
  <c r="AC734" i="23" s="1"/>
  <c r="AD734" i="23"/>
  <c r="AE734" i="23"/>
  <c r="AF734" i="23" a="1"/>
  <c r="AF734" i="23" s="1"/>
  <c r="X735" i="23"/>
  <c r="Y735" i="23"/>
  <c r="Z735" i="23"/>
  <c r="AA735" i="23" a="1"/>
  <c r="AA735" i="23" s="1"/>
  <c r="AB735" i="23"/>
  <c r="AC735" i="23" a="1"/>
  <c r="AC735" i="23" s="1"/>
  <c r="AD735" i="23"/>
  <c r="AE735" i="23"/>
  <c r="AF735" i="23" a="1"/>
  <c r="AF735" i="23" s="1"/>
  <c r="X736" i="23"/>
  <c r="Y736" i="23"/>
  <c r="Z736" i="23"/>
  <c r="AA736" i="23" a="1"/>
  <c r="AA736" i="23"/>
  <c r="AB736" i="23"/>
  <c r="AC736" i="23" a="1"/>
  <c r="AC736" i="23" s="1"/>
  <c r="AD736" i="23"/>
  <c r="AE736" i="23"/>
  <c r="AF736" i="23" a="1"/>
  <c r="AF736" i="23" s="1"/>
  <c r="X737" i="23"/>
  <c r="Y737" i="23"/>
  <c r="Z737" i="23"/>
  <c r="AA737" i="23" a="1"/>
  <c r="AA737" i="23" s="1"/>
  <c r="AB737" i="23"/>
  <c r="AC737" i="23" a="1"/>
  <c r="AC737" i="23" s="1"/>
  <c r="AD737" i="23"/>
  <c r="AE737" i="23"/>
  <c r="AF737" i="23" a="1"/>
  <c r="AF737" i="23" s="1"/>
  <c r="X738" i="23"/>
  <c r="Y738" i="23"/>
  <c r="Z738" i="23"/>
  <c r="AA738" i="23" a="1"/>
  <c r="AA738" i="23"/>
  <c r="AB738" i="23"/>
  <c r="AC738" i="23" a="1"/>
  <c r="AC738" i="23" s="1"/>
  <c r="AD738" i="23"/>
  <c r="AE738" i="23"/>
  <c r="AF738" i="23" a="1"/>
  <c r="AF738" i="23" s="1"/>
  <c r="X739" i="23"/>
  <c r="Y739" i="23"/>
  <c r="Z739" i="23"/>
  <c r="AA739" i="23" a="1"/>
  <c r="AA739" i="23" s="1"/>
  <c r="AB739" i="23"/>
  <c r="AC739" i="23" a="1"/>
  <c r="AC739" i="23" s="1"/>
  <c r="AD739" i="23"/>
  <c r="AE739" i="23"/>
  <c r="AF739" i="23" a="1"/>
  <c r="AF739" i="23" s="1"/>
  <c r="X740" i="23"/>
  <c r="Y740" i="23"/>
  <c r="Z740" i="23"/>
  <c r="AA740" i="23" a="1"/>
  <c r="AA740" i="23"/>
  <c r="AB740" i="23"/>
  <c r="AC740" i="23" a="1"/>
  <c r="AC740" i="23" s="1"/>
  <c r="AD740" i="23"/>
  <c r="AE740" i="23"/>
  <c r="AF740" i="23" a="1"/>
  <c r="AF740" i="23" s="1"/>
  <c r="X741" i="23"/>
  <c r="Y741" i="23"/>
  <c r="Z741" i="23"/>
  <c r="AA741" i="23" a="1"/>
  <c r="AA741" i="23" s="1"/>
  <c r="AB741" i="23"/>
  <c r="AC741" i="23" a="1"/>
  <c r="AC741" i="23" s="1"/>
  <c r="AD741" i="23"/>
  <c r="AE741" i="23"/>
  <c r="AF741" i="23" a="1"/>
  <c r="AF741" i="23" s="1"/>
  <c r="X742" i="23"/>
  <c r="Y742" i="23"/>
  <c r="Z742" i="23"/>
  <c r="AA742" i="23" a="1"/>
  <c r="AA742" i="23"/>
  <c r="AB742" i="23"/>
  <c r="AC742" i="23" a="1"/>
  <c r="AC742" i="23" s="1"/>
  <c r="AD742" i="23"/>
  <c r="AE742" i="23"/>
  <c r="AF742" i="23" a="1"/>
  <c r="AF742" i="23" s="1"/>
  <c r="X743" i="23"/>
  <c r="Y743" i="23"/>
  <c r="Z743" i="23"/>
  <c r="AA743" i="23" a="1"/>
  <c r="AA743" i="23" s="1"/>
  <c r="AB743" i="23"/>
  <c r="AC743" i="23" a="1"/>
  <c r="AC743" i="23" s="1"/>
  <c r="AD743" i="23"/>
  <c r="AE743" i="23"/>
  <c r="AF743" i="23" a="1"/>
  <c r="AF743" i="23" s="1"/>
  <c r="X744" i="23"/>
  <c r="Y744" i="23"/>
  <c r="Z744" i="23"/>
  <c r="AA744" i="23" a="1"/>
  <c r="AA744" i="23"/>
  <c r="AB744" i="23"/>
  <c r="AC744" i="23" a="1"/>
  <c r="AC744" i="23" s="1"/>
  <c r="AD744" i="23"/>
  <c r="AE744" i="23"/>
  <c r="AF744" i="23" a="1"/>
  <c r="AF744" i="23" s="1"/>
  <c r="X745" i="23"/>
  <c r="Y745" i="23"/>
  <c r="Z745" i="23"/>
  <c r="AA745" i="23" a="1"/>
  <c r="AA745" i="23" s="1"/>
  <c r="AB745" i="23"/>
  <c r="AC745" i="23" a="1"/>
  <c r="AC745" i="23" s="1"/>
  <c r="AD745" i="23"/>
  <c r="AE745" i="23"/>
  <c r="AF745" i="23" a="1"/>
  <c r="AF745" i="23" s="1"/>
  <c r="X746" i="23"/>
  <c r="Y746" i="23"/>
  <c r="Z746" i="23"/>
  <c r="AA746" i="23" a="1"/>
  <c r="AA746" i="23"/>
  <c r="AB746" i="23"/>
  <c r="AC746" i="23" a="1"/>
  <c r="AC746" i="23" s="1"/>
  <c r="AD746" i="23"/>
  <c r="AE746" i="23"/>
  <c r="AF746" i="23" a="1"/>
  <c r="AF746" i="23" s="1"/>
  <c r="X747" i="23"/>
  <c r="Y747" i="23"/>
  <c r="Z747" i="23"/>
  <c r="AA747" i="23" a="1"/>
  <c r="AA747" i="23" s="1"/>
  <c r="AB747" i="23"/>
  <c r="AC747" i="23" a="1"/>
  <c r="AC747" i="23" s="1"/>
  <c r="AD747" i="23"/>
  <c r="AE747" i="23"/>
  <c r="AF747" i="23" a="1"/>
  <c r="AF747" i="23" s="1"/>
  <c r="X748" i="23"/>
  <c r="Y748" i="23"/>
  <c r="Z748" i="23"/>
  <c r="AA748" i="23" a="1"/>
  <c r="AA748" i="23"/>
  <c r="AB748" i="23"/>
  <c r="AC748" i="23" a="1"/>
  <c r="AC748" i="23" s="1"/>
  <c r="AD748" i="23"/>
  <c r="AE748" i="23"/>
  <c r="AF748" i="23" a="1"/>
  <c r="AF748" i="23" s="1"/>
  <c r="X749" i="23"/>
  <c r="Y749" i="23"/>
  <c r="Z749" i="23"/>
  <c r="AA749" i="23" a="1"/>
  <c r="AA749" i="23" s="1"/>
  <c r="AB749" i="23"/>
  <c r="AC749" i="23" a="1"/>
  <c r="AC749" i="23" s="1"/>
  <c r="AD749" i="23"/>
  <c r="AE749" i="23"/>
  <c r="AF749" i="23" a="1"/>
  <c r="AF749" i="23" s="1"/>
  <c r="X750" i="23"/>
  <c r="Y750" i="23"/>
  <c r="Z750" i="23"/>
  <c r="AA750" i="23" a="1"/>
  <c r="AA750" i="23"/>
  <c r="AB750" i="23"/>
  <c r="AC750" i="23" a="1"/>
  <c r="AC750" i="23" s="1"/>
  <c r="AD750" i="23"/>
  <c r="AE750" i="23"/>
  <c r="AF750" i="23" a="1"/>
  <c r="AF750" i="23" s="1"/>
  <c r="X751" i="23"/>
  <c r="Y751" i="23"/>
  <c r="Z751" i="23"/>
  <c r="AA751" i="23" a="1"/>
  <c r="AA751" i="23" s="1"/>
  <c r="AB751" i="23"/>
  <c r="AC751" i="23" a="1"/>
  <c r="AC751" i="23" s="1"/>
  <c r="AD751" i="23"/>
  <c r="AE751" i="23"/>
  <c r="AF751" i="23" a="1"/>
  <c r="AF751" i="23" s="1"/>
  <c r="X752" i="23"/>
  <c r="Y752" i="23"/>
  <c r="Z752" i="23"/>
  <c r="AA752" i="23" a="1"/>
  <c r="AA752" i="23"/>
  <c r="AB752" i="23"/>
  <c r="AC752" i="23" a="1"/>
  <c r="AC752" i="23" s="1"/>
  <c r="AD752" i="23"/>
  <c r="AE752" i="23"/>
  <c r="AF752" i="23" a="1"/>
  <c r="AF752" i="23" s="1"/>
  <c r="X753" i="23"/>
  <c r="Y753" i="23"/>
  <c r="Z753" i="23"/>
  <c r="AA753" i="23" a="1"/>
  <c r="AA753" i="23" s="1"/>
  <c r="AB753" i="23"/>
  <c r="AC753" i="23" a="1"/>
  <c r="AC753" i="23" s="1"/>
  <c r="AD753" i="23"/>
  <c r="AE753" i="23"/>
  <c r="AF753" i="23" a="1"/>
  <c r="AF753" i="23" s="1"/>
  <c r="X754" i="23"/>
  <c r="Y754" i="23"/>
  <c r="Z754" i="23"/>
  <c r="AA754" i="23" a="1"/>
  <c r="AA754" i="23"/>
  <c r="AB754" i="23"/>
  <c r="AC754" i="23" a="1"/>
  <c r="AC754" i="23" s="1"/>
  <c r="AD754" i="23"/>
  <c r="AE754" i="23"/>
  <c r="AF754" i="23" a="1"/>
  <c r="AF754" i="23" s="1"/>
  <c r="X755" i="23"/>
  <c r="Y755" i="23"/>
  <c r="Z755" i="23"/>
  <c r="AA755" i="23" a="1"/>
  <c r="AA755" i="23" s="1"/>
  <c r="AB755" i="23"/>
  <c r="AC755" i="23" a="1"/>
  <c r="AC755" i="23" s="1"/>
  <c r="AD755" i="23"/>
  <c r="AE755" i="23"/>
  <c r="AF755" i="23" a="1"/>
  <c r="AF755" i="23" s="1"/>
  <c r="X756" i="23"/>
  <c r="Y756" i="23"/>
  <c r="Z756" i="23"/>
  <c r="AA756" i="23" a="1"/>
  <c r="AA756" i="23"/>
  <c r="AB756" i="23"/>
  <c r="AC756" i="23" a="1"/>
  <c r="AC756" i="23" s="1"/>
  <c r="AD756" i="23"/>
  <c r="AE756" i="23"/>
  <c r="AF756" i="23" a="1"/>
  <c r="AF756" i="23" s="1"/>
  <c r="X757" i="23"/>
  <c r="Y757" i="23"/>
  <c r="Z757" i="23"/>
  <c r="AA757" i="23" a="1"/>
  <c r="AA757" i="23" s="1"/>
  <c r="AB757" i="23"/>
  <c r="AC757" i="23" a="1"/>
  <c r="AC757" i="23" s="1"/>
  <c r="AD757" i="23"/>
  <c r="AE757" i="23"/>
  <c r="AF757" i="23" a="1"/>
  <c r="AF757" i="23" s="1"/>
  <c r="X758" i="23"/>
  <c r="Y758" i="23"/>
  <c r="Z758" i="23"/>
  <c r="AA758" i="23" a="1"/>
  <c r="AA758" i="23"/>
  <c r="AB758" i="23"/>
  <c r="AC758" i="23" a="1"/>
  <c r="AC758" i="23" s="1"/>
  <c r="AD758" i="23"/>
  <c r="AE758" i="23"/>
  <c r="AF758" i="23" a="1"/>
  <c r="AF758" i="23" s="1"/>
  <c r="X759" i="23"/>
  <c r="Y759" i="23"/>
  <c r="Z759" i="23"/>
  <c r="AA759" i="23" a="1"/>
  <c r="AA759" i="23" s="1"/>
  <c r="AB759" i="23"/>
  <c r="AC759" i="23" a="1"/>
  <c r="AC759" i="23" s="1"/>
  <c r="AD759" i="23"/>
  <c r="AE759" i="23"/>
  <c r="AF759" i="23" a="1"/>
  <c r="AF759" i="23" s="1"/>
  <c r="X760" i="23"/>
  <c r="Y760" i="23"/>
  <c r="Z760" i="23"/>
  <c r="AA760" i="23" a="1"/>
  <c r="AA760" i="23"/>
  <c r="AB760" i="23"/>
  <c r="AC760" i="23" a="1"/>
  <c r="AC760" i="23" s="1"/>
  <c r="AD760" i="23"/>
  <c r="AE760" i="23"/>
  <c r="AF760" i="23" a="1"/>
  <c r="AF760" i="23" s="1"/>
  <c r="X761" i="23"/>
  <c r="Y761" i="23"/>
  <c r="Z761" i="23"/>
  <c r="AA761" i="23" a="1"/>
  <c r="AA761" i="23" s="1"/>
  <c r="AB761" i="23"/>
  <c r="AC761" i="23" a="1"/>
  <c r="AC761" i="23" s="1"/>
  <c r="AD761" i="23"/>
  <c r="AE761" i="23"/>
  <c r="AF761" i="23" a="1"/>
  <c r="AF761" i="23" s="1"/>
  <c r="X762" i="23"/>
  <c r="Y762" i="23"/>
  <c r="Z762" i="23"/>
  <c r="AA762" i="23" a="1"/>
  <c r="AA762" i="23"/>
  <c r="AB762" i="23"/>
  <c r="AC762" i="23" a="1"/>
  <c r="AC762" i="23" s="1"/>
  <c r="AD762" i="23"/>
  <c r="AE762" i="23"/>
  <c r="AF762" i="23" a="1"/>
  <c r="AF762" i="23" s="1"/>
  <c r="X763" i="23"/>
  <c r="Y763" i="23"/>
  <c r="Z763" i="23"/>
  <c r="AA763" i="23" a="1"/>
  <c r="AA763" i="23" s="1"/>
  <c r="AB763" i="23"/>
  <c r="AC763" i="23" a="1"/>
  <c r="AC763" i="23" s="1"/>
  <c r="AD763" i="23"/>
  <c r="AE763" i="23"/>
  <c r="AF763" i="23" a="1"/>
  <c r="AF763" i="23" s="1"/>
  <c r="X764" i="23"/>
  <c r="Y764" i="23"/>
  <c r="Z764" i="23"/>
  <c r="AA764" i="23" a="1"/>
  <c r="AA764" i="23"/>
  <c r="AB764" i="23"/>
  <c r="AC764" i="23" a="1"/>
  <c r="AC764" i="23" s="1"/>
  <c r="AD764" i="23"/>
  <c r="AE764" i="23"/>
  <c r="AF764" i="23" a="1"/>
  <c r="AF764" i="23" s="1"/>
  <c r="X765" i="23"/>
  <c r="Y765" i="23"/>
  <c r="Z765" i="23"/>
  <c r="AA765" i="23" a="1"/>
  <c r="AA765" i="23" s="1"/>
  <c r="AB765" i="23"/>
  <c r="AC765" i="23" a="1"/>
  <c r="AC765" i="23" s="1"/>
  <c r="AD765" i="23"/>
  <c r="AE765" i="23"/>
  <c r="AF765" i="23" a="1"/>
  <c r="AF765" i="23" s="1"/>
  <c r="X766" i="23"/>
  <c r="Y766" i="23"/>
  <c r="Z766" i="23"/>
  <c r="AA766" i="23" a="1"/>
  <c r="AA766" i="23"/>
  <c r="AB766" i="23"/>
  <c r="AC766" i="23" a="1"/>
  <c r="AC766" i="23" s="1"/>
  <c r="AD766" i="23"/>
  <c r="AE766" i="23"/>
  <c r="AF766" i="23" a="1"/>
  <c r="AF766" i="23" s="1"/>
  <c r="X767" i="23"/>
  <c r="Y767" i="23"/>
  <c r="Z767" i="23"/>
  <c r="AA767" i="23" a="1"/>
  <c r="AA767" i="23" s="1"/>
  <c r="AB767" i="23"/>
  <c r="AC767" i="23" a="1"/>
  <c r="AC767" i="23" s="1"/>
  <c r="AD767" i="23"/>
  <c r="AE767" i="23"/>
  <c r="AF767" i="23" a="1"/>
  <c r="AF767" i="23" s="1"/>
  <c r="X768" i="23"/>
  <c r="Y768" i="23"/>
  <c r="Z768" i="23"/>
  <c r="AA768" i="23" a="1"/>
  <c r="AA768" i="23" s="1"/>
  <c r="AB768" i="23"/>
  <c r="AC768" i="23" a="1"/>
  <c r="AC768" i="23" s="1"/>
  <c r="AD768" i="23"/>
  <c r="AE768" i="23"/>
  <c r="AF768" i="23" a="1"/>
  <c r="AF768" i="23" s="1"/>
  <c r="X769" i="23"/>
  <c r="Y769" i="23"/>
  <c r="Z769" i="23"/>
  <c r="AA769" i="23" a="1"/>
  <c r="AA769" i="23" s="1"/>
  <c r="AB769" i="23"/>
  <c r="AC769" i="23" a="1"/>
  <c r="AC769" i="23" s="1"/>
  <c r="AD769" i="23"/>
  <c r="AE769" i="23"/>
  <c r="AF769" i="23" a="1"/>
  <c r="AF769" i="23" s="1"/>
  <c r="X770" i="23"/>
  <c r="Y770" i="23"/>
  <c r="Z770" i="23"/>
  <c r="AA770" i="23" a="1"/>
  <c r="AA770" i="23" s="1"/>
  <c r="AB770" i="23"/>
  <c r="AC770" i="23" a="1"/>
  <c r="AC770" i="23" s="1"/>
  <c r="AD770" i="23"/>
  <c r="AE770" i="23"/>
  <c r="AF770" i="23" a="1"/>
  <c r="AF770" i="23" s="1"/>
  <c r="X771" i="23"/>
  <c r="Y771" i="23"/>
  <c r="Z771" i="23"/>
  <c r="AA771" i="23" a="1"/>
  <c r="AA771" i="23" s="1"/>
  <c r="AB771" i="23"/>
  <c r="AC771" i="23" a="1"/>
  <c r="AC771" i="23" s="1"/>
  <c r="AD771" i="23"/>
  <c r="AE771" i="23"/>
  <c r="AF771" i="23" a="1"/>
  <c r="AF771" i="23" s="1"/>
  <c r="X772" i="23"/>
  <c r="Y772" i="23"/>
  <c r="Z772" i="23"/>
  <c r="AA772" i="23" a="1"/>
  <c r="AA772" i="23" s="1"/>
  <c r="AB772" i="23"/>
  <c r="AC772" i="23" a="1"/>
  <c r="AC772" i="23" s="1"/>
  <c r="AD772" i="23"/>
  <c r="AE772" i="23"/>
  <c r="AF772" i="23" a="1"/>
  <c r="AF772" i="23" s="1"/>
  <c r="X773" i="23"/>
  <c r="Y773" i="23"/>
  <c r="Z773" i="23"/>
  <c r="AA773" i="23" a="1"/>
  <c r="AA773" i="23" s="1"/>
  <c r="AB773" i="23"/>
  <c r="AC773" i="23" a="1"/>
  <c r="AC773" i="23" s="1"/>
  <c r="AD773" i="23"/>
  <c r="AE773" i="23"/>
  <c r="AF773" i="23" a="1"/>
  <c r="AF773" i="23" s="1"/>
  <c r="X774" i="23"/>
  <c r="Y774" i="23"/>
  <c r="Z774" i="23"/>
  <c r="AA774" i="23" a="1"/>
  <c r="AA774" i="23" s="1"/>
  <c r="AB774" i="23"/>
  <c r="AC774" i="23" a="1"/>
  <c r="AC774" i="23" s="1"/>
  <c r="AD774" i="23"/>
  <c r="AE774" i="23"/>
  <c r="AF774" i="23" a="1"/>
  <c r="AF774" i="23" s="1"/>
  <c r="X775" i="23"/>
  <c r="Y775" i="23"/>
  <c r="Z775" i="23"/>
  <c r="AA775" i="23" a="1"/>
  <c r="AA775" i="23" s="1"/>
  <c r="AB775" i="23"/>
  <c r="AC775" i="23" a="1"/>
  <c r="AC775" i="23" s="1"/>
  <c r="AD775" i="23"/>
  <c r="AE775" i="23"/>
  <c r="AF775" i="23" a="1"/>
  <c r="AF775" i="23" s="1"/>
  <c r="X776" i="23"/>
  <c r="Y776" i="23"/>
  <c r="Z776" i="23"/>
  <c r="AA776" i="23" a="1"/>
  <c r="AA776" i="23" s="1"/>
  <c r="AB776" i="23"/>
  <c r="AC776" i="23" a="1"/>
  <c r="AC776" i="23" s="1"/>
  <c r="AD776" i="23"/>
  <c r="AE776" i="23"/>
  <c r="AF776" i="23" a="1"/>
  <c r="AF776" i="23" s="1"/>
  <c r="X777" i="23"/>
  <c r="Y777" i="23"/>
  <c r="Z777" i="23"/>
  <c r="AA777" i="23" a="1"/>
  <c r="AA777" i="23" s="1"/>
  <c r="AB777" i="23"/>
  <c r="AC777" i="23" a="1"/>
  <c r="AC777" i="23" s="1"/>
  <c r="AD777" i="23"/>
  <c r="AE777" i="23"/>
  <c r="AF777" i="23" a="1"/>
  <c r="AF777" i="23" s="1"/>
  <c r="X778" i="23"/>
  <c r="Y778" i="23"/>
  <c r="Z778" i="23"/>
  <c r="AA778" i="23" a="1"/>
  <c r="AA778" i="23" s="1"/>
  <c r="AB778" i="23"/>
  <c r="AC778" i="23" a="1"/>
  <c r="AC778" i="23" s="1"/>
  <c r="AD778" i="23"/>
  <c r="AE778" i="23"/>
  <c r="AF778" i="23" a="1"/>
  <c r="AF778" i="23" s="1"/>
  <c r="X779" i="23"/>
  <c r="Y779" i="23"/>
  <c r="Z779" i="23"/>
  <c r="AA779" i="23" a="1"/>
  <c r="AA779" i="23" s="1"/>
  <c r="AB779" i="23"/>
  <c r="AC779" i="23" a="1"/>
  <c r="AC779" i="23" s="1"/>
  <c r="AD779" i="23"/>
  <c r="AE779" i="23"/>
  <c r="AF779" i="23" a="1"/>
  <c r="AF779" i="23" s="1"/>
  <c r="X780" i="23"/>
  <c r="Y780" i="23"/>
  <c r="Z780" i="23"/>
  <c r="AA780" i="23" a="1"/>
  <c r="AA780" i="23"/>
  <c r="AB780" i="23"/>
  <c r="AC780" i="23" a="1"/>
  <c r="AC780" i="23" s="1"/>
  <c r="AD780" i="23"/>
  <c r="AE780" i="23"/>
  <c r="AF780" i="23" a="1"/>
  <c r="AF780" i="23" s="1"/>
  <c r="X781" i="23"/>
  <c r="Y781" i="23"/>
  <c r="Z781" i="23"/>
  <c r="AA781" i="23" a="1"/>
  <c r="AA781" i="23" s="1"/>
  <c r="AB781" i="23"/>
  <c r="AC781" i="23" a="1"/>
  <c r="AC781" i="23" s="1"/>
  <c r="AD781" i="23"/>
  <c r="AE781" i="23"/>
  <c r="AF781" i="23" a="1"/>
  <c r="AF781" i="23" s="1"/>
  <c r="X782" i="23"/>
  <c r="Y782" i="23"/>
  <c r="Z782" i="23"/>
  <c r="AA782" i="23" a="1"/>
  <c r="AA782" i="23"/>
  <c r="AB782" i="23"/>
  <c r="AC782" i="23" a="1"/>
  <c r="AC782" i="23" s="1"/>
  <c r="AD782" i="23"/>
  <c r="AE782" i="23"/>
  <c r="AF782" i="23" a="1"/>
  <c r="AF782" i="23" s="1"/>
  <c r="X783" i="23"/>
  <c r="Y783" i="23"/>
  <c r="Z783" i="23"/>
  <c r="AA783" i="23" a="1"/>
  <c r="AA783" i="23" s="1"/>
  <c r="AB783" i="23"/>
  <c r="AC783" i="23" a="1"/>
  <c r="AC783" i="23" s="1"/>
  <c r="AD783" i="23"/>
  <c r="AE783" i="23"/>
  <c r="AF783" i="23" a="1"/>
  <c r="AF783" i="23" s="1"/>
  <c r="X784" i="23"/>
  <c r="Y784" i="23"/>
  <c r="Z784" i="23"/>
  <c r="AA784" i="23" a="1"/>
  <c r="AA784" i="23" s="1"/>
  <c r="AB784" i="23"/>
  <c r="AC784" i="23" a="1"/>
  <c r="AC784" i="23" s="1"/>
  <c r="AD784" i="23"/>
  <c r="AE784" i="23"/>
  <c r="AF784" i="23" a="1"/>
  <c r="AF784" i="23" s="1"/>
  <c r="X785" i="23"/>
  <c r="Y785" i="23"/>
  <c r="Z785" i="23"/>
  <c r="AA785" i="23" a="1"/>
  <c r="AA785" i="23" s="1"/>
  <c r="AB785" i="23"/>
  <c r="AC785" i="23" a="1"/>
  <c r="AC785" i="23" s="1"/>
  <c r="AD785" i="23"/>
  <c r="AE785" i="23"/>
  <c r="AF785" i="23" a="1"/>
  <c r="AF785" i="23" s="1"/>
  <c r="X786" i="23"/>
  <c r="Y786" i="23"/>
  <c r="Z786" i="23"/>
  <c r="AA786" i="23" a="1"/>
  <c r="AA786" i="23" s="1"/>
  <c r="AB786" i="23"/>
  <c r="AC786" i="23" a="1"/>
  <c r="AC786" i="23" s="1"/>
  <c r="AD786" i="23"/>
  <c r="AE786" i="23"/>
  <c r="AF786" i="23" a="1"/>
  <c r="AF786" i="23" s="1"/>
  <c r="X787" i="23"/>
  <c r="Y787" i="23"/>
  <c r="Z787" i="23"/>
  <c r="AA787" i="23" a="1"/>
  <c r="AA787" i="23" s="1"/>
  <c r="AB787" i="23"/>
  <c r="AC787" i="23" a="1"/>
  <c r="AC787" i="23" s="1"/>
  <c r="AD787" i="23"/>
  <c r="AE787" i="23"/>
  <c r="AF787" i="23" a="1"/>
  <c r="AF787" i="23" s="1"/>
  <c r="X788" i="23"/>
  <c r="Y788" i="23"/>
  <c r="Z788" i="23"/>
  <c r="AA788" i="23" a="1"/>
  <c r="AA788" i="23" s="1"/>
  <c r="AB788" i="23"/>
  <c r="AC788" i="23" a="1"/>
  <c r="AC788" i="23" s="1"/>
  <c r="AD788" i="23"/>
  <c r="AE788" i="23"/>
  <c r="AF788" i="23" a="1"/>
  <c r="AF788" i="23" s="1"/>
  <c r="X789" i="23"/>
  <c r="Y789" i="23"/>
  <c r="Z789" i="23"/>
  <c r="AA789" i="23" a="1"/>
  <c r="AA789" i="23" s="1"/>
  <c r="AB789" i="23"/>
  <c r="AC789" i="23" a="1"/>
  <c r="AC789" i="23" s="1"/>
  <c r="AD789" i="23"/>
  <c r="AE789" i="23"/>
  <c r="AF789" i="23" a="1"/>
  <c r="AF789" i="23" s="1"/>
  <c r="X790" i="23"/>
  <c r="Y790" i="23"/>
  <c r="Z790" i="23"/>
  <c r="AA790" i="23" a="1"/>
  <c r="AA790" i="23" s="1"/>
  <c r="AB790" i="23"/>
  <c r="AC790" i="23" a="1"/>
  <c r="AC790" i="23" s="1"/>
  <c r="AD790" i="23"/>
  <c r="AE790" i="23"/>
  <c r="AF790" i="23" a="1"/>
  <c r="AF790" i="23" s="1"/>
  <c r="X791" i="23"/>
  <c r="Y791" i="23"/>
  <c r="Z791" i="23"/>
  <c r="AA791" i="23" a="1"/>
  <c r="AA791" i="23" s="1"/>
  <c r="AB791" i="23"/>
  <c r="AC791" i="23" a="1"/>
  <c r="AC791" i="23" s="1"/>
  <c r="AD791" i="23"/>
  <c r="AE791" i="23"/>
  <c r="AF791" i="23" a="1"/>
  <c r="AF791" i="23" s="1"/>
  <c r="X792" i="23"/>
  <c r="Y792" i="23"/>
  <c r="Z792" i="23"/>
  <c r="AA792" i="23" a="1"/>
  <c r="AA792" i="23" s="1"/>
  <c r="AB792" i="23"/>
  <c r="AC792" i="23" a="1"/>
  <c r="AC792" i="23" s="1"/>
  <c r="AD792" i="23"/>
  <c r="AE792" i="23"/>
  <c r="AF792" i="23" a="1"/>
  <c r="AF792" i="23" s="1"/>
  <c r="X793" i="23"/>
  <c r="Y793" i="23"/>
  <c r="Z793" i="23"/>
  <c r="AA793" i="23" a="1"/>
  <c r="AA793" i="23" s="1"/>
  <c r="AB793" i="23"/>
  <c r="AC793" i="23" a="1"/>
  <c r="AC793" i="23" s="1"/>
  <c r="AD793" i="23"/>
  <c r="AE793" i="23"/>
  <c r="AF793" i="23" a="1"/>
  <c r="AF793" i="23" s="1"/>
  <c r="X794" i="23"/>
  <c r="Y794" i="23"/>
  <c r="Z794" i="23"/>
  <c r="AA794" i="23" a="1"/>
  <c r="AA794" i="23" s="1"/>
  <c r="AB794" i="23"/>
  <c r="AC794" i="23" a="1"/>
  <c r="AC794" i="23" s="1"/>
  <c r="AD794" i="23"/>
  <c r="AE794" i="23"/>
  <c r="AF794" i="23" a="1"/>
  <c r="AF794" i="23" s="1"/>
  <c r="X795" i="23"/>
  <c r="Y795" i="23"/>
  <c r="Z795" i="23"/>
  <c r="AA795" i="23" a="1"/>
  <c r="AA795" i="23" s="1"/>
  <c r="AB795" i="23"/>
  <c r="AC795" i="23" a="1"/>
  <c r="AC795" i="23" s="1"/>
  <c r="AD795" i="23"/>
  <c r="AE795" i="23"/>
  <c r="AF795" i="23" a="1"/>
  <c r="AF795" i="23" s="1"/>
  <c r="X796" i="23"/>
  <c r="Y796" i="23"/>
  <c r="Z796" i="23"/>
  <c r="AA796" i="23" a="1"/>
  <c r="AA796" i="23"/>
  <c r="AB796" i="23"/>
  <c r="AC796" i="23" a="1"/>
  <c r="AC796" i="23" s="1"/>
  <c r="AD796" i="23"/>
  <c r="AE796" i="23"/>
  <c r="AF796" i="23" a="1"/>
  <c r="AF796" i="23" s="1"/>
  <c r="X797" i="23"/>
  <c r="Y797" i="23"/>
  <c r="Z797" i="23"/>
  <c r="AA797" i="23" a="1"/>
  <c r="AA797" i="23" s="1"/>
  <c r="AB797" i="23"/>
  <c r="AC797" i="23" a="1"/>
  <c r="AC797" i="23" s="1"/>
  <c r="AD797" i="23"/>
  <c r="AE797" i="23"/>
  <c r="AF797" i="23" a="1"/>
  <c r="AF797" i="23" s="1"/>
  <c r="X798" i="23"/>
  <c r="Y798" i="23"/>
  <c r="Z798" i="23"/>
  <c r="AA798" i="23" a="1"/>
  <c r="AA798" i="23"/>
  <c r="AB798" i="23"/>
  <c r="AC798" i="23" a="1"/>
  <c r="AC798" i="23" s="1"/>
  <c r="AD798" i="23"/>
  <c r="AE798" i="23"/>
  <c r="AF798" i="23" a="1"/>
  <c r="AF798" i="23" s="1"/>
  <c r="X799" i="23"/>
  <c r="Y799" i="23"/>
  <c r="Z799" i="23"/>
  <c r="AA799" i="23" a="1"/>
  <c r="AA799" i="23"/>
  <c r="AB799" i="23"/>
  <c r="AC799" i="23" a="1"/>
  <c r="AC799" i="23" s="1"/>
  <c r="AD799" i="23"/>
  <c r="AE799" i="23"/>
  <c r="AF799" i="23" a="1"/>
  <c r="AF799" i="23" s="1"/>
  <c r="X800" i="23"/>
  <c r="Y800" i="23"/>
  <c r="Z800" i="23"/>
  <c r="AA800" i="23" a="1"/>
  <c r="AA800" i="23" s="1"/>
  <c r="AB800" i="23"/>
  <c r="AC800" i="23" a="1"/>
  <c r="AC800" i="23" s="1"/>
  <c r="AD800" i="23"/>
  <c r="AE800" i="23"/>
  <c r="AF800" i="23" a="1"/>
  <c r="AF800" i="23" s="1"/>
  <c r="X801" i="23"/>
  <c r="Y801" i="23"/>
  <c r="Z801" i="23"/>
  <c r="AA801" i="23" a="1"/>
  <c r="AA801" i="23"/>
  <c r="AB801" i="23"/>
  <c r="AC801" i="23" a="1"/>
  <c r="AC801" i="23" s="1"/>
  <c r="AD801" i="23"/>
  <c r="AE801" i="23"/>
  <c r="AF801" i="23" a="1"/>
  <c r="AF801" i="23" s="1"/>
  <c r="X802" i="23"/>
  <c r="Y802" i="23"/>
  <c r="Z802" i="23"/>
  <c r="AA802" i="23" a="1"/>
  <c r="AA802" i="23" s="1"/>
  <c r="AB802" i="23"/>
  <c r="AC802" i="23" a="1"/>
  <c r="AC802" i="23" s="1"/>
  <c r="AD802" i="23"/>
  <c r="AE802" i="23"/>
  <c r="AF802" i="23" a="1"/>
  <c r="AF802" i="23" s="1"/>
  <c r="X803" i="23"/>
  <c r="Y803" i="23"/>
  <c r="Z803" i="23"/>
  <c r="AA803" i="23" a="1"/>
  <c r="AA803" i="23"/>
  <c r="AB803" i="23"/>
  <c r="AC803" i="23" a="1"/>
  <c r="AC803" i="23" s="1"/>
  <c r="AD803" i="23"/>
  <c r="AE803" i="23"/>
  <c r="AF803" i="23" a="1"/>
  <c r="AF803" i="23" s="1"/>
  <c r="X804" i="23"/>
  <c r="Y804" i="23"/>
  <c r="Z804" i="23"/>
  <c r="AA804" i="23" a="1"/>
  <c r="AA804" i="23" s="1"/>
  <c r="AB804" i="23"/>
  <c r="AC804" i="23" a="1"/>
  <c r="AC804" i="23" s="1"/>
  <c r="AD804" i="23"/>
  <c r="AE804" i="23"/>
  <c r="AF804" i="23" a="1"/>
  <c r="AF804" i="23" s="1"/>
  <c r="X805" i="23"/>
  <c r="Y805" i="23"/>
  <c r="Z805" i="23"/>
  <c r="AA805" i="23" a="1"/>
  <c r="AA805" i="23"/>
  <c r="AB805" i="23"/>
  <c r="AC805" i="23" a="1"/>
  <c r="AC805" i="23" s="1"/>
  <c r="AD805" i="23"/>
  <c r="AE805" i="23"/>
  <c r="AF805" i="23" a="1"/>
  <c r="AF805" i="23" s="1"/>
  <c r="X806" i="23"/>
  <c r="Y806" i="23"/>
  <c r="Z806" i="23"/>
  <c r="AA806" i="23" a="1"/>
  <c r="AA806" i="23"/>
  <c r="AB806" i="23"/>
  <c r="AC806" i="23" a="1"/>
  <c r="AC806" i="23" s="1"/>
  <c r="AD806" i="23"/>
  <c r="AE806" i="23"/>
  <c r="AF806" i="23" a="1"/>
  <c r="AF806" i="23" s="1"/>
  <c r="X807" i="23"/>
  <c r="Y807" i="23"/>
  <c r="Z807" i="23"/>
  <c r="AA807" i="23" a="1"/>
  <c r="AA807" i="23"/>
  <c r="AB807" i="23"/>
  <c r="AC807" i="23" a="1"/>
  <c r="AC807" i="23" s="1"/>
  <c r="AD807" i="23"/>
  <c r="AE807" i="23"/>
  <c r="AF807" i="23" a="1"/>
  <c r="AF807" i="23" s="1"/>
  <c r="X808" i="23"/>
  <c r="Y808" i="23"/>
  <c r="Z808" i="23"/>
  <c r="AA808" i="23" a="1"/>
  <c r="AA808" i="23" s="1"/>
  <c r="AB808" i="23"/>
  <c r="AC808" i="23" a="1"/>
  <c r="AC808" i="23" s="1"/>
  <c r="AD808" i="23"/>
  <c r="AE808" i="23"/>
  <c r="AF808" i="23" a="1"/>
  <c r="AF808" i="23" s="1"/>
  <c r="X809" i="23"/>
  <c r="Y809" i="23"/>
  <c r="Z809" i="23"/>
  <c r="AA809" i="23" a="1"/>
  <c r="AA809" i="23"/>
  <c r="AB809" i="23"/>
  <c r="AC809" i="23" a="1"/>
  <c r="AC809" i="23" s="1"/>
  <c r="AD809" i="23"/>
  <c r="AE809" i="23"/>
  <c r="AF809" i="23" a="1"/>
  <c r="AF809" i="23" s="1"/>
  <c r="X810" i="23"/>
  <c r="Y810" i="23"/>
  <c r="Z810" i="23"/>
  <c r="AA810" i="23" a="1"/>
  <c r="AA810" i="23" s="1"/>
  <c r="AB810" i="23"/>
  <c r="AC810" i="23" a="1"/>
  <c r="AC810" i="23" s="1"/>
  <c r="AD810" i="23"/>
  <c r="AE810" i="23"/>
  <c r="AF810" i="23" a="1"/>
  <c r="AF810" i="23" s="1"/>
  <c r="X811" i="23"/>
  <c r="Y811" i="23"/>
  <c r="Z811" i="23"/>
  <c r="AA811" i="23" a="1"/>
  <c r="AA811" i="23"/>
  <c r="AB811" i="23"/>
  <c r="AC811" i="23" a="1"/>
  <c r="AC811" i="23" s="1"/>
  <c r="AD811" i="23"/>
  <c r="AE811" i="23"/>
  <c r="AF811" i="23" a="1"/>
  <c r="AF811" i="23" s="1"/>
  <c r="X812" i="23"/>
  <c r="Y812" i="23"/>
  <c r="Z812" i="23"/>
  <c r="AA812" i="23" a="1"/>
  <c r="AA812" i="23" s="1"/>
  <c r="AB812" i="23"/>
  <c r="AC812" i="23" a="1"/>
  <c r="AC812" i="23" s="1"/>
  <c r="AD812" i="23"/>
  <c r="AE812" i="23"/>
  <c r="AF812" i="23" a="1"/>
  <c r="AF812" i="23" s="1"/>
  <c r="X813" i="23"/>
  <c r="Y813" i="23"/>
  <c r="Z813" i="23"/>
  <c r="AA813" i="23" a="1"/>
  <c r="AA813" i="23"/>
  <c r="AB813" i="23"/>
  <c r="AC813" i="23" a="1"/>
  <c r="AC813" i="23" s="1"/>
  <c r="AD813" i="23"/>
  <c r="AE813" i="23"/>
  <c r="AF813" i="23" a="1"/>
  <c r="AF813" i="23" s="1"/>
  <c r="X814" i="23"/>
  <c r="Y814" i="23"/>
  <c r="Z814" i="23"/>
  <c r="AA814" i="23" a="1"/>
  <c r="AA814" i="23" s="1"/>
  <c r="AB814" i="23"/>
  <c r="AC814" i="23" a="1"/>
  <c r="AC814" i="23" s="1"/>
  <c r="AD814" i="23"/>
  <c r="AE814" i="23"/>
  <c r="AF814" i="23" a="1"/>
  <c r="AF814" i="23" s="1"/>
  <c r="X815" i="23"/>
  <c r="Y815" i="23"/>
  <c r="Z815" i="23"/>
  <c r="AA815" i="23" a="1"/>
  <c r="AA815" i="23"/>
  <c r="AB815" i="23"/>
  <c r="AC815" i="23" a="1"/>
  <c r="AC815" i="23" s="1"/>
  <c r="AD815" i="23"/>
  <c r="AE815" i="23"/>
  <c r="AF815" i="23" a="1"/>
  <c r="AF815" i="23" s="1"/>
  <c r="X816" i="23"/>
  <c r="Y816" i="23"/>
  <c r="Z816" i="23"/>
  <c r="AA816" i="23" a="1"/>
  <c r="AA816" i="23" s="1"/>
  <c r="AB816" i="23"/>
  <c r="AC816" i="23" a="1"/>
  <c r="AC816" i="23" s="1"/>
  <c r="AD816" i="23"/>
  <c r="AE816" i="23"/>
  <c r="AF816" i="23" a="1"/>
  <c r="AF816" i="23" s="1"/>
  <c r="X817" i="23"/>
  <c r="Y817" i="23"/>
  <c r="Z817" i="23"/>
  <c r="AA817" i="23" a="1"/>
  <c r="AA817" i="23"/>
  <c r="AB817" i="23"/>
  <c r="AC817" i="23" a="1"/>
  <c r="AC817" i="23"/>
  <c r="AD817" i="23"/>
  <c r="AE817" i="23"/>
  <c r="AF817" i="23" a="1"/>
  <c r="AF817" i="23" s="1"/>
  <c r="X818" i="23"/>
  <c r="Y818" i="23"/>
  <c r="Z818" i="23"/>
  <c r="AA818" i="23" a="1"/>
  <c r="AA818" i="23"/>
  <c r="AB818" i="23"/>
  <c r="AC818" i="23" a="1"/>
  <c r="AC818" i="23" s="1"/>
  <c r="AD818" i="23"/>
  <c r="AE818" i="23"/>
  <c r="AF818" i="23" a="1"/>
  <c r="AF818" i="23" s="1"/>
  <c r="X819" i="23"/>
  <c r="Y819" i="23"/>
  <c r="Z819" i="23"/>
  <c r="AA819" i="23" a="1"/>
  <c r="AA819" i="23"/>
  <c r="AB819" i="23"/>
  <c r="AC819" i="23" a="1"/>
  <c r="AC819" i="23" s="1"/>
  <c r="AD819" i="23"/>
  <c r="AE819" i="23"/>
  <c r="AF819" i="23" a="1"/>
  <c r="AF819" i="23" s="1"/>
  <c r="X820" i="23"/>
  <c r="Y820" i="23"/>
  <c r="Z820" i="23"/>
  <c r="AA820" i="23" a="1"/>
  <c r="AA820" i="23" s="1"/>
  <c r="AB820" i="23"/>
  <c r="AC820" i="23" a="1"/>
  <c r="AC820" i="23" s="1"/>
  <c r="AD820" i="23"/>
  <c r="AE820" i="23"/>
  <c r="AF820" i="23" a="1"/>
  <c r="AF820" i="23" s="1"/>
  <c r="X821" i="23"/>
  <c r="Y821" i="23"/>
  <c r="Z821" i="23"/>
  <c r="AA821" i="23" a="1"/>
  <c r="AA821" i="23"/>
  <c r="AB821" i="23"/>
  <c r="AC821" i="23" a="1"/>
  <c r="AC821" i="23" s="1"/>
  <c r="AD821" i="23"/>
  <c r="AE821" i="23"/>
  <c r="AF821" i="23" a="1"/>
  <c r="AF821" i="23" s="1"/>
  <c r="X822" i="23"/>
  <c r="Y822" i="23"/>
  <c r="Z822" i="23"/>
  <c r="AA822" i="23" a="1"/>
  <c r="AA822" i="23" s="1"/>
  <c r="AB822" i="23"/>
  <c r="AC822" i="23" a="1"/>
  <c r="AC822" i="23" s="1"/>
  <c r="AD822" i="23"/>
  <c r="AE822" i="23"/>
  <c r="AF822" i="23" a="1"/>
  <c r="AF822" i="23" s="1"/>
  <c r="X823" i="23"/>
  <c r="Y823" i="23"/>
  <c r="Z823" i="23"/>
  <c r="AA823" i="23" a="1"/>
  <c r="AA823" i="23"/>
  <c r="AB823" i="23"/>
  <c r="AC823" i="23" a="1"/>
  <c r="AC823" i="23" s="1"/>
  <c r="AD823" i="23"/>
  <c r="AE823" i="23"/>
  <c r="AF823" i="23" a="1"/>
  <c r="AF823" i="23" s="1"/>
  <c r="X824" i="23"/>
  <c r="Y824" i="23"/>
  <c r="Z824" i="23"/>
  <c r="AA824" i="23" a="1"/>
  <c r="AA824" i="23" s="1"/>
  <c r="AB824" i="23"/>
  <c r="AC824" i="23" a="1"/>
  <c r="AC824" i="23" s="1"/>
  <c r="AD824" i="23"/>
  <c r="AE824" i="23"/>
  <c r="AF824" i="23" a="1"/>
  <c r="AF824" i="23" s="1"/>
  <c r="X825" i="23"/>
  <c r="Y825" i="23"/>
  <c r="Z825" i="23"/>
  <c r="AA825" i="23" a="1"/>
  <c r="AA825" i="23"/>
  <c r="AB825" i="23"/>
  <c r="AC825" i="23" a="1"/>
  <c r="AC825" i="23" s="1"/>
  <c r="AD825" i="23"/>
  <c r="AE825" i="23"/>
  <c r="AF825" i="23" a="1"/>
  <c r="AF825" i="23" s="1"/>
  <c r="X826" i="23"/>
  <c r="Y826" i="23"/>
  <c r="Z826" i="23"/>
  <c r="AA826" i="23" a="1"/>
  <c r="AA826" i="23" s="1"/>
  <c r="AB826" i="23"/>
  <c r="AC826" i="23" a="1"/>
  <c r="AC826" i="23" s="1"/>
  <c r="AD826" i="23"/>
  <c r="AE826" i="23"/>
  <c r="AF826" i="23" a="1"/>
  <c r="AF826" i="23" s="1"/>
  <c r="X827" i="23"/>
  <c r="Y827" i="23"/>
  <c r="Z827" i="23"/>
  <c r="AA827" i="23" a="1"/>
  <c r="AA827" i="23"/>
  <c r="AB827" i="23"/>
  <c r="AC827" i="23" a="1"/>
  <c r="AC827" i="23" s="1"/>
  <c r="AD827" i="23"/>
  <c r="AE827" i="23"/>
  <c r="AF827" i="23" a="1"/>
  <c r="AF827" i="23" s="1"/>
  <c r="X828" i="23"/>
  <c r="Y828" i="23"/>
  <c r="Z828" i="23"/>
  <c r="AA828" i="23" a="1"/>
  <c r="AA828" i="23" s="1"/>
  <c r="AB828" i="23"/>
  <c r="AC828" i="23" a="1"/>
  <c r="AC828" i="23" s="1"/>
  <c r="AD828" i="23"/>
  <c r="AE828" i="23"/>
  <c r="AF828" i="23" a="1"/>
  <c r="AF828" i="23" s="1"/>
  <c r="X829" i="23"/>
  <c r="Y829" i="23"/>
  <c r="Z829" i="23"/>
  <c r="AA829" i="23" a="1"/>
  <c r="AA829" i="23"/>
  <c r="AB829" i="23"/>
  <c r="AC829" i="23" a="1"/>
  <c r="AC829" i="23" s="1"/>
  <c r="AD829" i="23"/>
  <c r="AE829" i="23"/>
  <c r="AF829" i="23" a="1"/>
  <c r="AF829" i="23" s="1"/>
  <c r="X830" i="23"/>
  <c r="Y830" i="23"/>
  <c r="Z830" i="23"/>
  <c r="AA830" i="23" a="1"/>
  <c r="AA830" i="23" s="1"/>
  <c r="AB830" i="23"/>
  <c r="AC830" i="23" a="1"/>
  <c r="AC830" i="23" s="1"/>
  <c r="AD830" i="23"/>
  <c r="AE830" i="23"/>
  <c r="AF830" i="23" a="1"/>
  <c r="AF830" i="23" s="1"/>
  <c r="X831" i="23"/>
  <c r="Y831" i="23"/>
  <c r="Z831" i="23"/>
  <c r="AA831" i="23" a="1"/>
  <c r="AA831" i="23"/>
  <c r="AB831" i="23"/>
  <c r="AC831" i="23" a="1"/>
  <c r="AC831" i="23" s="1"/>
  <c r="AD831" i="23"/>
  <c r="AE831" i="23"/>
  <c r="AF831" i="23" a="1"/>
  <c r="AF831" i="23" s="1"/>
  <c r="X832" i="23"/>
  <c r="Y832" i="23"/>
  <c r="Z832" i="23"/>
  <c r="AA832" i="23" a="1"/>
  <c r="AA832" i="23" s="1"/>
  <c r="AB832" i="23"/>
  <c r="AC832" i="23" a="1"/>
  <c r="AC832" i="23" s="1"/>
  <c r="AD832" i="23"/>
  <c r="AE832" i="23"/>
  <c r="AF832" i="23" a="1"/>
  <c r="AF832" i="23" s="1"/>
  <c r="X833" i="23"/>
  <c r="Y833" i="23"/>
  <c r="Z833" i="23"/>
  <c r="AA833" i="23" a="1"/>
  <c r="AA833" i="23"/>
  <c r="AB833" i="23"/>
  <c r="AC833" i="23" a="1"/>
  <c r="AC833" i="23" s="1"/>
  <c r="AD833" i="23"/>
  <c r="AE833" i="23"/>
  <c r="AF833" i="23" a="1"/>
  <c r="AF833" i="23" s="1"/>
  <c r="X834" i="23"/>
  <c r="Y834" i="23"/>
  <c r="Z834" i="23"/>
  <c r="AA834" i="23" a="1"/>
  <c r="AA834" i="23" s="1"/>
  <c r="AB834" i="23"/>
  <c r="AC834" i="23" a="1"/>
  <c r="AC834" i="23" s="1"/>
  <c r="AD834" i="23"/>
  <c r="AE834" i="23"/>
  <c r="AF834" i="23" a="1"/>
  <c r="AF834" i="23" s="1"/>
  <c r="X835" i="23"/>
  <c r="Y835" i="23"/>
  <c r="Z835" i="23"/>
  <c r="AA835" i="23" a="1"/>
  <c r="AA835" i="23"/>
  <c r="AB835" i="23"/>
  <c r="AC835" i="23" a="1"/>
  <c r="AC835" i="23" s="1"/>
  <c r="AD835" i="23"/>
  <c r="AE835" i="23"/>
  <c r="AF835" i="23" a="1"/>
  <c r="AF835" i="23" s="1"/>
  <c r="X836" i="23"/>
  <c r="Y836" i="23"/>
  <c r="Z836" i="23"/>
  <c r="AA836" i="23" a="1"/>
  <c r="AA836" i="23" s="1"/>
  <c r="AB836" i="23"/>
  <c r="AC836" i="23" a="1"/>
  <c r="AC836" i="23" s="1"/>
  <c r="AD836" i="23"/>
  <c r="AE836" i="23"/>
  <c r="AF836" i="23" a="1"/>
  <c r="AF836" i="23" s="1"/>
  <c r="X837" i="23"/>
  <c r="Y837" i="23"/>
  <c r="Z837" i="23"/>
  <c r="AA837" i="23" a="1"/>
  <c r="AA837" i="23"/>
  <c r="AB837" i="23"/>
  <c r="AC837" i="23" a="1"/>
  <c r="AC837" i="23" s="1"/>
  <c r="AD837" i="23"/>
  <c r="AE837" i="23"/>
  <c r="AF837" i="23" a="1"/>
  <c r="AF837" i="23" s="1"/>
  <c r="X838" i="23"/>
  <c r="Y838" i="23"/>
  <c r="Z838" i="23"/>
  <c r="AA838" i="23" a="1"/>
  <c r="AA838" i="23" s="1"/>
  <c r="AB838" i="23"/>
  <c r="AC838" i="23" a="1"/>
  <c r="AC838" i="23" s="1"/>
  <c r="AD838" i="23"/>
  <c r="AE838" i="23"/>
  <c r="AF838" i="23" a="1"/>
  <c r="AF838" i="23" s="1"/>
  <c r="X839" i="23"/>
  <c r="Y839" i="23"/>
  <c r="Z839" i="23"/>
  <c r="AA839" i="23" a="1"/>
  <c r="AA839" i="23"/>
  <c r="AB839" i="23"/>
  <c r="AC839" i="23" a="1"/>
  <c r="AC839" i="23" s="1"/>
  <c r="AD839" i="23"/>
  <c r="AE839" i="23"/>
  <c r="AF839" i="23" a="1"/>
  <c r="AF839" i="23" s="1"/>
  <c r="X840" i="23"/>
  <c r="Y840" i="23"/>
  <c r="Z840" i="23"/>
  <c r="AA840" i="23" a="1"/>
  <c r="AA840" i="23" s="1"/>
  <c r="AB840" i="23"/>
  <c r="AC840" i="23" a="1"/>
  <c r="AC840" i="23" s="1"/>
  <c r="AD840" i="23"/>
  <c r="AE840" i="23"/>
  <c r="AF840" i="23" a="1"/>
  <c r="AF840" i="23" s="1"/>
  <c r="X841" i="23"/>
  <c r="Y841" i="23"/>
  <c r="Z841" i="23"/>
  <c r="AA841" i="23" a="1"/>
  <c r="AA841" i="23"/>
  <c r="AB841" i="23"/>
  <c r="AC841" i="23" a="1"/>
  <c r="AC841" i="23" s="1"/>
  <c r="AD841" i="23"/>
  <c r="AE841" i="23"/>
  <c r="AF841" i="23" a="1"/>
  <c r="AF841" i="23" s="1"/>
  <c r="X842" i="23"/>
  <c r="Y842" i="23"/>
  <c r="Z842" i="23"/>
  <c r="AA842" i="23" a="1"/>
  <c r="AA842" i="23" s="1"/>
  <c r="AB842" i="23"/>
  <c r="AC842" i="23" a="1"/>
  <c r="AC842" i="23" s="1"/>
  <c r="AD842" i="23"/>
  <c r="AE842" i="23"/>
  <c r="AF842" i="23" a="1"/>
  <c r="AF842" i="23" s="1"/>
  <c r="X843" i="23"/>
  <c r="Y843" i="23"/>
  <c r="Z843" i="23"/>
  <c r="AA843" i="23" a="1"/>
  <c r="AA843" i="23"/>
  <c r="AB843" i="23"/>
  <c r="AC843" i="23" a="1"/>
  <c r="AC843" i="23" s="1"/>
  <c r="AD843" i="23"/>
  <c r="AE843" i="23"/>
  <c r="AF843" i="23" a="1"/>
  <c r="AF843" i="23" s="1"/>
  <c r="X844" i="23"/>
  <c r="Y844" i="23"/>
  <c r="Z844" i="23"/>
  <c r="AA844" i="23" a="1"/>
  <c r="AA844" i="23" s="1"/>
  <c r="AB844" i="23"/>
  <c r="AC844" i="23" a="1"/>
  <c r="AC844" i="23" s="1"/>
  <c r="AD844" i="23"/>
  <c r="AE844" i="23"/>
  <c r="AF844" i="23" a="1"/>
  <c r="AF844" i="23" s="1"/>
  <c r="X845" i="23"/>
  <c r="Y845" i="23"/>
  <c r="Z845" i="23"/>
  <c r="AA845" i="23" a="1"/>
  <c r="AA845" i="23"/>
  <c r="AB845" i="23"/>
  <c r="AC845" i="23" a="1"/>
  <c r="AC845" i="23" s="1"/>
  <c r="AD845" i="23"/>
  <c r="AE845" i="23"/>
  <c r="AF845" i="23" a="1"/>
  <c r="AF845" i="23" s="1"/>
  <c r="X846" i="23"/>
  <c r="Y846" i="23"/>
  <c r="Z846" i="23"/>
  <c r="AA846" i="23" a="1"/>
  <c r="AA846" i="23" s="1"/>
  <c r="AB846" i="23"/>
  <c r="AC846" i="23" a="1"/>
  <c r="AC846" i="23" s="1"/>
  <c r="AD846" i="23"/>
  <c r="AE846" i="23"/>
  <c r="AF846" i="23" a="1"/>
  <c r="AF846" i="23" s="1"/>
  <c r="X847" i="23"/>
  <c r="Y847" i="23"/>
  <c r="Z847" i="23"/>
  <c r="AA847" i="23" a="1"/>
  <c r="AA847" i="23"/>
  <c r="AB847" i="23"/>
  <c r="AC847" i="23" a="1"/>
  <c r="AC847" i="23" s="1"/>
  <c r="AD847" i="23"/>
  <c r="AE847" i="23"/>
  <c r="AF847" i="23" a="1"/>
  <c r="AF847" i="23" s="1"/>
  <c r="X848" i="23"/>
  <c r="Y848" i="23"/>
  <c r="Z848" i="23"/>
  <c r="AA848" i="23" a="1"/>
  <c r="AA848" i="23" s="1"/>
  <c r="AB848" i="23"/>
  <c r="AC848" i="23" a="1"/>
  <c r="AC848" i="23" s="1"/>
  <c r="AD848" i="23"/>
  <c r="AE848" i="23"/>
  <c r="AF848" i="23" a="1"/>
  <c r="AF848" i="23" s="1"/>
  <c r="X849" i="23"/>
  <c r="Y849" i="23"/>
  <c r="Z849" i="23"/>
  <c r="AA849" i="23" a="1"/>
  <c r="AA849" i="23"/>
  <c r="AB849" i="23"/>
  <c r="AC849" i="23" a="1"/>
  <c r="AC849" i="23" s="1"/>
  <c r="AD849" i="23"/>
  <c r="AE849" i="23"/>
  <c r="AF849" i="23" a="1"/>
  <c r="AF849" i="23" s="1"/>
  <c r="X850" i="23"/>
  <c r="Y850" i="23"/>
  <c r="Z850" i="23"/>
  <c r="AA850" i="23" a="1"/>
  <c r="AA850" i="23" s="1"/>
  <c r="AB850" i="23"/>
  <c r="AC850" i="23" a="1"/>
  <c r="AC850" i="23" s="1"/>
  <c r="AD850" i="23"/>
  <c r="AE850" i="23"/>
  <c r="AF850" i="23" a="1"/>
  <c r="AF850" i="23" s="1"/>
  <c r="X851" i="23"/>
  <c r="Y851" i="23"/>
  <c r="Z851" i="23"/>
  <c r="AA851" i="23" a="1"/>
  <c r="AA851" i="23"/>
  <c r="AB851" i="23"/>
  <c r="AC851" i="23" a="1"/>
  <c r="AC851" i="23" s="1"/>
  <c r="AD851" i="23"/>
  <c r="AE851" i="23"/>
  <c r="AF851" i="23" a="1"/>
  <c r="AF851" i="23" s="1"/>
  <c r="X852" i="23"/>
  <c r="Y852" i="23"/>
  <c r="Z852" i="23"/>
  <c r="AA852" i="23" a="1"/>
  <c r="AA852" i="23" s="1"/>
  <c r="AB852" i="23"/>
  <c r="AC852" i="23" a="1"/>
  <c r="AC852" i="23" s="1"/>
  <c r="AD852" i="23"/>
  <c r="AE852" i="23"/>
  <c r="AF852" i="23" a="1"/>
  <c r="AF852" i="23" s="1"/>
  <c r="X853" i="23"/>
  <c r="Y853" i="23"/>
  <c r="Z853" i="23"/>
  <c r="AA853" i="23" a="1"/>
  <c r="AA853" i="23" s="1"/>
  <c r="AB853" i="23"/>
  <c r="AC853" i="23" a="1"/>
  <c r="AC853" i="23"/>
  <c r="AD853" i="23"/>
  <c r="AE853" i="23"/>
  <c r="AF853" i="23" a="1"/>
  <c r="AF853" i="23" s="1"/>
  <c r="X854" i="23"/>
  <c r="Y854" i="23"/>
  <c r="Z854" i="23"/>
  <c r="AA854" i="23" a="1"/>
  <c r="AA854" i="23"/>
  <c r="AB854" i="23"/>
  <c r="AC854" i="23" a="1"/>
  <c r="AC854" i="23" s="1"/>
  <c r="AD854" i="23"/>
  <c r="AE854" i="23"/>
  <c r="AF854" i="23" a="1"/>
  <c r="AF854" i="23" s="1"/>
  <c r="X855" i="23"/>
  <c r="Y855" i="23"/>
  <c r="Z855" i="23"/>
  <c r="AA855" i="23" a="1"/>
  <c r="AA855" i="23" s="1"/>
  <c r="AB855" i="23"/>
  <c r="AC855" i="23" a="1"/>
  <c r="AC855" i="23" s="1"/>
  <c r="AD855" i="23"/>
  <c r="AE855" i="23"/>
  <c r="AF855" i="23" a="1"/>
  <c r="AF855" i="23" s="1"/>
  <c r="X856" i="23"/>
  <c r="Y856" i="23"/>
  <c r="Z856" i="23"/>
  <c r="AA856" i="23" a="1"/>
  <c r="AA856" i="23"/>
  <c r="AB856" i="23"/>
  <c r="AC856" i="23" a="1"/>
  <c r="AC856" i="23" s="1"/>
  <c r="AD856" i="23"/>
  <c r="AE856" i="23"/>
  <c r="AF856" i="23" a="1"/>
  <c r="AF856" i="23" s="1"/>
  <c r="X857" i="23"/>
  <c r="Y857" i="23"/>
  <c r="Z857" i="23"/>
  <c r="AA857" i="23" a="1"/>
  <c r="AA857" i="23" s="1"/>
  <c r="AB857" i="23"/>
  <c r="AC857" i="23" a="1"/>
  <c r="AC857" i="23" s="1"/>
  <c r="AD857" i="23"/>
  <c r="AE857" i="23"/>
  <c r="AF857" i="23" a="1"/>
  <c r="AF857" i="23" s="1"/>
  <c r="X858" i="23"/>
  <c r="Y858" i="23"/>
  <c r="Z858" i="23"/>
  <c r="AA858" i="23" a="1"/>
  <c r="AA858" i="23"/>
  <c r="AB858" i="23"/>
  <c r="AC858" i="23" a="1"/>
  <c r="AC858" i="23" s="1"/>
  <c r="AD858" i="23"/>
  <c r="AE858" i="23"/>
  <c r="AF858" i="23" a="1"/>
  <c r="AF858" i="23" s="1"/>
  <c r="X859" i="23"/>
  <c r="Y859" i="23"/>
  <c r="Z859" i="23"/>
  <c r="AA859" i="23" a="1"/>
  <c r="AA859" i="23" s="1"/>
  <c r="AB859" i="23"/>
  <c r="AC859" i="23" a="1"/>
  <c r="AC859" i="23" s="1"/>
  <c r="AD859" i="23"/>
  <c r="AE859" i="23"/>
  <c r="AF859" i="23" a="1"/>
  <c r="AF859" i="23" s="1"/>
  <c r="X860" i="23"/>
  <c r="Y860" i="23"/>
  <c r="Z860" i="23"/>
  <c r="AA860" i="23" a="1"/>
  <c r="AA860" i="23" s="1"/>
  <c r="AB860" i="23"/>
  <c r="AC860" i="23" a="1"/>
  <c r="AC860" i="23" s="1"/>
  <c r="AD860" i="23"/>
  <c r="AE860" i="23"/>
  <c r="AF860" i="23" a="1"/>
  <c r="AF860" i="23" s="1"/>
  <c r="X861" i="23"/>
  <c r="Y861" i="23"/>
  <c r="Z861" i="23"/>
  <c r="AA861" i="23" a="1"/>
  <c r="AA861" i="23"/>
  <c r="AB861" i="23"/>
  <c r="AC861" i="23" a="1"/>
  <c r="AC861" i="23" s="1"/>
  <c r="AD861" i="23"/>
  <c r="AE861" i="23"/>
  <c r="AF861" i="23" a="1"/>
  <c r="AF861" i="23" s="1"/>
  <c r="X862" i="23"/>
  <c r="Y862" i="23"/>
  <c r="Z862" i="23"/>
  <c r="AA862" i="23" a="1"/>
  <c r="AA862" i="23" s="1"/>
  <c r="AB862" i="23"/>
  <c r="AC862" i="23" a="1"/>
  <c r="AC862" i="23" s="1"/>
  <c r="AD862" i="23"/>
  <c r="AE862" i="23"/>
  <c r="AF862" i="23" a="1"/>
  <c r="AF862" i="23" s="1"/>
  <c r="X863" i="23"/>
  <c r="Y863" i="23"/>
  <c r="Z863" i="23"/>
  <c r="AA863" i="23" a="1"/>
  <c r="AA863" i="23"/>
  <c r="AB863" i="23"/>
  <c r="AC863" i="23" a="1"/>
  <c r="AC863" i="23" s="1"/>
  <c r="AD863" i="23"/>
  <c r="AE863" i="23"/>
  <c r="AF863" i="23" a="1"/>
  <c r="AF863" i="23" s="1"/>
  <c r="X864" i="23"/>
  <c r="Y864" i="23"/>
  <c r="Z864" i="23"/>
  <c r="AA864" i="23" a="1"/>
  <c r="AA864" i="23"/>
  <c r="AB864" i="23"/>
  <c r="AC864" i="23" a="1"/>
  <c r="AC864" i="23" s="1"/>
  <c r="AD864" i="23"/>
  <c r="AE864" i="23"/>
  <c r="AF864" i="23" a="1"/>
  <c r="AF864" i="23" s="1"/>
  <c r="X865" i="23"/>
  <c r="Y865" i="23"/>
  <c r="Z865" i="23"/>
  <c r="AA865" i="23" a="1"/>
  <c r="AA865" i="23"/>
  <c r="AB865" i="23"/>
  <c r="AC865" i="23" a="1"/>
  <c r="AC865" i="23" s="1"/>
  <c r="AD865" i="23"/>
  <c r="AE865" i="23"/>
  <c r="AF865" i="23" a="1"/>
  <c r="AF865" i="23" s="1"/>
  <c r="X866" i="23"/>
  <c r="Y866" i="23"/>
  <c r="Z866" i="23"/>
  <c r="AA866" i="23" a="1"/>
  <c r="AA866" i="23" s="1"/>
  <c r="AB866" i="23"/>
  <c r="AC866" i="23" a="1"/>
  <c r="AC866" i="23" s="1"/>
  <c r="AD866" i="23"/>
  <c r="AE866" i="23"/>
  <c r="AF866" i="23" a="1"/>
  <c r="AF866" i="23" s="1"/>
  <c r="X867" i="23"/>
  <c r="Y867" i="23"/>
  <c r="Z867" i="23"/>
  <c r="AA867" i="23" a="1"/>
  <c r="AA867" i="23"/>
  <c r="AB867" i="23"/>
  <c r="AC867" i="23" a="1"/>
  <c r="AC867" i="23" s="1"/>
  <c r="AD867" i="23"/>
  <c r="AE867" i="23"/>
  <c r="AF867" i="23" a="1"/>
  <c r="AF867" i="23" s="1"/>
  <c r="X868" i="23"/>
  <c r="Y868" i="23"/>
  <c r="Z868" i="23"/>
  <c r="AA868" i="23" a="1"/>
  <c r="AA868" i="23" s="1"/>
  <c r="AB868" i="23"/>
  <c r="AC868" i="23" a="1"/>
  <c r="AC868" i="23" s="1"/>
  <c r="AD868" i="23"/>
  <c r="AE868" i="23"/>
  <c r="AF868" i="23" a="1"/>
  <c r="AF868" i="23" s="1"/>
  <c r="X869" i="23"/>
  <c r="Y869" i="23"/>
  <c r="Z869" i="23"/>
  <c r="AA869" i="23" a="1"/>
  <c r="AA869" i="23"/>
  <c r="AB869" i="23"/>
  <c r="AC869" i="23" a="1"/>
  <c r="AC869" i="23" s="1"/>
  <c r="AD869" i="23"/>
  <c r="AE869" i="23"/>
  <c r="AF869" i="23" a="1"/>
  <c r="AF869" i="23" s="1"/>
  <c r="X870" i="23"/>
  <c r="Y870" i="23"/>
  <c r="Z870" i="23"/>
  <c r="AA870" i="23" a="1"/>
  <c r="AA870" i="23" s="1"/>
  <c r="AB870" i="23"/>
  <c r="AC870" i="23" a="1"/>
  <c r="AC870" i="23" s="1"/>
  <c r="AD870" i="23"/>
  <c r="AE870" i="23"/>
  <c r="AF870" i="23" a="1"/>
  <c r="AF870" i="23" s="1"/>
  <c r="X871" i="23"/>
  <c r="Y871" i="23"/>
  <c r="Z871" i="23"/>
  <c r="AA871" i="23" a="1"/>
  <c r="AA871" i="23"/>
  <c r="AB871" i="23"/>
  <c r="AC871" i="23" a="1"/>
  <c r="AC871" i="23" s="1"/>
  <c r="AD871" i="23"/>
  <c r="AE871" i="23"/>
  <c r="AF871" i="23" a="1"/>
  <c r="AF871" i="23" s="1"/>
  <c r="X872" i="23"/>
  <c r="Y872" i="23"/>
  <c r="Z872" i="23"/>
  <c r="AA872" i="23" a="1"/>
  <c r="AA872" i="23"/>
  <c r="AB872" i="23"/>
  <c r="AC872" i="23" a="1"/>
  <c r="AC872" i="23" s="1"/>
  <c r="AD872" i="23"/>
  <c r="AE872" i="23"/>
  <c r="AF872" i="23" a="1"/>
  <c r="AF872" i="23" s="1"/>
  <c r="X873" i="23"/>
  <c r="Y873" i="23"/>
  <c r="Z873" i="23"/>
  <c r="AA873" i="23" a="1"/>
  <c r="AA873" i="23"/>
  <c r="AB873" i="23"/>
  <c r="AC873" i="23" a="1"/>
  <c r="AC873" i="23" s="1"/>
  <c r="AD873" i="23"/>
  <c r="AE873" i="23"/>
  <c r="AF873" i="23" a="1"/>
  <c r="AF873" i="23" s="1"/>
  <c r="X874" i="23"/>
  <c r="Y874" i="23"/>
  <c r="Z874" i="23"/>
  <c r="AA874" i="23" a="1"/>
  <c r="AA874" i="23" s="1"/>
  <c r="AB874" i="23"/>
  <c r="AC874" i="23" a="1"/>
  <c r="AC874" i="23" s="1"/>
  <c r="AD874" i="23"/>
  <c r="AE874" i="23"/>
  <c r="AF874" i="23" a="1"/>
  <c r="AF874" i="23" s="1"/>
  <c r="X875" i="23"/>
  <c r="Y875" i="23"/>
  <c r="Z875" i="23"/>
  <c r="AA875" i="23" a="1"/>
  <c r="AA875" i="23"/>
  <c r="AB875" i="23"/>
  <c r="AC875" i="23" a="1"/>
  <c r="AC875" i="23" s="1"/>
  <c r="AD875" i="23"/>
  <c r="AE875" i="23"/>
  <c r="AF875" i="23" a="1"/>
  <c r="AF875" i="23" s="1"/>
  <c r="X876" i="23"/>
  <c r="Y876" i="23"/>
  <c r="Z876" i="23"/>
  <c r="AA876" i="23" a="1"/>
  <c r="AA876" i="23" s="1"/>
  <c r="AB876" i="23"/>
  <c r="AC876" i="23" a="1"/>
  <c r="AC876" i="23" s="1"/>
  <c r="AD876" i="23"/>
  <c r="AE876" i="23"/>
  <c r="AF876" i="23" a="1"/>
  <c r="AF876" i="23" s="1"/>
  <c r="X877" i="23"/>
  <c r="Y877" i="23"/>
  <c r="Z877" i="23"/>
  <c r="AA877" i="23" a="1"/>
  <c r="AA877" i="23"/>
  <c r="AB877" i="23"/>
  <c r="AC877" i="23" a="1"/>
  <c r="AC877" i="23" s="1"/>
  <c r="AD877" i="23"/>
  <c r="AE877" i="23"/>
  <c r="AF877" i="23" a="1"/>
  <c r="AF877" i="23" s="1"/>
  <c r="X878" i="23"/>
  <c r="Y878" i="23"/>
  <c r="Z878" i="23"/>
  <c r="AA878" i="23" a="1"/>
  <c r="AA878" i="23" s="1"/>
  <c r="AB878" i="23"/>
  <c r="AC878" i="23" a="1"/>
  <c r="AC878" i="23" s="1"/>
  <c r="AD878" i="23"/>
  <c r="AE878" i="23"/>
  <c r="AF878" i="23" a="1"/>
  <c r="AF878" i="23" s="1"/>
  <c r="X879" i="23"/>
  <c r="Y879" i="23"/>
  <c r="Z879" i="23"/>
  <c r="AA879" i="23" a="1"/>
  <c r="AA879" i="23"/>
  <c r="AB879" i="23"/>
  <c r="AC879" i="23" a="1"/>
  <c r="AC879" i="23" s="1"/>
  <c r="AD879" i="23"/>
  <c r="AE879" i="23"/>
  <c r="AF879" i="23" a="1"/>
  <c r="AF879" i="23" s="1"/>
  <c r="X880" i="23"/>
  <c r="Y880" i="23"/>
  <c r="Z880" i="23"/>
  <c r="AA880" i="23" a="1"/>
  <c r="AA880" i="23"/>
  <c r="AB880" i="23"/>
  <c r="AC880" i="23" a="1"/>
  <c r="AC880" i="23" s="1"/>
  <c r="AD880" i="23"/>
  <c r="AE880" i="23"/>
  <c r="AF880" i="23" a="1"/>
  <c r="AF880" i="23" s="1"/>
  <c r="X881" i="23"/>
  <c r="Y881" i="23"/>
  <c r="Z881" i="23"/>
  <c r="AA881" i="23" a="1"/>
  <c r="AA881" i="23"/>
  <c r="AB881" i="23"/>
  <c r="AC881" i="23" a="1"/>
  <c r="AC881" i="23" s="1"/>
  <c r="AD881" i="23"/>
  <c r="AE881" i="23"/>
  <c r="AF881" i="23" a="1"/>
  <c r="AF881" i="23" s="1"/>
  <c r="X882" i="23"/>
  <c r="Y882" i="23"/>
  <c r="Z882" i="23"/>
  <c r="AA882" i="23" a="1"/>
  <c r="AA882" i="23" s="1"/>
  <c r="AB882" i="23"/>
  <c r="AC882" i="23" a="1"/>
  <c r="AC882" i="23" s="1"/>
  <c r="AD882" i="23"/>
  <c r="AE882" i="23"/>
  <c r="AF882" i="23" a="1"/>
  <c r="AF882" i="23" s="1"/>
  <c r="X883" i="23"/>
  <c r="Y883" i="23"/>
  <c r="Z883" i="23"/>
  <c r="AA883" i="23" a="1"/>
  <c r="AA883" i="23"/>
  <c r="AB883" i="23"/>
  <c r="AC883" i="23" a="1"/>
  <c r="AC883" i="23" s="1"/>
  <c r="AD883" i="23"/>
  <c r="AE883" i="23"/>
  <c r="AF883" i="23" a="1"/>
  <c r="AF883" i="23" s="1"/>
  <c r="X884" i="23"/>
  <c r="Y884" i="23"/>
  <c r="Z884" i="23"/>
  <c r="AA884" i="23" a="1"/>
  <c r="AA884" i="23" s="1"/>
  <c r="AB884" i="23"/>
  <c r="AC884" i="23" a="1"/>
  <c r="AC884" i="23" s="1"/>
  <c r="AD884" i="23"/>
  <c r="AE884" i="23"/>
  <c r="AF884" i="23" a="1"/>
  <c r="AF884" i="23" s="1"/>
  <c r="X885" i="23"/>
  <c r="Y885" i="23"/>
  <c r="Z885" i="23"/>
  <c r="AA885" i="23" a="1"/>
  <c r="AA885" i="23"/>
  <c r="AB885" i="23"/>
  <c r="AC885" i="23" a="1"/>
  <c r="AC885" i="23" s="1"/>
  <c r="AD885" i="23"/>
  <c r="AE885" i="23"/>
  <c r="AF885" i="23" a="1"/>
  <c r="AF885" i="23" s="1"/>
  <c r="X886" i="23"/>
  <c r="Y886" i="23"/>
  <c r="Z886" i="23"/>
  <c r="AA886" i="23" a="1"/>
  <c r="AA886" i="23" s="1"/>
  <c r="AB886" i="23"/>
  <c r="AC886" i="23" a="1"/>
  <c r="AC886" i="23" s="1"/>
  <c r="AD886" i="23"/>
  <c r="AE886" i="23"/>
  <c r="AF886" i="23" a="1"/>
  <c r="AF886" i="23" s="1"/>
  <c r="X887" i="23"/>
  <c r="Y887" i="23"/>
  <c r="Z887" i="23"/>
  <c r="AA887" i="23" a="1"/>
  <c r="AA887" i="23"/>
  <c r="AB887" i="23"/>
  <c r="AC887" i="23" a="1"/>
  <c r="AC887" i="23" s="1"/>
  <c r="AD887" i="23"/>
  <c r="AE887" i="23"/>
  <c r="AF887" i="23" a="1"/>
  <c r="AF887" i="23" s="1"/>
  <c r="X888" i="23"/>
  <c r="Y888" i="23"/>
  <c r="Z888" i="23"/>
  <c r="AA888" i="23" a="1"/>
  <c r="AA888" i="23"/>
  <c r="AB888" i="23"/>
  <c r="AC888" i="23" a="1"/>
  <c r="AC888" i="23" s="1"/>
  <c r="AD888" i="23"/>
  <c r="AE888" i="23"/>
  <c r="AF888" i="23" a="1"/>
  <c r="AF888" i="23" s="1"/>
  <c r="X889" i="23"/>
  <c r="Y889" i="23"/>
  <c r="Z889" i="23"/>
  <c r="AA889" i="23" a="1"/>
  <c r="AA889" i="23"/>
  <c r="AB889" i="23"/>
  <c r="AC889" i="23" a="1"/>
  <c r="AC889" i="23" s="1"/>
  <c r="AD889" i="23"/>
  <c r="AE889" i="23"/>
  <c r="AF889" i="23" a="1"/>
  <c r="AF889" i="23" s="1"/>
  <c r="X890" i="23"/>
  <c r="Y890" i="23"/>
  <c r="Z890" i="23"/>
  <c r="AA890" i="23" a="1"/>
  <c r="AA890" i="23" s="1"/>
  <c r="AB890" i="23"/>
  <c r="AC890" i="23" a="1"/>
  <c r="AC890" i="23" s="1"/>
  <c r="AD890" i="23"/>
  <c r="AE890" i="23"/>
  <c r="AF890" i="23" a="1"/>
  <c r="AF890" i="23" s="1"/>
  <c r="X891" i="23"/>
  <c r="Y891" i="23"/>
  <c r="Z891" i="23"/>
  <c r="AA891" i="23" a="1"/>
  <c r="AA891" i="23"/>
  <c r="AB891" i="23"/>
  <c r="AC891" i="23" a="1"/>
  <c r="AC891" i="23" s="1"/>
  <c r="AD891" i="23"/>
  <c r="AE891" i="23"/>
  <c r="AF891" i="23" a="1"/>
  <c r="AF891" i="23" s="1"/>
  <c r="X892" i="23"/>
  <c r="Y892" i="23"/>
  <c r="Z892" i="23"/>
  <c r="AA892" i="23" a="1"/>
  <c r="AA892" i="23" s="1"/>
  <c r="AB892" i="23"/>
  <c r="AC892" i="23" a="1"/>
  <c r="AC892" i="23" s="1"/>
  <c r="AD892" i="23"/>
  <c r="AE892" i="23"/>
  <c r="AF892" i="23" a="1"/>
  <c r="AF892" i="23" s="1"/>
  <c r="X893" i="23"/>
  <c r="Y893" i="23"/>
  <c r="Z893" i="23"/>
  <c r="AA893" i="23" a="1"/>
  <c r="AA893" i="23"/>
  <c r="AB893" i="23"/>
  <c r="AC893" i="23" a="1"/>
  <c r="AC893" i="23" s="1"/>
  <c r="AD893" i="23"/>
  <c r="AE893" i="23"/>
  <c r="AF893" i="23" a="1"/>
  <c r="AF893" i="23" s="1"/>
  <c r="X894" i="23"/>
  <c r="Y894" i="23"/>
  <c r="Z894" i="23"/>
  <c r="AA894" i="23" a="1"/>
  <c r="AA894" i="23" s="1"/>
  <c r="AB894" i="23"/>
  <c r="AC894" i="23" a="1"/>
  <c r="AC894" i="23" s="1"/>
  <c r="AD894" i="23"/>
  <c r="AE894" i="23"/>
  <c r="AF894" i="23" a="1"/>
  <c r="AF894" i="23" s="1"/>
  <c r="X895" i="23"/>
  <c r="Y895" i="23"/>
  <c r="Z895" i="23"/>
  <c r="AA895" i="23" a="1"/>
  <c r="AA895" i="23"/>
  <c r="AB895" i="23"/>
  <c r="AC895" i="23" a="1"/>
  <c r="AC895" i="23" s="1"/>
  <c r="AD895" i="23"/>
  <c r="AE895" i="23"/>
  <c r="AF895" i="23" a="1"/>
  <c r="AF895" i="23" s="1"/>
  <c r="X896" i="23"/>
  <c r="Y896" i="23"/>
  <c r="Z896" i="23"/>
  <c r="AA896" i="23" a="1"/>
  <c r="AA896" i="23"/>
  <c r="AB896" i="23"/>
  <c r="AC896" i="23" a="1"/>
  <c r="AC896" i="23" s="1"/>
  <c r="AD896" i="23"/>
  <c r="AE896" i="23"/>
  <c r="AF896" i="23" a="1"/>
  <c r="AF896" i="23" s="1"/>
  <c r="X897" i="23"/>
  <c r="Y897" i="23"/>
  <c r="Z897" i="23"/>
  <c r="AA897" i="23" a="1"/>
  <c r="AA897" i="23"/>
  <c r="AB897" i="23"/>
  <c r="AC897" i="23" a="1"/>
  <c r="AC897" i="23" s="1"/>
  <c r="AD897" i="23"/>
  <c r="AE897" i="23"/>
  <c r="AF897" i="23" a="1"/>
  <c r="AF897" i="23" s="1"/>
  <c r="X898" i="23"/>
  <c r="Y898" i="23"/>
  <c r="Z898" i="23"/>
  <c r="AA898" i="23" a="1"/>
  <c r="AA898" i="23" s="1"/>
  <c r="AB898" i="23"/>
  <c r="AC898" i="23" a="1"/>
  <c r="AC898" i="23" s="1"/>
  <c r="AD898" i="23"/>
  <c r="AE898" i="23"/>
  <c r="AF898" i="23" a="1"/>
  <c r="AF898" i="23" s="1"/>
  <c r="X899" i="23"/>
  <c r="Y899" i="23"/>
  <c r="Z899" i="23"/>
  <c r="AA899" i="23" a="1"/>
  <c r="AA899" i="23"/>
  <c r="AB899" i="23"/>
  <c r="AC899" i="23" a="1"/>
  <c r="AC899" i="23" s="1"/>
  <c r="AD899" i="23"/>
  <c r="AE899" i="23"/>
  <c r="AF899" i="23" a="1"/>
  <c r="AF899" i="23" s="1"/>
  <c r="X900" i="23"/>
  <c r="Y900" i="23"/>
  <c r="Z900" i="23"/>
  <c r="AA900" i="23" a="1"/>
  <c r="AA900" i="23" s="1"/>
  <c r="AB900" i="23"/>
  <c r="AC900" i="23" a="1"/>
  <c r="AC900" i="23" s="1"/>
  <c r="AD900" i="23"/>
  <c r="AE900" i="23"/>
  <c r="AF900" i="23" a="1"/>
  <c r="AF900" i="23" s="1"/>
  <c r="X901" i="23"/>
  <c r="Y901" i="23"/>
  <c r="Z901" i="23"/>
  <c r="AA901" i="23" a="1"/>
  <c r="AA901" i="23"/>
  <c r="AB901" i="23"/>
  <c r="AC901" i="23" a="1"/>
  <c r="AC901" i="23" s="1"/>
  <c r="AD901" i="23"/>
  <c r="AE901" i="23"/>
  <c r="AF901" i="23" a="1"/>
  <c r="AF901" i="23" s="1"/>
  <c r="X902" i="23"/>
  <c r="Y902" i="23"/>
  <c r="Z902" i="23"/>
  <c r="AA902" i="23" a="1"/>
  <c r="AA902" i="23" s="1"/>
  <c r="AB902" i="23"/>
  <c r="AC902" i="23" a="1"/>
  <c r="AC902" i="23" s="1"/>
  <c r="AD902" i="23"/>
  <c r="AE902" i="23"/>
  <c r="AF902" i="23" a="1"/>
  <c r="AF902" i="23" s="1"/>
  <c r="X903" i="23"/>
  <c r="Y903" i="23"/>
  <c r="Z903" i="23"/>
  <c r="AA903" i="23" a="1"/>
  <c r="AA903" i="23"/>
  <c r="AB903" i="23"/>
  <c r="AC903" i="23" a="1"/>
  <c r="AC903" i="23"/>
  <c r="AD903" i="23"/>
  <c r="AE903" i="23"/>
  <c r="AF903" i="23" a="1"/>
  <c r="AF903" i="23" s="1"/>
  <c r="X904" i="23"/>
  <c r="Y904" i="23"/>
  <c r="Z904" i="23"/>
  <c r="AA904" i="23" a="1"/>
  <c r="AA904" i="23"/>
  <c r="AB904" i="23"/>
  <c r="AC904" i="23" a="1"/>
  <c r="AC904" i="23" s="1"/>
  <c r="AD904" i="23"/>
  <c r="AE904" i="23"/>
  <c r="AF904" i="23" a="1"/>
  <c r="AF904" i="23" s="1"/>
  <c r="X905" i="23"/>
  <c r="Y905" i="23"/>
  <c r="Z905" i="23"/>
  <c r="AA905" i="23" a="1"/>
  <c r="AA905" i="23"/>
  <c r="AB905" i="23"/>
  <c r="AC905" i="23" a="1"/>
  <c r="AC905" i="23" s="1"/>
  <c r="AD905" i="23"/>
  <c r="AE905" i="23"/>
  <c r="AF905" i="23" a="1"/>
  <c r="AF905" i="23" s="1"/>
  <c r="X906" i="23"/>
  <c r="Y906" i="23"/>
  <c r="Z906" i="23"/>
  <c r="AA906" i="23" a="1"/>
  <c r="AA906" i="23" s="1"/>
  <c r="AB906" i="23"/>
  <c r="AC906" i="23" a="1"/>
  <c r="AC906" i="23" s="1"/>
  <c r="AD906" i="23"/>
  <c r="AE906" i="23"/>
  <c r="AF906" i="23" a="1"/>
  <c r="AF906" i="23" s="1"/>
  <c r="X907" i="23"/>
  <c r="Y907" i="23"/>
  <c r="Z907" i="23"/>
  <c r="AA907" i="23" a="1"/>
  <c r="AA907" i="23"/>
  <c r="AB907" i="23"/>
  <c r="AC907" i="23" a="1"/>
  <c r="AC907" i="23" s="1"/>
  <c r="AD907" i="23"/>
  <c r="AE907" i="23"/>
  <c r="AF907" i="23" a="1"/>
  <c r="AF907" i="23" s="1"/>
  <c r="X908" i="23"/>
  <c r="Y908" i="23"/>
  <c r="Z908" i="23"/>
  <c r="AA908" i="23" a="1"/>
  <c r="AA908" i="23" s="1"/>
  <c r="AB908" i="23"/>
  <c r="AC908" i="23" a="1"/>
  <c r="AC908" i="23" s="1"/>
  <c r="AD908" i="23"/>
  <c r="AE908" i="23"/>
  <c r="AF908" i="23" a="1"/>
  <c r="AF908" i="23" s="1"/>
  <c r="X909" i="23"/>
  <c r="Y909" i="23"/>
  <c r="Z909" i="23"/>
  <c r="AA909" i="23" a="1"/>
  <c r="AA909" i="23"/>
  <c r="AB909" i="23"/>
  <c r="AC909" i="23" a="1"/>
  <c r="AC909" i="23" s="1"/>
  <c r="AD909" i="23"/>
  <c r="AE909" i="23"/>
  <c r="AF909" i="23" a="1"/>
  <c r="AF909" i="23" s="1"/>
  <c r="X910" i="23"/>
  <c r="Y910" i="23"/>
  <c r="Z910" i="23"/>
  <c r="AA910" i="23" a="1"/>
  <c r="AA910" i="23" s="1"/>
  <c r="AB910" i="23"/>
  <c r="AC910" i="23" a="1"/>
  <c r="AC910" i="23" s="1"/>
  <c r="AD910" i="23"/>
  <c r="AE910" i="23"/>
  <c r="AF910" i="23" a="1"/>
  <c r="AF910" i="23" s="1"/>
  <c r="X911" i="23"/>
  <c r="Y911" i="23"/>
  <c r="Z911" i="23"/>
  <c r="AA911" i="23" a="1"/>
  <c r="AA911" i="23"/>
  <c r="AB911" i="23"/>
  <c r="AC911" i="23" a="1"/>
  <c r="AC911" i="23" s="1"/>
  <c r="AD911" i="23"/>
  <c r="AE911" i="23"/>
  <c r="AF911" i="23" a="1"/>
  <c r="AF911" i="23" s="1"/>
  <c r="X912" i="23"/>
  <c r="Y912" i="23"/>
  <c r="Z912" i="23"/>
  <c r="AA912" i="23" a="1"/>
  <c r="AA912" i="23"/>
  <c r="AB912" i="23"/>
  <c r="AC912" i="23" a="1"/>
  <c r="AC912" i="23" s="1"/>
  <c r="AD912" i="23"/>
  <c r="AE912" i="23"/>
  <c r="AF912" i="23" a="1"/>
  <c r="AF912" i="23" s="1"/>
  <c r="X913" i="23"/>
  <c r="Y913" i="23"/>
  <c r="Z913" i="23"/>
  <c r="AA913" i="23" a="1"/>
  <c r="AA913" i="23"/>
  <c r="AB913" i="23"/>
  <c r="AC913" i="23" a="1"/>
  <c r="AC913" i="23" s="1"/>
  <c r="AD913" i="23"/>
  <c r="AE913" i="23"/>
  <c r="AF913" i="23" a="1"/>
  <c r="AF913" i="23" s="1"/>
  <c r="X914" i="23"/>
  <c r="Y914" i="23"/>
  <c r="Z914" i="23"/>
  <c r="AA914" i="23" a="1"/>
  <c r="AA914" i="23" s="1"/>
  <c r="AB914" i="23"/>
  <c r="AC914" i="23" a="1"/>
  <c r="AC914" i="23" s="1"/>
  <c r="AD914" i="23"/>
  <c r="AE914" i="23"/>
  <c r="AF914" i="23" a="1"/>
  <c r="AF914" i="23" s="1"/>
  <c r="X915" i="23"/>
  <c r="Y915" i="23"/>
  <c r="Z915" i="23"/>
  <c r="AA915" i="23" a="1"/>
  <c r="AA915" i="23"/>
  <c r="AB915" i="23"/>
  <c r="AC915" i="23" a="1"/>
  <c r="AC915" i="23" s="1"/>
  <c r="AD915" i="23"/>
  <c r="AE915" i="23"/>
  <c r="AF915" i="23" a="1"/>
  <c r="AF915" i="23" s="1"/>
  <c r="X916" i="23"/>
  <c r="Y916" i="23"/>
  <c r="Z916" i="23"/>
  <c r="AA916" i="23" a="1"/>
  <c r="AA916" i="23" s="1"/>
  <c r="AB916" i="23"/>
  <c r="AC916" i="23" a="1"/>
  <c r="AC916" i="23" s="1"/>
  <c r="AD916" i="23"/>
  <c r="AE916" i="23"/>
  <c r="AF916" i="23" a="1"/>
  <c r="AF916" i="23" s="1"/>
  <c r="X917" i="23"/>
  <c r="Y917" i="23"/>
  <c r="Z917" i="23"/>
  <c r="AA917" i="23" a="1"/>
  <c r="AA917" i="23"/>
  <c r="AB917" i="23"/>
  <c r="AC917" i="23" a="1"/>
  <c r="AC917" i="23" s="1"/>
  <c r="AD917" i="23"/>
  <c r="AE917" i="23"/>
  <c r="AF917" i="23" a="1"/>
  <c r="AF917" i="23" s="1"/>
  <c r="X918" i="23"/>
  <c r="Y918" i="23"/>
  <c r="Z918" i="23"/>
  <c r="AA918" i="23" a="1"/>
  <c r="AA918" i="23" s="1"/>
  <c r="AB918" i="23"/>
  <c r="AC918" i="23" a="1"/>
  <c r="AC918" i="23" s="1"/>
  <c r="AD918" i="23"/>
  <c r="AE918" i="23"/>
  <c r="AF918" i="23" a="1"/>
  <c r="AF918" i="23" s="1"/>
  <c r="X919" i="23"/>
  <c r="Y919" i="23"/>
  <c r="Z919" i="23"/>
  <c r="AA919" i="23" a="1"/>
  <c r="AA919" i="23"/>
  <c r="AB919" i="23"/>
  <c r="AC919" i="23" a="1"/>
  <c r="AC919" i="23" s="1"/>
  <c r="AD919" i="23"/>
  <c r="AE919" i="23"/>
  <c r="AF919" i="23" a="1"/>
  <c r="AF919" i="23" s="1"/>
  <c r="X920" i="23"/>
  <c r="Y920" i="23"/>
  <c r="Z920" i="23"/>
  <c r="AA920" i="23" a="1"/>
  <c r="AA920" i="23"/>
  <c r="AB920" i="23"/>
  <c r="AC920" i="23" a="1"/>
  <c r="AC920" i="23" s="1"/>
  <c r="AD920" i="23"/>
  <c r="AE920" i="23"/>
  <c r="AF920" i="23" a="1"/>
  <c r="AF920" i="23" s="1"/>
  <c r="X921" i="23"/>
  <c r="Y921" i="23"/>
  <c r="Z921" i="23"/>
  <c r="AA921" i="23" a="1"/>
  <c r="AA921" i="23"/>
  <c r="AB921" i="23"/>
  <c r="AC921" i="23" a="1"/>
  <c r="AC921" i="23" s="1"/>
  <c r="AD921" i="23"/>
  <c r="AE921" i="23"/>
  <c r="AF921" i="23" a="1"/>
  <c r="AF921" i="23" s="1"/>
  <c r="X922" i="23"/>
  <c r="Y922" i="23"/>
  <c r="Z922" i="23"/>
  <c r="AA922" i="23" a="1"/>
  <c r="AA922" i="23" s="1"/>
  <c r="AB922" i="23"/>
  <c r="AC922" i="23" a="1"/>
  <c r="AC922" i="23" s="1"/>
  <c r="AD922" i="23"/>
  <c r="AE922" i="23"/>
  <c r="AF922" i="23" a="1"/>
  <c r="AF922" i="23" s="1"/>
  <c r="X923" i="23"/>
  <c r="Y923" i="23"/>
  <c r="Z923" i="23"/>
  <c r="AA923" i="23" a="1"/>
  <c r="AA923" i="23"/>
  <c r="AB923" i="23"/>
  <c r="AC923" i="23" a="1"/>
  <c r="AC923" i="23" s="1"/>
  <c r="AD923" i="23"/>
  <c r="AE923" i="23"/>
  <c r="AF923" i="23" a="1"/>
  <c r="AF923" i="23" s="1"/>
  <c r="X924" i="23"/>
  <c r="Y924" i="23"/>
  <c r="Z924" i="23"/>
  <c r="AA924" i="23" a="1"/>
  <c r="AA924" i="23" s="1"/>
  <c r="AB924" i="23"/>
  <c r="AC924" i="23" a="1"/>
  <c r="AC924" i="23" s="1"/>
  <c r="AD924" i="23"/>
  <c r="AE924" i="23"/>
  <c r="AF924" i="23" a="1"/>
  <c r="AF924" i="23" s="1"/>
  <c r="X925" i="23"/>
  <c r="Y925" i="23"/>
  <c r="Z925" i="23"/>
  <c r="AA925" i="23" a="1"/>
  <c r="AA925" i="23"/>
  <c r="AB925" i="23"/>
  <c r="AC925" i="23" a="1"/>
  <c r="AC925" i="23" s="1"/>
  <c r="AD925" i="23"/>
  <c r="AE925" i="23"/>
  <c r="AF925" i="23" a="1"/>
  <c r="AF925" i="23" s="1"/>
  <c r="X926" i="23"/>
  <c r="Y926" i="23"/>
  <c r="Z926" i="23"/>
  <c r="AA926" i="23" a="1"/>
  <c r="AA926" i="23" s="1"/>
  <c r="AB926" i="23"/>
  <c r="AC926" i="23" a="1"/>
  <c r="AC926" i="23" s="1"/>
  <c r="AD926" i="23"/>
  <c r="AE926" i="23"/>
  <c r="AF926" i="23" a="1"/>
  <c r="AF926" i="23" s="1"/>
  <c r="X927" i="23"/>
  <c r="Y927" i="23"/>
  <c r="Z927" i="23"/>
  <c r="AA927" i="23" a="1"/>
  <c r="AA927" i="23"/>
  <c r="AB927" i="23"/>
  <c r="AC927" i="23" a="1"/>
  <c r="AC927" i="23" s="1"/>
  <c r="AD927" i="23"/>
  <c r="AE927" i="23"/>
  <c r="AF927" i="23" a="1"/>
  <c r="AF927" i="23" s="1"/>
  <c r="X928" i="23"/>
  <c r="Y928" i="23"/>
  <c r="Z928" i="23"/>
  <c r="AA928" i="23" a="1"/>
  <c r="AA928" i="23"/>
  <c r="AB928" i="23"/>
  <c r="AC928" i="23" a="1"/>
  <c r="AC928" i="23" s="1"/>
  <c r="AD928" i="23"/>
  <c r="AE928" i="23"/>
  <c r="AF928" i="23" a="1"/>
  <c r="AF928" i="23" s="1"/>
  <c r="X929" i="23"/>
  <c r="Y929" i="23"/>
  <c r="Z929" i="23"/>
  <c r="AA929" i="23" a="1"/>
  <c r="AA929" i="23"/>
  <c r="AB929" i="23"/>
  <c r="AC929" i="23" a="1"/>
  <c r="AC929" i="23" s="1"/>
  <c r="AD929" i="23"/>
  <c r="AE929" i="23"/>
  <c r="AF929" i="23" a="1"/>
  <c r="AF929" i="23" s="1"/>
  <c r="X930" i="23"/>
  <c r="Y930" i="23"/>
  <c r="Z930" i="23"/>
  <c r="AA930" i="23" a="1"/>
  <c r="AA930" i="23" s="1"/>
  <c r="AB930" i="23"/>
  <c r="AC930" i="23" a="1"/>
  <c r="AC930" i="23"/>
  <c r="AD930" i="23"/>
  <c r="AE930" i="23"/>
  <c r="AF930" i="23" a="1"/>
  <c r="AF930" i="23" s="1"/>
  <c r="X931" i="23"/>
  <c r="Y931" i="23"/>
  <c r="Z931" i="23"/>
  <c r="AA931" i="23" a="1"/>
  <c r="AA931" i="23" s="1"/>
  <c r="AB931" i="23"/>
  <c r="AC931" i="23" a="1"/>
  <c r="AC931" i="23" s="1"/>
  <c r="AD931" i="23"/>
  <c r="AE931" i="23"/>
  <c r="AF931" i="23" a="1"/>
  <c r="AF931" i="23" s="1"/>
  <c r="X932" i="23"/>
  <c r="Y932" i="23"/>
  <c r="Z932" i="23"/>
  <c r="AA932" i="23" a="1"/>
  <c r="AA932" i="23" s="1"/>
  <c r="AB932" i="23"/>
  <c r="AC932" i="23" a="1"/>
  <c r="AC932" i="23" s="1"/>
  <c r="AD932" i="23"/>
  <c r="AE932" i="23"/>
  <c r="AF932" i="23" a="1"/>
  <c r="AF932" i="23" s="1"/>
  <c r="X933" i="23"/>
  <c r="Y933" i="23"/>
  <c r="Z933" i="23"/>
  <c r="AA933" i="23" a="1"/>
  <c r="AA933" i="23" s="1"/>
  <c r="AB933" i="23"/>
  <c r="AC933" i="23" a="1"/>
  <c r="AC933" i="23" s="1"/>
  <c r="AD933" i="23"/>
  <c r="AE933" i="23"/>
  <c r="AF933" i="23" a="1"/>
  <c r="AF933" i="23" s="1"/>
  <c r="X934" i="23"/>
  <c r="Y934" i="23"/>
  <c r="Z934" i="23"/>
  <c r="AA934" i="23" a="1"/>
  <c r="AA934" i="23" s="1"/>
  <c r="AB934" i="23"/>
  <c r="AC934" i="23" a="1"/>
  <c r="AC934" i="23" s="1"/>
  <c r="AD934" i="23"/>
  <c r="AE934" i="23"/>
  <c r="AF934" i="23" a="1"/>
  <c r="AF934" i="23" s="1"/>
  <c r="X935" i="23"/>
  <c r="Y935" i="23"/>
  <c r="Z935" i="23"/>
  <c r="AA935" i="23" a="1"/>
  <c r="AA935" i="23" s="1"/>
  <c r="AB935" i="23"/>
  <c r="AC935" i="23" a="1"/>
  <c r="AC935" i="23" s="1"/>
  <c r="AD935" i="23"/>
  <c r="AE935" i="23"/>
  <c r="AF935" i="23" a="1"/>
  <c r="AF935" i="23" s="1"/>
  <c r="X936" i="23"/>
  <c r="Y936" i="23"/>
  <c r="Z936" i="23"/>
  <c r="AA936" i="23" a="1"/>
  <c r="AA936" i="23" s="1"/>
  <c r="AB936" i="23"/>
  <c r="AC936" i="23" a="1"/>
  <c r="AC936" i="23" s="1"/>
  <c r="AD936" i="23"/>
  <c r="AE936" i="23"/>
  <c r="AF936" i="23" a="1"/>
  <c r="AF936" i="23" s="1"/>
  <c r="X937" i="23"/>
  <c r="Y937" i="23"/>
  <c r="Z937" i="23"/>
  <c r="AA937" i="23" a="1"/>
  <c r="AA937" i="23" s="1"/>
  <c r="AB937" i="23"/>
  <c r="AC937" i="23" a="1"/>
  <c r="AC937" i="23"/>
  <c r="AD937" i="23"/>
  <c r="AE937" i="23"/>
  <c r="AF937" i="23" a="1"/>
  <c r="AF937" i="23" s="1"/>
  <c r="X938" i="23"/>
  <c r="Y938" i="23"/>
  <c r="Z938" i="23"/>
  <c r="AA938" i="23" a="1"/>
  <c r="AA938" i="23" s="1"/>
  <c r="AB938" i="23"/>
  <c r="AC938" i="23" a="1"/>
  <c r="AC938" i="23"/>
  <c r="AD938" i="23"/>
  <c r="AE938" i="23"/>
  <c r="AF938" i="23" a="1"/>
  <c r="AF938" i="23" s="1"/>
  <c r="X939" i="23"/>
  <c r="Y939" i="23"/>
  <c r="Z939" i="23"/>
  <c r="AA939" i="23" a="1"/>
  <c r="AA939" i="23" s="1"/>
  <c r="AB939" i="23"/>
  <c r="AC939" i="23" a="1"/>
  <c r="AC939" i="23" s="1"/>
  <c r="AD939" i="23"/>
  <c r="AE939" i="23"/>
  <c r="AF939" i="23" a="1"/>
  <c r="AF939" i="23" s="1"/>
  <c r="X940" i="23"/>
  <c r="Y940" i="23"/>
  <c r="Z940" i="23"/>
  <c r="AA940" i="23" a="1"/>
  <c r="AA940" i="23" s="1"/>
  <c r="AB940" i="23"/>
  <c r="AC940" i="23" a="1"/>
  <c r="AC940" i="23" s="1"/>
  <c r="AD940" i="23"/>
  <c r="AE940" i="23"/>
  <c r="AF940" i="23" a="1"/>
  <c r="AF940" i="23" s="1"/>
  <c r="X941" i="23"/>
  <c r="Y941" i="23"/>
  <c r="Z941" i="23"/>
  <c r="AA941" i="23" a="1"/>
  <c r="AA941" i="23" s="1"/>
  <c r="AB941" i="23"/>
  <c r="AC941" i="23" a="1"/>
  <c r="AC941" i="23" s="1"/>
  <c r="AD941" i="23"/>
  <c r="AE941" i="23"/>
  <c r="AF941" i="23" a="1"/>
  <c r="AF941" i="23" s="1"/>
  <c r="X942" i="23"/>
  <c r="Y942" i="23"/>
  <c r="Z942" i="23"/>
  <c r="AA942" i="23" a="1"/>
  <c r="AA942" i="23" s="1"/>
  <c r="AB942" i="23"/>
  <c r="AC942" i="23" a="1"/>
  <c r="AC942" i="23" s="1"/>
  <c r="AD942" i="23"/>
  <c r="AE942" i="23"/>
  <c r="AF942" i="23" a="1"/>
  <c r="AF942" i="23" s="1"/>
  <c r="X943" i="23"/>
  <c r="Y943" i="23"/>
  <c r="Z943" i="23"/>
  <c r="AA943" i="23" a="1"/>
  <c r="AA943" i="23" s="1"/>
  <c r="AB943" i="23"/>
  <c r="AC943" i="23" a="1"/>
  <c r="AC943" i="23"/>
  <c r="AD943" i="23"/>
  <c r="AE943" i="23"/>
  <c r="AF943" i="23" a="1"/>
  <c r="AF943" i="23" s="1"/>
  <c r="X944" i="23"/>
  <c r="Y944" i="23"/>
  <c r="Z944" i="23"/>
  <c r="AA944" i="23" a="1"/>
  <c r="AA944" i="23" s="1"/>
  <c r="AB944" i="23"/>
  <c r="AC944" i="23" a="1"/>
  <c r="AC944" i="23" s="1"/>
  <c r="AD944" i="23"/>
  <c r="AE944" i="23"/>
  <c r="AF944" i="23" a="1"/>
  <c r="AF944" i="23" s="1"/>
  <c r="X945" i="23"/>
  <c r="Y945" i="23"/>
  <c r="Z945" i="23"/>
  <c r="AA945" i="23" a="1"/>
  <c r="AA945" i="23" s="1"/>
  <c r="AB945" i="23"/>
  <c r="AC945" i="23" a="1"/>
  <c r="AC945" i="23" s="1"/>
  <c r="AD945" i="23"/>
  <c r="AE945" i="23"/>
  <c r="AF945" i="23" a="1"/>
  <c r="AF945" i="23" s="1"/>
  <c r="X946" i="23"/>
  <c r="Y946" i="23"/>
  <c r="Z946" i="23"/>
  <c r="AA946" i="23" a="1"/>
  <c r="AA946" i="23" s="1"/>
  <c r="AB946" i="23"/>
  <c r="AC946" i="23" a="1"/>
  <c r="AC946" i="23" s="1"/>
  <c r="AD946" i="23"/>
  <c r="AE946" i="23"/>
  <c r="AF946" i="23" a="1"/>
  <c r="AF946" i="23" s="1"/>
  <c r="X947" i="23"/>
  <c r="Y947" i="23"/>
  <c r="Z947" i="23"/>
  <c r="AA947" i="23" a="1"/>
  <c r="AA947" i="23" s="1"/>
  <c r="AB947" i="23"/>
  <c r="AC947" i="23" a="1"/>
  <c r="AC947" i="23"/>
  <c r="AD947" i="23"/>
  <c r="AE947" i="23"/>
  <c r="AF947" i="23" a="1"/>
  <c r="AF947" i="23" s="1"/>
  <c r="X948" i="23"/>
  <c r="Y948" i="23"/>
  <c r="Z948" i="23"/>
  <c r="AA948" i="23" a="1"/>
  <c r="AA948" i="23" s="1"/>
  <c r="AB948" i="23"/>
  <c r="AC948" i="23" a="1"/>
  <c r="AC948" i="23" s="1"/>
  <c r="AD948" i="23"/>
  <c r="AE948" i="23"/>
  <c r="AF948" i="23" a="1"/>
  <c r="AF948" i="23" s="1"/>
  <c r="X949" i="23"/>
  <c r="Y949" i="23"/>
  <c r="Z949" i="23"/>
  <c r="AA949" i="23" a="1"/>
  <c r="AA949" i="23" s="1"/>
  <c r="AB949" i="23"/>
  <c r="AC949" i="23" a="1"/>
  <c r="AC949" i="23"/>
  <c r="AD949" i="23"/>
  <c r="AE949" i="23"/>
  <c r="AF949" i="23" a="1"/>
  <c r="AF949" i="23" s="1"/>
  <c r="X950" i="23"/>
  <c r="Y950" i="23"/>
  <c r="Z950" i="23"/>
  <c r="AA950" i="23" a="1"/>
  <c r="AA950" i="23" s="1"/>
  <c r="AB950" i="23"/>
  <c r="AC950" i="23" a="1"/>
  <c r="AC950" i="23"/>
  <c r="AD950" i="23"/>
  <c r="AE950" i="23"/>
  <c r="AF950" i="23" a="1"/>
  <c r="AF950" i="23" s="1"/>
  <c r="X951" i="23"/>
  <c r="Y951" i="23"/>
  <c r="Z951" i="23"/>
  <c r="AA951" i="23" a="1"/>
  <c r="AA951" i="23" s="1"/>
  <c r="AB951" i="23"/>
  <c r="AC951" i="23" a="1"/>
  <c r="AC951" i="23"/>
  <c r="AD951" i="23"/>
  <c r="AE951" i="23"/>
  <c r="AF951" i="23" a="1"/>
  <c r="AF951" i="23" s="1"/>
  <c r="X952" i="23"/>
  <c r="Y952" i="23"/>
  <c r="Z952" i="23"/>
  <c r="AA952" i="23" a="1"/>
  <c r="AA952" i="23" s="1"/>
  <c r="AB952" i="23"/>
  <c r="AC952" i="23" a="1"/>
  <c r="AC952" i="23" s="1"/>
  <c r="AD952" i="23"/>
  <c r="AE952" i="23"/>
  <c r="AF952" i="23" a="1"/>
  <c r="AF952" i="23" s="1"/>
  <c r="X953" i="23"/>
  <c r="Y953" i="23"/>
  <c r="Z953" i="23"/>
  <c r="AA953" i="23" a="1"/>
  <c r="AA953" i="23" s="1"/>
  <c r="AB953" i="23"/>
  <c r="AC953" i="23" a="1"/>
  <c r="AC953" i="23"/>
  <c r="AD953" i="23"/>
  <c r="AE953" i="23"/>
  <c r="AF953" i="23" a="1"/>
  <c r="AF953" i="23" s="1"/>
  <c r="X954" i="23"/>
  <c r="Y954" i="23"/>
  <c r="Z954" i="23"/>
  <c r="AA954" i="23" a="1"/>
  <c r="AA954" i="23" s="1"/>
  <c r="AB954" i="23"/>
  <c r="AC954" i="23" a="1"/>
  <c r="AC954" i="23" s="1"/>
  <c r="AD954" i="23"/>
  <c r="AE954" i="23"/>
  <c r="AF954" i="23" a="1"/>
  <c r="AF954" i="23" s="1"/>
  <c r="X955" i="23"/>
  <c r="Y955" i="23"/>
  <c r="Z955" i="23"/>
  <c r="AA955" i="23" a="1"/>
  <c r="AA955" i="23" s="1"/>
  <c r="AB955" i="23"/>
  <c r="AC955" i="23" a="1"/>
  <c r="AC955" i="23" s="1"/>
  <c r="AD955" i="23"/>
  <c r="AE955" i="23"/>
  <c r="AF955" i="23" a="1"/>
  <c r="AF955" i="23" s="1"/>
  <c r="X956" i="23"/>
  <c r="Y956" i="23"/>
  <c r="Z956" i="23"/>
  <c r="AA956" i="23" a="1"/>
  <c r="AA956" i="23" s="1"/>
  <c r="AB956" i="23"/>
  <c r="AC956" i="23" a="1"/>
  <c r="AC956" i="23" s="1"/>
  <c r="AD956" i="23"/>
  <c r="AE956" i="23"/>
  <c r="AF956" i="23" a="1"/>
  <c r="AF956" i="23" s="1"/>
  <c r="X957" i="23"/>
  <c r="Y957" i="23"/>
  <c r="Z957" i="23"/>
  <c r="AA957" i="23" a="1"/>
  <c r="AA957" i="23" s="1"/>
  <c r="AB957" i="23"/>
  <c r="AC957" i="23" a="1"/>
  <c r="AC957" i="23" s="1"/>
  <c r="AD957" i="23"/>
  <c r="AE957" i="23"/>
  <c r="AF957" i="23" a="1"/>
  <c r="AF957" i="23" s="1"/>
  <c r="X958" i="23"/>
  <c r="Y958" i="23"/>
  <c r="Z958" i="23"/>
  <c r="AA958" i="23" a="1"/>
  <c r="AA958" i="23" s="1"/>
  <c r="AB958" i="23"/>
  <c r="AC958" i="23" a="1"/>
  <c r="AC958" i="23" s="1"/>
  <c r="AD958" i="23"/>
  <c r="AE958" i="23"/>
  <c r="AF958" i="23" a="1"/>
  <c r="AF958" i="23" s="1"/>
  <c r="X959" i="23"/>
  <c r="Y959" i="23"/>
  <c r="Z959" i="23"/>
  <c r="AA959" i="23" a="1"/>
  <c r="AA959" i="23" s="1"/>
  <c r="AB959" i="23"/>
  <c r="AC959" i="23" a="1"/>
  <c r="AC959" i="23" s="1"/>
  <c r="AD959" i="23"/>
  <c r="AE959" i="23"/>
  <c r="AF959" i="23" a="1"/>
  <c r="AF959" i="23" s="1"/>
  <c r="X960" i="23"/>
  <c r="Y960" i="23"/>
  <c r="Z960" i="23"/>
  <c r="AA960" i="23" a="1"/>
  <c r="AA960" i="23" s="1"/>
  <c r="AB960" i="23"/>
  <c r="AC960" i="23" a="1"/>
  <c r="AC960" i="23" s="1"/>
  <c r="AD960" i="23"/>
  <c r="AE960" i="23"/>
  <c r="AF960" i="23" a="1"/>
  <c r="AF960" i="23" s="1"/>
  <c r="X961" i="23"/>
  <c r="Y961" i="23"/>
  <c r="Z961" i="23"/>
  <c r="AA961" i="23" a="1"/>
  <c r="AA961" i="23" s="1"/>
  <c r="AB961" i="23"/>
  <c r="AC961" i="23" a="1"/>
  <c r="AC961" i="23" s="1"/>
  <c r="AD961" i="23"/>
  <c r="AE961" i="23"/>
  <c r="AF961" i="23" a="1"/>
  <c r="AF961" i="23" s="1"/>
  <c r="X962" i="23"/>
  <c r="Y962" i="23"/>
  <c r="Z962" i="23"/>
  <c r="AA962" i="23" a="1"/>
  <c r="AA962" i="23" s="1"/>
  <c r="AB962" i="23"/>
  <c r="AC962" i="23" a="1"/>
  <c r="AC962" i="23" s="1"/>
  <c r="AD962" i="23"/>
  <c r="AE962" i="23"/>
  <c r="AF962" i="23" a="1"/>
  <c r="AF962" i="23" s="1"/>
  <c r="X963" i="23"/>
  <c r="Y963" i="23"/>
  <c r="Z963" i="23"/>
  <c r="AA963" i="23" a="1"/>
  <c r="AA963" i="23" s="1"/>
  <c r="AB963" i="23"/>
  <c r="AC963" i="23" a="1"/>
  <c r="AC963" i="23" s="1"/>
  <c r="AD963" i="23"/>
  <c r="AE963" i="23"/>
  <c r="AF963" i="23" a="1"/>
  <c r="AF963" i="23" s="1"/>
  <c r="X964" i="23"/>
  <c r="Y964" i="23"/>
  <c r="Z964" i="23"/>
  <c r="AA964" i="23" a="1"/>
  <c r="AA964" i="23" s="1"/>
  <c r="AB964" i="23"/>
  <c r="AC964" i="23" a="1"/>
  <c r="AC964" i="23" s="1"/>
  <c r="AD964" i="23"/>
  <c r="AE964" i="23"/>
  <c r="AF964" i="23" a="1"/>
  <c r="AF964" i="23" s="1"/>
  <c r="X965" i="23"/>
  <c r="Y965" i="23"/>
  <c r="Z965" i="23"/>
  <c r="AA965" i="23" a="1"/>
  <c r="AA965" i="23" s="1"/>
  <c r="AB965" i="23"/>
  <c r="AC965" i="23" a="1"/>
  <c r="AC965" i="23" s="1"/>
  <c r="AD965" i="23"/>
  <c r="AE965" i="23"/>
  <c r="AF965" i="23" a="1"/>
  <c r="AF965" i="23" s="1"/>
  <c r="X966" i="23"/>
  <c r="Y966" i="23"/>
  <c r="Z966" i="23"/>
  <c r="AA966" i="23" a="1"/>
  <c r="AA966" i="23" s="1"/>
  <c r="AB966" i="23"/>
  <c r="AC966" i="23" a="1"/>
  <c r="AC966" i="23"/>
  <c r="AD966" i="23"/>
  <c r="AE966" i="23"/>
  <c r="AF966" i="23" a="1"/>
  <c r="AF966" i="23" s="1"/>
  <c r="X967" i="23"/>
  <c r="Y967" i="23"/>
  <c r="Z967" i="23"/>
  <c r="AA967" i="23" a="1"/>
  <c r="AA967" i="23" s="1"/>
  <c r="AB967" i="23"/>
  <c r="AC967" i="23" a="1"/>
  <c r="AC967" i="23"/>
  <c r="AD967" i="23"/>
  <c r="AE967" i="23"/>
  <c r="AF967" i="23" a="1"/>
  <c r="AF967" i="23" s="1"/>
  <c r="X968" i="23"/>
  <c r="Y968" i="23"/>
  <c r="Z968" i="23"/>
  <c r="AA968" i="23" a="1"/>
  <c r="AA968" i="23" s="1"/>
  <c r="AB968" i="23"/>
  <c r="AC968" i="23" a="1"/>
  <c r="AC968" i="23"/>
  <c r="AD968" i="23"/>
  <c r="AE968" i="23"/>
  <c r="AF968" i="23" a="1"/>
  <c r="AF968" i="23" s="1"/>
  <c r="X969" i="23"/>
  <c r="Y969" i="23"/>
  <c r="Z969" i="23"/>
  <c r="AA969" i="23" a="1"/>
  <c r="AA969" i="23" s="1"/>
  <c r="AB969" i="23"/>
  <c r="AC969" i="23" a="1"/>
  <c r="AC969" i="23" s="1"/>
  <c r="AD969" i="23"/>
  <c r="AE969" i="23"/>
  <c r="AF969" i="23" a="1"/>
  <c r="AF969" i="23" s="1"/>
  <c r="X970" i="23"/>
  <c r="Y970" i="23"/>
  <c r="Z970" i="23"/>
  <c r="AA970" i="23" a="1"/>
  <c r="AA970" i="23" s="1"/>
  <c r="AB970" i="23"/>
  <c r="AC970" i="23" a="1"/>
  <c r="AC970" i="23"/>
  <c r="AD970" i="23"/>
  <c r="AE970" i="23"/>
  <c r="AF970" i="23" a="1"/>
  <c r="AF970" i="23" s="1"/>
  <c r="X971" i="23"/>
  <c r="Y971" i="23"/>
  <c r="Z971" i="23"/>
  <c r="AA971" i="23" a="1"/>
  <c r="AA971" i="23" s="1"/>
  <c r="AB971" i="23"/>
  <c r="AC971" i="23" a="1"/>
  <c r="AC971" i="23" s="1"/>
  <c r="AD971" i="23"/>
  <c r="AE971" i="23"/>
  <c r="AF971" i="23" a="1"/>
  <c r="AF971" i="23" s="1"/>
  <c r="X972" i="23"/>
  <c r="Y972" i="23"/>
  <c r="Z972" i="23"/>
  <c r="AA972" i="23" a="1"/>
  <c r="AA972" i="23" s="1"/>
  <c r="AB972" i="23"/>
  <c r="AC972" i="23" a="1"/>
  <c r="AC972" i="23" s="1"/>
  <c r="AD972" i="23"/>
  <c r="AE972" i="23"/>
  <c r="AF972" i="23" a="1"/>
  <c r="AF972" i="23" s="1"/>
  <c r="X973" i="23"/>
  <c r="Y973" i="23"/>
  <c r="Z973" i="23"/>
  <c r="AA973" i="23" a="1"/>
  <c r="AA973" i="23" s="1"/>
  <c r="AB973" i="23"/>
  <c r="AC973" i="23" a="1"/>
  <c r="AC973" i="23"/>
  <c r="AD973" i="23"/>
  <c r="AE973" i="23"/>
  <c r="AF973" i="23" a="1"/>
  <c r="AF973" i="23" s="1"/>
  <c r="X974" i="23"/>
  <c r="Y974" i="23"/>
  <c r="Z974" i="23"/>
  <c r="AA974" i="23" a="1"/>
  <c r="AA974" i="23" s="1"/>
  <c r="AB974" i="23"/>
  <c r="AC974" i="23" a="1"/>
  <c r="AC974" i="23" s="1"/>
  <c r="AD974" i="23"/>
  <c r="AE974" i="23"/>
  <c r="AF974" i="23" a="1"/>
  <c r="AF974" i="23" s="1"/>
  <c r="X975" i="23"/>
  <c r="Y975" i="23"/>
  <c r="Z975" i="23"/>
  <c r="AA975" i="23" a="1"/>
  <c r="AA975" i="23" s="1"/>
  <c r="AB975" i="23"/>
  <c r="AC975" i="23" a="1"/>
  <c r="AC975" i="23" s="1"/>
  <c r="AD975" i="23"/>
  <c r="AE975" i="23"/>
  <c r="AF975" i="23" a="1"/>
  <c r="AF975" i="23" s="1"/>
  <c r="X976" i="23"/>
  <c r="Y976" i="23"/>
  <c r="Z976" i="23"/>
  <c r="AA976" i="23" a="1"/>
  <c r="AA976" i="23" s="1"/>
  <c r="AB976" i="23"/>
  <c r="AC976" i="23" a="1"/>
  <c r="AC976" i="23" s="1"/>
  <c r="AD976" i="23"/>
  <c r="AE976" i="23"/>
  <c r="AF976" i="23" a="1"/>
  <c r="AF976" i="23" s="1"/>
  <c r="X977" i="23"/>
  <c r="Y977" i="23"/>
  <c r="Z977" i="23"/>
  <c r="AA977" i="23" a="1"/>
  <c r="AA977" i="23" s="1"/>
  <c r="AB977" i="23"/>
  <c r="AC977" i="23" a="1"/>
  <c r="AC977" i="23" s="1"/>
  <c r="AD977" i="23"/>
  <c r="AE977" i="23"/>
  <c r="AF977" i="23" a="1"/>
  <c r="AF977" i="23" s="1"/>
  <c r="X978" i="23"/>
  <c r="Y978" i="23"/>
  <c r="Z978" i="23"/>
  <c r="AA978" i="23" a="1"/>
  <c r="AA978" i="23" s="1"/>
  <c r="AB978" i="23"/>
  <c r="AC978" i="23" a="1"/>
  <c r="AC978" i="23" s="1"/>
  <c r="AD978" i="23"/>
  <c r="AE978" i="23"/>
  <c r="AF978" i="23" a="1"/>
  <c r="AF978" i="23" s="1"/>
  <c r="X979" i="23"/>
  <c r="Y979" i="23"/>
  <c r="Z979" i="23"/>
  <c r="AA979" i="23" a="1"/>
  <c r="AA979" i="23" s="1"/>
  <c r="AB979" i="23"/>
  <c r="AC979" i="23" a="1"/>
  <c r="AC979" i="23" s="1"/>
  <c r="AD979" i="23"/>
  <c r="AE979" i="23"/>
  <c r="AF979" i="23" a="1"/>
  <c r="AF979" i="23" s="1"/>
  <c r="X980" i="23"/>
  <c r="Y980" i="23"/>
  <c r="Z980" i="23"/>
  <c r="AA980" i="23" a="1"/>
  <c r="AA980" i="23" s="1"/>
  <c r="AB980" i="23"/>
  <c r="AC980" i="23" a="1"/>
  <c r="AC980" i="23" s="1"/>
  <c r="AD980" i="23"/>
  <c r="AE980" i="23"/>
  <c r="AF980" i="23" a="1"/>
  <c r="AF980" i="23" s="1"/>
  <c r="X981" i="23"/>
  <c r="Y981" i="23"/>
  <c r="Z981" i="23"/>
  <c r="AA981" i="23" a="1"/>
  <c r="AA981" i="23" s="1"/>
  <c r="AB981" i="23"/>
  <c r="AC981" i="23" a="1"/>
  <c r="AC981" i="23" s="1"/>
  <c r="AD981" i="23"/>
  <c r="AE981" i="23"/>
  <c r="AF981" i="23" a="1"/>
  <c r="AF981" i="23" s="1"/>
  <c r="X982" i="23"/>
  <c r="Y982" i="23"/>
  <c r="Z982" i="23"/>
  <c r="AA982" i="23" a="1"/>
  <c r="AA982" i="23" s="1"/>
  <c r="AB982" i="23"/>
  <c r="AC982" i="23" a="1"/>
  <c r="AC982" i="23" s="1"/>
  <c r="AD982" i="23"/>
  <c r="AE982" i="23"/>
  <c r="AF982" i="23" a="1"/>
  <c r="AF982" i="23" s="1"/>
  <c r="X983" i="23"/>
  <c r="Y983" i="23"/>
  <c r="Z983" i="23"/>
  <c r="AA983" i="23" a="1"/>
  <c r="AA983" i="23" s="1"/>
  <c r="AB983" i="23"/>
  <c r="AC983" i="23" a="1"/>
  <c r="AC983" i="23" s="1"/>
  <c r="AD983" i="23"/>
  <c r="AE983" i="23"/>
  <c r="AF983" i="23" a="1"/>
  <c r="AF983" i="23" s="1"/>
  <c r="X984" i="23"/>
  <c r="Y984" i="23"/>
  <c r="Z984" i="23"/>
  <c r="AA984" i="23" a="1"/>
  <c r="AA984" i="23" s="1"/>
  <c r="AB984" i="23"/>
  <c r="AC984" i="23" a="1"/>
  <c r="AC984" i="23" s="1"/>
  <c r="AD984" i="23"/>
  <c r="AE984" i="23"/>
  <c r="AF984" i="23" a="1"/>
  <c r="AF984" i="23" s="1"/>
  <c r="X985" i="23"/>
  <c r="Y985" i="23"/>
  <c r="Z985" i="23"/>
  <c r="AA985" i="23" a="1"/>
  <c r="AA985" i="23" s="1"/>
  <c r="AB985" i="23"/>
  <c r="AC985" i="23" a="1"/>
  <c r="AC985" i="23"/>
  <c r="AD985" i="23"/>
  <c r="AE985" i="23"/>
  <c r="AF985" i="23" a="1"/>
  <c r="AF985" i="23" s="1"/>
  <c r="X986" i="23"/>
  <c r="Y986" i="23"/>
  <c r="Z986" i="23"/>
  <c r="AA986" i="23" a="1"/>
  <c r="AA986" i="23" s="1"/>
  <c r="AB986" i="23"/>
  <c r="AC986" i="23" a="1"/>
  <c r="AC986" i="23" s="1"/>
  <c r="AD986" i="23"/>
  <c r="AE986" i="23"/>
  <c r="AF986" i="23" a="1"/>
  <c r="AF986" i="23" s="1"/>
  <c r="X987" i="23"/>
  <c r="Y987" i="23"/>
  <c r="Z987" i="23"/>
  <c r="AA987" i="23" a="1"/>
  <c r="AA987" i="23" s="1"/>
  <c r="AB987" i="23"/>
  <c r="AC987" i="23" a="1"/>
  <c r="AC987" i="23"/>
  <c r="AD987" i="23"/>
  <c r="AE987" i="23"/>
  <c r="AF987" i="23" a="1"/>
  <c r="AF987" i="23" s="1"/>
  <c r="X988" i="23"/>
  <c r="Y988" i="23"/>
  <c r="Z988" i="23"/>
  <c r="AA988" i="23" a="1"/>
  <c r="AA988" i="23" s="1"/>
  <c r="AB988" i="23"/>
  <c r="AC988" i="23" a="1"/>
  <c r="AC988" i="23" s="1"/>
  <c r="AD988" i="23"/>
  <c r="AE988" i="23"/>
  <c r="AF988" i="23" a="1"/>
  <c r="AF988" i="23" s="1"/>
  <c r="X989" i="23"/>
  <c r="Y989" i="23"/>
  <c r="Z989" i="23"/>
  <c r="AA989" i="23" a="1"/>
  <c r="AA989" i="23" s="1"/>
  <c r="AB989" i="23"/>
  <c r="AC989" i="23" a="1"/>
  <c r="AC989" i="23" s="1"/>
  <c r="AD989" i="23"/>
  <c r="AE989" i="23"/>
  <c r="AF989" i="23" a="1"/>
  <c r="AF989" i="23" s="1"/>
  <c r="X990" i="23"/>
  <c r="Y990" i="23"/>
  <c r="Z990" i="23"/>
  <c r="AA990" i="23" a="1"/>
  <c r="AA990" i="23" s="1"/>
  <c r="AB990" i="23"/>
  <c r="AC990" i="23" a="1"/>
  <c r="AC990" i="23"/>
  <c r="AD990" i="23"/>
  <c r="AE990" i="23"/>
  <c r="AF990" i="23" a="1"/>
  <c r="AF990" i="23" s="1"/>
  <c r="X991" i="23"/>
  <c r="Y991" i="23"/>
  <c r="Z991" i="23"/>
  <c r="AA991" i="23" a="1"/>
  <c r="AA991" i="23" s="1"/>
  <c r="AB991" i="23"/>
  <c r="AC991" i="23" a="1"/>
  <c r="AC991" i="23" s="1"/>
  <c r="AD991" i="23"/>
  <c r="AE991" i="23"/>
  <c r="AF991" i="23" a="1"/>
  <c r="AF991" i="23" s="1"/>
  <c r="X992" i="23"/>
  <c r="Y992" i="23"/>
  <c r="Z992" i="23"/>
  <c r="AA992" i="23" a="1"/>
  <c r="AA992" i="23" s="1"/>
  <c r="AB992" i="23"/>
  <c r="AC992" i="23" a="1"/>
  <c r="AC992" i="23" s="1"/>
  <c r="AD992" i="23"/>
  <c r="AE992" i="23"/>
  <c r="AF992" i="23" a="1"/>
  <c r="AF992" i="23" s="1"/>
  <c r="X993" i="23"/>
  <c r="Y993" i="23"/>
  <c r="Z993" i="23"/>
  <c r="AA993" i="23" a="1"/>
  <c r="AA993" i="23" s="1"/>
  <c r="AB993" i="23"/>
  <c r="AC993" i="23" a="1"/>
  <c r="AC993" i="23" s="1"/>
  <c r="AD993" i="23"/>
  <c r="AE993" i="23"/>
  <c r="AF993" i="23" a="1"/>
  <c r="AF993" i="23" s="1"/>
  <c r="X994" i="23"/>
  <c r="Y994" i="23"/>
  <c r="Z994" i="23"/>
  <c r="AA994" i="23" a="1"/>
  <c r="AA994" i="23" s="1"/>
  <c r="AB994" i="23"/>
  <c r="AC994" i="23" a="1"/>
  <c r="AC994" i="23" s="1"/>
  <c r="AD994" i="23"/>
  <c r="AE994" i="23"/>
  <c r="AF994" i="23" a="1"/>
  <c r="AF994" i="23" s="1"/>
  <c r="X995" i="23"/>
  <c r="Y995" i="23"/>
  <c r="Z995" i="23"/>
  <c r="AA995" i="23" a="1"/>
  <c r="AA995" i="23" s="1"/>
  <c r="AB995" i="23"/>
  <c r="AC995" i="23" a="1"/>
  <c r="AC995" i="23" s="1"/>
  <c r="AD995" i="23"/>
  <c r="AE995" i="23"/>
  <c r="AF995" i="23" a="1"/>
  <c r="AF995" i="23" s="1"/>
  <c r="X996" i="23"/>
  <c r="Y996" i="23"/>
  <c r="Z996" i="23"/>
  <c r="AA996" i="23" a="1"/>
  <c r="AA996" i="23" s="1"/>
  <c r="AB996" i="23"/>
  <c r="AC996" i="23" a="1"/>
  <c r="AC996" i="23" s="1"/>
  <c r="AD996" i="23"/>
  <c r="AE996" i="23"/>
  <c r="AF996" i="23" a="1"/>
  <c r="AF996" i="23" s="1"/>
  <c r="X997" i="23"/>
  <c r="Y997" i="23"/>
  <c r="Z997" i="23"/>
  <c r="AA997" i="23" a="1"/>
  <c r="AA997" i="23" s="1"/>
  <c r="AB997" i="23"/>
  <c r="AC997" i="23" a="1"/>
  <c r="AC997" i="23" s="1"/>
  <c r="AD997" i="23"/>
  <c r="AE997" i="23"/>
  <c r="AF997" i="23" a="1"/>
  <c r="AF997" i="23" s="1"/>
  <c r="X998" i="23"/>
  <c r="Y998" i="23"/>
  <c r="Z998" i="23"/>
  <c r="AA998" i="23" a="1"/>
  <c r="AA998" i="23" s="1"/>
  <c r="AB998" i="23"/>
  <c r="AC998" i="23" a="1"/>
  <c r="AC998" i="23" s="1"/>
  <c r="AD998" i="23"/>
  <c r="AE998" i="23"/>
  <c r="AF998" i="23" a="1"/>
  <c r="AF998" i="23" s="1"/>
  <c r="X999" i="23"/>
  <c r="Y999" i="23"/>
  <c r="Z999" i="23"/>
  <c r="AA999" i="23" a="1"/>
  <c r="AA999" i="23" s="1"/>
  <c r="AB999" i="23"/>
  <c r="AC999" i="23" a="1"/>
  <c r="AC999" i="23"/>
  <c r="AD999" i="23"/>
  <c r="AE999" i="23"/>
  <c r="AF999" i="23" a="1"/>
  <c r="AF999" i="23" s="1"/>
  <c r="X1000" i="23"/>
  <c r="Y1000" i="23"/>
  <c r="Z1000" i="23"/>
  <c r="AA1000" i="23" a="1"/>
  <c r="AA1000" i="23" s="1"/>
  <c r="AB1000" i="23"/>
  <c r="AC1000" i="23" a="1"/>
  <c r="AC1000" i="23" s="1"/>
  <c r="AD1000" i="23"/>
  <c r="AE1000" i="23"/>
  <c r="AF1000" i="23" a="1"/>
  <c r="AF1000" i="23" s="1"/>
  <c r="X1001" i="23"/>
  <c r="Y1001" i="23"/>
  <c r="Z1001" i="23"/>
  <c r="AA1001" i="23" a="1"/>
  <c r="AA1001" i="23" s="1"/>
  <c r="AB1001" i="23"/>
  <c r="AC1001" i="23" a="1"/>
  <c r="AC1001" i="23" s="1"/>
  <c r="AD1001" i="23"/>
  <c r="AE1001" i="23"/>
  <c r="AF1001" i="23" a="1"/>
  <c r="AF1001" i="23" s="1"/>
  <c r="X1002" i="23"/>
  <c r="Y1002" i="23"/>
  <c r="Z1002" i="23"/>
  <c r="AA1002" i="23" a="1"/>
  <c r="AA1002" i="23" s="1"/>
  <c r="AB1002" i="23"/>
  <c r="AC1002" i="23" a="1"/>
  <c r="AC1002" i="23" s="1"/>
  <c r="AD1002" i="23"/>
  <c r="AE1002" i="23"/>
  <c r="AF1002" i="23" a="1"/>
  <c r="AF1002" i="23" s="1"/>
  <c r="X1003" i="23"/>
  <c r="Y1003" i="23"/>
  <c r="Z1003" i="23"/>
  <c r="AA1003" i="23" a="1"/>
  <c r="AA1003" i="23" s="1"/>
  <c r="AB1003" i="23"/>
  <c r="AC1003" i="23" a="1"/>
  <c r="AC1003" i="23" s="1"/>
  <c r="AD1003" i="23"/>
  <c r="AE1003" i="23"/>
  <c r="AF1003" i="23" a="1"/>
  <c r="AF1003" i="23" s="1"/>
  <c r="X1004" i="23"/>
  <c r="Y1004" i="23"/>
  <c r="Z1004" i="23"/>
  <c r="AA1004" i="23" a="1"/>
  <c r="AA1004" i="23" s="1"/>
  <c r="AB1004" i="23"/>
  <c r="AC1004" i="23" a="1"/>
  <c r="AC1004" i="23" s="1"/>
  <c r="AD1004" i="23"/>
  <c r="AE1004" i="23"/>
  <c r="AF1004" i="23" a="1"/>
  <c r="AF1004" i="23" s="1"/>
  <c r="X1005" i="23"/>
  <c r="Y1005" i="23"/>
  <c r="Z1005" i="23"/>
  <c r="AA1005" i="23" a="1"/>
  <c r="AA1005" i="23" s="1"/>
  <c r="AB1005" i="23"/>
  <c r="AC1005" i="23" a="1"/>
  <c r="AC1005" i="23" s="1"/>
  <c r="AD1005" i="23"/>
  <c r="AE1005" i="23"/>
  <c r="AF1005" i="23" a="1"/>
  <c r="AF1005" i="23" s="1"/>
  <c r="X1006" i="23"/>
  <c r="Y1006" i="23"/>
  <c r="Z1006" i="23"/>
  <c r="AA1006" i="23" a="1"/>
  <c r="AA1006" i="23" s="1"/>
  <c r="AB1006" i="23"/>
  <c r="AC1006" i="23" a="1"/>
  <c r="AC1006" i="23" s="1"/>
  <c r="AD1006" i="23"/>
  <c r="AE1006" i="23"/>
  <c r="AF1006" i="23" a="1"/>
  <c r="AF1006" i="23" s="1"/>
  <c r="X1007" i="23"/>
  <c r="Y1007" i="23"/>
  <c r="Z1007" i="23"/>
  <c r="AA1007" i="23" a="1"/>
  <c r="AA1007" i="23" s="1"/>
  <c r="AB1007" i="23"/>
  <c r="AC1007" i="23" a="1"/>
  <c r="AC1007" i="23" s="1"/>
  <c r="AD1007" i="23"/>
  <c r="AE1007" i="23"/>
  <c r="AF1007" i="23" a="1"/>
  <c r="AF1007" i="23" s="1"/>
  <c r="X1008" i="23"/>
  <c r="Y1008" i="23"/>
  <c r="Z1008" i="23"/>
  <c r="AA1008" i="23" a="1"/>
  <c r="AA1008" i="23" s="1"/>
  <c r="AB1008" i="23"/>
  <c r="AC1008" i="23" a="1"/>
  <c r="AC1008" i="23" s="1"/>
  <c r="AD1008" i="23"/>
  <c r="AE1008" i="23"/>
  <c r="AF1008" i="23" a="1"/>
  <c r="AF1008" i="23" s="1"/>
  <c r="X1009" i="23"/>
  <c r="Y1009" i="23"/>
  <c r="Z1009" i="23"/>
  <c r="AA1009" i="23" a="1"/>
  <c r="AA1009" i="23" s="1"/>
  <c r="AB1009" i="23"/>
  <c r="AC1009" i="23" a="1"/>
  <c r="AC1009" i="23" s="1"/>
  <c r="AD1009" i="23"/>
  <c r="AE1009" i="23"/>
  <c r="AF1009" i="23" a="1"/>
  <c r="AF1009" i="23" s="1"/>
  <c r="X1010" i="23"/>
  <c r="Y1010" i="23"/>
  <c r="Z1010" i="23"/>
  <c r="AA1010" i="23" a="1"/>
  <c r="AA1010" i="23" s="1"/>
  <c r="AB1010" i="23"/>
  <c r="AC1010" i="23" a="1"/>
  <c r="AC1010" i="23" s="1"/>
  <c r="AD1010" i="23"/>
  <c r="AE1010" i="23"/>
  <c r="AF1010" i="23" a="1"/>
  <c r="AF1010" i="23" s="1"/>
  <c r="X1011" i="23"/>
  <c r="Y1011" i="23"/>
  <c r="Z1011" i="23"/>
  <c r="AA1011" i="23" a="1"/>
  <c r="AA1011" i="23" s="1"/>
  <c r="AB1011" i="23"/>
  <c r="AC1011" i="23" a="1"/>
  <c r="AC1011" i="23" s="1"/>
  <c r="AD1011" i="23"/>
  <c r="AE1011" i="23"/>
  <c r="AF1011" i="23" a="1"/>
  <c r="AF1011" i="23" s="1"/>
  <c r="X1012" i="23"/>
  <c r="Y1012" i="23"/>
  <c r="Z1012" i="23"/>
  <c r="AA1012" i="23" a="1"/>
  <c r="AA1012" i="23" s="1"/>
  <c r="AB1012" i="23"/>
  <c r="AC1012" i="23" a="1"/>
  <c r="AC1012" i="23" s="1"/>
  <c r="AD1012" i="23"/>
  <c r="AE1012" i="23"/>
  <c r="AF1012" i="23" a="1"/>
  <c r="AF1012" i="23" s="1"/>
  <c r="X1013" i="23"/>
  <c r="Y1013" i="23"/>
  <c r="Z1013" i="23"/>
  <c r="AA1013" i="23" a="1"/>
  <c r="AA1013" i="23" s="1"/>
  <c r="AB1013" i="23"/>
  <c r="AC1013" i="23" a="1"/>
  <c r="AC1013" i="23" s="1"/>
  <c r="AD1013" i="23"/>
  <c r="AE1013" i="23"/>
  <c r="AF1013" i="23" a="1"/>
  <c r="AF1013" i="23" s="1"/>
  <c r="X1014" i="23"/>
  <c r="Y1014" i="23"/>
  <c r="Z1014" i="23"/>
  <c r="AA1014" i="23" a="1"/>
  <c r="AA1014" i="23" s="1"/>
  <c r="AB1014" i="23"/>
  <c r="AC1014" i="23" a="1"/>
  <c r="AC1014" i="23" s="1"/>
  <c r="AD1014" i="23"/>
  <c r="AE1014" i="23"/>
  <c r="AF1014" i="23" a="1"/>
  <c r="AF1014" i="23" s="1"/>
  <c r="X1015" i="23"/>
  <c r="Y1015" i="23"/>
  <c r="Z1015" i="23"/>
  <c r="AA1015" i="23" a="1"/>
  <c r="AA1015" i="23" s="1"/>
  <c r="AB1015" i="23"/>
  <c r="AC1015" i="23" a="1"/>
  <c r="AC1015" i="23" s="1"/>
  <c r="AD1015" i="23"/>
  <c r="AE1015" i="23"/>
  <c r="AF1015" i="23" a="1"/>
  <c r="AF1015" i="23" s="1"/>
  <c r="X1016" i="23"/>
  <c r="Y1016" i="23"/>
  <c r="Z1016" i="23"/>
  <c r="AA1016" i="23" a="1"/>
  <c r="AA1016" i="23" s="1"/>
  <c r="AB1016" i="23"/>
  <c r="AC1016" i="23" a="1"/>
  <c r="AC1016" i="23" s="1"/>
  <c r="AD1016" i="23"/>
  <c r="AE1016" i="23"/>
  <c r="AF1016" i="23" a="1"/>
  <c r="AF1016" i="23" s="1"/>
  <c r="X1017" i="23"/>
  <c r="Y1017" i="23"/>
  <c r="Z1017" i="23"/>
  <c r="AA1017" i="23" a="1"/>
  <c r="AA1017" i="23" s="1"/>
  <c r="AB1017" i="23"/>
  <c r="AC1017" i="23" a="1"/>
  <c r="AC1017" i="23" s="1"/>
  <c r="AD1017" i="23"/>
  <c r="AE1017" i="23"/>
  <c r="AF1017" i="23" a="1"/>
  <c r="AF1017" i="23" s="1"/>
  <c r="X1018" i="23"/>
  <c r="Y1018" i="23"/>
  <c r="Z1018" i="23"/>
  <c r="AA1018" i="23" a="1"/>
  <c r="AA1018" i="23" s="1"/>
  <c r="AB1018" i="23"/>
  <c r="AC1018" i="23" a="1"/>
  <c r="AC1018" i="23"/>
  <c r="AD1018" i="23"/>
  <c r="AE1018" i="23"/>
  <c r="AF1018" i="23" a="1"/>
  <c r="AF1018" i="23" s="1"/>
  <c r="X1019" i="23"/>
  <c r="Y1019" i="23"/>
  <c r="Z1019" i="23"/>
  <c r="AA1019" i="23" a="1"/>
  <c r="AA1019" i="23" s="1"/>
  <c r="AB1019" i="23"/>
  <c r="AC1019" i="23" a="1"/>
  <c r="AC1019" i="23" s="1"/>
  <c r="AD1019" i="23"/>
  <c r="AE1019" i="23"/>
  <c r="AF1019" i="23" a="1"/>
  <c r="AF1019" i="23" s="1"/>
  <c r="X1020" i="23"/>
  <c r="Y1020" i="23"/>
  <c r="Z1020" i="23"/>
  <c r="AA1020" i="23" a="1"/>
  <c r="AA1020" i="23" s="1"/>
  <c r="AB1020" i="23"/>
  <c r="AC1020" i="23" a="1"/>
  <c r="AC1020" i="23" s="1"/>
  <c r="AD1020" i="23"/>
  <c r="AE1020" i="23"/>
  <c r="AF1020" i="23" a="1"/>
  <c r="AF1020" i="23" s="1"/>
  <c r="X1021" i="23"/>
  <c r="Y1021" i="23"/>
  <c r="Z1021" i="23"/>
  <c r="AA1021" i="23" a="1"/>
  <c r="AA1021" i="23" s="1"/>
  <c r="AB1021" i="23"/>
  <c r="AC1021" i="23" a="1"/>
  <c r="AC1021" i="23" s="1"/>
  <c r="AD1021" i="23"/>
  <c r="AE1021" i="23"/>
  <c r="AF1021" i="23" a="1"/>
  <c r="AF1021" i="23" s="1"/>
  <c r="X1022" i="23"/>
  <c r="Y1022" i="23"/>
  <c r="Z1022" i="23"/>
  <c r="AA1022" i="23" a="1"/>
  <c r="AA1022" i="23" s="1"/>
  <c r="AB1022" i="23"/>
  <c r="AC1022" i="23" a="1"/>
  <c r="AC1022" i="23" s="1"/>
  <c r="AD1022" i="23"/>
  <c r="AE1022" i="23"/>
  <c r="AF1022" i="23" a="1"/>
  <c r="AF1022" i="23" s="1"/>
  <c r="X1023" i="23"/>
  <c r="Y1023" i="23"/>
  <c r="Z1023" i="23"/>
  <c r="AA1023" i="23" a="1"/>
  <c r="AA1023" i="23" s="1"/>
  <c r="AB1023" i="23"/>
  <c r="AC1023" i="23" a="1"/>
  <c r="AC1023" i="23"/>
  <c r="AD1023" i="23"/>
  <c r="AE1023" i="23"/>
  <c r="AF1023" i="23" a="1"/>
  <c r="AF1023" i="23" s="1"/>
  <c r="X1024" i="23"/>
  <c r="Y1024" i="23"/>
  <c r="Z1024" i="23"/>
  <c r="AA1024" i="23" a="1"/>
  <c r="AA1024" i="23" s="1"/>
  <c r="AB1024" i="23"/>
  <c r="AC1024" i="23" a="1"/>
  <c r="AC1024" i="23" s="1"/>
  <c r="AD1024" i="23"/>
  <c r="AE1024" i="23"/>
  <c r="AF1024" i="23" a="1"/>
  <c r="AF1024" i="23" s="1"/>
  <c r="X1025" i="23"/>
  <c r="Y1025" i="23"/>
  <c r="Z1025" i="23"/>
  <c r="AA1025" i="23" a="1"/>
  <c r="AA1025" i="23" s="1"/>
  <c r="AB1025" i="23"/>
  <c r="AC1025" i="23" a="1"/>
  <c r="AC1025" i="23" s="1"/>
  <c r="AD1025" i="23"/>
  <c r="AE1025" i="23"/>
  <c r="AF1025" i="23" a="1"/>
  <c r="AF1025" i="23" s="1"/>
  <c r="X1026" i="23"/>
  <c r="Y1026" i="23"/>
  <c r="Z1026" i="23"/>
  <c r="AA1026" i="23" a="1"/>
  <c r="AA1026" i="23" s="1"/>
  <c r="AB1026" i="23"/>
  <c r="AC1026" i="23" a="1"/>
  <c r="AC1026" i="23" s="1"/>
  <c r="AD1026" i="23"/>
  <c r="AE1026" i="23"/>
  <c r="AF1026" i="23" a="1"/>
  <c r="AF1026" i="23" s="1"/>
  <c r="X1027" i="23"/>
  <c r="Y1027" i="23"/>
  <c r="Z1027" i="23"/>
  <c r="AA1027" i="23" a="1"/>
  <c r="AA1027" i="23" s="1"/>
  <c r="AB1027" i="23"/>
  <c r="AC1027" i="23" a="1"/>
  <c r="AC1027" i="23" s="1"/>
  <c r="AD1027" i="23"/>
  <c r="AE1027" i="23"/>
  <c r="AF1027" i="23" a="1"/>
  <c r="AF1027" i="23" s="1"/>
  <c r="X1028" i="23"/>
  <c r="Y1028" i="23"/>
  <c r="Z1028" i="23"/>
  <c r="AA1028" i="23" a="1"/>
  <c r="AA1028" i="23" s="1"/>
  <c r="AB1028" i="23"/>
  <c r="AC1028" i="23" a="1"/>
  <c r="AC1028" i="23" s="1"/>
  <c r="AD1028" i="23"/>
  <c r="AE1028" i="23"/>
  <c r="AF1028" i="23" a="1"/>
  <c r="AF1028" i="23" s="1"/>
  <c r="X1029" i="23"/>
  <c r="Y1029" i="23"/>
  <c r="Z1029" i="23"/>
  <c r="AA1029" i="23" a="1"/>
  <c r="AA1029" i="23" s="1"/>
  <c r="AB1029" i="23"/>
  <c r="AC1029" i="23" a="1"/>
  <c r="AC1029" i="23" s="1"/>
  <c r="AD1029" i="23"/>
  <c r="AE1029" i="23"/>
  <c r="AF1029" i="23" a="1"/>
  <c r="AF1029" i="23" s="1"/>
  <c r="X1030" i="23"/>
  <c r="Y1030" i="23"/>
  <c r="Z1030" i="23"/>
  <c r="AA1030" i="23" a="1"/>
  <c r="AA1030" i="23" s="1"/>
  <c r="AB1030" i="23"/>
  <c r="AC1030" i="23" a="1"/>
  <c r="AC1030" i="23" s="1"/>
  <c r="AD1030" i="23"/>
  <c r="AE1030" i="23"/>
  <c r="AF1030" i="23" a="1"/>
  <c r="AF1030" i="23" s="1"/>
  <c r="X1031" i="23"/>
  <c r="Y1031" i="23"/>
  <c r="Z1031" i="23"/>
  <c r="AA1031" i="23" a="1"/>
  <c r="AA1031" i="23" s="1"/>
  <c r="AB1031" i="23"/>
  <c r="AC1031" i="23" a="1"/>
  <c r="AC1031" i="23" s="1"/>
  <c r="AD1031" i="23"/>
  <c r="AE1031" i="23"/>
  <c r="AF1031" i="23" a="1"/>
  <c r="AF1031" i="23" s="1"/>
  <c r="X1032" i="23"/>
  <c r="Y1032" i="23"/>
  <c r="Z1032" i="23"/>
  <c r="AA1032" i="23" a="1"/>
  <c r="AA1032" i="23"/>
  <c r="AB1032" i="23"/>
  <c r="AC1032" i="23" a="1"/>
  <c r="AC1032" i="23" s="1"/>
  <c r="AD1032" i="23"/>
  <c r="AE1032" i="23"/>
  <c r="AF1032" i="23" a="1"/>
  <c r="AF1032" i="23" s="1"/>
  <c r="X1033" i="23"/>
  <c r="Y1033" i="23"/>
  <c r="Z1033" i="23"/>
  <c r="AA1033" i="23" a="1"/>
  <c r="AA1033" i="23"/>
  <c r="AB1033" i="23"/>
  <c r="AC1033" i="23" a="1"/>
  <c r="AC1033" i="23" s="1"/>
  <c r="AD1033" i="23"/>
  <c r="AE1033" i="23"/>
  <c r="AF1033" i="23" a="1"/>
  <c r="AF1033" i="23" s="1"/>
  <c r="X1034" i="23"/>
  <c r="Y1034" i="23"/>
  <c r="Z1034" i="23"/>
  <c r="AA1034" i="23" a="1"/>
  <c r="AA1034" i="23"/>
  <c r="AB1034" i="23"/>
  <c r="AC1034" i="23" a="1"/>
  <c r="AC1034" i="23"/>
  <c r="AD1034" i="23"/>
  <c r="AE1034" i="23"/>
  <c r="AF1034" i="23" a="1"/>
  <c r="AF1034" i="23" s="1"/>
  <c r="X1035" i="23"/>
  <c r="Y1035" i="23"/>
  <c r="Z1035" i="23"/>
  <c r="AA1035" i="23" a="1"/>
  <c r="AA1035" i="23"/>
  <c r="AB1035" i="23"/>
  <c r="AC1035" i="23" a="1"/>
  <c r="AC1035" i="23"/>
  <c r="AD1035" i="23"/>
  <c r="AE1035" i="23"/>
  <c r="AF1035" i="23" a="1"/>
  <c r="AF1035" i="23" s="1"/>
  <c r="X1036" i="23"/>
  <c r="Y1036" i="23"/>
  <c r="Z1036" i="23"/>
  <c r="AA1036" i="23" a="1"/>
  <c r="AA1036" i="23"/>
  <c r="AB1036" i="23"/>
  <c r="AC1036" i="23" a="1"/>
  <c r="AC1036" i="23"/>
  <c r="AD1036" i="23"/>
  <c r="AE1036" i="23"/>
  <c r="AF1036" i="23" a="1"/>
  <c r="AF1036" i="23" s="1"/>
  <c r="X1037" i="23"/>
  <c r="Y1037" i="23"/>
  <c r="Z1037" i="23"/>
  <c r="AA1037" i="23" a="1"/>
  <c r="AA1037" i="23"/>
  <c r="AB1037" i="23"/>
  <c r="AC1037" i="23" a="1"/>
  <c r="AC1037" i="23" s="1"/>
  <c r="AD1037" i="23"/>
  <c r="AE1037" i="23"/>
  <c r="AF1037" i="23" a="1"/>
  <c r="AF1037" i="23" s="1"/>
  <c r="X1038" i="23"/>
  <c r="Y1038" i="23"/>
  <c r="Z1038" i="23"/>
  <c r="AA1038" i="23" a="1"/>
  <c r="AA1038" i="23"/>
  <c r="AB1038" i="23"/>
  <c r="AC1038" i="23" a="1"/>
  <c r="AC1038" i="23" s="1"/>
  <c r="AD1038" i="23"/>
  <c r="AE1038" i="23"/>
  <c r="AF1038" i="23" a="1"/>
  <c r="AF1038" i="23" s="1"/>
  <c r="X1039" i="23"/>
  <c r="Y1039" i="23"/>
  <c r="Z1039" i="23"/>
  <c r="AA1039" i="23" a="1"/>
  <c r="AA1039" i="23"/>
  <c r="AB1039" i="23"/>
  <c r="AC1039" i="23" a="1"/>
  <c r="AC1039" i="23" s="1"/>
  <c r="AD1039" i="23"/>
  <c r="AE1039" i="23"/>
  <c r="AF1039" i="23" a="1"/>
  <c r="AF1039" i="23" s="1"/>
  <c r="X1040" i="23"/>
  <c r="Y1040" i="23"/>
  <c r="Z1040" i="23"/>
  <c r="AA1040" i="23" a="1"/>
  <c r="AA1040" i="23"/>
  <c r="AB1040" i="23"/>
  <c r="AC1040" i="23" a="1"/>
  <c r="AC1040" i="23" s="1"/>
  <c r="AD1040" i="23"/>
  <c r="AE1040" i="23"/>
  <c r="AF1040" i="23" a="1"/>
  <c r="AF1040" i="23" s="1"/>
  <c r="X1041" i="23"/>
  <c r="Y1041" i="23"/>
  <c r="Z1041" i="23"/>
  <c r="AA1041" i="23" a="1"/>
  <c r="AA1041" i="23"/>
  <c r="AB1041" i="23"/>
  <c r="AC1041" i="23" a="1"/>
  <c r="AC1041" i="23" s="1"/>
  <c r="AD1041" i="23"/>
  <c r="AE1041" i="23"/>
  <c r="AF1041" i="23" a="1"/>
  <c r="AF1041" i="23" s="1"/>
  <c r="X1042" i="23"/>
  <c r="Y1042" i="23"/>
  <c r="Z1042" i="23"/>
  <c r="AA1042" i="23" a="1"/>
  <c r="AA1042" i="23"/>
  <c r="AB1042" i="23"/>
  <c r="AC1042" i="23" a="1"/>
  <c r="AC1042" i="23" s="1"/>
  <c r="AD1042" i="23"/>
  <c r="AE1042" i="23"/>
  <c r="AF1042" i="23" a="1"/>
  <c r="AF1042" i="23" s="1"/>
  <c r="X1043" i="23"/>
  <c r="Y1043" i="23"/>
  <c r="Z1043" i="23"/>
  <c r="AA1043" i="23" a="1"/>
  <c r="AA1043" i="23"/>
  <c r="AB1043" i="23"/>
  <c r="AC1043" i="23" a="1"/>
  <c r="AC1043" i="23" s="1"/>
  <c r="AD1043" i="23"/>
  <c r="AE1043" i="23"/>
  <c r="AF1043" i="23" a="1"/>
  <c r="AF1043" i="23" s="1"/>
  <c r="X1044" i="23"/>
  <c r="Y1044" i="23"/>
  <c r="Z1044" i="23"/>
  <c r="AA1044" i="23" a="1"/>
  <c r="AA1044" i="23"/>
  <c r="AB1044" i="23"/>
  <c r="AC1044" i="23" a="1"/>
  <c r="AC1044" i="23" s="1"/>
  <c r="AD1044" i="23"/>
  <c r="AE1044" i="23"/>
  <c r="AF1044" i="23" a="1"/>
  <c r="AF1044" i="23" s="1"/>
  <c r="X1045" i="23"/>
  <c r="Y1045" i="23"/>
  <c r="Z1045" i="23"/>
  <c r="AA1045" i="23" a="1"/>
  <c r="AA1045" i="23"/>
  <c r="AB1045" i="23"/>
  <c r="AC1045" i="23" a="1"/>
  <c r="AC1045" i="23" s="1"/>
  <c r="AD1045" i="23"/>
  <c r="AE1045" i="23"/>
  <c r="AF1045" i="23" a="1"/>
  <c r="AF1045" i="23" s="1"/>
  <c r="X1046" i="23"/>
  <c r="Y1046" i="23"/>
  <c r="Z1046" i="23"/>
  <c r="AA1046" i="23" a="1"/>
  <c r="AA1046" i="23"/>
  <c r="AB1046" i="23"/>
  <c r="AC1046" i="23" a="1"/>
  <c r="AC1046" i="23" s="1"/>
  <c r="AD1046" i="23"/>
  <c r="AE1046" i="23"/>
  <c r="AF1046" i="23" a="1"/>
  <c r="AF1046" i="23" s="1"/>
  <c r="X1047" i="23"/>
  <c r="Y1047" i="23"/>
  <c r="Z1047" i="23"/>
  <c r="AA1047" i="23" a="1"/>
  <c r="AA1047" i="23"/>
  <c r="AB1047" i="23"/>
  <c r="AC1047" i="23" a="1"/>
  <c r="AC1047" i="23" s="1"/>
  <c r="AD1047" i="23"/>
  <c r="AE1047" i="23"/>
  <c r="AF1047" i="23" a="1"/>
  <c r="AF1047" i="23" s="1"/>
  <c r="X1048" i="23"/>
  <c r="Y1048" i="23"/>
  <c r="Z1048" i="23"/>
  <c r="AA1048" i="23" a="1"/>
  <c r="AA1048" i="23"/>
  <c r="AB1048" i="23"/>
  <c r="AC1048" i="23" a="1"/>
  <c r="AC1048" i="23" s="1"/>
  <c r="AD1048" i="23"/>
  <c r="AE1048" i="23"/>
  <c r="AF1048" i="23" a="1"/>
  <c r="AF1048" i="23" s="1"/>
  <c r="X1049" i="23"/>
  <c r="Y1049" i="23"/>
  <c r="Z1049" i="23"/>
  <c r="AA1049" i="23" a="1"/>
  <c r="AA1049" i="23"/>
  <c r="AB1049" i="23"/>
  <c r="AC1049" i="23" a="1"/>
  <c r="AC1049" i="23" s="1"/>
  <c r="AD1049" i="23"/>
  <c r="AE1049" i="23"/>
  <c r="AF1049" i="23" a="1"/>
  <c r="AF1049" i="23" s="1"/>
  <c r="X1050" i="23"/>
  <c r="Y1050" i="23"/>
  <c r="Z1050" i="23"/>
  <c r="AA1050" i="23" a="1"/>
  <c r="AA1050" i="23"/>
  <c r="AB1050" i="23"/>
  <c r="AC1050" i="23" a="1"/>
  <c r="AC1050" i="23"/>
  <c r="AD1050" i="23"/>
  <c r="AE1050" i="23"/>
  <c r="AF1050" i="23" a="1"/>
  <c r="AF1050" i="23" s="1"/>
  <c r="X1051" i="23"/>
  <c r="Y1051" i="23"/>
  <c r="Z1051" i="23"/>
  <c r="AA1051" i="23" a="1"/>
  <c r="AA1051" i="23"/>
  <c r="AB1051" i="23"/>
  <c r="AC1051" i="23" a="1"/>
  <c r="AC1051" i="23"/>
  <c r="AD1051" i="23"/>
  <c r="AE1051" i="23"/>
  <c r="AF1051" i="23" a="1"/>
  <c r="AF1051" i="23" s="1"/>
  <c r="X1052" i="23"/>
  <c r="Y1052" i="23"/>
  <c r="Z1052" i="23"/>
  <c r="AA1052" i="23" a="1"/>
  <c r="AA1052" i="23"/>
  <c r="AB1052" i="23"/>
  <c r="AC1052" i="23" a="1"/>
  <c r="AC1052" i="23"/>
  <c r="AD1052" i="23"/>
  <c r="AE1052" i="23"/>
  <c r="AF1052" i="23" a="1"/>
  <c r="AF1052" i="23" s="1"/>
  <c r="X1053" i="23"/>
  <c r="Y1053" i="23"/>
  <c r="Z1053" i="23"/>
  <c r="AA1053" i="23" a="1"/>
  <c r="AA1053" i="23"/>
  <c r="AB1053" i="23"/>
  <c r="AC1053" i="23" a="1"/>
  <c r="AC1053" i="23"/>
  <c r="AD1053" i="23"/>
  <c r="AE1053" i="23"/>
  <c r="AF1053" i="23" a="1"/>
  <c r="AF1053" i="23" s="1"/>
  <c r="X1054" i="23"/>
  <c r="Y1054" i="23"/>
  <c r="Z1054" i="23"/>
  <c r="AA1054" i="23" a="1"/>
  <c r="AA1054" i="23"/>
  <c r="AB1054" i="23"/>
  <c r="AC1054" i="23" a="1"/>
  <c r="AC1054" i="23" s="1"/>
  <c r="AD1054" i="23"/>
  <c r="AE1054" i="23"/>
  <c r="AF1054" i="23" a="1"/>
  <c r="AF1054" i="23" s="1"/>
  <c r="X1055" i="23"/>
  <c r="Y1055" i="23"/>
  <c r="Z1055" i="23"/>
  <c r="AA1055" i="23" a="1"/>
  <c r="AA1055" i="23"/>
  <c r="AB1055" i="23"/>
  <c r="AC1055" i="23" a="1"/>
  <c r="AC1055" i="23" s="1"/>
  <c r="AD1055" i="23"/>
  <c r="AE1055" i="23"/>
  <c r="AF1055" i="23" a="1"/>
  <c r="AF1055" i="23" s="1"/>
  <c r="X1056" i="23"/>
  <c r="Y1056" i="23"/>
  <c r="Z1056" i="23"/>
  <c r="AA1056" i="23" a="1"/>
  <c r="AA1056" i="23"/>
  <c r="AB1056" i="23"/>
  <c r="AC1056" i="23" a="1"/>
  <c r="AC1056" i="23" s="1"/>
  <c r="AD1056" i="23"/>
  <c r="AE1056" i="23"/>
  <c r="AF1056" i="23" a="1"/>
  <c r="AF1056" i="23" s="1"/>
  <c r="X1057" i="23"/>
  <c r="Y1057" i="23"/>
  <c r="Z1057" i="23"/>
  <c r="AA1057" i="23" a="1"/>
  <c r="AA1057" i="23"/>
  <c r="AB1057" i="23"/>
  <c r="AC1057" i="23" a="1"/>
  <c r="AC1057" i="23" s="1"/>
  <c r="AD1057" i="23"/>
  <c r="AE1057" i="23"/>
  <c r="AF1057" i="23" a="1"/>
  <c r="AF1057" i="23" s="1"/>
  <c r="X1058" i="23"/>
  <c r="Y1058" i="23"/>
  <c r="Z1058" i="23"/>
  <c r="AA1058" i="23" a="1"/>
  <c r="AA1058" i="23"/>
  <c r="AB1058" i="23"/>
  <c r="AC1058" i="23" a="1"/>
  <c r="AC1058" i="23" s="1"/>
  <c r="AD1058" i="23"/>
  <c r="AE1058" i="23"/>
  <c r="AF1058" i="23" a="1"/>
  <c r="AF1058" i="23" s="1"/>
  <c r="X1059" i="23"/>
  <c r="Y1059" i="23"/>
  <c r="Z1059" i="23"/>
  <c r="AA1059" i="23" a="1"/>
  <c r="AA1059" i="23"/>
  <c r="AB1059" i="23"/>
  <c r="AC1059" i="23" a="1"/>
  <c r="AC1059" i="23" s="1"/>
  <c r="AD1059" i="23"/>
  <c r="AE1059" i="23"/>
  <c r="AF1059" i="23" a="1"/>
  <c r="AF1059" i="23" s="1"/>
  <c r="X1060" i="23"/>
  <c r="Y1060" i="23"/>
  <c r="Z1060" i="23"/>
  <c r="AA1060" i="23" a="1"/>
  <c r="AA1060" i="23"/>
  <c r="AB1060" i="23"/>
  <c r="AC1060" i="23" a="1"/>
  <c r="AC1060" i="23" s="1"/>
  <c r="AD1060" i="23"/>
  <c r="AE1060" i="23"/>
  <c r="AF1060" i="23" a="1"/>
  <c r="AF1060" i="23" s="1"/>
  <c r="X1061" i="23"/>
  <c r="Y1061" i="23"/>
  <c r="Z1061" i="23"/>
  <c r="AA1061" i="23" a="1"/>
  <c r="AA1061" i="23"/>
  <c r="AB1061" i="23"/>
  <c r="AC1061" i="23" a="1"/>
  <c r="AC1061" i="23" s="1"/>
  <c r="AD1061" i="23"/>
  <c r="AE1061" i="23"/>
  <c r="AF1061" i="23" a="1"/>
  <c r="AF1061" i="23" s="1"/>
  <c r="X1062" i="23"/>
  <c r="Y1062" i="23"/>
  <c r="Z1062" i="23"/>
  <c r="AA1062" i="23" a="1"/>
  <c r="AA1062" i="23"/>
  <c r="AB1062" i="23"/>
  <c r="AC1062" i="23" a="1"/>
  <c r="AC1062" i="23" s="1"/>
  <c r="AD1062" i="23"/>
  <c r="AE1062" i="23"/>
  <c r="AF1062" i="23" a="1"/>
  <c r="AF1062" i="23" s="1"/>
  <c r="X1063" i="23"/>
  <c r="Y1063" i="23"/>
  <c r="Z1063" i="23"/>
  <c r="AA1063" i="23" a="1"/>
  <c r="AA1063" i="23"/>
  <c r="AB1063" i="23"/>
  <c r="AC1063" i="23" a="1"/>
  <c r="AC1063" i="23" s="1"/>
  <c r="AD1063" i="23"/>
  <c r="AE1063" i="23"/>
  <c r="AF1063" i="23" a="1"/>
  <c r="AF1063" i="23" s="1"/>
  <c r="X1064" i="23"/>
  <c r="Y1064" i="23"/>
  <c r="Z1064" i="23"/>
  <c r="AA1064" i="23" a="1"/>
  <c r="AA1064" i="23"/>
  <c r="AB1064" i="23"/>
  <c r="AC1064" i="23" a="1"/>
  <c r="AC1064" i="23" s="1"/>
  <c r="AD1064" i="23"/>
  <c r="AE1064" i="23"/>
  <c r="AF1064" i="23" a="1"/>
  <c r="AF1064" i="23" s="1"/>
  <c r="X1065" i="23"/>
  <c r="Y1065" i="23"/>
  <c r="Z1065" i="23"/>
  <c r="AA1065" i="23" a="1"/>
  <c r="AA1065" i="23"/>
  <c r="AB1065" i="23"/>
  <c r="AC1065" i="23" a="1"/>
  <c r="AC1065" i="23" s="1"/>
  <c r="AD1065" i="23"/>
  <c r="AE1065" i="23"/>
  <c r="AF1065" i="23" a="1"/>
  <c r="AF1065" i="23" s="1"/>
  <c r="X1066" i="23"/>
  <c r="Y1066" i="23"/>
  <c r="Z1066" i="23"/>
  <c r="AA1066" i="23" a="1"/>
  <c r="AA1066" i="23"/>
  <c r="AB1066" i="23"/>
  <c r="AC1066" i="23" a="1"/>
  <c r="AC1066" i="23"/>
  <c r="AD1066" i="23"/>
  <c r="AE1066" i="23"/>
  <c r="AF1066" i="23" a="1"/>
  <c r="AF1066" i="23" s="1"/>
  <c r="X1067" i="23"/>
  <c r="Y1067" i="23"/>
  <c r="Z1067" i="23"/>
  <c r="AA1067" i="23" a="1"/>
  <c r="AA1067" i="23"/>
  <c r="AB1067" i="23"/>
  <c r="AC1067" i="23" a="1"/>
  <c r="AC1067" i="23" s="1"/>
  <c r="AD1067" i="23"/>
  <c r="AE1067" i="23"/>
  <c r="AF1067" i="23" a="1"/>
  <c r="AF1067" i="23" s="1"/>
  <c r="X1068" i="23"/>
  <c r="Y1068" i="23"/>
  <c r="Z1068" i="23"/>
  <c r="AA1068" i="23" a="1"/>
  <c r="AA1068" i="23"/>
  <c r="AB1068" i="23"/>
  <c r="AC1068" i="23" a="1"/>
  <c r="AC1068" i="23"/>
  <c r="AD1068" i="23"/>
  <c r="AE1068" i="23"/>
  <c r="AF1068" i="23" a="1"/>
  <c r="AF1068" i="23" s="1"/>
  <c r="X1069" i="23"/>
  <c r="Y1069" i="23"/>
  <c r="Z1069" i="23"/>
  <c r="AA1069" i="23" a="1"/>
  <c r="AA1069" i="23"/>
  <c r="AB1069" i="23"/>
  <c r="AC1069" i="23" a="1"/>
  <c r="AC1069" i="23" s="1"/>
  <c r="AD1069" i="23"/>
  <c r="AE1069" i="23"/>
  <c r="AF1069" i="23" a="1"/>
  <c r="AF1069" i="23" s="1"/>
  <c r="X1070" i="23"/>
  <c r="Y1070" i="23"/>
  <c r="Z1070" i="23"/>
  <c r="AA1070" i="23" a="1"/>
  <c r="AA1070" i="23"/>
  <c r="AB1070" i="23"/>
  <c r="AC1070" i="23" a="1"/>
  <c r="AC1070" i="23"/>
  <c r="AD1070" i="23"/>
  <c r="AE1070" i="23"/>
  <c r="AF1070" i="23" a="1"/>
  <c r="AF1070" i="23" s="1"/>
  <c r="X1071" i="23"/>
  <c r="Y1071" i="23"/>
  <c r="Z1071" i="23"/>
  <c r="AA1071" i="23" a="1"/>
  <c r="AA1071" i="23"/>
  <c r="AB1071" i="23"/>
  <c r="AC1071" i="23" a="1"/>
  <c r="AC1071" i="23" s="1"/>
  <c r="AD1071" i="23"/>
  <c r="AE1071" i="23"/>
  <c r="AF1071" i="23" a="1"/>
  <c r="AF1071" i="23" s="1"/>
  <c r="X1072" i="23"/>
  <c r="Y1072" i="23"/>
  <c r="Z1072" i="23"/>
  <c r="AA1072" i="23" a="1"/>
  <c r="AA1072" i="23"/>
  <c r="AB1072" i="23"/>
  <c r="AC1072" i="23" a="1"/>
  <c r="AC1072" i="23" s="1"/>
  <c r="AD1072" i="23"/>
  <c r="AE1072" i="23"/>
  <c r="AF1072" i="23" a="1"/>
  <c r="AF1072" i="23" s="1"/>
  <c r="X1073" i="23"/>
  <c r="Y1073" i="23"/>
  <c r="Z1073" i="23"/>
  <c r="AA1073" i="23" a="1"/>
  <c r="AA1073" i="23"/>
  <c r="AB1073" i="23"/>
  <c r="AC1073" i="23" a="1"/>
  <c r="AC1073" i="23" s="1"/>
  <c r="AD1073" i="23"/>
  <c r="AE1073" i="23"/>
  <c r="AF1073" i="23" a="1"/>
  <c r="AF1073" i="23" s="1"/>
  <c r="X1074" i="23"/>
  <c r="Y1074" i="23"/>
  <c r="Z1074" i="23"/>
  <c r="AA1074" i="23" a="1"/>
  <c r="AA1074" i="23"/>
  <c r="AB1074" i="23"/>
  <c r="AC1074" i="23" a="1"/>
  <c r="AC1074" i="23" s="1"/>
  <c r="AD1074" i="23"/>
  <c r="AE1074" i="23"/>
  <c r="AF1074" i="23" a="1"/>
  <c r="AF1074" i="23" s="1"/>
  <c r="X1075" i="23"/>
  <c r="Y1075" i="23"/>
  <c r="Z1075" i="23"/>
  <c r="AA1075" i="23" a="1"/>
  <c r="AA1075" i="23"/>
  <c r="AB1075" i="23"/>
  <c r="AC1075" i="23" a="1"/>
  <c r="AC1075" i="23" s="1"/>
  <c r="AD1075" i="23"/>
  <c r="AE1075" i="23"/>
  <c r="AF1075" i="23" a="1"/>
  <c r="AF1075" i="23" s="1"/>
  <c r="X1076" i="23"/>
  <c r="Y1076" i="23"/>
  <c r="Z1076" i="23"/>
  <c r="AA1076" i="23" a="1"/>
  <c r="AA1076" i="23"/>
  <c r="AB1076" i="23"/>
  <c r="AC1076" i="23" a="1"/>
  <c r="AC1076" i="23" s="1"/>
  <c r="AD1076" i="23"/>
  <c r="AE1076" i="23"/>
  <c r="AF1076" i="23" a="1"/>
  <c r="AF1076" i="23" s="1"/>
  <c r="X1077" i="23"/>
  <c r="Y1077" i="23"/>
  <c r="Z1077" i="23"/>
  <c r="AA1077" i="23" a="1"/>
  <c r="AA1077" i="23"/>
  <c r="AB1077" i="23"/>
  <c r="AC1077" i="23" a="1"/>
  <c r="AC1077" i="23" s="1"/>
  <c r="AD1077" i="23"/>
  <c r="AE1077" i="23"/>
  <c r="AF1077" i="23" a="1"/>
  <c r="AF1077" i="23" s="1"/>
  <c r="X1078" i="23"/>
  <c r="Y1078" i="23"/>
  <c r="Z1078" i="23"/>
  <c r="AA1078" i="23" a="1"/>
  <c r="AA1078" i="23"/>
  <c r="AB1078" i="23"/>
  <c r="AC1078" i="23" a="1"/>
  <c r="AC1078" i="23" s="1"/>
  <c r="AD1078" i="23"/>
  <c r="AE1078" i="23"/>
  <c r="AF1078" i="23" a="1"/>
  <c r="AF1078" i="23" s="1"/>
  <c r="X1079" i="23"/>
  <c r="Y1079" i="23"/>
  <c r="Z1079" i="23"/>
  <c r="AA1079" i="23" a="1"/>
  <c r="AA1079" i="23"/>
  <c r="AB1079" i="23"/>
  <c r="AC1079" i="23" a="1"/>
  <c r="AC1079" i="23" s="1"/>
  <c r="AD1079" i="23"/>
  <c r="AE1079" i="23"/>
  <c r="AF1079" i="23" a="1"/>
  <c r="AF1079" i="23" s="1"/>
  <c r="X1080" i="23"/>
  <c r="Y1080" i="23"/>
  <c r="Z1080" i="23"/>
  <c r="AA1080" i="23" a="1"/>
  <c r="AA1080" i="23"/>
  <c r="AB1080" i="23"/>
  <c r="AC1080" i="23" a="1"/>
  <c r="AC1080" i="23"/>
  <c r="AD1080" i="23"/>
  <c r="AE1080" i="23"/>
  <c r="AF1080" i="23" a="1"/>
  <c r="AF1080" i="23" s="1"/>
  <c r="X1081" i="23"/>
  <c r="Y1081" i="23"/>
  <c r="Z1081" i="23"/>
  <c r="AA1081" i="23" a="1"/>
  <c r="AA1081" i="23"/>
  <c r="AB1081" i="23"/>
  <c r="AC1081" i="23" a="1"/>
  <c r="AC1081" i="23" s="1"/>
  <c r="AD1081" i="23"/>
  <c r="AE1081" i="23"/>
  <c r="AF1081" i="23" a="1"/>
  <c r="AF1081" i="23" s="1"/>
  <c r="X1082" i="23"/>
  <c r="Y1082" i="23"/>
  <c r="Z1082" i="23"/>
  <c r="AA1082" i="23" a="1"/>
  <c r="AA1082" i="23"/>
  <c r="AB1082" i="23"/>
  <c r="AC1082" i="23" a="1"/>
  <c r="AC1082" i="23" s="1"/>
  <c r="AD1082" i="23"/>
  <c r="AE1082" i="23"/>
  <c r="AF1082" i="23" a="1"/>
  <c r="AF1082" i="23" s="1"/>
  <c r="X1083" i="23"/>
  <c r="Y1083" i="23"/>
  <c r="Z1083" i="23"/>
  <c r="AA1083" i="23" a="1"/>
  <c r="AA1083" i="23"/>
  <c r="AB1083" i="23"/>
  <c r="AC1083" i="23" a="1"/>
  <c r="AC1083" i="23" s="1"/>
  <c r="AD1083" i="23"/>
  <c r="AE1083" i="23"/>
  <c r="AF1083" i="23" a="1"/>
  <c r="AF1083" i="23" s="1"/>
  <c r="X1084" i="23"/>
  <c r="Y1084" i="23"/>
  <c r="Z1084" i="23"/>
  <c r="AA1084" i="23" a="1"/>
  <c r="AA1084" i="23"/>
  <c r="AB1084" i="23"/>
  <c r="AC1084" i="23" a="1"/>
  <c r="AC1084" i="23" s="1"/>
  <c r="AD1084" i="23"/>
  <c r="AE1084" i="23"/>
  <c r="AF1084" i="23" a="1"/>
  <c r="AF1084" i="23" s="1"/>
  <c r="X1085" i="23"/>
  <c r="Y1085" i="23"/>
  <c r="Z1085" i="23"/>
  <c r="AA1085" i="23" a="1"/>
  <c r="AA1085" i="23"/>
  <c r="AB1085" i="23"/>
  <c r="AC1085" i="23" a="1"/>
  <c r="AC1085" i="23" s="1"/>
  <c r="AD1085" i="23"/>
  <c r="AE1085" i="23"/>
  <c r="AF1085" i="23" a="1"/>
  <c r="AF1085" i="23" s="1"/>
  <c r="X1086" i="23"/>
  <c r="Y1086" i="23"/>
  <c r="Z1086" i="23"/>
  <c r="AA1086" i="23" a="1"/>
  <c r="AA1086" i="23"/>
  <c r="AB1086" i="23"/>
  <c r="AC1086" i="23" a="1"/>
  <c r="AC1086" i="23" s="1"/>
  <c r="AD1086" i="23"/>
  <c r="AE1086" i="23"/>
  <c r="AF1086" i="23" a="1"/>
  <c r="AF1086" i="23" s="1"/>
  <c r="X1087" i="23"/>
  <c r="Y1087" i="23"/>
  <c r="Z1087" i="23"/>
  <c r="AA1087" i="23" a="1"/>
  <c r="AA1087" i="23"/>
  <c r="AB1087" i="23"/>
  <c r="AC1087" i="23" a="1"/>
  <c r="AC1087" i="23" s="1"/>
  <c r="AD1087" i="23"/>
  <c r="AE1087" i="23"/>
  <c r="AF1087" i="23" a="1"/>
  <c r="AF1087" i="23" s="1"/>
  <c r="X1088" i="23"/>
  <c r="Y1088" i="23"/>
  <c r="Z1088" i="23"/>
  <c r="AA1088" i="23" a="1"/>
  <c r="AA1088" i="23"/>
  <c r="AB1088" i="23"/>
  <c r="AC1088" i="23" a="1"/>
  <c r="AC1088" i="23" s="1"/>
  <c r="AD1088" i="23"/>
  <c r="AE1088" i="23"/>
  <c r="AF1088" i="23" a="1"/>
  <c r="AF1088" i="23" s="1"/>
  <c r="X1089" i="23"/>
  <c r="Y1089" i="23"/>
  <c r="Z1089" i="23"/>
  <c r="AA1089" i="23" a="1"/>
  <c r="AA1089" i="23"/>
  <c r="AB1089" i="23"/>
  <c r="AC1089" i="23" a="1"/>
  <c r="AC1089" i="23" s="1"/>
  <c r="AD1089" i="23"/>
  <c r="AE1089" i="23"/>
  <c r="AF1089" i="23" a="1"/>
  <c r="AF1089" i="23" s="1"/>
  <c r="X1090" i="23"/>
  <c r="Y1090" i="23"/>
  <c r="Z1090" i="23"/>
  <c r="AA1090" i="23" a="1"/>
  <c r="AA1090" i="23"/>
  <c r="AB1090" i="23"/>
  <c r="AC1090" i="23" a="1"/>
  <c r="AC1090" i="23" s="1"/>
  <c r="AD1090" i="23"/>
  <c r="AE1090" i="23"/>
  <c r="AF1090" i="23" a="1"/>
  <c r="AF1090" i="23" s="1"/>
  <c r="X1091" i="23"/>
  <c r="Y1091" i="23"/>
  <c r="Z1091" i="23"/>
  <c r="AA1091" i="23" a="1"/>
  <c r="AA1091" i="23"/>
  <c r="AB1091" i="23"/>
  <c r="AC1091" i="23" a="1"/>
  <c r="AC1091" i="23" s="1"/>
  <c r="AD1091" i="23"/>
  <c r="AE1091" i="23"/>
  <c r="AF1091" i="23" a="1"/>
  <c r="AF1091" i="23" s="1"/>
  <c r="X1092" i="23"/>
  <c r="Y1092" i="23"/>
  <c r="Z1092" i="23"/>
  <c r="AA1092" i="23" a="1"/>
  <c r="AA1092" i="23"/>
  <c r="AB1092" i="23"/>
  <c r="AC1092" i="23" a="1"/>
  <c r="AC1092" i="23" s="1"/>
  <c r="AD1092" i="23"/>
  <c r="AE1092" i="23"/>
  <c r="AF1092" i="23" a="1"/>
  <c r="AF1092" i="23" s="1"/>
  <c r="X1093" i="23"/>
  <c r="Y1093" i="23"/>
  <c r="Z1093" i="23"/>
  <c r="AA1093" i="23" a="1"/>
  <c r="AA1093" i="23"/>
  <c r="AB1093" i="23"/>
  <c r="AC1093" i="23" a="1"/>
  <c r="AC1093" i="23" s="1"/>
  <c r="AD1093" i="23"/>
  <c r="AE1093" i="23"/>
  <c r="AF1093" i="23" a="1"/>
  <c r="AF1093" i="23" s="1"/>
  <c r="X1094" i="23"/>
  <c r="Y1094" i="23"/>
  <c r="Z1094" i="23"/>
  <c r="AA1094" i="23" a="1"/>
  <c r="AA1094" i="23"/>
  <c r="AB1094" i="23"/>
  <c r="AC1094" i="23" a="1"/>
  <c r="AC1094" i="23" s="1"/>
  <c r="AD1094" i="23"/>
  <c r="AE1094" i="23"/>
  <c r="AF1094" i="23" a="1"/>
  <c r="AF1094" i="23" s="1"/>
  <c r="X1095" i="23"/>
  <c r="Y1095" i="23"/>
  <c r="Z1095" i="23"/>
  <c r="AA1095" i="23" a="1"/>
  <c r="AA1095" i="23"/>
  <c r="AB1095" i="23"/>
  <c r="AC1095" i="23" a="1"/>
  <c r="AC1095" i="23" s="1"/>
  <c r="AD1095" i="23"/>
  <c r="AE1095" i="23"/>
  <c r="AF1095" i="23" a="1"/>
  <c r="AF1095" i="23" s="1"/>
  <c r="X1096" i="23"/>
  <c r="Y1096" i="23"/>
  <c r="Z1096" i="23"/>
  <c r="AA1096" i="23" a="1"/>
  <c r="AA1096" i="23"/>
  <c r="AB1096" i="23"/>
  <c r="AC1096" i="23" a="1"/>
  <c r="AC1096" i="23" s="1"/>
  <c r="AD1096" i="23"/>
  <c r="AE1096" i="23"/>
  <c r="AF1096" i="23" a="1"/>
  <c r="AF1096" i="23" s="1"/>
  <c r="X1097" i="23"/>
  <c r="Y1097" i="23"/>
  <c r="Z1097" i="23"/>
  <c r="AA1097" i="23" a="1"/>
  <c r="AA1097" i="23"/>
  <c r="AB1097" i="23"/>
  <c r="AC1097" i="23" a="1"/>
  <c r="AC1097" i="23" s="1"/>
  <c r="AD1097" i="23"/>
  <c r="AE1097" i="23"/>
  <c r="AF1097" i="23" a="1"/>
  <c r="AF1097" i="23" s="1"/>
  <c r="X1098" i="23"/>
  <c r="Y1098" i="23"/>
  <c r="Z1098" i="23"/>
  <c r="AA1098" i="23" a="1"/>
  <c r="AA1098" i="23"/>
  <c r="AB1098" i="23"/>
  <c r="AC1098" i="23" a="1"/>
  <c r="AC1098" i="23"/>
  <c r="AD1098" i="23"/>
  <c r="AE1098" i="23"/>
  <c r="AF1098" i="23" a="1"/>
  <c r="AF1098" i="23" s="1"/>
  <c r="X1099" i="23"/>
  <c r="Y1099" i="23"/>
  <c r="Z1099" i="23"/>
  <c r="AA1099" i="23" a="1"/>
  <c r="AA1099" i="23"/>
  <c r="AB1099" i="23"/>
  <c r="AC1099" i="23" a="1"/>
  <c r="AC1099" i="23" s="1"/>
  <c r="AD1099" i="23"/>
  <c r="AE1099" i="23"/>
  <c r="AF1099" i="23" a="1"/>
  <c r="AF1099" i="23" s="1"/>
  <c r="X1100" i="23"/>
  <c r="Y1100" i="23"/>
  <c r="Z1100" i="23"/>
  <c r="AA1100" i="23" a="1"/>
  <c r="AA1100" i="23"/>
  <c r="AB1100" i="23"/>
  <c r="AC1100" i="23" a="1"/>
  <c r="AC1100" i="23"/>
  <c r="AD1100" i="23"/>
  <c r="AE1100" i="23"/>
  <c r="AF1100" i="23" a="1"/>
  <c r="AF1100" i="23" s="1"/>
  <c r="X1101" i="23"/>
  <c r="Y1101" i="23"/>
  <c r="Z1101" i="23"/>
  <c r="AA1101" i="23" a="1"/>
  <c r="AA1101" i="23"/>
  <c r="AB1101" i="23"/>
  <c r="AC1101" i="23" a="1"/>
  <c r="AC1101" i="23" s="1"/>
  <c r="AD1101" i="23"/>
  <c r="AE1101" i="23"/>
  <c r="AF1101" i="23" a="1"/>
  <c r="AF1101" i="23" s="1"/>
  <c r="X1102" i="23"/>
  <c r="Y1102" i="23"/>
  <c r="Z1102" i="23"/>
  <c r="AA1102" i="23" a="1"/>
  <c r="AA1102" i="23"/>
  <c r="AB1102" i="23"/>
  <c r="AC1102" i="23" a="1"/>
  <c r="AC1102" i="23"/>
  <c r="AD1102" i="23"/>
  <c r="AE1102" i="23"/>
  <c r="AF1102" i="23" a="1"/>
  <c r="AF1102" i="23" s="1"/>
  <c r="X1103" i="23"/>
  <c r="Y1103" i="23"/>
  <c r="Z1103" i="23"/>
  <c r="AA1103" i="23" a="1"/>
  <c r="AA1103" i="23"/>
  <c r="AB1103" i="23"/>
  <c r="AC1103" i="23" a="1"/>
  <c r="AC1103" i="23" s="1"/>
  <c r="AD1103" i="23"/>
  <c r="AE1103" i="23"/>
  <c r="AF1103" i="23" a="1"/>
  <c r="AF1103" i="23" s="1"/>
  <c r="X1104" i="23"/>
  <c r="Y1104" i="23"/>
  <c r="Z1104" i="23"/>
  <c r="AA1104" i="23" a="1"/>
  <c r="AA1104" i="23"/>
  <c r="AB1104" i="23"/>
  <c r="AC1104" i="23" a="1"/>
  <c r="AC1104" i="23" s="1"/>
  <c r="AD1104" i="23"/>
  <c r="AE1104" i="23"/>
  <c r="AF1104" i="23" a="1"/>
  <c r="AF1104" i="23" s="1"/>
  <c r="X1105" i="23"/>
  <c r="Y1105" i="23"/>
  <c r="Z1105" i="23"/>
  <c r="AA1105" i="23" a="1"/>
  <c r="AA1105" i="23"/>
  <c r="AB1105" i="23"/>
  <c r="AC1105" i="23" a="1"/>
  <c r="AC1105" i="23" s="1"/>
  <c r="AD1105" i="23"/>
  <c r="AE1105" i="23"/>
  <c r="AF1105" i="23" a="1"/>
  <c r="AF1105" i="23" s="1"/>
  <c r="X1106" i="23"/>
  <c r="Y1106" i="23"/>
  <c r="Z1106" i="23"/>
  <c r="AA1106" i="23" a="1"/>
  <c r="AA1106" i="23"/>
  <c r="AB1106" i="23"/>
  <c r="AC1106" i="23" a="1"/>
  <c r="AC1106" i="23" s="1"/>
  <c r="AD1106" i="23"/>
  <c r="AE1106" i="23"/>
  <c r="AF1106" i="23" a="1"/>
  <c r="AF1106" i="23" s="1"/>
  <c r="X1107" i="23"/>
  <c r="Y1107" i="23"/>
  <c r="Z1107" i="23"/>
  <c r="AA1107" i="23" a="1"/>
  <c r="AA1107" i="23"/>
  <c r="AB1107" i="23"/>
  <c r="AC1107" i="23" a="1"/>
  <c r="AC1107" i="23" s="1"/>
  <c r="AD1107" i="23"/>
  <c r="AE1107" i="23"/>
  <c r="AF1107" i="23" a="1"/>
  <c r="AF1107" i="23" s="1"/>
  <c r="X1108" i="23"/>
  <c r="Y1108" i="23"/>
  <c r="Z1108" i="23"/>
  <c r="AA1108" i="23" a="1"/>
  <c r="AA1108" i="23"/>
  <c r="AB1108" i="23"/>
  <c r="AC1108" i="23" a="1"/>
  <c r="AC1108" i="23" s="1"/>
  <c r="AD1108" i="23"/>
  <c r="AE1108" i="23"/>
  <c r="AF1108" i="23" a="1"/>
  <c r="AF1108" i="23" s="1"/>
  <c r="X1109" i="23"/>
  <c r="Y1109" i="23"/>
  <c r="Z1109" i="23"/>
  <c r="AA1109" i="23" a="1"/>
  <c r="AA1109" i="23"/>
  <c r="AB1109" i="23"/>
  <c r="AC1109" i="23" a="1"/>
  <c r="AC1109" i="23" s="1"/>
  <c r="AD1109" i="23"/>
  <c r="AE1109" i="23"/>
  <c r="AF1109" i="23" a="1"/>
  <c r="AF1109" i="23" s="1"/>
  <c r="X1110" i="23"/>
  <c r="Y1110" i="23"/>
  <c r="Z1110" i="23"/>
  <c r="AA1110" i="23" a="1"/>
  <c r="AA1110" i="23"/>
  <c r="AB1110" i="23"/>
  <c r="AC1110" i="23" a="1"/>
  <c r="AC1110" i="23" s="1"/>
  <c r="AD1110" i="23"/>
  <c r="AE1110" i="23"/>
  <c r="AF1110" i="23" a="1"/>
  <c r="AF1110" i="23" s="1"/>
  <c r="X1111" i="23"/>
  <c r="Y1111" i="23"/>
  <c r="Z1111" i="23"/>
  <c r="AA1111" i="23" a="1"/>
  <c r="AA1111" i="23"/>
  <c r="AB1111" i="23"/>
  <c r="AC1111" i="23" a="1"/>
  <c r="AC1111" i="23" s="1"/>
  <c r="AD1111" i="23"/>
  <c r="AE1111" i="23"/>
  <c r="AF1111" i="23" a="1"/>
  <c r="AF1111" i="23" s="1"/>
  <c r="X1112" i="23"/>
  <c r="Y1112" i="23"/>
  <c r="Z1112" i="23"/>
  <c r="AA1112" i="23" a="1"/>
  <c r="AA1112" i="23"/>
  <c r="AB1112" i="23"/>
  <c r="AC1112" i="23" a="1"/>
  <c r="AC1112" i="23"/>
  <c r="AD1112" i="23"/>
  <c r="AE1112" i="23"/>
  <c r="AF1112" i="23" a="1"/>
  <c r="AF1112" i="23" s="1"/>
  <c r="X1113" i="23"/>
  <c r="Y1113" i="23"/>
  <c r="Z1113" i="23"/>
  <c r="AA1113" i="23" a="1"/>
  <c r="AA1113" i="23"/>
  <c r="AB1113" i="23"/>
  <c r="AC1113" i="23" a="1"/>
  <c r="AC1113" i="23" s="1"/>
  <c r="AD1113" i="23"/>
  <c r="AE1113" i="23"/>
  <c r="AF1113" i="23" a="1"/>
  <c r="AF1113" i="23" s="1"/>
  <c r="X1114" i="23"/>
  <c r="Y1114" i="23"/>
  <c r="Z1114" i="23"/>
  <c r="AA1114" i="23" a="1"/>
  <c r="AA1114" i="23"/>
  <c r="AB1114" i="23"/>
  <c r="AC1114" i="23" a="1"/>
  <c r="AC1114" i="23" s="1"/>
  <c r="AD1114" i="23"/>
  <c r="AE1114" i="23"/>
  <c r="AF1114" i="23" a="1"/>
  <c r="AF1114" i="23" s="1"/>
  <c r="X1115" i="23"/>
  <c r="Y1115" i="23"/>
  <c r="Z1115" i="23"/>
  <c r="AA1115" i="23" a="1"/>
  <c r="AA1115" i="23"/>
  <c r="AB1115" i="23"/>
  <c r="AC1115" i="23" a="1"/>
  <c r="AC1115" i="23" s="1"/>
  <c r="AD1115" i="23"/>
  <c r="AE1115" i="23"/>
  <c r="AF1115" i="23" a="1"/>
  <c r="AF1115" i="23" s="1"/>
  <c r="X1116" i="23"/>
  <c r="Y1116" i="23"/>
  <c r="Z1116" i="23"/>
  <c r="AA1116" i="23" a="1"/>
  <c r="AA1116" i="23"/>
  <c r="AB1116" i="23"/>
  <c r="AC1116" i="23" a="1"/>
  <c r="AC1116" i="23" s="1"/>
  <c r="AD1116" i="23"/>
  <c r="AE1116" i="23"/>
  <c r="AF1116" i="23" a="1"/>
  <c r="AF1116" i="23" s="1"/>
  <c r="X1117" i="23"/>
  <c r="Y1117" i="23"/>
  <c r="Z1117" i="23"/>
  <c r="AA1117" i="23" a="1"/>
  <c r="AA1117" i="23"/>
  <c r="AB1117" i="23"/>
  <c r="AC1117" i="23" a="1"/>
  <c r="AC1117" i="23" s="1"/>
  <c r="AD1117" i="23"/>
  <c r="AE1117" i="23"/>
  <c r="AF1117" i="23" a="1"/>
  <c r="AF1117" i="23" s="1"/>
  <c r="X1118" i="23"/>
  <c r="Y1118" i="23"/>
  <c r="Z1118" i="23"/>
  <c r="AA1118" i="23" a="1"/>
  <c r="AA1118" i="23"/>
  <c r="AB1118" i="23"/>
  <c r="AC1118" i="23" a="1"/>
  <c r="AC1118" i="23" s="1"/>
  <c r="AD1118" i="23"/>
  <c r="AE1118" i="23"/>
  <c r="AF1118" i="23" a="1"/>
  <c r="AF1118" i="23" s="1"/>
  <c r="X1119" i="23"/>
  <c r="Y1119" i="23"/>
  <c r="Z1119" i="23"/>
  <c r="AA1119" i="23" a="1"/>
  <c r="AA1119" i="23"/>
  <c r="AB1119" i="23"/>
  <c r="AC1119" i="23" a="1"/>
  <c r="AC1119" i="23" s="1"/>
  <c r="AD1119" i="23"/>
  <c r="AE1119" i="23"/>
  <c r="AF1119" i="23" a="1"/>
  <c r="AF1119" i="23" s="1"/>
  <c r="X1120" i="23"/>
  <c r="Y1120" i="23"/>
  <c r="Z1120" i="23"/>
  <c r="AA1120" i="23" a="1"/>
  <c r="AA1120" i="23"/>
  <c r="AB1120" i="23"/>
  <c r="AC1120" i="23" a="1"/>
  <c r="AC1120" i="23" s="1"/>
  <c r="AD1120" i="23"/>
  <c r="AE1120" i="23"/>
  <c r="AF1120" i="23" a="1"/>
  <c r="AF1120" i="23" s="1"/>
  <c r="X1121" i="23"/>
  <c r="Y1121" i="23"/>
  <c r="Z1121" i="23"/>
  <c r="AA1121" i="23" a="1"/>
  <c r="AA1121" i="23"/>
  <c r="AB1121" i="23"/>
  <c r="AC1121" i="23" a="1"/>
  <c r="AC1121" i="23" s="1"/>
  <c r="AD1121" i="23"/>
  <c r="AE1121" i="23"/>
  <c r="AF1121" i="23" a="1"/>
  <c r="AF1121" i="23" s="1"/>
  <c r="X1122" i="23"/>
  <c r="Y1122" i="23"/>
  <c r="Z1122" i="23"/>
  <c r="AA1122" i="23" a="1"/>
  <c r="AA1122" i="23"/>
  <c r="AB1122" i="23"/>
  <c r="AC1122" i="23" a="1"/>
  <c r="AC1122" i="23" s="1"/>
  <c r="AD1122" i="23"/>
  <c r="AE1122" i="23"/>
  <c r="AF1122" i="23" a="1"/>
  <c r="AF1122" i="23" s="1"/>
  <c r="X1123" i="23"/>
  <c r="Y1123" i="23"/>
  <c r="Z1123" i="23"/>
  <c r="AA1123" i="23" a="1"/>
  <c r="AA1123" i="23"/>
  <c r="AB1123" i="23"/>
  <c r="AC1123" i="23" a="1"/>
  <c r="AC1123" i="23" s="1"/>
  <c r="AD1123" i="23"/>
  <c r="AE1123" i="23"/>
  <c r="AF1123" i="23" a="1"/>
  <c r="AF1123" i="23" s="1"/>
  <c r="X1124" i="23"/>
  <c r="Y1124" i="23"/>
  <c r="Z1124" i="23"/>
  <c r="AA1124" i="23" a="1"/>
  <c r="AA1124" i="23"/>
  <c r="AB1124" i="23"/>
  <c r="AC1124" i="23" a="1"/>
  <c r="AC1124" i="23" s="1"/>
  <c r="AD1124" i="23"/>
  <c r="AE1124" i="23"/>
  <c r="AF1124" i="23" a="1"/>
  <c r="AF1124" i="23" s="1"/>
  <c r="X1125" i="23"/>
  <c r="Y1125" i="23"/>
  <c r="Z1125" i="23"/>
  <c r="AA1125" i="23" a="1"/>
  <c r="AA1125" i="23"/>
  <c r="AB1125" i="23"/>
  <c r="AC1125" i="23" a="1"/>
  <c r="AC1125" i="23" s="1"/>
  <c r="AD1125" i="23"/>
  <c r="AE1125" i="23"/>
  <c r="AF1125" i="23" a="1"/>
  <c r="AF1125" i="23" s="1"/>
  <c r="X1126" i="23"/>
  <c r="Y1126" i="23"/>
  <c r="Z1126" i="23"/>
  <c r="AA1126" i="23" a="1"/>
  <c r="AA1126" i="23"/>
  <c r="AB1126" i="23"/>
  <c r="AC1126" i="23" a="1"/>
  <c r="AC1126" i="23" s="1"/>
  <c r="AD1126" i="23"/>
  <c r="AE1126" i="23"/>
  <c r="AF1126" i="23" a="1"/>
  <c r="AF1126" i="23" s="1"/>
  <c r="X1127" i="23"/>
  <c r="Y1127" i="23"/>
  <c r="Z1127" i="23"/>
  <c r="AA1127" i="23" a="1"/>
  <c r="AA1127" i="23"/>
  <c r="AB1127" i="23"/>
  <c r="AC1127" i="23" a="1"/>
  <c r="AC1127" i="23" s="1"/>
  <c r="AD1127" i="23"/>
  <c r="AE1127" i="23"/>
  <c r="AF1127" i="23" a="1"/>
  <c r="AF1127" i="23" s="1"/>
  <c r="X1128" i="23"/>
  <c r="Y1128" i="23"/>
  <c r="Z1128" i="23"/>
  <c r="AA1128" i="23" a="1"/>
  <c r="AA1128" i="23"/>
  <c r="AB1128" i="23"/>
  <c r="AC1128" i="23" a="1"/>
  <c r="AC1128" i="23" s="1"/>
  <c r="AD1128" i="23"/>
  <c r="AE1128" i="23"/>
  <c r="AF1128" i="23" a="1"/>
  <c r="AF1128" i="23" s="1"/>
  <c r="X1129" i="23"/>
  <c r="Y1129" i="23"/>
  <c r="Z1129" i="23"/>
  <c r="AA1129" i="23" a="1"/>
  <c r="AA1129" i="23"/>
  <c r="AB1129" i="23"/>
  <c r="AC1129" i="23" a="1"/>
  <c r="AC1129" i="23" s="1"/>
  <c r="AD1129" i="23"/>
  <c r="AE1129" i="23"/>
  <c r="AF1129" i="23" a="1"/>
  <c r="AF1129" i="23" s="1"/>
  <c r="X1130" i="23"/>
  <c r="Y1130" i="23"/>
  <c r="Z1130" i="23"/>
  <c r="AA1130" i="23" a="1"/>
  <c r="AA1130" i="23"/>
  <c r="AB1130" i="23"/>
  <c r="AC1130" i="23" a="1"/>
  <c r="AC1130" i="23"/>
  <c r="AD1130" i="23"/>
  <c r="AE1130" i="23"/>
  <c r="AF1130" i="23" a="1"/>
  <c r="AF1130" i="23" s="1"/>
  <c r="X1131" i="23"/>
  <c r="Y1131" i="23"/>
  <c r="Z1131" i="23"/>
  <c r="AA1131" i="23" a="1"/>
  <c r="AA1131" i="23"/>
  <c r="AB1131" i="23"/>
  <c r="AC1131" i="23" a="1"/>
  <c r="AC1131" i="23" s="1"/>
  <c r="AD1131" i="23"/>
  <c r="AE1131" i="23"/>
  <c r="AF1131" i="23" a="1"/>
  <c r="AF1131" i="23" s="1"/>
  <c r="X1132" i="23"/>
  <c r="Y1132" i="23"/>
  <c r="Z1132" i="23"/>
  <c r="AA1132" i="23" a="1"/>
  <c r="AA1132" i="23"/>
  <c r="AB1132" i="23"/>
  <c r="AC1132" i="23" a="1"/>
  <c r="AC1132" i="23" s="1"/>
  <c r="AD1132" i="23"/>
  <c r="AE1132" i="23"/>
  <c r="AF1132" i="23" a="1"/>
  <c r="AF1132" i="23" s="1"/>
  <c r="X1133" i="23"/>
  <c r="Y1133" i="23"/>
  <c r="Z1133" i="23"/>
  <c r="AA1133" i="23" a="1"/>
  <c r="AA1133" i="23"/>
  <c r="AB1133" i="23"/>
  <c r="AC1133" i="23" a="1"/>
  <c r="AC1133" i="23" s="1"/>
  <c r="AD1133" i="23"/>
  <c r="AE1133" i="23"/>
  <c r="AF1133" i="23" a="1"/>
  <c r="AF1133" i="23" s="1"/>
  <c r="X1134" i="23"/>
  <c r="Y1134" i="23"/>
  <c r="Z1134" i="23"/>
  <c r="AA1134" i="23" a="1"/>
  <c r="AA1134" i="23"/>
  <c r="AB1134" i="23"/>
  <c r="AC1134" i="23" a="1"/>
  <c r="AC1134" i="23" s="1"/>
  <c r="AD1134" i="23"/>
  <c r="AE1134" i="23"/>
  <c r="AF1134" i="23" a="1"/>
  <c r="AF1134" i="23" s="1"/>
  <c r="X1135" i="23"/>
  <c r="Y1135" i="23"/>
  <c r="Z1135" i="23"/>
  <c r="AA1135" i="23" a="1"/>
  <c r="AA1135" i="23"/>
  <c r="AB1135" i="23"/>
  <c r="AC1135" i="23" a="1"/>
  <c r="AC1135" i="23" s="1"/>
  <c r="AD1135" i="23"/>
  <c r="AE1135" i="23"/>
  <c r="AF1135" i="23" a="1"/>
  <c r="AF1135" i="23" s="1"/>
  <c r="X1136" i="23"/>
  <c r="Y1136" i="23"/>
  <c r="Z1136" i="23"/>
  <c r="AA1136" i="23" a="1"/>
  <c r="AA1136" i="23"/>
  <c r="AB1136" i="23"/>
  <c r="AC1136" i="23" a="1"/>
  <c r="AC1136" i="23" s="1"/>
  <c r="AD1136" i="23"/>
  <c r="AE1136" i="23"/>
  <c r="AF1136" i="23" a="1"/>
  <c r="AF1136" i="23" s="1"/>
  <c r="X1137" i="23"/>
  <c r="Y1137" i="23"/>
  <c r="Z1137" i="23"/>
  <c r="AA1137" i="23" a="1"/>
  <c r="AA1137" i="23"/>
  <c r="AB1137" i="23"/>
  <c r="AC1137" i="23" a="1"/>
  <c r="AC1137" i="23" s="1"/>
  <c r="AD1137" i="23"/>
  <c r="AE1137" i="23"/>
  <c r="AF1137" i="23" a="1"/>
  <c r="AF1137" i="23" s="1"/>
  <c r="X1138" i="23"/>
  <c r="Y1138" i="23"/>
  <c r="Z1138" i="23"/>
  <c r="AA1138" i="23" a="1"/>
  <c r="AA1138" i="23" s="1"/>
  <c r="AB1138" i="23"/>
  <c r="AC1138" i="23" a="1"/>
  <c r="AC1138" i="23" s="1"/>
  <c r="AD1138" i="23"/>
  <c r="AE1138" i="23"/>
  <c r="AF1138" i="23" a="1"/>
  <c r="AF1138" i="23" s="1"/>
  <c r="X1139" i="23"/>
  <c r="Y1139" i="23"/>
  <c r="Z1139" i="23"/>
  <c r="AA1139" i="23" a="1"/>
  <c r="AA1139" i="23"/>
  <c r="AB1139" i="23"/>
  <c r="AC1139" i="23" a="1"/>
  <c r="AC1139" i="23" s="1"/>
  <c r="AD1139" i="23"/>
  <c r="AE1139" i="23"/>
  <c r="AF1139" i="23" a="1"/>
  <c r="AF1139" i="23" s="1"/>
  <c r="X1140" i="23"/>
  <c r="Y1140" i="23"/>
  <c r="Z1140" i="23"/>
  <c r="AA1140" i="23" a="1"/>
  <c r="AA1140" i="23" s="1"/>
  <c r="AB1140" i="23"/>
  <c r="AC1140" i="23" a="1"/>
  <c r="AC1140" i="23" s="1"/>
  <c r="AD1140" i="23"/>
  <c r="AE1140" i="23"/>
  <c r="AF1140" i="23" a="1"/>
  <c r="AF1140" i="23" s="1"/>
  <c r="X1141" i="23"/>
  <c r="Y1141" i="23"/>
  <c r="Z1141" i="23"/>
  <c r="AA1141" i="23" a="1"/>
  <c r="AA1141" i="23"/>
  <c r="AB1141" i="23"/>
  <c r="AC1141" i="23" a="1"/>
  <c r="AC1141" i="23" s="1"/>
  <c r="AD1141" i="23"/>
  <c r="AE1141" i="23"/>
  <c r="AF1141" i="23" a="1"/>
  <c r="AF1141" i="23" s="1"/>
  <c r="X1142" i="23"/>
  <c r="Y1142" i="23"/>
  <c r="Z1142" i="23"/>
  <c r="AA1142" i="23" a="1"/>
  <c r="AA1142" i="23" s="1"/>
  <c r="AB1142" i="23"/>
  <c r="AC1142" i="23" a="1"/>
  <c r="AC1142" i="23" s="1"/>
  <c r="AD1142" i="23"/>
  <c r="AE1142" i="23"/>
  <c r="AF1142" i="23" a="1"/>
  <c r="AF1142" i="23" s="1"/>
  <c r="X1143" i="23"/>
  <c r="Y1143" i="23"/>
  <c r="Z1143" i="23"/>
  <c r="AA1143" i="23" a="1"/>
  <c r="AA1143" i="23"/>
  <c r="AB1143" i="23"/>
  <c r="AC1143" i="23" a="1"/>
  <c r="AC1143" i="23" s="1"/>
  <c r="AD1143" i="23"/>
  <c r="AE1143" i="23"/>
  <c r="AF1143" i="23" a="1"/>
  <c r="AF1143" i="23" s="1"/>
  <c r="X1144" i="23"/>
  <c r="Y1144" i="23"/>
  <c r="Z1144" i="23"/>
  <c r="AA1144" i="23" a="1"/>
  <c r="AA1144" i="23" s="1"/>
  <c r="AB1144" i="23"/>
  <c r="AC1144" i="23" a="1"/>
  <c r="AC1144" i="23" s="1"/>
  <c r="AD1144" i="23"/>
  <c r="AE1144" i="23"/>
  <c r="AF1144" i="23" a="1"/>
  <c r="AF1144" i="23" s="1"/>
  <c r="X1145" i="23"/>
  <c r="Y1145" i="23"/>
  <c r="Z1145" i="23"/>
  <c r="AA1145" i="23" a="1"/>
  <c r="AA1145" i="23"/>
  <c r="AB1145" i="23"/>
  <c r="AC1145" i="23" a="1"/>
  <c r="AC1145" i="23" s="1"/>
  <c r="AD1145" i="23"/>
  <c r="AE1145" i="23"/>
  <c r="AF1145" i="23" a="1"/>
  <c r="AF1145" i="23" s="1"/>
  <c r="X1146" i="23"/>
  <c r="Y1146" i="23"/>
  <c r="Z1146" i="23"/>
  <c r="AA1146" i="23" a="1"/>
  <c r="AA1146" i="23" s="1"/>
  <c r="AB1146" i="23"/>
  <c r="AC1146" i="23" a="1"/>
  <c r="AC1146" i="23" s="1"/>
  <c r="AD1146" i="23"/>
  <c r="AE1146" i="23"/>
  <c r="AF1146" i="23" a="1"/>
  <c r="AF1146" i="23" s="1"/>
  <c r="X1147" i="23"/>
  <c r="Y1147" i="23"/>
  <c r="Z1147" i="23"/>
  <c r="AA1147" i="23" a="1"/>
  <c r="AA1147" i="23"/>
  <c r="AB1147" i="23"/>
  <c r="AC1147" i="23" a="1"/>
  <c r="AC1147" i="23" s="1"/>
  <c r="AD1147" i="23"/>
  <c r="AE1147" i="23"/>
  <c r="AF1147" i="23" a="1"/>
  <c r="AF1147" i="23" s="1"/>
  <c r="X1148" i="23"/>
  <c r="Y1148" i="23"/>
  <c r="Z1148" i="23"/>
  <c r="AA1148" i="23" a="1"/>
  <c r="AA1148" i="23" s="1"/>
  <c r="AB1148" i="23"/>
  <c r="AC1148" i="23" a="1"/>
  <c r="AC1148" i="23" s="1"/>
  <c r="AD1148" i="23"/>
  <c r="AE1148" i="23"/>
  <c r="AF1148" i="23" a="1"/>
  <c r="AF1148" i="23" s="1"/>
  <c r="X1149" i="23"/>
  <c r="Y1149" i="23"/>
  <c r="Z1149" i="23"/>
  <c r="AA1149" i="23" a="1"/>
  <c r="AA1149" i="23"/>
  <c r="AB1149" i="23"/>
  <c r="AC1149" i="23" a="1"/>
  <c r="AC1149" i="23" s="1"/>
  <c r="AD1149" i="23"/>
  <c r="AE1149" i="23"/>
  <c r="AF1149" i="23" a="1"/>
  <c r="AF1149" i="23" s="1"/>
  <c r="X1150" i="23"/>
  <c r="Y1150" i="23"/>
  <c r="Z1150" i="23"/>
  <c r="AA1150" i="23" a="1"/>
  <c r="AA1150" i="23" s="1"/>
  <c r="AB1150" i="23"/>
  <c r="AC1150" i="23" a="1"/>
  <c r="AC1150" i="23" s="1"/>
  <c r="AD1150" i="23"/>
  <c r="AE1150" i="23"/>
  <c r="AF1150" i="23" a="1"/>
  <c r="AF1150" i="23" s="1"/>
  <c r="X1151" i="23"/>
  <c r="Y1151" i="23"/>
  <c r="Z1151" i="23"/>
  <c r="AA1151" i="23" a="1"/>
  <c r="AA1151" i="23"/>
  <c r="AB1151" i="23"/>
  <c r="AC1151" i="23" a="1"/>
  <c r="AC1151" i="23" s="1"/>
  <c r="AD1151" i="23"/>
  <c r="AE1151" i="23"/>
  <c r="AF1151" i="23" a="1"/>
  <c r="AF1151" i="23" s="1"/>
  <c r="X1152" i="23"/>
  <c r="Y1152" i="23"/>
  <c r="Z1152" i="23"/>
  <c r="AA1152" i="23" a="1"/>
  <c r="AA1152" i="23" s="1"/>
  <c r="AB1152" i="23"/>
  <c r="AC1152" i="23" a="1"/>
  <c r="AC1152" i="23" s="1"/>
  <c r="AD1152" i="23"/>
  <c r="AE1152" i="23"/>
  <c r="AF1152" i="23" a="1"/>
  <c r="AF1152" i="23" s="1"/>
  <c r="X1153" i="23"/>
  <c r="Y1153" i="23"/>
  <c r="Z1153" i="23"/>
  <c r="AA1153" i="23" a="1"/>
  <c r="AA1153" i="23"/>
  <c r="AB1153" i="23"/>
  <c r="AC1153" i="23" a="1"/>
  <c r="AC1153" i="23" s="1"/>
  <c r="AD1153" i="23"/>
  <c r="AE1153" i="23"/>
  <c r="AF1153" i="23" a="1"/>
  <c r="AF1153" i="23" s="1"/>
  <c r="X1154" i="23"/>
  <c r="Y1154" i="23"/>
  <c r="Z1154" i="23"/>
  <c r="AA1154" i="23" a="1"/>
  <c r="AA1154" i="23" s="1"/>
  <c r="AB1154" i="23"/>
  <c r="AC1154" i="23" a="1"/>
  <c r="AC1154" i="23" s="1"/>
  <c r="AD1154" i="23"/>
  <c r="AE1154" i="23"/>
  <c r="AF1154" i="23" a="1"/>
  <c r="AF1154" i="23" s="1"/>
  <c r="X1155" i="23"/>
  <c r="Y1155" i="23"/>
  <c r="Z1155" i="23"/>
  <c r="AA1155" i="23" a="1"/>
  <c r="AA1155" i="23"/>
  <c r="AB1155" i="23"/>
  <c r="AC1155" i="23" a="1"/>
  <c r="AC1155" i="23" s="1"/>
  <c r="AD1155" i="23"/>
  <c r="AE1155" i="23"/>
  <c r="AF1155" i="23" a="1"/>
  <c r="AF1155" i="23" s="1"/>
  <c r="X1156" i="23"/>
  <c r="Y1156" i="23"/>
  <c r="Z1156" i="23"/>
  <c r="AA1156" i="23" a="1"/>
  <c r="AA1156" i="23" s="1"/>
  <c r="AB1156" i="23"/>
  <c r="AC1156" i="23" a="1"/>
  <c r="AC1156" i="23" s="1"/>
  <c r="AD1156" i="23"/>
  <c r="AE1156" i="23"/>
  <c r="AF1156" i="23" a="1"/>
  <c r="AF1156" i="23" s="1"/>
  <c r="X1157" i="23"/>
  <c r="Y1157" i="23"/>
  <c r="Z1157" i="23"/>
  <c r="AA1157" i="23" a="1"/>
  <c r="AA1157" i="23"/>
  <c r="AB1157" i="23"/>
  <c r="AC1157" i="23" a="1"/>
  <c r="AC1157" i="23" s="1"/>
  <c r="AD1157" i="23"/>
  <c r="AE1157" i="23"/>
  <c r="AF1157" i="23" a="1"/>
  <c r="AF1157" i="23" s="1"/>
  <c r="X1158" i="23"/>
  <c r="Y1158" i="23"/>
  <c r="Z1158" i="23"/>
  <c r="AA1158" i="23" a="1"/>
  <c r="AA1158" i="23" s="1"/>
  <c r="AB1158" i="23"/>
  <c r="AC1158" i="23" a="1"/>
  <c r="AC1158" i="23" s="1"/>
  <c r="AD1158" i="23"/>
  <c r="AE1158" i="23"/>
  <c r="AF1158" i="23" a="1"/>
  <c r="AF1158" i="23" s="1"/>
  <c r="X1159" i="23"/>
  <c r="Y1159" i="23"/>
  <c r="Z1159" i="23"/>
  <c r="AA1159" i="23" a="1"/>
  <c r="AA1159" i="23"/>
  <c r="AB1159" i="23"/>
  <c r="AC1159" i="23" a="1"/>
  <c r="AC1159" i="23" s="1"/>
  <c r="AD1159" i="23"/>
  <c r="AE1159" i="23"/>
  <c r="AF1159" i="23" a="1"/>
  <c r="AF1159" i="23" s="1"/>
  <c r="X1160" i="23"/>
  <c r="Y1160" i="23"/>
  <c r="Z1160" i="23"/>
  <c r="AA1160" i="23" a="1"/>
  <c r="AA1160" i="23" s="1"/>
  <c r="AB1160" i="23"/>
  <c r="AC1160" i="23" a="1"/>
  <c r="AC1160" i="23" s="1"/>
  <c r="AD1160" i="23"/>
  <c r="AE1160" i="23"/>
  <c r="AF1160" i="23" a="1"/>
  <c r="AF1160" i="23" s="1"/>
  <c r="X1161" i="23"/>
  <c r="Y1161" i="23"/>
  <c r="Z1161" i="23"/>
  <c r="AA1161" i="23" a="1"/>
  <c r="AA1161" i="23"/>
  <c r="AB1161" i="23"/>
  <c r="AC1161" i="23" a="1"/>
  <c r="AC1161" i="23" s="1"/>
  <c r="AD1161" i="23"/>
  <c r="AE1161" i="23"/>
  <c r="AF1161" i="23" a="1"/>
  <c r="AF1161" i="23" s="1"/>
  <c r="X1162" i="23"/>
  <c r="Y1162" i="23"/>
  <c r="Z1162" i="23"/>
  <c r="AA1162" i="23" a="1"/>
  <c r="AA1162" i="23" s="1"/>
  <c r="AB1162" i="23"/>
  <c r="AC1162" i="23" a="1"/>
  <c r="AC1162" i="23" s="1"/>
  <c r="AD1162" i="23"/>
  <c r="AE1162" i="23"/>
  <c r="AF1162" i="23" a="1"/>
  <c r="AF1162" i="23" s="1"/>
  <c r="X1163" i="23"/>
  <c r="Y1163" i="23"/>
  <c r="Z1163" i="23"/>
  <c r="AA1163" i="23" a="1"/>
  <c r="AA1163" i="23"/>
  <c r="AB1163" i="23"/>
  <c r="AC1163" i="23" a="1"/>
  <c r="AC1163" i="23" s="1"/>
  <c r="AD1163" i="23"/>
  <c r="AE1163" i="23"/>
  <c r="AF1163" i="23" a="1"/>
  <c r="AF1163" i="23" s="1"/>
  <c r="X1164" i="23"/>
  <c r="Y1164" i="23"/>
  <c r="Z1164" i="23"/>
  <c r="AA1164" i="23" a="1"/>
  <c r="AA1164" i="23" s="1"/>
  <c r="AB1164" i="23"/>
  <c r="AC1164" i="23" a="1"/>
  <c r="AC1164" i="23" s="1"/>
  <c r="AD1164" i="23"/>
  <c r="AE1164" i="23"/>
  <c r="AF1164" i="23" a="1"/>
  <c r="AF1164" i="23" s="1"/>
  <c r="X1165" i="23"/>
  <c r="Y1165" i="23"/>
  <c r="Z1165" i="23"/>
  <c r="AA1165" i="23" a="1"/>
  <c r="AA1165" i="23"/>
  <c r="AB1165" i="23"/>
  <c r="AC1165" i="23" a="1"/>
  <c r="AC1165" i="23" s="1"/>
  <c r="AD1165" i="23"/>
  <c r="AE1165" i="23"/>
  <c r="AF1165" i="23" a="1"/>
  <c r="AF1165" i="23" s="1"/>
  <c r="X1166" i="23"/>
  <c r="Y1166" i="23"/>
  <c r="Z1166" i="23"/>
  <c r="AA1166" i="23" a="1"/>
  <c r="AA1166" i="23" s="1"/>
  <c r="AB1166" i="23"/>
  <c r="AC1166" i="23" a="1"/>
  <c r="AC1166" i="23" s="1"/>
  <c r="AD1166" i="23"/>
  <c r="AE1166" i="23"/>
  <c r="AF1166" i="23" a="1"/>
  <c r="AF1166" i="23" s="1"/>
  <c r="X1167" i="23"/>
  <c r="Y1167" i="23"/>
  <c r="Z1167" i="23"/>
  <c r="AA1167" i="23" a="1"/>
  <c r="AA1167" i="23"/>
  <c r="AB1167" i="23"/>
  <c r="AC1167" i="23" a="1"/>
  <c r="AC1167" i="23" s="1"/>
  <c r="AD1167" i="23"/>
  <c r="AE1167" i="23"/>
  <c r="AF1167" i="23" a="1"/>
  <c r="AF1167" i="23" s="1"/>
  <c r="X1168" i="23"/>
  <c r="Y1168" i="23"/>
  <c r="Z1168" i="23"/>
  <c r="AA1168" i="23" a="1"/>
  <c r="AA1168" i="23" s="1"/>
  <c r="AB1168" i="23"/>
  <c r="AC1168" i="23" a="1"/>
  <c r="AC1168" i="23" s="1"/>
  <c r="AD1168" i="23"/>
  <c r="AE1168" i="23"/>
  <c r="AF1168" i="23" a="1"/>
  <c r="AF1168" i="23" s="1"/>
  <c r="X1169" i="23"/>
  <c r="Y1169" i="23"/>
  <c r="Z1169" i="23"/>
  <c r="AA1169" i="23" a="1"/>
  <c r="AA1169" i="23"/>
  <c r="AB1169" i="23"/>
  <c r="AC1169" i="23" a="1"/>
  <c r="AC1169" i="23" s="1"/>
  <c r="AD1169" i="23"/>
  <c r="AE1169" i="23"/>
  <c r="AF1169" i="23" a="1"/>
  <c r="AF1169" i="23" s="1"/>
  <c r="X1170" i="23"/>
  <c r="Y1170" i="23"/>
  <c r="Z1170" i="23"/>
  <c r="AA1170" i="23" a="1"/>
  <c r="AA1170" i="23" s="1"/>
  <c r="AB1170" i="23"/>
  <c r="AC1170" i="23" a="1"/>
  <c r="AC1170" i="23" s="1"/>
  <c r="AD1170" i="23"/>
  <c r="AE1170" i="23"/>
  <c r="AF1170" i="23" a="1"/>
  <c r="AF1170" i="23" s="1"/>
  <c r="X1171" i="23"/>
  <c r="Y1171" i="23"/>
  <c r="Z1171" i="23"/>
  <c r="AA1171" i="23" a="1"/>
  <c r="AA1171" i="23"/>
  <c r="AB1171" i="23"/>
  <c r="AC1171" i="23" a="1"/>
  <c r="AC1171" i="23" s="1"/>
  <c r="AD1171" i="23"/>
  <c r="AE1171" i="23"/>
  <c r="AF1171" i="23" a="1"/>
  <c r="AF1171" i="23" s="1"/>
  <c r="X1172" i="23"/>
  <c r="Y1172" i="23"/>
  <c r="Z1172" i="23"/>
  <c r="AA1172" i="23" a="1"/>
  <c r="AA1172" i="23" s="1"/>
  <c r="AB1172" i="23"/>
  <c r="AC1172" i="23" a="1"/>
  <c r="AC1172" i="23" s="1"/>
  <c r="AD1172" i="23"/>
  <c r="AE1172" i="23"/>
  <c r="AF1172" i="23" a="1"/>
  <c r="AF1172" i="23" s="1"/>
  <c r="X1173" i="23"/>
  <c r="Y1173" i="23"/>
  <c r="Z1173" i="23"/>
  <c r="AA1173" i="23" a="1"/>
  <c r="AA1173" i="23"/>
  <c r="AB1173" i="23"/>
  <c r="AC1173" i="23" a="1"/>
  <c r="AC1173" i="23" s="1"/>
  <c r="AD1173" i="23"/>
  <c r="AE1173" i="23"/>
  <c r="AF1173" i="23" a="1"/>
  <c r="AF1173" i="23" s="1"/>
  <c r="X1174" i="23"/>
  <c r="Y1174" i="23"/>
  <c r="Z1174" i="23"/>
  <c r="AA1174" i="23" a="1"/>
  <c r="AA1174" i="23" s="1"/>
  <c r="AB1174" i="23"/>
  <c r="AC1174" i="23" a="1"/>
  <c r="AC1174" i="23" s="1"/>
  <c r="AD1174" i="23"/>
  <c r="AE1174" i="23"/>
  <c r="AF1174" i="23" a="1"/>
  <c r="AF1174" i="23" s="1"/>
  <c r="X1175" i="23"/>
  <c r="Y1175" i="23"/>
  <c r="Z1175" i="23"/>
  <c r="AA1175" i="23" a="1"/>
  <c r="AA1175" i="23"/>
  <c r="AB1175" i="23"/>
  <c r="AC1175" i="23" a="1"/>
  <c r="AC1175" i="23" s="1"/>
  <c r="AD1175" i="23"/>
  <c r="AE1175" i="23"/>
  <c r="AF1175" i="23" a="1"/>
  <c r="AF1175" i="23" s="1"/>
  <c r="X1176" i="23"/>
  <c r="Y1176" i="23"/>
  <c r="Z1176" i="23"/>
  <c r="AA1176" i="23" a="1"/>
  <c r="AA1176" i="23" s="1"/>
  <c r="AB1176" i="23"/>
  <c r="AC1176" i="23" a="1"/>
  <c r="AC1176" i="23" s="1"/>
  <c r="AD1176" i="23"/>
  <c r="AE1176" i="23"/>
  <c r="AF1176" i="23" a="1"/>
  <c r="AF1176" i="23" s="1"/>
  <c r="X1177" i="23"/>
  <c r="Y1177" i="23"/>
  <c r="Z1177" i="23"/>
  <c r="AA1177" i="23" a="1"/>
  <c r="AA1177" i="23"/>
  <c r="AB1177" i="23"/>
  <c r="AC1177" i="23" a="1"/>
  <c r="AC1177" i="23" s="1"/>
  <c r="AD1177" i="23"/>
  <c r="AE1177" i="23"/>
  <c r="AF1177" i="23" a="1"/>
  <c r="AF1177" i="23" s="1"/>
  <c r="X1178" i="23"/>
  <c r="Y1178" i="23"/>
  <c r="Z1178" i="23"/>
  <c r="AA1178" i="23" a="1"/>
  <c r="AA1178" i="23" s="1"/>
  <c r="AB1178" i="23"/>
  <c r="AC1178" i="23" a="1"/>
  <c r="AC1178" i="23" s="1"/>
  <c r="AD1178" i="23"/>
  <c r="AE1178" i="23"/>
  <c r="AF1178" i="23" a="1"/>
  <c r="AF1178" i="23" s="1"/>
  <c r="X1179" i="23"/>
  <c r="Y1179" i="23"/>
  <c r="Z1179" i="23"/>
  <c r="AA1179" i="23" a="1"/>
  <c r="AA1179" i="23"/>
  <c r="AB1179" i="23"/>
  <c r="AC1179" i="23" a="1"/>
  <c r="AC1179" i="23" s="1"/>
  <c r="AD1179" i="23"/>
  <c r="AE1179" i="23"/>
  <c r="AF1179" i="23" a="1"/>
  <c r="AF1179" i="23" s="1"/>
  <c r="X1180" i="23"/>
  <c r="Y1180" i="23"/>
  <c r="Z1180" i="23"/>
  <c r="AA1180" i="23" a="1"/>
  <c r="AA1180" i="23" s="1"/>
  <c r="AB1180" i="23"/>
  <c r="AC1180" i="23" a="1"/>
  <c r="AC1180" i="23" s="1"/>
  <c r="AD1180" i="23"/>
  <c r="AE1180" i="23"/>
  <c r="AF1180" i="23" a="1"/>
  <c r="AF1180" i="23" s="1"/>
  <c r="X1181" i="23"/>
  <c r="Y1181" i="23"/>
  <c r="Z1181" i="23"/>
  <c r="AA1181" i="23" a="1"/>
  <c r="AA1181" i="23"/>
  <c r="AB1181" i="23"/>
  <c r="AC1181" i="23" a="1"/>
  <c r="AC1181" i="23" s="1"/>
  <c r="AD1181" i="23"/>
  <c r="AE1181" i="23"/>
  <c r="AF1181" i="23" a="1"/>
  <c r="AF1181" i="23" s="1"/>
  <c r="X1182" i="23"/>
  <c r="Y1182" i="23"/>
  <c r="Z1182" i="23"/>
  <c r="AA1182" i="23" a="1"/>
  <c r="AA1182" i="23" s="1"/>
  <c r="AB1182" i="23"/>
  <c r="AC1182" i="23" a="1"/>
  <c r="AC1182" i="23" s="1"/>
  <c r="AD1182" i="23"/>
  <c r="AE1182" i="23"/>
  <c r="AF1182" i="23" a="1"/>
  <c r="AF1182" i="23" s="1"/>
  <c r="X1183" i="23"/>
  <c r="Y1183" i="23"/>
  <c r="Z1183" i="23"/>
  <c r="AA1183" i="23" a="1"/>
  <c r="AA1183" i="23"/>
  <c r="AB1183" i="23"/>
  <c r="AC1183" i="23" a="1"/>
  <c r="AC1183" i="23" s="1"/>
  <c r="AD1183" i="23"/>
  <c r="AE1183" i="23"/>
  <c r="AF1183" i="23" a="1"/>
  <c r="AF1183" i="23" s="1"/>
  <c r="X1184" i="23"/>
  <c r="Y1184" i="23"/>
  <c r="Z1184" i="23"/>
  <c r="AA1184" i="23" a="1"/>
  <c r="AA1184" i="23" s="1"/>
  <c r="AB1184" i="23"/>
  <c r="AC1184" i="23" a="1"/>
  <c r="AC1184" i="23" s="1"/>
  <c r="AD1184" i="23"/>
  <c r="AE1184" i="23"/>
  <c r="AF1184" i="23" a="1"/>
  <c r="AF1184" i="23" s="1"/>
  <c r="X1185" i="23"/>
  <c r="Y1185" i="23"/>
  <c r="Z1185" i="23"/>
  <c r="AA1185" i="23" a="1"/>
  <c r="AA1185" i="23"/>
  <c r="AB1185" i="23"/>
  <c r="AC1185" i="23" a="1"/>
  <c r="AC1185" i="23" s="1"/>
  <c r="AD1185" i="23"/>
  <c r="AE1185" i="23"/>
  <c r="AF1185" i="23" a="1"/>
  <c r="AF1185" i="23" s="1"/>
  <c r="X1186" i="23"/>
  <c r="Y1186" i="23"/>
  <c r="Z1186" i="23"/>
  <c r="AA1186" i="23" a="1"/>
  <c r="AA1186" i="23" s="1"/>
  <c r="AB1186" i="23"/>
  <c r="AC1186" i="23" a="1"/>
  <c r="AC1186" i="23" s="1"/>
  <c r="AD1186" i="23"/>
  <c r="AE1186" i="23"/>
  <c r="AF1186" i="23" a="1"/>
  <c r="AF1186" i="23" s="1"/>
  <c r="X1187" i="23"/>
  <c r="Y1187" i="23"/>
  <c r="Z1187" i="23"/>
  <c r="AA1187" i="23" a="1"/>
  <c r="AA1187" i="23"/>
  <c r="AB1187" i="23"/>
  <c r="AC1187" i="23" a="1"/>
  <c r="AC1187" i="23" s="1"/>
  <c r="AD1187" i="23"/>
  <c r="AE1187" i="23"/>
  <c r="AF1187" i="23" a="1"/>
  <c r="AF1187" i="23" s="1"/>
  <c r="X1188" i="23"/>
  <c r="Y1188" i="23"/>
  <c r="Z1188" i="23"/>
  <c r="AA1188" i="23" a="1"/>
  <c r="AA1188" i="23" s="1"/>
  <c r="AB1188" i="23"/>
  <c r="AC1188" i="23" a="1"/>
  <c r="AC1188" i="23" s="1"/>
  <c r="AD1188" i="23"/>
  <c r="AE1188" i="23"/>
  <c r="AF1188" i="23" a="1"/>
  <c r="AF1188" i="23" s="1"/>
  <c r="X1189" i="23"/>
  <c r="Y1189" i="23"/>
  <c r="Z1189" i="23"/>
  <c r="AA1189" i="23" a="1"/>
  <c r="AA1189" i="23"/>
  <c r="AB1189" i="23"/>
  <c r="AC1189" i="23" a="1"/>
  <c r="AC1189" i="23" s="1"/>
  <c r="AD1189" i="23"/>
  <c r="AE1189" i="23"/>
  <c r="AF1189" i="23" a="1"/>
  <c r="AF1189" i="23" s="1"/>
  <c r="X1190" i="23"/>
  <c r="Y1190" i="23"/>
  <c r="Z1190" i="23"/>
  <c r="AA1190" i="23" a="1"/>
  <c r="AA1190" i="23" s="1"/>
  <c r="AB1190" i="23"/>
  <c r="AC1190" i="23" a="1"/>
  <c r="AC1190" i="23" s="1"/>
  <c r="AD1190" i="23"/>
  <c r="AE1190" i="23"/>
  <c r="AF1190" i="23" a="1"/>
  <c r="AF1190" i="23" s="1"/>
  <c r="X1191" i="23"/>
  <c r="Y1191" i="23"/>
  <c r="Z1191" i="23"/>
  <c r="AA1191" i="23" a="1"/>
  <c r="AA1191" i="23"/>
  <c r="AB1191" i="23"/>
  <c r="AC1191" i="23" a="1"/>
  <c r="AC1191" i="23" s="1"/>
  <c r="AD1191" i="23"/>
  <c r="AE1191" i="23"/>
  <c r="AF1191" i="23" a="1"/>
  <c r="AF1191" i="23" s="1"/>
  <c r="X1192" i="23"/>
  <c r="Y1192" i="23"/>
  <c r="Z1192" i="23"/>
  <c r="AA1192" i="23" a="1"/>
  <c r="AA1192" i="23"/>
  <c r="AB1192" i="23"/>
  <c r="AC1192" i="23" a="1"/>
  <c r="AC1192" i="23" s="1"/>
  <c r="AD1192" i="23"/>
  <c r="AE1192" i="23"/>
  <c r="AF1192" i="23" a="1"/>
  <c r="AF1192" i="23" s="1"/>
  <c r="X1193" i="23"/>
  <c r="Y1193" i="23"/>
  <c r="Z1193" i="23"/>
  <c r="AA1193" i="23" a="1"/>
  <c r="AA1193" i="23"/>
  <c r="AB1193" i="23"/>
  <c r="AC1193" i="23" a="1"/>
  <c r="AC1193" i="23" s="1"/>
  <c r="AD1193" i="23"/>
  <c r="AE1193" i="23"/>
  <c r="AF1193" i="23" a="1"/>
  <c r="AF1193" i="23" s="1"/>
  <c r="X1194" i="23"/>
  <c r="Y1194" i="23"/>
  <c r="Z1194" i="23"/>
  <c r="AA1194" i="23" a="1"/>
  <c r="AA1194" i="23"/>
  <c r="AB1194" i="23"/>
  <c r="AC1194" i="23" a="1"/>
  <c r="AC1194" i="23" s="1"/>
  <c r="AD1194" i="23"/>
  <c r="AE1194" i="23"/>
  <c r="AF1194" i="23" a="1"/>
  <c r="AF1194" i="23" s="1"/>
  <c r="X1195" i="23"/>
  <c r="Y1195" i="23"/>
  <c r="Z1195" i="23"/>
  <c r="AA1195" i="23" a="1"/>
  <c r="AA1195" i="23"/>
  <c r="AB1195" i="23"/>
  <c r="AC1195" i="23" a="1"/>
  <c r="AC1195" i="23" s="1"/>
  <c r="AD1195" i="23"/>
  <c r="AE1195" i="23"/>
  <c r="AF1195" i="23" a="1"/>
  <c r="AF1195" i="23" s="1"/>
  <c r="X1196" i="23"/>
  <c r="Y1196" i="23"/>
  <c r="Z1196" i="23"/>
  <c r="AA1196" i="23" a="1"/>
  <c r="AA1196" i="23"/>
  <c r="AB1196" i="23"/>
  <c r="AC1196" i="23" a="1"/>
  <c r="AC1196" i="23" s="1"/>
  <c r="AD1196" i="23"/>
  <c r="AE1196" i="23"/>
  <c r="AF1196" i="23" a="1"/>
  <c r="AF1196" i="23" s="1"/>
  <c r="X1197" i="23"/>
  <c r="Y1197" i="23"/>
  <c r="Z1197" i="23"/>
  <c r="AA1197" i="23" a="1"/>
  <c r="AA1197" i="23"/>
  <c r="AB1197" i="23"/>
  <c r="AC1197" i="23" a="1"/>
  <c r="AC1197" i="23" s="1"/>
  <c r="AD1197" i="23"/>
  <c r="AE1197" i="23"/>
  <c r="AF1197" i="23" a="1"/>
  <c r="AF1197" i="23" s="1"/>
  <c r="X1198" i="23"/>
  <c r="Y1198" i="23"/>
  <c r="Z1198" i="23"/>
  <c r="AA1198" i="23" a="1"/>
  <c r="AA1198" i="23"/>
  <c r="AB1198" i="23"/>
  <c r="AC1198" i="23" a="1"/>
  <c r="AC1198" i="23" s="1"/>
  <c r="AD1198" i="23"/>
  <c r="AE1198" i="23"/>
  <c r="AF1198" i="23" a="1"/>
  <c r="AF1198" i="23" s="1"/>
  <c r="X1199" i="23"/>
  <c r="Y1199" i="23"/>
  <c r="Z1199" i="23"/>
  <c r="AA1199" i="23" a="1"/>
  <c r="AA1199" i="23"/>
  <c r="AB1199" i="23"/>
  <c r="AC1199" i="23" a="1"/>
  <c r="AC1199" i="23" s="1"/>
  <c r="AD1199" i="23"/>
  <c r="AE1199" i="23"/>
  <c r="AF1199" i="23" a="1"/>
  <c r="AF1199" i="23" s="1"/>
  <c r="X1200" i="23"/>
  <c r="Y1200" i="23"/>
  <c r="Z1200" i="23"/>
  <c r="AA1200" i="23" a="1"/>
  <c r="AA1200" i="23"/>
  <c r="AB1200" i="23"/>
  <c r="AC1200" i="23" a="1"/>
  <c r="AC1200" i="23" s="1"/>
  <c r="AD1200" i="23"/>
  <c r="AE1200" i="23"/>
  <c r="AF1200" i="23" a="1"/>
  <c r="AF1200" i="23" s="1"/>
  <c r="X1201" i="23"/>
  <c r="Y1201" i="23"/>
  <c r="Z1201" i="23"/>
  <c r="AA1201" i="23" a="1"/>
  <c r="AA1201" i="23"/>
  <c r="AB1201" i="23"/>
  <c r="AC1201" i="23" a="1"/>
  <c r="AC1201" i="23" s="1"/>
  <c r="AD1201" i="23"/>
  <c r="AE1201" i="23"/>
  <c r="AF1201" i="23" a="1"/>
  <c r="AF1201" i="23" s="1"/>
  <c r="X1202" i="23"/>
  <c r="Y1202" i="23"/>
  <c r="Z1202" i="23"/>
  <c r="AA1202" i="23" a="1"/>
  <c r="AA1202" i="23"/>
  <c r="AB1202" i="23"/>
  <c r="AC1202" i="23" a="1"/>
  <c r="AC1202" i="23" s="1"/>
  <c r="AD1202" i="23"/>
  <c r="AE1202" i="23"/>
  <c r="AF1202" i="23" a="1"/>
  <c r="AF1202" i="23" s="1"/>
  <c r="X1203" i="23"/>
  <c r="Y1203" i="23"/>
  <c r="Z1203" i="23"/>
  <c r="AA1203" i="23" a="1"/>
  <c r="AA1203" i="23"/>
  <c r="AB1203" i="23"/>
  <c r="AC1203" i="23" a="1"/>
  <c r="AC1203" i="23" s="1"/>
  <c r="AD1203" i="23"/>
  <c r="AE1203" i="23"/>
  <c r="AF1203" i="23" a="1"/>
  <c r="AF1203" i="23" s="1"/>
  <c r="X1204" i="23"/>
  <c r="Y1204" i="23"/>
  <c r="Z1204" i="23"/>
  <c r="AA1204" i="23" a="1"/>
  <c r="AA1204" i="23"/>
  <c r="AB1204" i="23"/>
  <c r="AC1204" i="23" a="1"/>
  <c r="AC1204" i="23" s="1"/>
  <c r="AD1204" i="23"/>
  <c r="AE1204" i="23"/>
  <c r="AF1204" i="23" a="1"/>
  <c r="AF1204" i="23" s="1"/>
  <c r="X1205" i="23"/>
  <c r="Y1205" i="23"/>
  <c r="Z1205" i="23"/>
  <c r="AA1205" i="23" a="1"/>
  <c r="AA1205" i="23"/>
  <c r="AB1205" i="23"/>
  <c r="AC1205" i="23" a="1"/>
  <c r="AC1205" i="23" s="1"/>
  <c r="AD1205" i="23"/>
  <c r="AE1205" i="23"/>
  <c r="AF1205" i="23" a="1"/>
  <c r="AF1205" i="23" s="1"/>
  <c r="X1206" i="23"/>
  <c r="Y1206" i="23"/>
  <c r="Z1206" i="23"/>
  <c r="AA1206" i="23" a="1"/>
  <c r="AA1206" i="23"/>
  <c r="AB1206" i="23"/>
  <c r="AC1206" i="23" a="1"/>
  <c r="AC1206" i="23" s="1"/>
  <c r="AD1206" i="23"/>
  <c r="AE1206" i="23"/>
  <c r="AF1206" i="23" a="1"/>
  <c r="AF1206" i="23" s="1"/>
  <c r="X1207" i="23"/>
  <c r="Y1207" i="23"/>
  <c r="Z1207" i="23"/>
  <c r="AA1207" i="23" a="1"/>
  <c r="AA1207" i="23"/>
  <c r="AB1207" i="23"/>
  <c r="AC1207" i="23" a="1"/>
  <c r="AC1207" i="23" s="1"/>
  <c r="AD1207" i="23"/>
  <c r="AE1207" i="23"/>
  <c r="AF1207" i="23" a="1"/>
  <c r="AF1207" i="23" s="1"/>
  <c r="X1208" i="23"/>
  <c r="Y1208" i="23"/>
  <c r="Z1208" i="23"/>
  <c r="AA1208" i="23" a="1"/>
  <c r="AA1208" i="23"/>
  <c r="AB1208" i="23"/>
  <c r="AC1208" i="23" a="1"/>
  <c r="AC1208" i="23" s="1"/>
  <c r="AD1208" i="23"/>
  <c r="AE1208" i="23"/>
  <c r="AF1208" i="23" a="1"/>
  <c r="AF1208" i="23" s="1"/>
  <c r="X1209" i="23"/>
  <c r="Y1209" i="23"/>
  <c r="Z1209" i="23"/>
  <c r="AA1209" i="23" a="1"/>
  <c r="AA1209" i="23"/>
  <c r="AB1209" i="23"/>
  <c r="AC1209" i="23" a="1"/>
  <c r="AC1209" i="23" s="1"/>
  <c r="AD1209" i="23"/>
  <c r="AE1209" i="23"/>
  <c r="AF1209" i="23" a="1"/>
  <c r="AF1209" i="23" s="1"/>
  <c r="X1210" i="23"/>
  <c r="Y1210" i="23"/>
  <c r="Z1210" i="23"/>
  <c r="AA1210" i="23" a="1"/>
  <c r="AA1210" i="23"/>
  <c r="AB1210" i="23"/>
  <c r="AC1210" i="23" a="1"/>
  <c r="AC1210" i="23" s="1"/>
  <c r="AD1210" i="23"/>
  <c r="AE1210" i="23"/>
  <c r="AF1210" i="23" a="1"/>
  <c r="AF1210" i="23" s="1"/>
  <c r="X1211" i="23"/>
  <c r="Y1211" i="23"/>
  <c r="Z1211" i="23"/>
  <c r="AA1211" i="23" a="1"/>
  <c r="AA1211" i="23"/>
  <c r="AB1211" i="23"/>
  <c r="AC1211" i="23" a="1"/>
  <c r="AC1211" i="23" s="1"/>
  <c r="AD1211" i="23"/>
  <c r="AE1211" i="23"/>
  <c r="AF1211" i="23" a="1"/>
  <c r="AF1211" i="23" s="1"/>
  <c r="X1212" i="23"/>
  <c r="Y1212" i="23"/>
  <c r="Z1212" i="23"/>
  <c r="AA1212" i="23" a="1"/>
  <c r="AA1212" i="23"/>
  <c r="AB1212" i="23"/>
  <c r="AC1212" i="23" a="1"/>
  <c r="AC1212" i="23" s="1"/>
  <c r="AD1212" i="23"/>
  <c r="AE1212" i="23"/>
  <c r="AF1212" i="23" a="1"/>
  <c r="AF1212" i="23" s="1"/>
  <c r="X1213" i="23"/>
  <c r="Y1213" i="23"/>
  <c r="Z1213" i="23"/>
  <c r="AA1213" i="23" a="1"/>
  <c r="AA1213" i="23"/>
  <c r="AB1213" i="23"/>
  <c r="AC1213" i="23" a="1"/>
  <c r="AC1213" i="23" s="1"/>
  <c r="AD1213" i="23"/>
  <c r="AE1213" i="23"/>
  <c r="AF1213" i="23" a="1"/>
  <c r="AF1213" i="23" s="1"/>
  <c r="X1214" i="23"/>
  <c r="Y1214" i="23"/>
  <c r="Z1214" i="23"/>
  <c r="AA1214" i="23" a="1"/>
  <c r="AA1214" i="23"/>
  <c r="AB1214" i="23"/>
  <c r="AC1214" i="23" a="1"/>
  <c r="AC1214" i="23" s="1"/>
  <c r="AD1214" i="23"/>
  <c r="AE1214" i="23"/>
  <c r="AF1214" i="23" a="1"/>
  <c r="AF1214" i="23" s="1"/>
  <c r="X1215" i="23"/>
  <c r="Y1215" i="23"/>
  <c r="Z1215" i="23"/>
  <c r="AA1215" i="23" a="1"/>
  <c r="AA1215" i="23"/>
  <c r="AB1215" i="23"/>
  <c r="AC1215" i="23" a="1"/>
  <c r="AC1215" i="23" s="1"/>
  <c r="AD1215" i="23"/>
  <c r="AE1215" i="23"/>
  <c r="AF1215" i="23" a="1"/>
  <c r="AF1215" i="23" s="1"/>
  <c r="X1216" i="23"/>
  <c r="Y1216" i="23"/>
  <c r="Z1216" i="23"/>
  <c r="AA1216" i="23" a="1"/>
  <c r="AA1216" i="23"/>
  <c r="AB1216" i="23"/>
  <c r="AC1216" i="23" a="1"/>
  <c r="AC1216" i="23" s="1"/>
  <c r="AD1216" i="23"/>
  <c r="AE1216" i="23"/>
  <c r="AF1216" i="23" a="1"/>
  <c r="AF1216" i="23" s="1"/>
  <c r="X1217" i="23"/>
  <c r="Y1217" i="23"/>
  <c r="Z1217" i="23"/>
  <c r="AA1217" i="23" a="1"/>
  <c r="AA1217" i="23"/>
  <c r="AB1217" i="23"/>
  <c r="AC1217" i="23" a="1"/>
  <c r="AC1217" i="23" s="1"/>
  <c r="AD1217" i="23"/>
  <c r="AE1217" i="23"/>
  <c r="AF1217" i="23" a="1"/>
  <c r="AF1217" i="23" s="1"/>
  <c r="X1218" i="23"/>
  <c r="Y1218" i="23"/>
  <c r="Z1218" i="23"/>
  <c r="AA1218" i="23" a="1"/>
  <c r="AA1218" i="23"/>
  <c r="AB1218" i="23"/>
  <c r="AC1218" i="23" a="1"/>
  <c r="AC1218" i="23" s="1"/>
  <c r="AD1218" i="23"/>
  <c r="AE1218" i="23"/>
  <c r="AF1218" i="23" a="1"/>
  <c r="AF1218" i="23" s="1"/>
  <c r="X1219" i="23"/>
  <c r="Y1219" i="23"/>
  <c r="Z1219" i="23"/>
  <c r="AA1219" i="23" a="1"/>
  <c r="AA1219" i="23"/>
  <c r="AB1219" i="23"/>
  <c r="AC1219" i="23" a="1"/>
  <c r="AC1219" i="23" s="1"/>
  <c r="AD1219" i="23"/>
  <c r="AE1219" i="23"/>
  <c r="AF1219" i="23" a="1"/>
  <c r="AF1219" i="23" s="1"/>
  <c r="X1220" i="23"/>
  <c r="Y1220" i="23"/>
  <c r="Z1220" i="23"/>
  <c r="AA1220" i="23" a="1"/>
  <c r="AA1220" i="23"/>
  <c r="AB1220" i="23"/>
  <c r="AC1220" i="23" a="1"/>
  <c r="AC1220" i="23" s="1"/>
  <c r="AD1220" i="23"/>
  <c r="AE1220" i="23"/>
  <c r="AF1220" i="23" a="1"/>
  <c r="AF1220" i="23" s="1"/>
  <c r="X1221" i="23"/>
  <c r="Y1221" i="23"/>
  <c r="Z1221" i="23"/>
  <c r="AA1221" i="23" a="1"/>
  <c r="AA1221" i="23"/>
  <c r="AB1221" i="23"/>
  <c r="AC1221" i="23" a="1"/>
  <c r="AC1221" i="23" s="1"/>
  <c r="AD1221" i="23"/>
  <c r="AE1221" i="23"/>
  <c r="AF1221" i="23" a="1"/>
  <c r="AF1221" i="23" s="1"/>
  <c r="X1222" i="23"/>
  <c r="Y1222" i="23"/>
  <c r="Z1222" i="23"/>
  <c r="AA1222" i="23" a="1"/>
  <c r="AA1222" i="23"/>
  <c r="AB1222" i="23"/>
  <c r="AC1222" i="23" a="1"/>
  <c r="AC1222" i="23" s="1"/>
  <c r="AD1222" i="23"/>
  <c r="AE1222" i="23"/>
  <c r="AF1222" i="23" a="1"/>
  <c r="AF1222" i="23" s="1"/>
  <c r="X1223" i="23"/>
  <c r="Y1223" i="23"/>
  <c r="Z1223" i="23"/>
  <c r="AA1223" i="23" a="1"/>
  <c r="AA1223" i="23"/>
  <c r="AB1223" i="23"/>
  <c r="AC1223" i="23" a="1"/>
  <c r="AC1223" i="23" s="1"/>
  <c r="AD1223" i="23"/>
  <c r="AE1223" i="23"/>
  <c r="AF1223" i="23" a="1"/>
  <c r="AF1223" i="23" s="1"/>
  <c r="X1224" i="23"/>
  <c r="Y1224" i="23"/>
  <c r="Z1224" i="23"/>
  <c r="AA1224" i="23" a="1"/>
  <c r="AA1224" i="23"/>
  <c r="AB1224" i="23"/>
  <c r="AC1224" i="23" a="1"/>
  <c r="AC1224" i="23" s="1"/>
  <c r="AD1224" i="23"/>
  <c r="AE1224" i="23"/>
  <c r="AF1224" i="23" a="1"/>
  <c r="AF1224" i="23" s="1"/>
  <c r="X1225" i="23"/>
  <c r="Y1225" i="23"/>
  <c r="Z1225" i="23"/>
  <c r="AA1225" i="23" a="1"/>
  <c r="AA1225" i="23"/>
  <c r="AB1225" i="23"/>
  <c r="AC1225" i="23" a="1"/>
  <c r="AC1225" i="23" s="1"/>
  <c r="AD1225" i="23"/>
  <c r="AE1225" i="23"/>
  <c r="AF1225" i="23" a="1"/>
  <c r="AF1225" i="23" s="1"/>
  <c r="X1226" i="23"/>
  <c r="Y1226" i="23"/>
  <c r="Z1226" i="23"/>
  <c r="AA1226" i="23" a="1"/>
  <c r="AA1226" i="23"/>
  <c r="AB1226" i="23"/>
  <c r="AC1226" i="23" a="1"/>
  <c r="AC1226" i="23" s="1"/>
  <c r="AD1226" i="23"/>
  <c r="AE1226" i="23"/>
  <c r="AF1226" i="23" a="1"/>
  <c r="AF1226" i="23" s="1"/>
  <c r="X1227" i="23"/>
  <c r="Y1227" i="23"/>
  <c r="Z1227" i="23"/>
  <c r="AA1227" i="23" a="1"/>
  <c r="AA1227" i="23"/>
  <c r="AB1227" i="23"/>
  <c r="AC1227" i="23" a="1"/>
  <c r="AC1227" i="23" s="1"/>
  <c r="AD1227" i="23"/>
  <c r="AE1227" i="23"/>
  <c r="AF1227" i="23" a="1"/>
  <c r="AF1227" i="23" s="1"/>
  <c r="X1228" i="23"/>
  <c r="Y1228" i="23"/>
  <c r="Z1228" i="23"/>
  <c r="AA1228" i="23" a="1"/>
  <c r="AA1228" i="23"/>
  <c r="AB1228" i="23"/>
  <c r="AC1228" i="23" a="1"/>
  <c r="AC1228" i="23" s="1"/>
  <c r="AD1228" i="23"/>
  <c r="AE1228" i="23"/>
  <c r="AF1228" i="23" a="1"/>
  <c r="AF1228" i="23" s="1"/>
  <c r="X1229" i="23"/>
  <c r="Y1229" i="23"/>
  <c r="Z1229" i="23"/>
  <c r="AA1229" i="23" a="1"/>
  <c r="AA1229" i="23"/>
  <c r="AB1229" i="23"/>
  <c r="AC1229" i="23" a="1"/>
  <c r="AC1229" i="23" s="1"/>
  <c r="AD1229" i="23"/>
  <c r="AE1229" i="23"/>
  <c r="AF1229" i="23" a="1"/>
  <c r="AF1229" i="23" s="1"/>
  <c r="X1230" i="23"/>
  <c r="Y1230" i="23"/>
  <c r="Z1230" i="23"/>
  <c r="AA1230" i="23" a="1"/>
  <c r="AA1230" i="23"/>
  <c r="AB1230" i="23"/>
  <c r="AC1230" i="23" a="1"/>
  <c r="AC1230" i="23" s="1"/>
  <c r="AD1230" i="23"/>
  <c r="AE1230" i="23"/>
  <c r="AF1230" i="23" a="1"/>
  <c r="AF1230" i="23" s="1"/>
  <c r="X1231" i="23"/>
  <c r="Y1231" i="23"/>
  <c r="Z1231" i="23"/>
  <c r="AA1231" i="23" a="1"/>
  <c r="AA1231" i="23"/>
  <c r="AB1231" i="23"/>
  <c r="AC1231" i="23" a="1"/>
  <c r="AC1231" i="23" s="1"/>
  <c r="AD1231" i="23"/>
  <c r="AE1231" i="23"/>
  <c r="AF1231" i="23" a="1"/>
  <c r="AF1231" i="23" s="1"/>
  <c r="X1232" i="23"/>
  <c r="Y1232" i="23"/>
  <c r="Z1232" i="23"/>
  <c r="AA1232" i="23" a="1"/>
  <c r="AA1232" i="23"/>
  <c r="AB1232" i="23"/>
  <c r="AC1232" i="23" a="1"/>
  <c r="AC1232" i="23" s="1"/>
  <c r="AD1232" i="23"/>
  <c r="AE1232" i="23"/>
  <c r="AF1232" i="23" a="1"/>
  <c r="AF1232" i="23" s="1"/>
  <c r="X1233" i="23"/>
  <c r="Y1233" i="23"/>
  <c r="Z1233" i="23"/>
  <c r="AA1233" i="23" a="1"/>
  <c r="AA1233" i="23"/>
  <c r="AB1233" i="23"/>
  <c r="AC1233" i="23" a="1"/>
  <c r="AC1233" i="23" s="1"/>
  <c r="AD1233" i="23"/>
  <c r="AE1233" i="23"/>
  <c r="AF1233" i="23" a="1"/>
  <c r="AF1233" i="23" s="1"/>
  <c r="X1234" i="23"/>
  <c r="Y1234" i="23"/>
  <c r="Z1234" i="23"/>
  <c r="AA1234" i="23" a="1"/>
  <c r="AA1234" i="23"/>
  <c r="AB1234" i="23"/>
  <c r="AC1234" i="23" a="1"/>
  <c r="AC1234" i="23" s="1"/>
  <c r="AD1234" i="23"/>
  <c r="AE1234" i="23"/>
  <c r="AF1234" i="23" a="1"/>
  <c r="AF1234" i="23" s="1"/>
  <c r="X1235" i="23"/>
  <c r="Y1235" i="23"/>
  <c r="Z1235" i="23"/>
  <c r="AA1235" i="23" a="1"/>
  <c r="AA1235" i="23"/>
  <c r="AB1235" i="23"/>
  <c r="AC1235" i="23" a="1"/>
  <c r="AC1235" i="23" s="1"/>
  <c r="AD1235" i="23"/>
  <c r="AE1235" i="23"/>
  <c r="AF1235" i="23" a="1"/>
  <c r="AF1235" i="23" s="1"/>
  <c r="X1236" i="23"/>
  <c r="Y1236" i="23"/>
  <c r="Z1236" i="23"/>
  <c r="AA1236" i="23" a="1"/>
  <c r="AA1236" i="23"/>
  <c r="AB1236" i="23"/>
  <c r="AC1236" i="23" a="1"/>
  <c r="AC1236" i="23" s="1"/>
  <c r="AD1236" i="23"/>
  <c r="AE1236" i="23"/>
  <c r="AF1236" i="23" a="1"/>
  <c r="AF1236" i="23" s="1"/>
  <c r="X1237" i="23"/>
  <c r="Y1237" i="23"/>
  <c r="Z1237" i="23"/>
  <c r="AA1237" i="23" a="1"/>
  <c r="AA1237" i="23"/>
  <c r="AB1237" i="23"/>
  <c r="AC1237" i="23" a="1"/>
  <c r="AC1237" i="23" s="1"/>
  <c r="AD1237" i="23"/>
  <c r="AE1237" i="23"/>
  <c r="AF1237" i="23" a="1"/>
  <c r="AF1237" i="23" s="1"/>
  <c r="X1238" i="23"/>
  <c r="Y1238" i="23"/>
  <c r="Z1238" i="23"/>
  <c r="AA1238" i="23" a="1"/>
  <c r="AA1238" i="23"/>
  <c r="AB1238" i="23"/>
  <c r="AC1238" i="23" a="1"/>
  <c r="AC1238" i="23" s="1"/>
  <c r="AD1238" i="23"/>
  <c r="AE1238" i="23"/>
  <c r="AF1238" i="23" a="1"/>
  <c r="AF1238" i="23" s="1"/>
  <c r="X1239" i="23"/>
  <c r="Y1239" i="23"/>
  <c r="Z1239" i="23"/>
  <c r="AA1239" i="23" a="1"/>
  <c r="AA1239" i="23"/>
  <c r="AB1239" i="23"/>
  <c r="AC1239" i="23" a="1"/>
  <c r="AC1239" i="23" s="1"/>
  <c r="AD1239" i="23"/>
  <c r="AE1239" i="23"/>
  <c r="AF1239" i="23" a="1"/>
  <c r="AF1239" i="23" s="1"/>
  <c r="X1240" i="23"/>
  <c r="Y1240" i="23"/>
  <c r="Z1240" i="23"/>
  <c r="AA1240" i="23" a="1"/>
  <c r="AA1240" i="23"/>
  <c r="AB1240" i="23"/>
  <c r="AC1240" i="23" a="1"/>
  <c r="AC1240" i="23" s="1"/>
  <c r="AD1240" i="23"/>
  <c r="AE1240" i="23"/>
  <c r="AF1240" i="23" a="1"/>
  <c r="AF1240" i="23" s="1"/>
  <c r="X1241" i="23"/>
  <c r="Y1241" i="23"/>
  <c r="Z1241" i="23"/>
  <c r="AA1241" i="23" a="1"/>
  <c r="AA1241" i="23"/>
  <c r="AB1241" i="23"/>
  <c r="AC1241" i="23" a="1"/>
  <c r="AC1241" i="23" s="1"/>
  <c r="AD1241" i="23"/>
  <c r="AE1241" i="23"/>
  <c r="AF1241" i="23" a="1"/>
  <c r="AF1241" i="23" s="1"/>
  <c r="X1242" i="23"/>
  <c r="Y1242" i="23"/>
  <c r="Z1242" i="23"/>
  <c r="AA1242" i="23" a="1"/>
  <c r="AA1242" i="23"/>
  <c r="AB1242" i="23"/>
  <c r="AC1242" i="23" a="1"/>
  <c r="AC1242" i="23" s="1"/>
  <c r="AD1242" i="23"/>
  <c r="AE1242" i="23"/>
  <c r="AF1242" i="23" a="1"/>
  <c r="AF1242" i="23" s="1"/>
  <c r="X1243" i="23"/>
  <c r="Y1243" i="23"/>
  <c r="Z1243" i="23"/>
  <c r="AA1243" i="23" a="1"/>
  <c r="AA1243" i="23"/>
  <c r="AB1243" i="23"/>
  <c r="AC1243" i="23" a="1"/>
  <c r="AC1243" i="23" s="1"/>
  <c r="AD1243" i="23"/>
  <c r="AE1243" i="23"/>
  <c r="AF1243" i="23" a="1"/>
  <c r="AF1243" i="23" s="1"/>
  <c r="X1244" i="23"/>
  <c r="Y1244" i="23"/>
  <c r="Z1244" i="23"/>
  <c r="AA1244" i="23" a="1"/>
  <c r="AA1244" i="23"/>
  <c r="AB1244" i="23"/>
  <c r="AC1244" i="23" a="1"/>
  <c r="AC1244" i="23" s="1"/>
  <c r="AD1244" i="23"/>
  <c r="AE1244" i="23"/>
  <c r="AF1244" i="23" a="1"/>
  <c r="AF1244" i="23" s="1"/>
  <c r="X1245" i="23"/>
  <c r="Y1245" i="23"/>
  <c r="Z1245" i="23"/>
  <c r="AA1245" i="23" a="1"/>
  <c r="AA1245" i="23"/>
  <c r="AB1245" i="23"/>
  <c r="AC1245" i="23" a="1"/>
  <c r="AC1245" i="23" s="1"/>
  <c r="AD1245" i="23"/>
  <c r="AE1245" i="23"/>
  <c r="AF1245" i="23" a="1"/>
  <c r="AF1245" i="23" s="1"/>
  <c r="X1246" i="23"/>
  <c r="Y1246" i="23"/>
  <c r="Z1246" i="23"/>
  <c r="AA1246" i="23" a="1"/>
  <c r="AA1246" i="23"/>
  <c r="AB1246" i="23"/>
  <c r="AC1246" i="23" a="1"/>
  <c r="AC1246" i="23" s="1"/>
  <c r="AD1246" i="23"/>
  <c r="AE1246" i="23"/>
  <c r="AF1246" i="23" a="1"/>
  <c r="AF1246" i="23" s="1"/>
  <c r="X1247" i="23"/>
  <c r="Y1247" i="23"/>
  <c r="Z1247" i="23"/>
  <c r="AA1247" i="23" a="1"/>
  <c r="AA1247" i="23"/>
  <c r="AB1247" i="23"/>
  <c r="AC1247" i="23" a="1"/>
  <c r="AC1247" i="23" s="1"/>
  <c r="AD1247" i="23"/>
  <c r="AE1247" i="23"/>
  <c r="AF1247" i="23" a="1"/>
  <c r="AF1247" i="23" s="1"/>
  <c r="X1248" i="23"/>
  <c r="Y1248" i="23"/>
  <c r="Z1248" i="23"/>
  <c r="AA1248" i="23" a="1"/>
  <c r="AA1248" i="23"/>
  <c r="AB1248" i="23"/>
  <c r="AC1248" i="23" a="1"/>
  <c r="AC1248" i="23" s="1"/>
  <c r="AD1248" i="23"/>
  <c r="AE1248" i="23"/>
  <c r="AF1248" i="23" a="1"/>
  <c r="AF1248" i="23" s="1"/>
  <c r="X1249" i="23"/>
  <c r="Y1249" i="23"/>
  <c r="Z1249" i="23"/>
  <c r="AA1249" i="23" a="1"/>
  <c r="AA1249" i="23"/>
  <c r="AB1249" i="23"/>
  <c r="AC1249" i="23" a="1"/>
  <c r="AC1249" i="23" s="1"/>
  <c r="AD1249" i="23"/>
  <c r="AE1249" i="23"/>
  <c r="AF1249" i="23" a="1"/>
  <c r="AF1249" i="23" s="1"/>
  <c r="X1250" i="23"/>
  <c r="Y1250" i="23"/>
  <c r="Z1250" i="23"/>
  <c r="AA1250" i="23" a="1"/>
  <c r="AA1250" i="23"/>
  <c r="AB1250" i="23"/>
  <c r="AC1250" i="23" a="1"/>
  <c r="AC1250" i="23" s="1"/>
  <c r="AD1250" i="23"/>
  <c r="AE1250" i="23"/>
  <c r="AF1250" i="23" a="1"/>
  <c r="AF1250" i="23" s="1"/>
  <c r="X1251" i="23"/>
  <c r="Y1251" i="23"/>
  <c r="Z1251" i="23"/>
  <c r="AA1251" i="23" a="1"/>
  <c r="AA1251" i="23"/>
  <c r="AB1251" i="23"/>
  <c r="AC1251" i="23" a="1"/>
  <c r="AC1251" i="23" s="1"/>
  <c r="AD1251" i="23"/>
  <c r="AE1251" i="23"/>
  <c r="AF1251" i="23" a="1"/>
  <c r="AF1251" i="23" s="1"/>
  <c r="X1252" i="23"/>
  <c r="Y1252" i="23"/>
  <c r="Z1252" i="23"/>
  <c r="AA1252" i="23" a="1"/>
  <c r="AA1252" i="23"/>
  <c r="AB1252" i="23"/>
  <c r="AC1252" i="23" a="1"/>
  <c r="AC1252" i="23" s="1"/>
  <c r="AD1252" i="23"/>
  <c r="AE1252" i="23"/>
  <c r="AF1252" i="23" a="1"/>
  <c r="AF1252" i="23" s="1"/>
  <c r="X1253" i="23"/>
  <c r="Y1253" i="23"/>
  <c r="Z1253" i="23"/>
  <c r="AA1253" i="23" a="1"/>
  <c r="AA1253" i="23"/>
  <c r="AB1253" i="23"/>
  <c r="AC1253" i="23" a="1"/>
  <c r="AC1253" i="23" s="1"/>
  <c r="AD1253" i="23"/>
  <c r="AE1253" i="23"/>
  <c r="AF1253" i="23" a="1"/>
  <c r="AF1253" i="23" s="1"/>
  <c r="X1254" i="23"/>
  <c r="Y1254" i="23"/>
  <c r="Z1254" i="23"/>
  <c r="AA1254" i="23" a="1"/>
  <c r="AA1254" i="23"/>
  <c r="AB1254" i="23"/>
  <c r="AC1254" i="23" a="1"/>
  <c r="AC1254" i="23" s="1"/>
  <c r="AD1254" i="23"/>
  <c r="AE1254" i="23"/>
  <c r="AF1254" i="23" a="1"/>
  <c r="AF1254" i="23" s="1"/>
  <c r="X1255" i="23"/>
  <c r="Y1255" i="23"/>
  <c r="Z1255" i="23"/>
  <c r="AA1255" i="23" a="1"/>
  <c r="AA1255" i="23"/>
  <c r="AB1255" i="23"/>
  <c r="AC1255" i="23" a="1"/>
  <c r="AC1255" i="23" s="1"/>
  <c r="AD1255" i="23"/>
  <c r="AE1255" i="23"/>
  <c r="AF1255" i="23" a="1"/>
  <c r="AF1255" i="23" s="1"/>
  <c r="X1256" i="23"/>
  <c r="Y1256" i="23"/>
  <c r="Z1256" i="23"/>
  <c r="AA1256" i="23" a="1"/>
  <c r="AA1256" i="23"/>
  <c r="AB1256" i="23"/>
  <c r="AC1256" i="23" a="1"/>
  <c r="AC1256" i="23" s="1"/>
  <c r="AD1256" i="23"/>
  <c r="AE1256" i="23"/>
  <c r="AF1256" i="23" a="1"/>
  <c r="AF1256" i="23" s="1"/>
  <c r="X1257" i="23"/>
  <c r="Y1257" i="23"/>
  <c r="Z1257" i="23"/>
  <c r="AA1257" i="23" a="1"/>
  <c r="AA1257" i="23"/>
  <c r="AB1257" i="23"/>
  <c r="AC1257" i="23" a="1"/>
  <c r="AC1257" i="23" s="1"/>
  <c r="AD1257" i="23"/>
  <c r="AE1257" i="23"/>
  <c r="AF1257" i="23" a="1"/>
  <c r="AF1257" i="23" s="1"/>
  <c r="X1258" i="23"/>
  <c r="Y1258" i="23"/>
  <c r="Z1258" i="23"/>
  <c r="AA1258" i="23" a="1"/>
  <c r="AA1258" i="23"/>
  <c r="AB1258" i="23"/>
  <c r="AC1258" i="23" a="1"/>
  <c r="AC1258" i="23" s="1"/>
  <c r="AD1258" i="23"/>
  <c r="AE1258" i="23"/>
  <c r="AF1258" i="23" a="1"/>
  <c r="AF1258" i="23" s="1"/>
  <c r="X1259" i="23"/>
  <c r="Y1259" i="23"/>
  <c r="Z1259" i="23"/>
  <c r="AA1259" i="23" a="1"/>
  <c r="AA1259" i="23"/>
  <c r="AB1259" i="23"/>
  <c r="AC1259" i="23" a="1"/>
  <c r="AC1259" i="23" s="1"/>
  <c r="AD1259" i="23"/>
  <c r="AE1259" i="23"/>
  <c r="AF1259" i="23" a="1"/>
  <c r="AF1259" i="23" s="1"/>
  <c r="X1260" i="23"/>
  <c r="Y1260" i="23"/>
  <c r="Z1260" i="23"/>
  <c r="AA1260" i="23" a="1"/>
  <c r="AA1260" i="23"/>
  <c r="AB1260" i="23"/>
  <c r="AC1260" i="23" a="1"/>
  <c r="AC1260" i="23" s="1"/>
  <c r="AD1260" i="23"/>
  <c r="AE1260" i="23"/>
  <c r="AF1260" i="23" a="1"/>
  <c r="AF1260" i="23" s="1"/>
  <c r="X1261" i="23"/>
  <c r="Y1261" i="23"/>
  <c r="Z1261" i="23"/>
  <c r="AA1261" i="23" a="1"/>
  <c r="AA1261" i="23"/>
  <c r="AB1261" i="23"/>
  <c r="AC1261" i="23" a="1"/>
  <c r="AC1261" i="23" s="1"/>
  <c r="AD1261" i="23"/>
  <c r="AE1261" i="23"/>
  <c r="AF1261" i="23" a="1"/>
  <c r="AF1261" i="23" s="1"/>
  <c r="X1262" i="23"/>
  <c r="Y1262" i="23"/>
  <c r="Z1262" i="23"/>
  <c r="AA1262" i="23" a="1"/>
  <c r="AA1262" i="23"/>
  <c r="AB1262" i="23"/>
  <c r="AC1262" i="23" a="1"/>
  <c r="AC1262" i="23" s="1"/>
  <c r="AD1262" i="23"/>
  <c r="AE1262" i="23"/>
  <c r="AF1262" i="23" a="1"/>
  <c r="AF1262" i="23" s="1"/>
  <c r="X1263" i="23"/>
  <c r="Y1263" i="23"/>
  <c r="Z1263" i="23"/>
  <c r="AA1263" i="23" a="1"/>
  <c r="AA1263" i="23"/>
  <c r="AB1263" i="23"/>
  <c r="AC1263" i="23" a="1"/>
  <c r="AC1263" i="23" s="1"/>
  <c r="AD1263" i="23"/>
  <c r="AE1263" i="23"/>
  <c r="AF1263" i="23" a="1"/>
  <c r="AF1263" i="23" s="1"/>
  <c r="X1264" i="23"/>
  <c r="Y1264" i="23"/>
  <c r="Z1264" i="23"/>
  <c r="AA1264" i="23" a="1"/>
  <c r="AA1264" i="23"/>
  <c r="AB1264" i="23"/>
  <c r="AC1264" i="23" a="1"/>
  <c r="AC1264" i="23" s="1"/>
  <c r="AD1264" i="23"/>
  <c r="AE1264" i="23"/>
  <c r="AF1264" i="23" a="1"/>
  <c r="AF1264" i="23" s="1"/>
  <c r="X1265" i="23"/>
  <c r="Y1265" i="23"/>
  <c r="Z1265" i="23"/>
  <c r="AA1265" i="23" a="1"/>
  <c r="AA1265" i="23"/>
  <c r="AB1265" i="23"/>
  <c r="AC1265" i="23" a="1"/>
  <c r="AC1265" i="23" s="1"/>
  <c r="AD1265" i="23"/>
  <c r="AE1265" i="23"/>
  <c r="AF1265" i="23" a="1"/>
  <c r="AF1265" i="23" s="1"/>
  <c r="X1266" i="23"/>
  <c r="Y1266" i="23"/>
  <c r="Z1266" i="23"/>
  <c r="AA1266" i="23" a="1"/>
  <c r="AA1266" i="23"/>
  <c r="AB1266" i="23"/>
  <c r="AC1266" i="23" a="1"/>
  <c r="AC1266" i="23" s="1"/>
  <c r="AD1266" i="23"/>
  <c r="AE1266" i="23"/>
  <c r="AF1266" i="23" a="1"/>
  <c r="AF1266" i="23" s="1"/>
  <c r="X1267" i="23"/>
  <c r="Y1267" i="23"/>
  <c r="Z1267" i="23"/>
  <c r="AA1267" i="23" a="1"/>
  <c r="AA1267" i="23"/>
  <c r="AB1267" i="23"/>
  <c r="AC1267" i="23" a="1"/>
  <c r="AC1267" i="23" s="1"/>
  <c r="AD1267" i="23"/>
  <c r="AE1267" i="23"/>
  <c r="AF1267" i="23" a="1"/>
  <c r="AF1267" i="23" s="1"/>
  <c r="X1268" i="23"/>
  <c r="Y1268" i="23"/>
  <c r="Z1268" i="23"/>
  <c r="AA1268" i="23" a="1"/>
  <c r="AA1268" i="23"/>
  <c r="AB1268" i="23"/>
  <c r="AC1268" i="23" a="1"/>
  <c r="AC1268" i="23" s="1"/>
  <c r="AD1268" i="23"/>
  <c r="AE1268" i="23"/>
  <c r="AF1268" i="23" a="1"/>
  <c r="AF1268" i="23" s="1"/>
  <c r="X1269" i="23"/>
  <c r="Y1269" i="23"/>
  <c r="Z1269" i="23"/>
  <c r="AA1269" i="23" a="1"/>
  <c r="AA1269" i="23"/>
  <c r="AB1269" i="23"/>
  <c r="AC1269" i="23" a="1"/>
  <c r="AC1269" i="23" s="1"/>
  <c r="AD1269" i="23"/>
  <c r="AE1269" i="23"/>
  <c r="AF1269" i="23" a="1"/>
  <c r="AF1269" i="23" s="1"/>
  <c r="X1270" i="23"/>
  <c r="Y1270" i="23"/>
  <c r="Z1270" i="23"/>
  <c r="AA1270" i="23" a="1"/>
  <c r="AA1270" i="23"/>
  <c r="AB1270" i="23"/>
  <c r="AC1270" i="23" a="1"/>
  <c r="AC1270" i="23" s="1"/>
  <c r="AD1270" i="23"/>
  <c r="AE1270" i="23"/>
  <c r="AF1270" i="23" a="1"/>
  <c r="AF1270" i="23" s="1"/>
  <c r="X1271" i="23"/>
  <c r="Y1271" i="23"/>
  <c r="Z1271" i="23"/>
  <c r="AA1271" i="23" a="1"/>
  <c r="AA1271" i="23"/>
  <c r="AB1271" i="23"/>
  <c r="AC1271" i="23" a="1"/>
  <c r="AC1271" i="23" s="1"/>
  <c r="AD1271" i="23"/>
  <c r="AE1271" i="23"/>
  <c r="AF1271" i="23" a="1"/>
  <c r="AF1271" i="23" s="1"/>
  <c r="X1272" i="23"/>
  <c r="Y1272" i="23"/>
  <c r="Z1272" i="23"/>
  <c r="AA1272" i="23" a="1"/>
  <c r="AA1272" i="23"/>
  <c r="AB1272" i="23"/>
  <c r="AC1272" i="23" a="1"/>
  <c r="AC1272" i="23" s="1"/>
  <c r="AD1272" i="23"/>
  <c r="AE1272" i="23"/>
  <c r="AF1272" i="23" a="1"/>
  <c r="AF1272" i="23" s="1"/>
  <c r="X1273" i="23"/>
  <c r="Y1273" i="23"/>
  <c r="Z1273" i="23"/>
  <c r="AA1273" i="23" a="1"/>
  <c r="AA1273" i="23"/>
  <c r="AB1273" i="23"/>
  <c r="AC1273" i="23" a="1"/>
  <c r="AC1273" i="23" s="1"/>
  <c r="AD1273" i="23"/>
  <c r="AE1273" i="23"/>
  <c r="AF1273" i="23" a="1"/>
  <c r="AF1273" i="23" s="1"/>
  <c r="X1274" i="23"/>
  <c r="Y1274" i="23"/>
  <c r="Z1274" i="23"/>
  <c r="AA1274" i="23" a="1"/>
  <c r="AA1274" i="23"/>
  <c r="AB1274" i="23"/>
  <c r="AC1274" i="23" a="1"/>
  <c r="AC1274" i="23" s="1"/>
  <c r="AD1274" i="23"/>
  <c r="AE1274" i="23"/>
  <c r="AF1274" i="23" a="1"/>
  <c r="AF1274" i="23" s="1"/>
  <c r="X1275" i="23"/>
  <c r="Y1275" i="23"/>
  <c r="Z1275" i="23"/>
  <c r="AA1275" i="23" a="1"/>
  <c r="AA1275" i="23"/>
  <c r="AB1275" i="23"/>
  <c r="AC1275" i="23" a="1"/>
  <c r="AC1275" i="23" s="1"/>
  <c r="AD1275" i="23"/>
  <c r="AE1275" i="23"/>
  <c r="AF1275" i="23" a="1"/>
  <c r="AF1275" i="23" s="1"/>
  <c r="X1276" i="23"/>
  <c r="Y1276" i="23"/>
  <c r="Z1276" i="23"/>
  <c r="AA1276" i="23" a="1"/>
  <c r="AA1276" i="23"/>
  <c r="AB1276" i="23"/>
  <c r="AC1276" i="23" a="1"/>
  <c r="AC1276" i="23" s="1"/>
  <c r="AD1276" i="23"/>
  <c r="AE1276" i="23"/>
  <c r="AF1276" i="23" a="1"/>
  <c r="AF1276" i="23" s="1"/>
  <c r="X1277" i="23"/>
  <c r="Y1277" i="23"/>
  <c r="Z1277" i="23"/>
  <c r="AA1277" i="23" a="1"/>
  <c r="AA1277" i="23"/>
  <c r="AB1277" i="23"/>
  <c r="AC1277" i="23" a="1"/>
  <c r="AC1277" i="23" s="1"/>
  <c r="AD1277" i="23"/>
  <c r="AE1277" i="23"/>
  <c r="AF1277" i="23" a="1"/>
  <c r="AF1277" i="23" s="1"/>
  <c r="X1278" i="23"/>
  <c r="Y1278" i="23"/>
  <c r="Z1278" i="23"/>
  <c r="AA1278" i="23" a="1"/>
  <c r="AA1278" i="23"/>
  <c r="AB1278" i="23"/>
  <c r="AC1278" i="23" a="1"/>
  <c r="AC1278" i="23" s="1"/>
  <c r="AD1278" i="23"/>
  <c r="AE1278" i="23"/>
  <c r="AF1278" i="23" a="1"/>
  <c r="AF1278" i="23" s="1"/>
  <c r="X1279" i="23"/>
  <c r="Y1279" i="23"/>
  <c r="Z1279" i="23"/>
  <c r="AA1279" i="23" a="1"/>
  <c r="AA1279" i="23"/>
  <c r="AB1279" i="23"/>
  <c r="AC1279" i="23" a="1"/>
  <c r="AC1279" i="23" s="1"/>
  <c r="AD1279" i="23"/>
  <c r="AE1279" i="23"/>
  <c r="AF1279" i="23" a="1"/>
  <c r="AF1279" i="23" s="1"/>
  <c r="X1280" i="23"/>
  <c r="Y1280" i="23"/>
  <c r="Z1280" i="23"/>
  <c r="AA1280" i="23" a="1"/>
  <c r="AA1280" i="23"/>
  <c r="AB1280" i="23"/>
  <c r="AC1280" i="23" a="1"/>
  <c r="AC1280" i="23" s="1"/>
  <c r="AD1280" i="23"/>
  <c r="AE1280" i="23"/>
  <c r="AF1280" i="23" a="1"/>
  <c r="AF1280" i="23" s="1"/>
  <c r="X1281" i="23"/>
  <c r="Y1281" i="23"/>
  <c r="Z1281" i="23"/>
  <c r="AA1281" i="23" a="1"/>
  <c r="AA1281" i="23"/>
  <c r="AB1281" i="23"/>
  <c r="AC1281" i="23" a="1"/>
  <c r="AC1281" i="23" s="1"/>
  <c r="AD1281" i="23"/>
  <c r="AE1281" i="23"/>
  <c r="AF1281" i="23" a="1"/>
  <c r="AF1281" i="23" s="1"/>
  <c r="X1282" i="23"/>
  <c r="Y1282" i="23"/>
  <c r="Z1282" i="23"/>
  <c r="AA1282" i="23" a="1"/>
  <c r="AA1282" i="23"/>
  <c r="AB1282" i="23"/>
  <c r="AC1282" i="23" a="1"/>
  <c r="AC1282" i="23" s="1"/>
  <c r="AD1282" i="23"/>
  <c r="AE1282" i="23"/>
  <c r="AF1282" i="23" a="1"/>
  <c r="AF1282" i="23" s="1"/>
  <c r="X1283" i="23"/>
  <c r="Y1283" i="23"/>
  <c r="Z1283" i="23"/>
  <c r="AA1283" i="23" a="1"/>
  <c r="AA1283" i="23"/>
  <c r="AB1283" i="23"/>
  <c r="AC1283" i="23" a="1"/>
  <c r="AC1283" i="23" s="1"/>
  <c r="AD1283" i="23"/>
  <c r="AE1283" i="23"/>
  <c r="AF1283" i="23" a="1"/>
  <c r="AF1283" i="23" s="1"/>
  <c r="X1284" i="23"/>
  <c r="Y1284" i="23"/>
  <c r="Z1284" i="23"/>
  <c r="AA1284" i="23" a="1"/>
  <c r="AA1284" i="23"/>
  <c r="AB1284" i="23"/>
  <c r="AC1284" i="23" a="1"/>
  <c r="AC1284" i="23" s="1"/>
  <c r="AD1284" i="23"/>
  <c r="AE1284" i="23"/>
  <c r="AF1284" i="23" a="1"/>
  <c r="AF1284" i="23" s="1"/>
  <c r="X1285" i="23"/>
  <c r="Y1285" i="23"/>
  <c r="Z1285" i="23"/>
  <c r="AA1285" i="23" a="1"/>
  <c r="AA1285" i="23"/>
  <c r="AB1285" i="23"/>
  <c r="AC1285" i="23" a="1"/>
  <c r="AC1285" i="23" s="1"/>
  <c r="AD1285" i="23"/>
  <c r="AE1285" i="23"/>
  <c r="AF1285" i="23" a="1"/>
  <c r="AF1285" i="23" s="1"/>
  <c r="X1286" i="23"/>
  <c r="Y1286" i="23"/>
  <c r="Z1286" i="23"/>
  <c r="AA1286" i="23" a="1"/>
  <c r="AA1286" i="23"/>
  <c r="AB1286" i="23"/>
  <c r="AC1286" i="23" a="1"/>
  <c r="AC1286" i="23" s="1"/>
  <c r="AD1286" i="23"/>
  <c r="AE1286" i="23"/>
  <c r="AF1286" i="23" a="1"/>
  <c r="AF1286" i="23" s="1"/>
  <c r="X1287" i="23"/>
  <c r="Y1287" i="23"/>
  <c r="Z1287" i="23"/>
  <c r="AA1287" i="23" a="1"/>
  <c r="AA1287" i="23"/>
  <c r="AB1287" i="23"/>
  <c r="AC1287" i="23" a="1"/>
  <c r="AC1287" i="23" s="1"/>
  <c r="AD1287" i="23"/>
  <c r="AE1287" i="23"/>
  <c r="AF1287" i="23" a="1"/>
  <c r="AF1287" i="23" s="1"/>
  <c r="X1288" i="23"/>
  <c r="Y1288" i="23"/>
  <c r="Z1288" i="23"/>
  <c r="AA1288" i="23" a="1"/>
  <c r="AA1288" i="23"/>
  <c r="AB1288" i="23"/>
  <c r="AC1288" i="23" a="1"/>
  <c r="AC1288" i="23" s="1"/>
  <c r="AD1288" i="23"/>
  <c r="AE1288" i="23"/>
  <c r="AF1288" i="23" a="1"/>
  <c r="AF1288" i="23" s="1"/>
  <c r="X1289" i="23"/>
  <c r="Y1289" i="23"/>
  <c r="Z1289" i="23"/>
  <c r="AA1289" i="23" a="1"/>
  <c r="AA1289" i="23"/>
  <c r="AB1289" i="23"/>
  <c r="AC1289" i="23" a="1"/>
  <c r="AC1289" i="23" s="1"/>
  <c r="AD1289" i="23"/>
  <c r="AE1289" i="23"/>
  <c r="AF1289" i="23" a="1"/>
  <c r="AF1289" i="23" s="1"/>
  <c r="X1290" i="23"/>
  <c r="Y1290" i="23"/>
  <c r="Z1290" i="23"/>
  <c r="AA1290" i="23" a="1"/>
  <c r="AA1290" i="23" s="1"/>
  <c r="AB1290" i="23"/>
  <c r="AC1290" i="23" a="1"/>
  <c r="AC1290" i="23" s="1"/>
  <c r="AD1290" i="23"/>
  <c r="AE1290" i="23"/>
  <c r="AF1290" i="23" a="1"/>
  <c r="AF1290" i="23" s="1"/>
  <c r="X1291" i="23"/>
  <c r="Y1291" i="23"/>
  <c r="Z1291" i="23"/>
  <c r="AA1291" i="23" a="1"/>
  <c r="AA1291" i="23"/>
  <c r="AB1291" i="23"/>
  <c r="AC1291" i="23" a="1"/>
  <c r="AC1291" i="23" s="1"/>
  <c r="AD1291" i="23"/>
  <c r="AE1291" i="23"/>
  <c r="AF1291" i="23" a="1"/>
  <c r="AF1291" i="23" s="1"/>
  <c r="X1292" i="23"/>
  <c r="Y1292" i="23"/>
  <c r="Z1292" i="23"/>
  <c r="AA1292" i="23" a="1"/>
  <c r="AA1292" i="23" s="1"/>
  <c r="AB1292" i="23"/>
  <c r="AC1292" i="23" a="1"/>
  <c r="AC1292" i="23" s="1"/>
  <c r="AD1292" i="23"/>
  <c r="AE1292" i="23"/>
  <c r="AF1292" i="23" a="1"/>
  <c r="AF1292" i="23" s="1"/>
  <c r="X1293" i="23"/>
  <c r="Y1293" i="23"/>
  <c r="Z1293" i="23"/>
  <c r="AA1293" i="23" a="1"/>
  <c r="AA1293" i="23"/>
  <c r="AB1293" i="23"/>
  <c r="AC1293" i="23" a="1"/>
  <c r="AC1293" i="23" s="1"/>
  <c r="AD1293" i="23"/>
  <c r="AE1293" i="23"/>
  <c r="AF1293" i="23" a="1"/>
  <c r="AF1293" i="23" s="1"/>
  <c r="X1294" i="23"/>
  <c r="Y1294" i="23"/>
  <c r="Z1294" i="23"/>
  <c r="AA1294" i="23" a="1"/>
  <c r="AA1294" i="23" s="1"/>
  <c r="AB1294" i="23"/>
  <c r="AC1294" i="23" a="1"/>
  <c r="AC1294" i="23" s="1"/>
  <c r="AD1294" i="23"/>
  <c r="AE1294" i="23"/>
  <c r="AF1294" i="23" a="1"/>
  <c r="AF1294" i="23" s="1"/>
  <c r="X1295" i="23"/>
  <c r="Y1295" i="23"/>
  <c r="Z1295" i="23"/>
  <c r="AA1295" i="23" a="1"/>
  <c r="AA1295" i="23"/>
  <c r="AB1295" i="23"/>
  <c r="AC1295" i="23" a="1"/>
  <c r="AC1295" i="23" s="1"/>
  <c r="AD1295" i="23"/>
  <c r="AE1295" i="23"/>
  <c r="AF1295" i="23" a="1"/>
  <c r="AF1295" i="23" s="1"/>
  <c r="X1296" i="23"/>
  <c r="Y1296" i="23"/>
  <c r="Z1296" i="23"/>
  <c r="AA1296" i="23" a="1"/>
  <c r="AA1296" i="23" s="1"/>
  <c r="AB1296" i="23"/>
  <c r="AC1296" i="23" a="1"/>
  <c r="AC1296" i="23" s="1"/>
  <c r="AD1296" i="23"/>
  <c r="AE1296" i="23"/>
  <c r="AF1296" i="23" a="1"/>
  <c r="AF1296" i="23" s="1"/>
  <c r="X1297" i="23"/>
  <c r="Y1297" i="23"/>
  <c r="Z1297" i="23"/>
  <c r="AA1297" i="23" a="1"/>
  <c r="AA1297" i="23"/>
  <c r="AB1297" i="23"/>
  <c r="AC1297" i="23" a="1"/>
  <c r="AC1297" i="23" s="1"/>
  <c r="AD1297" i="23"/>
  <c r="AE1297" i="23"/>
  <c r="AF1297" i="23" a="1"/>
  <c r="AF1297" i="23" s="1"/>
  <c r="X1298" i="23"/>
  <c r="Y1298" i="23"/>
  <c r="Z1298" i="23"/>
  <c r="AA1298" i="23" a="1"/>
  <c r="AA1298" i="23" s="1"/>
  <c r="AB1298" i="23"/>
  <c r="AC1298" i="23" a="1"/>
  <c r="AC1298" i="23" s="1"/>
  <c r="AD1298" i="23"/>
  <c r="AE1298" i="23"/>
  <c r="AF1298" i="23" a="1"/>
  <c r="AF1298" i="23" s="1"/>
  <c r="X1299" i="23"/>
  <c r="Y1299" i="23"/>
  <c r="Z1299" i="23"/>
  <c r="AA1299" i="23" a="1"/>
  <c r="AA1299" i="23"/>
  <c r="AB1299" i="23"/>
  <c r="AC1299" i="23" a="1"/>
  <c r="AC1299" i="23" s="1"/>
  <c r="AD1299" i="23"/>
  <c r="AE1299" i="23"/>
  <c r="AF1299" i="23" a="1"/>
  <c r="AF1299" i="23" s="1"/>
  <c r="X1300" i="23"/>
  <c r="Y1300" i="23"/>
  <c r="Z1300" i="23"/>
  <c r="AA1300" i="23" a="1"/>
  <c r="AA1300" i="23" s="1"/>
  <c r="AB1300" i="23"/>
  <c r="AC1300" i="23" a="1"/>
  <c r="AC1300" i="23" s="1"/>
  <c r="AD1300" i="23"/>
  <c r="AE1300" i="23"/>
  <c r="AF1300" i="23" a="1"/>
  <c r="AF1300" i="23" s="1"/>
  <c r="X1301" i="23"/>
  <c r="Y1301" i="23"/>
  <c r="Z1301" i="23"/>
  <c r="AA1301" i="23" a="1"/>
  <c r="AA1301" i="23"/>
  <c r="AB1301" i="23"/>
  <c r="AC1301" i="23" a="1"/>
  <c r="AC1301" i="23" s="1"/>
  <c r="AD1301" i="23"/>
  <c r="AE1301" i="23"/>
  <c r="AF1301" i="23" a="1"/>
  <c r="AF1301" i="23" s="1"/>
  <c r="X1302" i="23"/>
  <c r="Y1302" i="23"/>
  <c r="Z1302" i="23"/>
  <c r="AA1302" i="23" a="1"/>
  <c r="AA1302" i="23" s="1"/>
  <c r="AB1302" i="23"/>
  <c r="AC1302" i="23" a="1"/>
  <c r="AC1302" i="23" s="1"/>
  <c r="AD1302" i="23"/>
  <c r="AE1302" i="23"/>
  <c r="AF1302" i="23" a="1"/>
  <c r="AF1302" i="23" s="1"/>
  <c r="X1303" i="23"/>
  <c r="Y1303" i="23"/>
  <c r="Z1303" i="23"/>
  <c r="AA1303" i="23" a="1"/>
  <c r="AA1303" i="23" s="1"/>
  <c r="AB1303" i="23"/>
  <c r="AC1303" i="23" a="1"/>
  <c r="AC1303" i="23" s="1"/>
  <c r="AD1303" i="23"/>
  <c r="AE1303" i="23"/>
  <c r="AF1303" i="23" a="1"/>
  <c r="AF1303" i="23" s="1"/>
  <c r="X1304" i="23"/>
  <c r="Y1304" i="23"/>
  <c r="Z1304" i="23"/>
  <c r="AA1304" i="23" a="1"/>
  <c r="AA1304" i="23" s="1"/>
  <c r="AB1304" i="23"/>
  <c r="AC1304" i="23" a="1"/>
  <c r="AC1304" i="23" s="1"/>
  <c r="AD1304" i="23"/>
  <c r="AE1304" i="23"/>
  <c r="AF1304" i="23" a="1"/>
  <c r="AF1304" i="23" s="1"/>
  <c r="X1305" i="23"/>
  <c r="Y1305" i="23"/>
  <c r="Z1305" i="23"/>
  <c r="AA1305" i="23" a="1"/>
  <c r="AA1305" i="23" s="1"/>
  <c r="AB1305" i="23"/>
  <c r="AC1305" i="23" a="1"/>
  <c r="AC1305" i="23" s="1"/>
  <c r="AD1305" i="23"/>
  <c r="AE1305" i="23"/>
  <c r="AF1305" i="23" a="1"/>
  <c r="AF1305" i="23" s="1"/>
  <c r="X1306" i="23"/>
  <c r="Y1306" i="23"/>
  <c r="Z1306" i="23"/>
  <c r="AA1306" i="23" a="1"/>
  <c r="AA1306" i="23" s="1"/>
  <c r="AB1306" i="23"/>
  <c r="AC1306" i="23" a="1"/>
  <c r="AC1306" i="23" s="1"/>
  <c r="AD1306" i="23"/>
  <c r="AE1306" i="23"/>
  <c r="AF1306" i="23" a="1"/>
  <c r="AF1306" i="23" s="1"/>
  <c r="X1307" i="23"/>
  <c r="Y1307" i="23"/>
  <c r="Z1307" i="23"/>
  <c r="AA1307" i="23" a="1"/>
  <c r="AA1307" i="23" s="1"/>
  <c r="AB1307" i="23"/>
  <c r="AC1307" i="23" a="1"/>
  <c r="AC1307" i="23" s="1"/>
  <c r="AD1307" i="23"/>
  <c r="AE1307" i="23"/>
  <c r="AF1307" i="23" a="1"/>
  <c r="AF1307" i="23" s="1"/>
  <c r="X1308" i="23"/>
  <c r="Y1308" i="23"/>
  <c r="Z1308" i="23"/>
  <c r="AA1308" i="23" a="1"/>
  <c r="AA1308" i="23" s="1"/>
  <c r="AB1308" i="23"/>
  <c r="AC1308" i="23" a="1"/>
  <c r="AC1308" i="23" s="1"/>
  <c r="AD1308" i="23"/>
  <c r="AE1308" i="23"/>
  <c r="AF1308" i="23" a="1"/>
  <c r="AF1308" i="23" s="1"/>
  <c r="X1309" i="23"/>
  <c r="Y1309" i="23"/>
  <c r="Z1309" i="23"/>
  <c r="AA1309" i="23" a="1"/>
  <c r="AA1309" i="23"/>
  <c r="AB1309" i="23"/>
  <c r="AC1309" i="23" a="1"/>
  <c r="AC1309" i="23" s="1"/>
  <c r="AD1309" i="23"/>
  <c r="AE1309" i="23"/>
  <c r="AF1309" i="23" a="1"/>
  <c r="AF1309" i="23" s="1"/>
  <c r="X1310" i="23"/>
  <c r="Y1310" i="23"/>
  <c r="Z1310" i="23"/>
  <c r="AA1310" i="23" a="1"/>
  <c r="AA1310" i="23" s="1"/>
  <c r="AB1310" i="23"/>
  <c r="AC1310" i="23" a="1"/>
  <c r="AC1310" i="23" s="1"/>
  <c r="AD1310" i="23"/>
  <c r="AE1310" i="23"/>
  <c r="AF1310" i="23" a="1"/>
  <c r="AF1310" i="23" s="1"/>
  <c r="X1311" i="23"/>
  <c r="Y1311" i="23"/>
  <c r="Z1311" i="23"/>
  <c r="AA1311" i="23" a="1"/>
  <c r="AA1311" i="23" s="1"/>
  <c r="AB1311" i="23"/>
  <c r="AC1311" i="23" a="1"/>
  <c r="AC1311" i="23" s="1"/>
  <c r="AD1311" i="23"/>
  <c r="AE1311" i="23"/>
  <c r="AF1311" i="23" a="1"/>
  <c r="AF1311" i="23" s="1"/>
  <c r="X1312" i="23"/>
  <c r="Y1312" i="23"/>
  <c r="Z1312" i="23"/>
  <c r="AA1312" i="23" a="1"/>
  <c r="AA1312" i="23" s="1"/>
  <c r="AB1312" i="23"/>
  <c r="AC1312" i="23" a="1"/>
  <c r="AC1312" i="23" s="1"/>
  <c r="AD1312" i="23"/>
  <c r="AE1312" i="23"/>
  <c r="AF1312" i="23" a="1"/>
  <c r="AF1312" i="23" s="1"/>
  <c r="X1313" i="23"/>
  <c r="Y1313" i="23"/>
  <c r="Z1313" i="23"/>
  <c r="AA1313" i="23" a="1"/>
  <c r="AA1313" i="23"/>
  <c r="AB1313" i="23"/>
  <c r="AC1313" i="23" a="1"/>
  <c r="AC1313" i="23" s="1"/>
  <c r="AD1313" i="23"/>
  <c r="AE1313" i="23"/>
  <c r="AF1313" i="23" a="1"/>
  <c r="AF1313" i="23" s="1"/>
  <c r="X1314" i="23"/>
  <c r="Y1314" i="23"/>
  <c r="Z1314" i="23"/>
  <c r="AA1314" i="23" a="1"/>
  <c r="AA1314" i="23" s="1"/>
  <c r="AB1314" i="23"/>
  <c r="AC1314" i="23" a="1"/>
  <c r="AC1314" i="23" s="1"/>
  <c r="AD1314" i="23"/>
  <c r="AE1314" i="23"/>
  <c r="AF1314" i="23" a="1"/>
  <c r="AF1314" i="23" s="1"/>
  <c r="X1315" i="23"/>
  <c r="Y1315" i="23"/>
  <c r="Z1315" i="23"/>
  <c r="AA1315" i="23" a="1"/>
  <c r="AA1315" i="23" s="1"/>
  <c r="AB1315" i="23"/>
  <c r="AC1315" i="23" a="1"/>
  <c r="AC1315" i="23" s="1"/>
  <c r="AD1315" i="23"/>
  <c r="AE1315" i="23"/>
  <c r="AF1315" i="23" a="1"/>
  <c r="AF1315" i="23" s="1"/>
  <c r="X1316" i="23"/>
  <c r="Y1316" i="23"/>
  <c r="Z1316" i="23"/>
  <c r="AA1316" i="23" a="1"/>
  <c r="AA1316" i="23" s="1"/>
  <c r="AB1316" i="23"/>
  <c r="AC1316" i="23" a="1"/>
  <c r="AC1316" i="23"/>
  <c r="AD1316" i="23"/>
  <c r="AE1316" i="23"/>
  <c r="AF1316" i="23" a="1"/>
  <c r="AF1316" i="23" s="1"/>
  <c r="X1317" i="23"/>
  <c r="Y1317" i="23"/>
  <c r="Z1317" i="23"/>
  <c r="AA1317" i="23" a="1"/>
  <c r="AA1317" i="23"/>
  <c r="AB1317" i="23"/>
  <c r="AC1317" i="23" a="1"/>
  <c r="AC1317" i="23" s="1"/>
  <c r="AD1317" i="23"/>
  <c r="AE1317" i="23"/>
  <c r="AF1317" i="23" a="1"/>
  <c r="AF1317" i="23" s="1"/>
  <c r="X1318" i="23"/>
  <c r="Y1318" i="23"/>
  <c r="Z1318" i="23"/>
  <c r="AA1318" i="23" a="1"/>
  <c r="AA1318" i="23" s="1"/>
  <c r="AB1318" i="23"/>
  <c r="AC1318" i="23" a="1"/>
  <c r="AC1318" i="23" s="1"/>
  <c r="AD1318" i="23"/>
  <c r="AE1318" i="23"/>
  <c r="AF1318" i="23" a="1"/>
  <c r="AF1318" i="23" s="1"/>
  <c r="X1319" i="23"/>
  <c r="Y1319" i="23"/>
  <c r="Z1319" i="23"/>
  <c r="AA1319" i="23" a="1"/>
  <c r="AA1319" i="23" s="1"/>
  <c r="AB1319" i="23"/>
  <c r="AC1319" i="23" a="1"/>
  <c r="AC1319" i="23" s="1"/>
  <c r="AD1319" i="23"/>
  <c r="AE1319" i="23"/>
  <c r="AF1319" i="23" a="1"/>
  <c r="AF1319" i="23" s="1"/>
  <c r="X1320" i="23"/>
  <c r="Y1320" i="23"/>
  <c r="Z1320" i="23"/>
  <c r="AA1320" i="23" a="1"/>
  <c r="AA1320" i="23" s="1"/>
  <c r="AB1320" i="23"/>
  <c r="AC1320" i="23" a="1"/>
  <c r="AC1320" i="23" s="1"/>
  <c r="AD1320" i="23"/>
  <c r="AE1320" i="23"/>
  <c r="AF1320" i="23" a="1"/>
  <c r="AF1320" i="23" s="1"/>
  <c r="X1321" i="23"/>
  <c r="Y1321" i="23"/>
  <c r="Z1321" i="23"/>
  <c r="AA1321" i="23" a="1"/>
  <c r="AA1321" i="23" s="1"/>
  <c r="AB1321" i="23"/>
  <c r="AC1321" i="23" a="1"/>
  <c r="AC1321" i="23" s="1"/>
  <c r="AD1321" i="23"/>
  <c r="AE1321" i="23"/>
  <c r="AF1321" i="23" a="1"/>
  <c r="AF1321" i="23" s="1"/>
  <c r="X1322" i="23"/>
  <c r="Y1322" i="23"/>
  <c r="Z1322" i="23"/>
  <c r="AA1322" i="23" a="1"/>
  <c r="AA1322" i="23" s="1"/>
  <c r="AB1322" i="23"/>
  <c r="AC1322" i="23" a="1"/>
  <c r="AC1322" i="23" s="1"/>
  <c r="AD1322" i="23"/>
  <c r="AE1322" i="23"/>
  <c r="AF1322" i="23" a="1"/>
  <c r="AF1322" i="23" s="1"/>
  <c r="X1323" i="23"/>
  <c r="Y1323" i="23"/>
  <c r="Z1323" i="23"/>
  <c r="AA1323" i="23" a="1"/>
  <c r="AA1323" i="23" s="1"/>
  <c r="AB1323" i="23"/>
  <c r="AC1323" i="23" a="1"/>
  <c r="AC1323" i="23" s="1"/>
  <c r="AD1323" i="23"/>
  <c r="AE1323" i="23"/>
  <c r="AF1323" i="23" a="1"/>
  <c r="AF1323" i="23" s="1"/>
  <c r="X1324" i="23"/>
  <c r="Y1324" i="23"/>
  <c r="Z1324" i="23"/>
  <c r="AA1324" i="23" a="1"/>
  <c r="AA1324" i="23" s="1"/>
  <c r="AB1324" i="23"/>
  <c r="AC1324" i="23" a="1"/>
  <c r="AC1324" i="23" s="1"/>
  <c r="AD1324" i="23"/>
  <c r="AE1324" i="23"/>
  <c r="AF1324" i="23" a="1"/>
  <c r="AF1324" i="23" s="1"/>
  <c r="X1325" i="23"/>
  <c r="Y1325" i="23"/>
  <c r="Z1325" i="23"/>
  <c r="AA1325" i="23" a="1"/>
  <c r="AA1325" i="23"/>
  <c r="AB1325" i="23"/>
  <c r="AC1325" i="23" a="1"/>
  <c r="AC1325" i="23" s="1"/>
  <c r="AD1325" i="23"/>
  <c r="AE1325" i="23"/>
  <c r="AF1325" i="23" a="1"/>
  <c r="AF1325" i="23" s="1"/>
  <c r="X1326" i="23"/>
  <c r="Y1326" i="23"/>
  <c r="Z1326" i="23"/>
  <c r="AA1326" i="23" a="1"/>
  <c r="AA1326" i="23" s="1"/>
  <c r="AB1326" i="23"/>
  <c r="AC1326" i="23" a="1"/>
  <c r="AC1326" i="23" s="1"/>
  <c r="AD1326" i="23"/>
  <c r="AE1326" i="23"/>
  <c r="AF1326" i="23" a="1"/>
  <c r="AF1326" i="23" s="1"/>
  <c r="X1327" i="23"/>
  <c r="Y1327" i="23"/>
  <c r="Z1327" i="23"/>
  <c r="AA1327" i="23" a="1"/>
  <c r="AA1327" i="23" s="1"/>
  <c r="AB1327" i="23"/>
  <c r="AC1327" i="23" a="1"/>
  <c r="AC1327" i="23" s="1"/>
  <c r="AD1327" i="23"/>
  <c r="AE1327" i="23"/>
  <c r="AF1327" i="23" a="1"/>
  <c r="AF1327" i="23" s="1"/>
  <c r="X1328" i="23"/>
  <c r="Y1328" i="23"/>
  <c r="Z1328" i="23"/>
  <c r="AA1328" i="23" a="1"/>
  <c r="AA1328" i="23" s="1"/>
  <c r="AB1328" i="23"/>
  <c r="AC1328" i="23" a="1"/>
  <c r="AC1328" i="23" s="1"/>
  <c r="AD1328" i="23"/>
  <c r="AE1328" i="23"/>
  <c r="AF1328" i="23" a="1"/>
  <c r="AF1328" i="23" s="1"/>
  <c r="X1329" i="23"/>
  <c r="Y1329" i="23"/>
  <c r="Z1329" i="23"/>
  <c r="AA1329" i="23" a="1"/>
  <c r="AA1329" i="23"/>
  <c r="AB1329" i="23"/>
  <c r="AC1329" i="23" a="1"/>
  <c r="AC1329" i="23" s="1"/>
  <c r="AD1329" i="23"/>
  <c r="AE1329" i="23"/>
  <c r="AF1329" i="23" a="1"/>
  <c r="AF1329" i="23" s="1"/>
  <c r="X1330" i="23"/>
  <c r="Y1330" i="23"/>
  <c r="Z1330" i="23"/>
  <c r="AA1330" i="23" a="1"/>
  <c r="AA1330" i="23" s="1"/>
  <c r="AB1330" i="23"/>
  <c r="AC1330" i="23" a="1"/>
  <c r="AC1330" i="23"/>
  <c r="AD1330" i="23"/>
  <c r="AE1330" i="23"/>
  <c r="AF1330" i="23" a="1"/>
  <c r="AF1330" i="23" s="1"/>
  <c r="X1331" i="23"/>
  <c r="Y1331" i="23"/>
  <c r="Z1331" i="23"/>
  <c r="AA1331" i="23" a="1"/>
  <c r="AA1331" i="23"/>
  <c r="AB1331" i="23"/>
  <c r="AC1331" i="23" a="1"/>
  <c r="AC1331" i="23" s="1"/>
  <c r="AD1331" i="23"/>
  <c r="AE1331" i="23"/>
  <c r="AF1331" i="23" a="1"/>
  <c r="AF1331" i="23" s="1"/>
  <c r="X1332" i="23"/>
  <c r="Y1332" i="23"/>
  <c r="Z1332" i="23"/>
  <c r="AA1332" i="23" a="1"/>
  <c r="AA1332" i="23" s="1"/>
  <c r="AB1332" i="23"/>
  <c r="AC1332" i="23" a="1"/>
  <c r="AC1332" i="23" s="1"/>
  <c r="AD1332" i="23"/>
  <c r="AE1332" i="23"/>
  <c r="AF1332" i="23" a="1"/>
  <c r="AF1332" i="23" s="1"/>
  <c r="X1333" i="23"/>
  <c r="Y1333" i="23"/>
  <c r="Z1333" i="23"/>
  <c r="AA1333" i="23" a="1"/>
  <c r="AA1333" i="23" s="1"/>
  <c r="AB1333" i="23"/>
  <c r="AC1333" i="23" a="1"/>
  <c r="AC1333" i="23" s="1"/>
  <c r="AD1333" i="23"/>
  <c r="AE1333" i="23"/>
  <c r="AF1333" i="23" a="1"/>
  <c r="AF1333" i="23" s="1"/>
  <c r="X1334" i="23"/>
  <c r="Y1334" i="23"/>
  <c r="Z1334" i="23"/>
  <c r="AA1334" i="23" a="1"/>
  <c r="AA1334" i="23" s="1"/>
  <c r="AB1334" i="23"/>
  <c r="AC1334" i="23" a="1"/>
  <c r="AC1334" i="23" s="1"/>
  <c r="AD1334" i="23"/>
  <c r="AE1334" i="23"/>
  <c r="AF1334" i="23" a="1"/>
  <c r="AF1334" i="23" s="1"/>
  <c r="X1335" i="23"/>
  <c r="Y1335" i="23"/>
  <c r="Z1335" i="23"/>
  <c r="AA1335" i="23" a="1"/>
  <c r="AA1335" i="23" s="1"/>
  <c r="AB1335" i="23"/>
  <c r="AC1335" i="23" a="1"/>
  <c r="AC1335" i="23"/>
  <c r="AD1335" i="23"/>
  <c r="AE1335" i="23"/>
  <c r="AF1335" i="23" a="1"/>
  <c r="AF1335" i="23" s="1"/>
  <c r="X1336" i="23"/>
  <c r="Y1336" i="23"/>
  <c r="Z1336" i="23"/>
  <c r="AA1336" i="23" a="1"/>
  <c r="AA1336" i="23" s="1"/>
  <c r="AB1336" i="23"/>
  <c r="AC1336" i="23" a="1"/>
  <c r="AC1336" i="23"/>
  <c r="AD1336" i="23"/>
  <c r="AE1336" i="23"/>
  <c r="AF1336" i="23" a="1"/>
  <c r="AF1336" i="23" s="1"/>
  <c r="X1337" i="23"/>
  <c r="Y1337" i="23"/>
  <c r="Z1337" i="23"/>
  <c r="AA1337" i="23" a="1"/>
  <c r="AA1337" i="23" s="1"/>
  <c r="AB1337" i="23"/>
  <c r="AC1337" i="23" a="1"/>
  <c r="AC1337" i="23" s="1"/>
  <c r="AD1337" i="23"/>
  <c r="AE1337" i="23"/>
  <c r="AF1337" i="23" a="1"/>
  <c r="AF1337" i="23" s="1"/>
  <c r="X1338" i="23"/>
  <c r="Y1338" i="23"/>
  <c r="Z1338" i="23"/>
  <c r="AA1338" i="23" a="1"/>
  <c r="AA1338" i="23"/>
  <c r="AB1338" i="23"/>
  <c r="AC1338" i="23" a="1"/>
  <c r="AC1338" i="23" s="1"/>
  <c r="AD1338" i="23"/>
  <c r="AE1338" i="23"/>
  <c r="AF1338" i="23" a="1"/>
  <c r="AF1338" i="23" s="1"/>
  <c r="X1339" i="23"/>
  <c r="Y1339" i="23"/>
  <c r="Z1339" i="23"/>
  <c r="AA1339" i="23" a="1"/>
  <c r="AA1339" i="23" s="1"/>
  <c r="AB1339" i="23"/>
  <c r="AC1339" i="23" a="1"/>
  <c r="AC1339" i="23" s="1"/>
  <c r="AD1339" i="23"/>
  <c r="AE1339" i="23"/>
  <c r="AF1339" i="23" a="1"/>
  <c r="AF1339" i="23" s="1"/>
  <c r="X1340" i="23"/>
  <c r="Y1340" i="23"/>
  <c r="Z1340" i="23"/>
  <c r="AA1340" i="23" a="1"/>
  <c r="AA1340" i="23"/>
  <c r="AB1340" i="23"/>
  <c r="AC1340" i="23" a="1"/>
  <c r="AC1340" i="23" s="1"/>
  <c r="AD1340" i="23"/>
  <c r="AE1340" i="23"/>
  <c r="AF1340" i="23" a="1"/>
  <c r="AF1340" i="23" s="1"/>
  <c r="X1341" i="23"/>
  <c r="Y1341" i="23"/>
  <c r="Z1341" i="23"/>
  <c r="AA1341" i="23" a="1"/>
  <c r="AA1341" i="23" s="1"/>
  <c r="AB1341" i="23"/>
  <c r="AC1341" i="23" a="1"/>
  <c r="AC1341" i="23" s="1"/>
  <c r="AD1341" i="23"/>
  <c r="AE1341" i="23"/>
  <c r="AF1341" i="23" a="1"/>
  <c r="AF1341" i="23" s="1"/>
  <c r="X1342" i="23"/>
  <c r="Y1342" i="23"/>
  <c r="Z1342" i="23"/>
  <c r="AA1342" i="23" a="1"/>
  <c r="AA1342" i="23"/>
  <c r="AB1342" i="23"/>
  <c r="AC1342" i="23" a="1"/>
  <c r="AC1342" i="23" s="1"/>
  <c r="AD1342" i="23"/>
  <c r="AE1342" i="23"/>
  <c r="AF1342" i="23" a="1"/>
  <c r="AF1342" i="23" s="1"/>
  <c r="X1343" i="23"/>
  <c r="Y1343" i="23"/>
  <c r="Z1343" i="23"/>
  <c r="AA1343" i="23" a="1"/>
  <c r="AA1343" i="23" s="1"/>
  <c r="AB1343" i="23"/>
  <c r="AC1343" i="23" a="1"/>
  <c r="AC1343" i="23" s="1"/>
  <c r="AD1343" i="23"/>
  <c r="AE1343" i="23"/>
  <c r="AF1343" i="23" a="1"/>
  <c r="AF1343" i="23" s="1"/>
  <c r="X1344" i="23"/>
  <c r="Y1344" i="23"/>
  <c r="Z1344" i="23"/>
  <c r="AA1344" i="23" a="1"/>
  <c r="AA1344" i="23"/>
  <c r="AB1344" i="23"/>
  <c r="AC1344" i="23" a="1"/>
  <c r="AC1344" i="23"/>
  <c r="AD1344" i="23"/>
  <c r="AE1344" i="23"/>
  <c r="AF1344" i="23" a="1"/>
  <c r="AF1344" i="23" s="1"/>
  <c r="X1345" i="23"/>
  <c r="Y1345" i="23"/>
  <c r="Z1345" i="23"/>
  <c r="AA1345" i="23" a="1"/>
  <c r="AA1345" i="23" s="1"/>
  <c r="AB1345" i="23"/>
  <c r="AC1345" i="23" a="1"/>
  <c r="AC1345" i="23" s="1"/>
  <c r="AD1345" i="23"/>
  <c r="AE1345" i="23"/>
  <c r="AF1345" i="23" a="1"/>
  <c r="AF1345" i="23" s="1"/>
  <c r="X1346" i="23"/>
  <c r="Y1346" i="23"/>
  <c r="Z1346" i="23"/>
  <c r="AA1346" i="23" a="1"/>
  <c r="AA1346" i="23"/>
  <c r="AB1346" i="23"/>
  <c r="AC1346" i="23" a="1"/>
  <c r="AC1346" i="23" s="1"/>
  <c r="AD1346" i="23"/>
  <c r="AE1346" i="23"/>
  <c r="AF1346" i="23" a="1"/>
  <c r="AF1346" i="23" s="1"/>
  <c r="X1347" i="23"/>
  <c r="Y1347" i="23"/>
  <c r="Z1347" i="23"/>
  <c r="AA1347" i="23" a="1"/>
  <c r="AA1347" i="23" s="1"/>
  <c r="AB1347" i="23"/>
  <c r="AC1347" i="23" a="1"/>
  <c r="AC1347" i="23" s="1"/>
  <c r="AD1347" i="23"/>
  <c r="AE1347" i="23"/>
  <c r="AF1347" i="23" a="1"/>
  <c r="AF1347" i="23" s="1"/>
  <c r="X1348" i="23"/>
  <c r="Y1348" i="23"/>
  <c r="Z1348" i="23"/>
  <c r="AA1348" i="23" a="1"/>
  <c r="AA1348" i="23"/>
  <c r="AB1348" i="23"/>
  <c r="AC1348" i="23" a="1"/>
  <c r="AC1348" i="23" s="1"/>
  <c r="AD1348" i="23"/>
  <c r="AE1348" i="23"/>
  <c r="AF1348" i="23" a="1"/>
  <c r="AF1348" i="23" s="1"/>
  <c r="X1349" i="23"/>
  <c r="Y1349" i="23"/>
  <c r="Z1349" i="23"/>
  <c r="AA1349" i="23" a="1"/>
  <c r="AA1349" i="23" s="1"/>
  <c r="AB1349" i="23"/>
  <c r="AC1349" i="23" a="1"/>
  <c r="AC1349" i="23" s="1"/>
  <c r="AD1349" i="23"/>
  <c r="AE1349" i="23"/>
  <c r="AF1349" i="23" a="1"/>
  <c r="AF1349" i="23" s="1"/>
  <c r="X1350" i="23"/>
  <c r="Y1350" i="23"/>
  <c r="Z1350" i="23"/>
  <c r="AA1350" i="23" a="1"/>
  <c r="AA1350" i="23"/>
  <c r="AB1350" i="23"/>
  <c r="AC1350" i="23" a="1"/>
  <c r="AC1350" i="23" s="1"/>
  <c r="AD1350" i="23"/>
  <c r="AE1350" i="23"/>
  <c r="AF1350" i="23" a="1"/>
  <c r="AF1350" i="23" s="1"/>
  <c r="X1351" i="23"/>
  <c r="Y1351" i="23"/>
  <c r="Z1351" i="23"/>
  <c r="AA1351" i="23" a="1"/>
  <c r="AA1351" i="23" s="1"/>
  <c r="AB1351" i="23"/>
  <c r="AC1351" i="23" a="1"/>
  <c r="AC1351" i="23" s="1"/>
  <c r="AD1351" i="23"/>
  <c r="AE1351" i="23"/>
  <c r="AF1351" i="23" a="1"/>
  <c r="AF1351" i="23" s="1"/>
  <c r="X1352" i="23"/>
  <c r="Y1352" i="23"/>
  <c r="Z1352" i="23"/>
  <c r="AA1352" i="23" a="1"/>
  <c r="AA1352" i="23"/>
  <c r="AB1352" i="23"/>
  <c r="AC1352" i="23" a="1"/>
  <c r="AC1352" i="23" s="1"/>
  <c r="AD1352" i="23"/>
  <c r="AE1352" i="23"/>
  <c r="AF1352" i="23" a="1"/>
  <c r="AF1352" i="23" s="1"/>
  <c r="X1353" i="23"/>
  <c r="Y1353" i="23"/>
  <c r="Z1353" i="23"/>
  <c r="AA1353" i="23" a="1"/>
  <c r="AA1353" i="23" s="1"/>
  <c r="AB1353" i="23"/>
  <c r="AC1353" i="23" a="1"/>
  <c r="AC1353" i="23" s="1"/>
  <c r="AD1353" i="23"/>
  <c r="AE1353" i="23"/>
  <c r="AF1353" i="23" a="1"/>
  <c r="AF1353" i="23" s="1"/>
  <c r="X1354" i="23"/>
  <c r="Y1354" i="23"/>
  <c r="Z1354" i="23"/>
  <c r="AA1354" i="23" a="1"/>
  <c r="AA1354" i="23"/>
  <c r="AB1354" i="23"/>
  <c r="AC1354" i="23" a="1"/>
  <c r="AC1354" i="23" s="1"/>
  <c r="AD1354" i="23"/>
  <c r="AE1354" i="23"/>
  <c r="AF1354" i="23" a="1"/>
  <c r="AF1354" i="23" s="1"/>
  <c r="X1355" i="23"/>
  <c r="Y1355" i="23"/>
  <c r="Z1355" i="23"/>
  <c r="AA1355" i="23" a="1"/>
  <c r="AA1355" i="23" s="1"/>
  <c r="AB1355" i="23"/>
  <c r="AC1355" i="23" a="1"/>
  <c r="AC1355" i="23" s="1"/>
  <c r="AD1355" i="23"/>
  <c r="AE1355" i="23"/>
  <c r="AF1355" i="23" a="1"/>
  <c r="AF1355" i="23" s="1"/>
  <c r="X1356" i="23"/>
  <c r="Y1356" i="23"/>
  <c r="Z1356" i="23"/>
  <c r="AA1356" i="23" a="1"/>
  <c r="AA1356" i="23"/>
  <c r="AB1356" i="23"/>
  <c r="AC1356" i="23" a="1"/>
  <c r="AC1356" i="23" s="1"/>
  <c r="AD1356" i="23"/>
  <c r="AE1356" i="23"/>
  <c r="AF1356" i="23" a="1"/>
  <c r="AF1356" i="23" s="1"/>
  <c r="X1357" i="23"/>
  <c r="Y1357" i="23"/>
  <c r="Z1357" i="23"/>
  <c r="AA1357" i="23" a="1"/>
  <c r="AA1357" i="23" s="1"/>
  <c r="AB1357" i="23"/>
  <c r="AC1357" i="23" a="1"/>
  <c r="AC1357" i="23" s="1"/>
  <c r="AD1357" i="23"/>
  <c r="AE1357" i="23"/>
  <c r="AF1357" i="23" a="1"/>
  <c r="AF1357" i="23" s="1"/>
  <c r="X1358" i="23"/>
  <c r="Y1358" i="23"/>
  <c r="Z1358" i="23"/>
  <c r="AA1358" i="23" a="1"/>
  <c r="AA1358" i="23"/>
  <c r="AB1358" i="23"/>
  <c r="AC1358" i="23" a="1"/>
  <c r="AC1358" i="23" s="1"/>
  <c r="AD1358" i="23"/>
  <c r="AE1358" i="23"/>
  <c r="AF1358" i="23" a="1"/>
  <c r="AF1358" i="23" s="1"/>
  <c r="X1359" i="23"/>
  <c r="Y1359" i="23"/>
  <c r="Z1359" i="23"/>
  <c r="AA1359" i="23" a="1"/>
  <c r="AA1359" i="23" s="1"/>
  <c r="AB1359" i="23"/>
  <c r="AC1359" i="23" a="1"/>
  <c r="AC1359" i="23" s="1"/>
  <c r="AD1359" i="23"/>
  <c r="AE1359" i="23"/>
  <c r="AF1359" i="23" a="1"/>
  <c r="AF1359" i="23" s="1"/>
  <c r="X1360" i="23"/>
  <c r="Y1360" i="23"/>
  <c r="Z1360" i="23"/>
  <c r="AA1360" i="23" a="1"/>
  <c r="AA1360" i="23"/>
  <c r="AB1360" i="23"/>
  <c r="AC1360" i="23" a="1"/>
  <c r="AC1360" i="23" s="1"/>
  <c r="AD1360" i="23"/>
  <c r="AE1360" i="23"/>
  <c r="AF1360" i="23" a="1"/>
  <c r="AF1360" i="23" s="1"/>
  <c r="X1361" i="23"/>
  <c r="Y1361" i="23"/>
  <c r="Z1361" i="23"/>
  <c r="AA1361" i="23" a="1"/>
  <c r="AA1361" i="23" s="1"/>
  <c r="AB1361" i="23"/>
  <c r="AC1361" i="23" a="1"/>
  <c r="AC1361" i="23" s="1"/>
  <c r="AD1361" i="23"/>
  <c r="AE1361" i="23"/>
  <c r="AF1361" i="23" a="1"/>
  <c r="AF1361" i="23" s="1"/>
  <c r="X1362" i="23"/>
  <c r="Y1362" i="23"/>
  <c r="Z1362" i="23"/>
  <c r="AA1362" i="23" a="1"/>
  <c r="AA1362" i="23"/>
  <c r="AB1362" i="23"/>
  <c r="AC1362" i="23" a="1"/>
  <c r="AC1362" i="23" s="1"/>
  <c r="AD1362" i="23"/>
  <c r="AE1362" i="23"/>
  <c r="AF1362" i="23" a="1"/>
  <c r="AF1362" i="23" s="1"/>
  <c r="X1363" i="23"/>
  <c r="Y1363" i="23"/>
  <c r="Z1363" i="23"/>
  <c r="AA1363" i="23" a="1"/>
  <c r="AA1363" i="23" s="1"/>
  <c r="AB1363" i="23"/>
  <c r="AC1363" i="23" a="1"/>
  <c r="AC1363" i="23" s="1"/>
  <c r="AD1363" i="23"/>
  <c r="AE1363" i="23"/>
  <c r="AF1363" i="23" a="1"/>
  <c r="AF1363" i="23" s="1"/>
  <c r="X1364" i="23"/>
  <c r="Y1364" i="23"/>
  <c r="Z1364" i="23"/>
  <c r="AA1364" i="23" a="1"/>
  <c r="AA1364" i="23"/>
  <c r="AB1364" i="23"/>
  <c r="AC1364" i="23" a="1"/>
  <c r="AC1364" i="23" s="1"/>
  <c r="AD1364" i="23"/>
  <c r="AE1364" i="23"/>
  <c r="AF1364" i="23" a="1"/>
  <c r="AF1364" i="23" s="1"/>
  <c r="X1365" i="23"/>
  <c r="Y1365" i="23"/>
  <c r="Z1365" i="23"/>
  <c r="AA1365" i="23" a="1"/>
  <c r="AA1365" i="23" s="1"/>
  <c r="AB1365" i="23"/>
  <c r="AC1365" i="23" a="1"/>
  <c r="AC1365" i="23" s="1"/>
  <c r="AD1365" i="23"/>
  <c r="AE1365" i="23"/>
  <c r="AF1365" i="23" a="1"/>
  <c r="AF1365" i="23" s="1"/>
  <c r="X1366" i="23"/>
  <c r="Y1366" i="23"/>
  <c r="Z1366" i="23"/>
  <c r="AA1366" i="23" a="1"/>
  <c r="AA1366" i="23"/>
  <c r="AB1366" i="23"/>
  <c r="AC1366" i="23" a="1"/>
  <c r="AC1366" i="23" s="1"/>
  <c r="AD1366" i="23"/>
  <c r="AE1366" i="23"/>
  <c r="AF1366" i="23" a="1"/>
  <c r="AF1366" i="23" s="1"/>
  <c r="X1367" i="23"/>
  <c r="Y1367" i="23"/>
  <c r="Z1367" i="23"/>
  <c r="AA1367" i="23" a="1"/>
  <c r="AA1367" i="23" s="1"/>
  <c r="AB1367" i="23"/>
  <c r="AC1367" i="23" a="1"/>
  <c r="AC1367" i="23" s="1"/>
  <c r="AD1367" i="23"/>
  <c r="AE1367" i="23"/>
  <c r="AF1367" i="23" a="1"/>
  <c r="AF1367" i="23" s="1"/>
  <c r="X1368" i="23"/>
  <c r="Y1368" i="23"/>
  <c r="Z1368" i="23"/>
  <c r="AA1368" i="23" a="1"/>
  <c r="AA1368" i="23"/>
  <c r="AB1368" i="23"/>
  <c r="AC1368" i="23" a="1"/>
  <c r="AC1368" i="23" s="1"/>
  <c r="AD1368" i="23"/>
  <c r="AE1368" i="23"/>
  <c r="AF1368" i="23" a="1"/>
  <c r="AF1368" i="23" s="1"/>
  <c r="X1369" i="23"/>
  <c r="Y1369" i="23"/>
  <c r="Z1369" i="23"/>
  <c r="AA1369" i="23" a="1"/>
  <c r="AA1369" i="23" s="1"/>
  <c r="AB1369" i="23"/>
  <c r="AC1369" i="23" a="1"/>
  <c r="AC1369" i="23" s="1"/>
  <c r="AD1369" i="23"/>
  <c r="AE1369" i="23"/>
  <c r="AF1369" i="23" a="1"/>
  <c r="AF1369" i="23" s="1"/>
  <c r="X1370" i="23"/>
  <c r="Y1370" i="23"/>
  <c r="Z1370" i="23"/>
  <c r="AA1370" i="23" a="1"/>
  <c r="AA1370" i="23"/>
  <c r="AB1370" i="23"/>
  <c r="AC1370" i="23" a="1"/>
  <c r="AC1370" i="23" s="1"/>
  <c r="AD1370" i="23"/>
  <c r="AE1370" i="23"/>
  <c r="AF1370" i="23" a="1"/>
  <c r="AF1370" i="23" s="1"/>
  <c r="X1371" i="23"/>
  <c r="Y1371" i="23"/>
  <c r="Z1371" i="23"/>
  <c r="AA1371" i="23" a="1"/>
  <c r="AA1371" i="23" s="1"/>
  <c r="AB1371" i="23"/>
  <c r="AC1371" i="23" a="1"/>
  <c r="AC1371" i="23" s="1"/>
  <c r="AD1371" i="23"/>
  <c r="AE1371" i="23"/>
  <c r="AF1371" i="23" a="1"/>
  <c r="AF1371" i="23" s="1"/>
  <c r="X1372" i="23"/>
  <c r="Y1372" i="23"/>
  <c r="Z1372" i="23"/>
  <c r="AA1372" i="23" a="1"/>
  <c r="AA1372" i="23"/>
  <c r="AB1372" i="23"/>
  <c r="AC1372" i="23" a="1"/>
  <c r="AC1372" i="23" s="1"/>
  <c r="AD1372" i="23"/>
  <c r="AE1372" i="23"/>
  <c r="AF1372" i="23" a="1"/>
  <c r="AF1372" i="23" s="1"/>
  <c r="X1373" i="23"/>
  <c r="Y1373" i="23"/>
  <c r="Z1373" i="23"/>
  <c r="AA1373" i="23" a="1"/>
  <c r="AA1373" i="23" s="1"/>
  <c r="AB1373" i="23"/>
  <c r="AC1373" i="23" a="1"/>
  <c r="AC1373" i="23" s="1"/>
  <c r="AD1373" i="23"/>
  <c r="AE1373" i="23"/>
  <c r="AF1373" i="23" a="1"/>
  <c r="AF1373" i="23" s="1"/>
  <c r="X1374" i="23"/>
  <c r="Y1374" i="23"/>
  <c r="Z1374" i="23"/>
  <c r="AA1374" i="23" a="1"/>
  <c r="AA1374" i="23"/>
  <c r="AB1374" i="23"/>
  <c r="AC1374" i="23" a="1"/>
  <c r="AC1374" i="23" s="1"/>
  <c r="AD1374" i="23"/>
  <c r="AE1374" i="23"/>
  <c r="AF1374" i="23" a="1"/>
  <c r="AF1374" i="23" s="1"/>
  <c r="X1375" i="23"/>
  <c r="Y1375" i="23"/>
  <c r="Z1375" i="23"/>
  <c r="AA1375" i="23" a="1"/>
  <c r="AA1375" i="23" s="1"/>
  <c r="AB1375" i="23"/>
  <c r="AC1375" i="23" a="1"/>
  <c r="AC1375" i="23" s="1"/>
  <c r="AD1375" i="23"/>
  <c r="AE1375" i="23"/>
  <c r="AF1375" i="23" a="1"/>
  <c r="AF1375" i="23" s="1"/>
  <c r="X1376" i="23"/>
  <c r="Y1376" i="23"/>
  <c r="Z1376" i="23"/>
  <c r="AA1376" i="23" a="1"/>
  <c r="AA1376" i="23"/>
  <c r="AB1376" i="23"/>
  <c r="AC1376" i="23" a="1"/>
  <c r="AC1376" i="23" s="1"/>
  <c r="AD1376" i="23"/>
  <c r="AE1376" i="23"/>
  <c r="AF1376" i="23" a="1"/>
  <c r="AF1376" i="23" s="1"/>
  <c r="X1377" i="23"/>
  <c r="Y1377" i="23"/>
  <c r="Z1377" i="23"/>
  <c r="AA1377" i="23" a="1"/>
  <c r="AA1377" i="23" s="1"/>
  <c r="AB1377" i="23"/>
  <c r="AC1377" i="23" a="1"/>
  <c r="AC1377" i="23" s="1"/>
  <c r="AD1377" i="23"/>
  <c r="AE1377" i="23"/>
  <c r="AF1377" i="23" a="1"/>
  <c r="AF1377" i="23" s="1"/>
  <c r="X1378" i="23"/>
  <c r="Y1378" i="23"/>
  <c r="Z1378" i="23"/>
  <c r="AA1378" i="23" a="1"/>
  <c r="AA1378" i="23"/>
  <c r="AB1378" i="23"/>
  <c r="AC1378" i="23" a="1"/>
  <c r="AC1378" i="23" s="1"/>
  <c r="AD1378" i="23"/>
  <c r="AE1378" i="23"/>
  <c r="AF1378" i="23" a="1"/>
  <c r="AF1378" i="23" s="1"/>
  <c r="X1379" i="23"/>
  <c r="Y1379" i="23"/>
  <c r="Z1379" i="23"/>
  <c r="AA1379" i="23" a="1"/>
  <c r="AA1379" i="23" s="1"/>
  <c r="AB1379" i="23"/>
  <c r="AC1379" i="23" a="1"/>
  <c r="AC1379" i="23" s="1"/>
  <c r="AD1379" i="23"/>
  <c r="AE1379" i="23"/>
  <c r="AF1379" i="23" a="1"/>
  <c r="AF1379" i="23" s="1"/>
  <c r="X1380" i="23"/>
  <c r="Y1380" i="23"/>
  <c r="Z1380" i="23"/>
  <c r="AA1380" i="23" a="1"/>
  <c r="AA1380" i="23"/>
  <c r="AB1380" i="23"/>
  <c r="AC1380" i="23" a="1"/>
  <c r="AC1380" i="23" s="1"/>
  <c r="AD1380" i="23"/>
  <c r="AE1380" i="23"/>
  <c r="AF1380" i="23" a="1"/>
  <c r="AF1380" i="23" s="1"/>
  <c r="X1381" i="23"/>
  <c r="Y1381" i="23"/>
  <c r="Z1381" i="23"/>
  <c r="AA1381" i="23" a="1"/>
  <c r="AA1381" i="23" s="1"/>
  <c r="AB1381" i="23"/>
  <c r="AC1381" i="23" a="1"/>
  <c r="AC1381" i="23" s="1"/>
  <c r="AD1381" i="23"/>
  <c r="AE1381" i="23"/>
  <c r="AF1381" i="23" a="1"/>
  <c r="AF1381" i="23" s="1"/>
  <c r="X1382" i="23"/>
  <c r="Y1382" i="23"/>
  <c r="Z1382" i="23"/>
  <c r="AA1382" i="23" a="1"/>
  <c r="AA1382" i="23"/>
  <c r="AB1382" i="23"/>
  <c r="AC1382" i="23" a="1"/>
  <c r="AC1382" i="23" s="1"/>
  <c r="AD1382" i="23"/>
  <c r="AE1382" i="23"/>
  <c r="AF1382" i="23" a="1"/>
  <c r="AF1382" i="23" s="1"/>
  <c r="X1383" i="23"/>
  <c r="Y1383" i="23"/>
  <c r="Z1383" i="23"/>
  <c r="AA1383" i="23" a="1"/>
  <c r="AA1383" i="23" s="1"/>
  <c r="AB1383" i="23"/>
  <c r="AC1383" i="23" a="1"/>
  <c r="AC1383" i="23" s="1"/>
  <c r="AD1383" i="23"/>
  <c r="AE1383" i="23"/>
  <c r="AF1383" i="23" a="1"/>
  <c r="AF1383" i="23" s="1"/>
  <c r="X1384" i="23"/>
  <c r="Y1384" i="23"/>
  <c r="Z1384" i="23"/>
  <c r="AA1384" i="23" a="1"/>
  <c r="AA1384" i="23"/>
  <c r="AB1384" i="23"/>
  <c r="AC1384" i="23" a="1"/>
  <c r="AC1384" i="23" s="1"/>
  <c r="AD1384" i="23"/>
  <c r="AE1384" i="23"/>
  <c r="AF1384" i="23" a="1"/>
  <c r="AF1384" i="23" s="1"/>
  <c r="X1385" i="23"/>
  <c r="Y1385" i="23"/>
  <c r="Z1385" i="23"/>
  <c r="AA1385" i="23" a="1"/>
  <c r="AA1385" i="23" s="1"/>
  <c r="AB1385" i="23"/>
  <c r="AC1385" i="23" a="1"/>
  <c r="AC1385" i="23" s="1"/>
  <c r="AD1385" i="23"/>
  <c r="AE1385" i="23"/>
  <c r="AF1385" i="23" a="1"/>
  <c r="AF1385" i="23" s="1"/>
  <c r="X1386" i="23"/>
  <c r="Y1386" i="23"/>
  <c r="Z1386" i="23"/>
  <c r="AA1386" i="23" a="1"/>
  <c r="AA1386" i="23"/>
  <c r="AB1386" i="23"/>
  <c r="AC1386" i="23" a="1"/>
  <c r="AC1386" i="23" s="1"/>
  <c r="AD1386" i="23"/>
  <c r="AE1386" i="23"/>
  <c r="AF1386" i="23" a="1"/>
  <c r="AF1386" i="23" s="1"/>
  <c r="X1387" i="23"/>
  <c r="Y1387" i="23"/>
  <c r="Z1387" i="23"/>
  <c r="AA1387" i="23" a="1"/>
  <c r="AA1387" i="23" s="1"/>
  <c r="AB1387" i="23"/>
  <c r="AC1387" i="23" a="1"/>
  <c r="AC1387" i="23" s="1"/>
  <c r="AD1387" i="23"/>
  <c r="AE1387" i="23"/>
  <c r="AF1387" i="23" a="1"/>
  <c r="AF1387" i="23" s="1"/>
  <c r="X1388" i="23"/>
  <c r="Y1388" i="23"/>
  <c r="Z1388" i="23"/>
  <c r="AA1388" i="23" a="1"/>
  <c r="AA1388" i="23"/>
  <c r="AB1388" i="23"/>
  <c r="AC1388" i="23" a="1"/>
  <c r="AC1388" i="23" s="1"/>
  <c r="AD1388" i="23"/>
  <c r="AE1388" i="23"/>
  <c r="AF1388" i="23" a="1"/>
  <c r="AF1388" i="23" s="1"/>
  <c r="X1389" i="23"/>
  <c r="Y1389" i="23"/>
  <c r="Z1389" i="23"/>
  <c r="AA1389" i="23" a="1"/>
  <c r="AA1389" i="23" s="1"/>
  <c r="AB1389" i="23"/>
  <c r="AC1389" i="23" a="1"/>
  <c r="AC1389" i="23" s="1"/>
  <c r="AD1389" i="23"/>
  <c r="AE1389" i="23"/>
  <c r="AF1389" i="23" a="1"/>
  <c r="AF1389" i="23" s="1"/>
  <c r="X1390" i="23"/>
  <c r="Y1390" i="23"/>
  <c r="Z1390" i="23"/>
  <c r="AA1390" i="23" a="1"/>
  <c r="AA1390" i="23"/>
  <c r="AB1390" i="23"/>
  <c r="AC1390" i="23" a="1"/>
  <c r="AC1390" i="23" s="1"/>
  <c r="AD1390" i="23"/>
  <c r="AE1390" i="23"/>
  <c r="AF1390" i="23" a="1"/>
  <c r="AF1390" i="23" s="1"/>
  <c r="X1391" i="23"/>
  <c r="Y1391" i="23"/>
  <c r="Z1391" i="23"/>
  <c r="AA1391" i="23" a="1"/>
  <c r="AA1391" i="23" s="1"/>
  <c r="AB1391" i="23"/>
  <c r="AC1391" i="23" a="1"/>
  <c r="AC1391" i="23" s="1"/>
  <c r="AD1391" i="23"/>
  <c r="AE1391" i="23"/>
  <c r="AF1391" i="23" a="1"/>
  <c r="AF1391" i="23" s="1"/>
  <c r="X1392" i="23"/>
  <c r="Y1392" i="23"/>
  <c r="Z1392" i="23"/>
  <c r="AA1392" i="23" a="1"/>
  <c r="AA1392" i="23"/>
  <c r="AB1392" i="23"/>
  <c r="AC1392" i="23" a="1"/>
  <c r="AC1392" i="23" s="1"/>
  <c r="AD1392" i="23"/>
  <c r="AE1392" i="23"/>
  <c r="AF1392" i="23" a="1"/>
  <c r="AF1392" i="23" s="1"/>
  <c r="X1393" i="23"/>
  <c r="Y1393" i="23"/>
  <c r="Z1393" i="23"/>
  <c r="AA1393" i="23" a="1"/>
  <c r="AA1393" i="23" s="1"/>
  <c r="AB1393" i="23"/>
  <c r="AC1393" i="23" a="1"/>
  <c r="AC1393" i="23" s="1"/>
  <c r="AD1393" i="23"/>
  <c r="AE1393" i="23"/>
  <c r="AF1393" i="23" a="1"/>
  <c r="AF1393" i="23" s="1"/>
  <c r="X1394" i="23"/>
  <c r="Y1394" i="23"/>
  <c r="Z1394" i="23"/>
  <c r="AA1394" i="23" a="1"/>
  <c r="AA1394" i="23"/>
  <c r="AB1394" i="23"/>
  <c r="AC1394" i="23" a="1"/>
  <c r="AC1394" i="23"/>
  <c r="AD1394" i="23"/>
  <c r="AE1394" i="23"/>
  <c r="AF1394" i="23" a="1"/>
  <c r="AF1394" i="23" s="1"/>
  <c r="X1395" i="23"/>
  <c r="Y1395" i="23"/>
  <c r="Z1395" i="23"/>
  <c r="AA1395" i="23" a="1"/>
  <c r="AA1395" i="23" s="1"/>
  <c r="AB1395" i="23"/>
  <c r="AC1395" i="23" a="1"/>
  <c r="AC1395" i="23" s="1"/>
  <c r="AD1395" i="23"/>
  <c r="AE1395" i="23"/>
  <c r="AF1395" i="23" a="1"/>
  <c r="AF1395" i="23" s="1"/>
  <c r="X1396" i="23"/>
  <c r="Y1396" i="23"/>
  <c r="Z1396" i="23"/>
  <c r="AA1396" i="23" a="1"/>
  <c r="AA1396" i="23"/>
  <c r="AB1396" i="23"/>
  <c r="AC1396" i="23" a="1"/>
  <c r="AC1396" i="23" s="1"/>
  <c r="AD1396" i="23"/>
  <c r="AE1396" i="23"/>
  <c r="AF1396" i="23" a="1"/>
  <c r="AF1396" i="23" s="1"/>
  <c r="X1397" i="23"/>
  <c r="Y1397" i="23"/>
  <c r="Z1397" i="23"/>
  <c r="AA1397" i="23" a="1"/>
  <c r="AA1397" i="23" s="1"/>
  <c r="AB1397" i="23"/>
  <c r="AC1397" i="23" a="1"/>
  <c r="AC1397" i="23" s="1"/>
  <c r="AD1397" i="23"/>
  <c r="AE1397" i="23"/>
  <c r="AF1397" i="23" a="1"/>
  <c r="AF1397" i="23" s="1"/>
  <c r="X1398" i="23"/>
  <c r="Y1398" i="23"/>
  <c r="Z1398" i="23"/>
  <c r="AA1398" i="23" a="1"/>
  <c r="AA1398" i="23"/>
  <c r="AB1398" i="23"/>
  <c r="AC1398" i="23" a="1"/>
  <c r="AC1398" i="23" s="1"/>
  <c r="AD1398" i="23"/>
  <c r="AE1398" i="23"/>
  <c r="AF1398" i="23" a="1"/>
  <c r="AF1398" i="23" s="1"/>
  <c r="X1399" i="23"/>
  <c r="Y1399" i="23"/>
  <c r="Z1399" i="23"/>
  <c r="AA1399" i="23" a="1"/>
  <c r="AA1399" i="23" s="1"/>
  <c r="AB1399" i="23"/>
  <c r="AC1399" i="23" a="1"/>
  <c r="AC1399" i="23" s="1"/>
  <c r="AD1399" i="23"/>
  <c r="AE1399" i="23"/>
  <c r="AF1399" i="23" a="1"/>
  <c r="AF1399" i="23" s="1"/>
  <c r="X1400" i="23"/>
  <c r="Y1400" i="23"/>
  <c r="Z1400" i="23"/>
  <c r="AA1400" i="23" a="1"/>
  <c r="AA1400" i="23"/>
  <c r="AB1400" i="23"/>
  <c r="AC1400" i="23" a="1"/>
  <c r="AC1400" i="23" s="1"/>
  <c r="AD1400" i="23"/>
  <c r="AE1400" i="23"/>
  <c r="AF1400" i="23" a="1"/>
  <c r="AF1400" i="23" s="1"/>
  <c r="X1401" i="23"/>
  <c r="Y1401" i="23"/>
  <c r="Z1401" i="23"/>
  <c r="AA1401" i="23" a="1"/>
  <c r="AA1401" i="23" s="1"/>
  <c r="AB1401" i="23"/>
  <c r="AC1401" i="23" a="1"/>
  <c r="AC1401" i="23" s="1"/>
  <c r="AD1401" i="23"/>
  <c r="AE1401" i="23"/>
  <c r="AF1401" i="23" a="1"/>
  <c r="AF1401" i="23" s="1"/>
  <c r="X1402" i="23"/>
  <c r="Y1402" i="23"/>
  <c r="Z1402" i="23"/>
  <c r="AA1402" i="23" a="1"/>
  <c r="AA1402" i="23"/>
  <c r="AB1402" i="23"/>
  <c r="AC1402" i="23" a="1"/>
  <c r="AC1402" i="23"/>
  <c r="AD1402" i="23"/>
  <c r="AE1402" i="23"/>
  <c r="AF1402" i="23" a="1"/>
  <c r="AF1402" i="23" s="1"/>
  <c r="X1403" i="23"/>
  <c r="Y1403" i="23"/>
  <c r="Z1403" i="23"/>
  <c r="AA1403" i="23" a="1"/>
  <c r="AA1403" i="23" s="1"/>
  <c r="AB1403" i="23"/>
  <c r="AC1403" i="23" a="1"/>
  <c r="AC1403" i="23" s="1"/>
  <c r="AD1403" i="23"/>
  <c r="AE1403" i="23"/>
  <c r="AF1403" i="23" a="1"/>
  <c r="AF1403" i="23" s="1"/>
  <c r="X1404" i="23"/>
  <c r="Y1404" i="23"/>
  <c r="Z1404" i="23"/>
  <c r="AA1404" i="23" a="1"/>
  <c r="AA1404" i="23"/>
  <c r="AB1404" i="23"/>
  <c r="AC1404" i="23" a="1"/>
  <c r="AC1404" i="23" s="1"/>
  <c r="AD1404" i="23"/>
  <c r="AE1404" i="23"/>
  <c r="AF1404" i="23" a="1"/>
  <c r="AF1404" i="23" s="1"/>
  <c r="X1405" i="23"/>
  <c r="Y1405" i="23"/>
  <c r="Z1405" i="23"/>
  <c r="AA1405" i="23" a="1"/>
  <c r="AA1405" i="23" s="1"/>
  <c r="AB1405" i="23"/>
  <c r="AC1405" i="23" a="1"/>
  <c r="AC1405" i="23" s="1"/>
  <c r="AD1405" i="23"/>
  <c r="AE1405" i="23"/>
  <c r="AF1405" i="23" a="1"/>
  <c r="AF1405" i="23" s="1"/>
  <c r="X1406" i="23"/>
  <c r="Y1406" i="23"/>
  <c r="Z1406" i="23"/>
  <c r="AA1406" i="23" a="1"/>
  <c r="AA1406" i="23"/>
  <c r="AB1406" i="23"/>
  <c r="AC1406" i="23" a="1"/>
  <c r="AC1406" i="23" s="1"/>
  <c r="AD1406" i="23"/>
  <c r="AE1406" i="23"/>
  <c r="AF1406" i="23" a="1"/>
  <c r="AF1406" i="23" s="1"/>
  <c r="X1407" i="23"/>
  <c r="Y1407" i="23"/>
  <c r="Z1407" i="23"/>
  <c r="AA1407" i="23" a="1"/>
  <c r="AA1407" i="23" s="1"/>
  <c r="AB1407" i="23"/>
  <c r="AC1407" i="23" a="1"/>
  <c r="AC1407" i="23" s="1"/>
  <c r="AD1407" i="23"/>
  <c r="AE1407" i="23"/>
  <c r="AF1407" i="23" a="1"/>
  <c r="AF1407" i="23" s="1"/>
  <c r="X1408" i="23"/>
  <c r="Y1408" i="23"/>
  <c r="Z1408" i="23"/>
  <c r="AA1408" i="23" a="1"/>
  <c r="AA1408" i="23"/>
  <c r="AB1408" i="23"/>
  <c r="AC1408" i="23" a="1"/>
  <c r="AC1408" i="23" s="1"/>
  <c r="AD1408" i="23"/>
  <c r="AE1408" i="23"/>
  <c r="AF1408" i="23" a="1"/>
  <c r="AF1408" i="23" s="1"/>
  <c r="X1409" i="23"/>
  <c r="Y1409" i="23"/>
  <c r="Z1409" i="23"/>
  <c r="AA1409" i="23" a="1"/>
  <c r="AA1409" i="23" s="1"/>
  <c r="AB1409" i="23"/>
  <c r="AC1409" i="23" a="1"/>
  <c r="AC1409" i="23" s="1"/>
  <c r="AD1409" i="23"/>
  <c r="AE1409" i="23"/>
  <c r="AF1409" i="23" a="1"/>
  <c r="AF1409" i="23" s="1"/>
  <c r="X1410" i="23"/>
  <c r="Y1410" i="23"/>
  <c r="Z1410" i="23"/>
  <c r="AA1410" i="23" a="1"/>
  <c r="AA1410" i="23"/>
  <c r="AB1410" i="23"/>
  <c r="AC1410" i="23" a="1"/>
  <c r="AC1410" i="23"/>
  <c r="AD1410" i="23"/>
  <c r="AE1410" i="23"/>
  <c r="AF1410" i="23" a="1"/>
  <c r="AF1410" i="23" s="1"/>
  <c r="X1411" i="23"/>
  <c r="Y1411" i="23"/>
  <c r="Z1411" i="23"/>
  <c r="AA1411" i="23" a="1"/>
  <c r="AA1411" i="23" s="1"/>
  <c r="AB1411" i="23"/>
  <c r="AC1411" i="23" a="1"/>
  <c r="AC1411" i="23" s="1"/>
  <c r="AD1411" i="23"/>
  <c r="AE1411" i="23"/>
  <c r="AF1411" i="23" a="1"/>
  <c r="AF1411" i="23" s="1"/>
  <c r="X1412" i="23"/>
  <c r="Y1412" i="23"/>
  <c r="Z1412" i="23"/>
  <c r="AA1412" i="23" a="1"/>
  <c r="AA1412" i="23"/>
  <c r="AB1412" i="23"/>
  <c r="AC1412" i="23" a="1"/>
  <c r="AC1412" i="23" s="1"/>
  <c r="AD1412" i="23"/>
  <c r="AE1412" i="23"/>
  <c r="AF1412" i="23" a="1"/>
  <c r="AF1412" i="23" s="1"/>
  <c r="X1413" i="23"/>
  <c r="Y1413" i="23"/>
  <c r="Z1413" i="23"/>
  <c r="AA1413" i="23" a="1"/>
  <c r="AA1413" i="23" s="1"/>
  <c r="AB1413" i="23"/>
  <c r="AC1413" i="23" a="1"/>
  <c r="AC1413" i="23" s="1"/>
  <c r="AD1413" i="23"/>
  <c r="AE1413" i="23"/>
  <c r="AF1413" i="23" a="1"/>
  <c r="AF1413" i="23" s="1"/>
  <c r="X1414" i="23"/>
  <c r="Y1414" i="23"/>
  <c r="Z1414" i="23"/>
  <c r="AA1414" i="23" a="1"/>
  <c r="AA1414" i="23"/>
  <c r="AB1414" i="23"/>
  <c r="AC1414" i="23" a="1"/>
  <c r="AC1414" i="23" s="1"/>
  <c r="AD1414" i="23"/>
  <c r="AE1414" i="23"/>
  <c r="AF1414" i="23" a="1"/>
  <c r="AF1414" i="23" s="1"/>
  <c r="X1415" i="23"/>
  <c r="Y1415" i="23"/>
  <c r="Z1415" i="23"/>
  <c r="AA1415" i="23" a="1"/>
  <c r="AA1415" i="23" s="1"/>
  <c r="AB1415" i="23"/>
  <c r="AC1415" i="23" a="1"/>
  <c r="AC1415" i="23" s="1"/>
  <c r="AD1415" i="23"/>
  <c r="AE1415" i="23"/>
  <c r="AF1415" i="23" a="1"/>
  <c r="AF1415" i="23" s="1"/>
  <c r="X1416" i="23"/>
  <c r="Y1416" i="23"/>
  <c r="Z1416" i="23"/>
  <c r="AA1416" i="23" a="1"/>
  <c r="AA1416" i="23"/>
  <c r="AB1416" i="23"/>
  <c r="AC1416" i="23" a="1"/>
  <c r="AC1416" i="23" s="1"/>
  <c r="AD1416" i="23"/>
  <c r="AE1416" i="23"/>
  <c r="AF1416" i="23" a="1"/>
  <c r="AF1416" i="23" s="1"/>
  <c r="X1417" i="23"/>
  <c r="Y1417" i="23"/>
  <c r="Z1417" i="23"/>
  <c r="AA1417" i="23" a="1"/>
  <c r="AA1417" i="23" s="1"/>
  <c r="AB1417" i="23"/>
  <c r="AC1417" i="23" a="1"/>
  <c r="AC1417" i="23" s="1"/>
  <c r="AD1417" i="23"/>
  <c r="AE1417" i="23"/>
  <c r="AF1417" i="23" a="1"/>
  <c r="AF1417" i="23" s="1"/>
  <c r="X1418" i="23"/>
  <c r="Y1418" i="23"/>
  <c r="Z1418" i="23"/>
  <c r="AA1418" i="23" a="1"/>
  <c r="AA1418" i="23"/>
  <c r="AB1418" i="23"/>
  <c r="AC1418" i="23" a="1"/>
  <c r="AC1418" i="23"/>
  <c r="AD1418" i="23"/>
  <c r="AE1418" i="23"/>
  <c r="AF1418" i="23" a="1"/>
  <c r="AF1418" i="23" s="1"/>
  <c r="X1419" i="23"/>
  <c r="Y1419" i="23"/>
  <c r="Z1419" i="23"/>
  <c r="AA1419" i="23" a="1"/>
  <c r="AA1419" i="23" s="1"/>
  <c r="AB1419" i="23"/>
  <c r="AC1419" i="23" a="1"/>
  <c r="AC1419" i="23" s="1"/>
  <c r="AD1419" i="23"/>
  <c r="AE1419" i="23"/>
  <c r="AF1419" i="23" a="1"/>
  <c r="AF1419" i="23" s="1"/>
  <c r="X1420" i="23"/>
  <c r="Y1420" i="23"/>
  <c r="Z1420" i="23"/>
  <c r="AA1420" i="23" a="1"/>
  <c r="AA1420" i="23"/>
  <c r="AB1420" i="23"/>
  <c r="AC1420" i="23" a="1"/>
  <c r="AC1420" i="23" s="1"/>
  <c r="AD1420" i="23"/>
  <c r="AE1420" i="23"/>
  <c r="AF1420" i="23" a="1"/>
  <c r="AF1420" i="23" s="1"/>
  <c r="X1421" i="23"/>
  <c r="Y1421" i="23"/>
  <c r="Z1421" i="23"/>
  <c r="AA1421" i="23" a="1"/>
  <c r="AA1421" i="23" s="1"/>
  <c r="AB1421" i="23"/>
  <c r="AC1421" i="23" a="1"/>
  <c r="AC1421" i="23" s="1"/>
  <c r="AD1421" i="23"/>
  <c r="AE1421" i="23"/>
  <c r="AF1421" i="23" a="1"/>
  <c r="AF1421" i="23" s="1"/>
  <c r="X1422" i="23"/>
  <c r="Y1422" i="23"/>
  <c r="Z1422" i="23"/>
  <c r="AA1422" i="23" a="1"/>
  <c r="AA1422" i="23"/>
  <c r="AB1422" i="23"/>
  <c r="AC1422" i="23" a="1"/>
  <c r="AC1422" i="23" s="1"/>
  <c r="AD1422" i="23"/>
  <c r="AE1422" i="23"/>
  <c r="AF1422" i="23" a="1"/>
  <c r="AF1422" i="23" s="1"/>
  <c r="X1423" i="23"/>
  <c r="Y1423" i="23"/>
  <c r="Z1423" i="23"/>
  <c r="AA1423" i="23" a="1"/>
  <c r="AA1423" i="23" s="1"/>
  <c r="AB1423" i="23"/>
  <c r="AC1423" i="23" a="1"/>
  <c r="AC1423" i="23" s="1"/>
  <c r="AD1423" i="23"/>
  <c r="AE1423" i="23"/>
  <c r="AF1423" i="23" a="1"/>
  <c r="AF1423" i="23" s="1"/>
  <c r="X1424" i="23"/>
  <c r="Y1424" i="23"/>
  <c r="Z1424" i="23"/>
  <c r="AA1424" i="23" a="1"/>
  <c r="AA1424" i="23"/>
  <c r="AB1424" i="23"/>
  <c r="AC1424" i="23" a="1"/>
  <c r="AC1424" i="23" s="1"/>
  <c r="AD1424" i="23"/>
  <c r="AE1424" i="23"/>
  <c r="AF1424" i="23" a="1"/>
  <c r="AF1424" i="23" s="1"/>
  <c r="X1425" i="23"/>
  <c r="Y1425" i="23"/>
  <c r="Z1425" i="23"/>
  <c r="AA1425" i="23" a="1"/>
  <c r="AA1425" i="23" s="1"/>
  <c r="AB1425" i="23"/>
  <c r="AC1425" i="23" a="1"/>
  <c r="AC1425" i="23" s="1"/>
  <c r="AD1425" i="23"/>
  <c r="AE1425" i="23"/>
  <c r="AF1425" i="23" a="1"/>
  <c r="AF1425" i="23" s="1"/>
  <c r="X1426" i="23"/>
  <c r="Y1426" i="23"/>
  <c r="Z1426" i="23"/>
  <c r="AA1426" i="23" a="1"/>
  <c r="AA1426" i="23"/>
  <c r="AB1426" i="23"/>
  <c r="AC1426" i="23" a="1"/>
  <c r="AC1426" i="23"/>
  <c r="AD1426" i="23"/>
  <c r="AE1426" i="23"/>
  <c r="AF1426" i="23" a="1"/>
  <c r="AF1426" i="23" s="1"/>
  <c r="X1427" i="23"/>
  <c r="Y1427" i="23"/>
  <c r="Z1427" i="23"/>
  <c r="AA1427" i="23" a="1"/>
  <c r="AA1427" i="23" s="1"/>
  <c r="AB1427" i="23"/>
  <c r="AC1427" i="23" a="1"/>
  <c r="AC1427" i="23" s="1"/>
  <c r="AD1427" i="23"/>
  <c r="AE1427" i="23"/>
  <c r="AF1427" i="23" a="1"/>
  <c r="AF1427" i="23" s="1"/>
  <c r="X1428" i="23"/>
  <c r="Y1428" i="23"/>
  <c r="Z1428" i="23"/>
  <c r="AA1428" i="23" a="1"/>
  <c r="AA1428" i="23"/>
  <c r="AB1428" i="23"/>
  <c r="AC1428" i="23" a="1"/>
  <c r="AC1428" i="23" s="1"/>
  <c r="AD1428" i="23"/>
  <c r="AE1428" i="23"/>
  <c r="AF1428" i="23" a="1"/>
  <c r="AF1428" i="23" s="1"/>
  <c r="X1429" i="23"/>
  <c r="Y1429" i="23"/>
  <c r="Z1429" i="23"/>
  <c r="AA1429" i="23" a="1"/>
  <c r="AA1429" i="23" s="1"/>
  <c r="AB1429" i="23"/>
  <c r="AC1429" i="23" a="1"/>
  <c r="AC1429" i="23" s="1"/>
  <c r="AD1429" i="23"/>
  <c r="AE1429" i="23"/>
  <c r="AF1429" i="23" a="1"/>
  <c r="AF1429" i="23" s="1"/>
  <c r="X1430" i="23"/>
  <c r="Y1430" i="23"/>
  <c r="Z1430" i="23"/>
  <c r="AA1430" i="23" a="1"/>
  <c r="AA1430" i="23"/>
  <c r="AB1430" i="23"/>
  <c r="AC1430" i="23" a="1"/>
  <c r="AC1430" i="23" s="1"/>
  <c r="AD1430" i="23"/>
  <c r="AE1430" i="23"/>
  <c r="AF1430" i="23" a="1"/>
  <c r="AF1430" i="23" s="1"/>
  <c r="X1431" i="23"/>
  <c r="Y1431" i="23"/>
  <c r="Z1431" i="23"/>
  <c r="AA1431" i="23" a="1"/>
  <c r="AA1431" i="23" s="1"/>
  <c r="AB1431" i="23"/>
  <c r="AC1431" i="23" a="1"/>
  <c r="AC1431" i="23" s="1"/>
  <c r="AD1431" i="23"/>
  <c r="AE1431" i="23"/>
  <c r="AF1431" i="23" a="1"/>
  <c r="AF1431" i="23" s="1"/>
  <c r="X1432" i="23"/>
  <c r="Y1432" i="23"/>
  <c r="Z1432" i="23"/>
  <c r="AA1432" i="23" a="1"/>
  <c r="AA1432" i="23"/>
  <c r="AB1432" i="23"/>
  <c r="AC1432" i="23" a="1"/>
  <c r="AC1432" i="23" s="1"/>
  <c r="AD1432" i="23"/>
  <c r="AE1432" i="23"/>
  <c r="AF1432" i="23" a="1"/>
  <c r="AF1432" i="23" s="1"/>
  <c r="X1433" i="23"/>
  <c r="Y1433" i="23"/>
  <c r="Z1433" i="23"/>
  <c r="AA1433" i="23" a="1"/>
  <c r="AA1433" i="23" s="1"/>
  <c r="AB1433" i="23"/>
  <c r="AC1433" i="23" a="1"/>
  <c r="AC1433" i="23" s="1"/>
  <c r="AD1433" i="23"/>
  <c r="AE1433" i="23"/>
  <c r="AF1433" i="23" a="1"/>
  <c r="AF1433" i="23" s="1"/>
  <c r="X1434" i="23"/>
  <c r="Y1434" i="23"/>
  <c r="Z1434" i="23"/>
  <c r="AA1434" i="23" a="1"/>
  <c r="AA1434" i="23"/>
  <c r="AB1434" i="23"/>
  <c r="AC1434" i="23" a="1"/>
  <c r="AC1434" i="23"/>
  <c r="AD1434" i="23"/>
  <c r="AE1434" i="23"/>
  <c r="AF1434" i="23" a="1"/>
  <c r="AF1434" i="23" s="1"/>
  <c r="X1435" i="23"/>
  <c r="Y1435" i="23"/>
  <c r="Z1435" i="23"/>
  <c r="AA1435" i="23" a="1"/>
  <c r="AA1435" i="23" s="1"/>
  <c r="AB1435" i="23"/>
  <c r="AC1435" i="23" a="1"/>
  <c r="AC1435" i="23" s="1"/>
  <c r="AD1435" i="23"/>
  <c r="AE1435" i="23"/>
  <c r="AF1435" i="23" a="1"/>
  <c r="AF1435" i="23" s="1"/>
  <c r="X1436" i="23"/>
  <c r="Y1436" i="23"/>
  <c r="Z1436" i="23"/>
  <c r="AA1436" i="23" a="1"/>
  <c r="AA1436" i="23"/>
  <c r="AB1436" i="23"/>
  <c r="AC1436" i="23" a="1"/>
  <c r="AC1436" i="23" s="1"/>
  <c r="AD1436" i="23"/>
  <c r="AE1436" i="23"/>
  <c r="AF1436" i="23" a="1"/>
  <c r="AF1436" i="23" s="1"/>
  <c r="X1437" i="23"/>
  <c r="Y1437" i="23"/>
  <c r="Z1437" i="23"/>
  <c r="AA1437" i="23" a="1"/>
  <c r="AA1437" i="23" s="1"/>
  <c r="AB1437" i="23"/>
  <c r="AC1437" i="23" a="1"/>
  <c r="AC1437" i="23" s="1"/>
  <c r="AD1437" i="23"/>
  <c r="AE1437" i="23"/>
  <c r="AF1437" i="23" a="1"/>
  <c r="AF1437" i="23" s="1"/>
  <c r="X1438" i="23"/>
  <c r="Y1438" i="23"/>
  <c r="Z1438" i="23"/>
  <c r="AA1438" i="23" a="1"/>
  <c r="AA1438" i="23"/>
  <c r="AB1438" i="23"/>
  <c r="AC1438" i="23" a="1"/>
  <c r="AC1438" i="23" s="1"/>
  <c r="AD1438" i="23"/>
  <c r="AE1438" i="23"/>
  <c r="AF1438" i="23" a="1"/>
  <c r="AF1438" i="23" s="1"/>
  <c r="X1439" i="23"/>
  <c r="Y1439" i="23"/>
  <c r="Z1439" i="23"/>
  <c r="AA1439" i="23" a="1"/>
  <c r="AA1439" i="23" s="1"/>
  <c r="AB1439" i="23"/>
  <c r="AC1439" i="23" a="1"/>
  <c r="AC1439" i="23" s="1"/>
  <c r="AD1439" i="23"/>
  <c r="AE1439" i="23"/>
  <c r="AF1439" i="23" a="1"/>
  <c r="AF1439" i="23" s="1"/>
  <c r="X1440" i="23"/>
  <c r="Y1440" i="23"/>
  <c r="Z1440" i="23"/>
  <c r="AA1440" i="23" a="1"/>
  <c r="AA1440" i="23"/>
  <c r="AB1440" i="23"/>
  <c r="AC1440" i="23" a="1"/>
  <c r="AC1440" i="23" s="1"/>
  <c r="AD1440" i="23"/>
  <c r="AE1440" i="23"/>
  <c r="AF1440" i="23" a="1"/>
  <c r="AF1440" i="23" s="1"/>
  <c r="X1441" i="23"/>
  <c r="Y1441" i="23"/>
  <c r="Z1441" i="23"/>
  <c r="AA1441" i="23" a="1"/>
  <c r="AA1441" i="23" s="1"/>
  <c r="AB1441" i="23"/>
  <c r="AC1441" i="23" a="1"/>
  <c r="AC1441" i="23" s="1"/>
  <c r="AD1441" i="23"/>
  <c r="AE1441" i="23"/>
  <c r="AF1441" i="23" a="1"/>
  <c r="AF1441" i="23" s="1"/>
  <c r="X1442" i="23"/>
  <c r="Y1442" i="23"/>
  <c r="Z1442" i="23"/>
  <c r="AA1442" i="23" a="1"/>
  <c r="AA1442" i="23"/>
  <c r="AB1442" i="23"/>
  <c r="AC1442" i="23" a="1"/>
  <c r="AC1442" i="23"/>
  <c r="AD1442" i="23"/>
  <c r="AE1442" i="23"/>
  <c r="AF1442" i="23" a="1"/>
  <c r="AF1442" i="23" s="1"/>
  <c r="X1443" i="23"/>
  <c r="Y1443" i="23"/>
  <c r="Z1443" i="23"/>
  <c r="AA1443" i="23" a="1"/>
  <c r="AA1443" i="23" s="1"/>
  <c r="AB1443" i="23"/>
  <c r="AC1443" i="23" a="1"/>
  <c r="AC1443" i="23" s="1"/>
  <c r="AD1443" i="23"/>
  <c r="AE1443" i="23"/>
  <c r="AF1443" i="23" a="1"/>
  <c r="AF1443" i="23" s="1"/>
  <c r="X1444" i="23"/>
  <c r="Y1444" i="23"/>
  <c r="Z1444" i="23"/>
  <c r="AA1444" i="23" a="1"/>
  <c r="AA1444" i="23"/>
  <c r="AB1444" i="23"/>
  <c r="AC1444" i="23" a="1"/>
  <c r="AC1444" i="23" s="1"/>
  <c r="AD1444" i="23"/>
  <c r="AE1444" i="23"/>
  <c r="AF1444" i="23" a="1"/>
  <c r="AF1444" i="23" s="1"/>
  <c r="X1445" i="23"/>
  <c r="Y1445" i="23"/>
  <c r="Z1445" i="23"/>
  <c r="AA1445" i="23" a="1"/>
  <c r="AA1445" i="23" s="1"/>
  <c r="AB1445" i="23"/>
  <c r="AC1445" i="23" a="1"/>
  <c r="AC1445" i="23" s="1"/>
  <c r="AD1445" i="23"/>
  <c r="AE1445" i="23"/>
  <c r="AF1445" i="23" a="1"/>
  <c r="AF1445" i="23" s="1"/>
  <c r="X1446" i="23"/>
  <c r="Y1446" i="23"/>
  <c r="Z1446" i="23"/>
  <c r="AA1446" i="23" a="1"/>
  <c r="AA1446" i="23"/>
  <c r="AB1446" i="23"/>
  <c r="AC1446" i="23" a="1"/>
  <c r="AC1446" i="23" s="1"/>
  <c r="AD1446" i="23"/>
  <c r="AE1446" i="23"/>
  <c r="AF1446" i="23" a="1"/>
  <c r="AF1446" i="23" s="1"/>
  <c r="X1447" i="23"/>
  <c r="Y1447" i="23"/>
  <c r="Z1447" i="23"/>
  <c r="AA1447" i="23" a="1"/>
  <c r="AA1447" i="23" s="1"/>
  <c r="AB1447" i="23"/>
  <c r="AC1447" i="23" a="1"/>
  <c r="AC1447" i="23" s="1"/>
  <c r="AD1447" i="23"/>
  <c r="AE1447" i="23"/>
  <c r="AF1447" i="23" a="1"/>
  <c r="AF1447" i="23" s="1"/>
  <c r="X1448" i="23"/>
  <c r="Y1448" i="23"/>
  <c r="Z1448" i="23"/>
  <c r="AA1448" i="23" a="1"/>
  <c r="AA1448" i="23"/>
  <c r="AB1448" i="23"/>
  <c r="AC1448" i="23" a="1"/>
  <c r="AC1448" i="23" s="1"/>
  <c r="AD1448" i="23"/>
  <c r="AE1448" i="23"/>
  <c r="AF1448" i="23" a="1"/>
  <c r="AF1448" i="23" s="1"/>
  <c r="X1449" i="23"/>
  <c r="Y1449" i="23"/>
  <c r="Z1449" i="23"/>
  <c r="AA1449" i="23" a="1"/>
  <c r="AA1449" i="23" s="1"/>
  <c r="AB1449" i="23"/>
  <c r="AC1449" i="23" a="1"/>
  <c r="AC1449" i="23" s="1"/>
  <c r="AD1449" i="23"/>
  <c r="AE1449" i="23"/>
  <c r="AF1449" i="23" a="1"/>
  <c r="AF1449" i="23" s="1"/>
  <c r="X1450" i="23"/>
  <c r="Y1450" i="23"/>
  <c r="Z1450" i="23"/>
  <c r="AA1450" i="23" a="1"/>
  <c r="AA1450" i="23"/>
  <c r="AB1450" i="23"/>
  <c r="AC1450" i="23" a="1"/>
  <c r="AC1450" i="23"/>
  <c r="AD1450" i="23"/>
  <c r="AE1450" i="23"/>
  <c r="AF1450" i="23" a="1"/>
  <c r="AF1450" i="23" s="1"/>
  <c r="X1451" i="23"/>
  <c r="Y1451" i="23"/>
  <c r="Z1451" i="23"/>
  <c r="AA1451" i="23" a="1"/>
  <c r="AA1451" i="23" s="1"/>
  <c r="AB1451" i="23"/>
  <c r="AC1451" i="23" a="1"/>
  <c r="AC1451" i="23" s="1"/>
  <c r="AD1451" i="23"/>
  <c r="AE1451" i="23"/>
  <c r="AF1451" i="23" a="1"/>
  <c r="AF1451" i="23" s="1"/>
  <c r="X1452" i="23"/>
  <c r="Y1452" i="23"/>
  <c r="Z1452" i="23"/>
  <c r="AA1452" i="23" a="1"/>
  <c r="AA1452" i="23"/>
  <c r="AB1452" i="23"/>
  <c r="AC1452" i="23" a="1"/>
  <c r="AC1452" i="23" s="1"/>
  <c r="AD1452" i="23"/>
  <c r="AE1452" i="23"/>
  <c r="AF1452" i="23" a="1"/>
  <c r="AF1452" i="23" s="1"/>
  <c r="X1453" i="23"/>
  <c r="Y1453" i="23"/>
  <c r="Z1453" i="23"/>
  <c r="AA1453" i="23" a="1"/>
  <c r="AA1453" i="23" s="1"/>
  <c r="AB1453" i="23"/>
  <c r="AC1453" i="23" a="1"/>
  <c r="AC1453" i="23" s="1"/>
  <c r="AD1453" i="23"/>
  <c r="AE1453" i="23"/>
  <c r="AF1453" i="23" a="1"/>
  <c r="AF1453" i="23" s="1"/>
  <c r="X1454" i="23"/>
  <c r="Y1454" i="23"/>
  <c r="Z1454" i="23"/>
  <c r="AA1454" i="23" a="1"/>
  <c r="AA1454" i="23" s="1"/>
  <c r="AB1454" i="23"/>
  <c r="AC1454" i="23" a="1"/>
  <c r="AC1454" i="23"/>
  <c r="AD1454" i="23"/>
  <c r="AE1454" i="23"/>
  <c r="AF1454" i="23" a="1"/>
  <c r="AF1454" i="23" s="1"/>
  <c r="X1455" i="23"/>
  <c r="Y1455" i="23"/>
  <c r="Z1455" i="23"/>
  <c r="AA1455" i="23" a="1"/>
  <c r="AA1455" i="23" s="1"/>
  <c r="AB1455" i="23"/>
  <c r="AC1455" i="23" a="1"/>
  <c r="AC1455" i="23" s="1"/>
  <c r="AD1455" i="23"/>
  <c r="AE1455" i="23"/>
  <c r="AF1455" i="23" a="1"/>
  <c r="AF1455" i="23" s="1"/>
  <c r="X1456" i="23"/>
  <c r="Y1456" i="23"/>
  <c r="Z1456" i="23"/>
  <c r="AA1456" i="23" a="1"/>
  <c r="AA1456" i="23" s="1"/>
  <c r="AB1456" i="23"/>
  <c r="AC1456" i="23" a="1"/>
  <c r="AC1456" i="23" s="1"/>
  <c r="AD1456" i="23"/>
  <c r="AE1456" i="23"/>
  <c r="AF1456" i="23" a="1"/>
  <c r="AF1456" i="23" s="1"/>
  <c r="X1457" i="23"/>
  <c r="Y1457" i="23"/>
  <c r="Z1457" i="23"/>
  <c r="AA1457" i="23" a="1"/>
  <c r="AA1457" i="23" s="1"/>
  <c r="AB1457" i="23"/>
  <c r="AC1457" i="23" a="1"/>
  <c r="AC1457" i="23" s="1"/>
  <c r="AD1457" i="23"/>
  <c r="AE1457" i="23"/>
  <c r="AF1457" i="23" a="1"/>
  <c r="AF1457" i="23" s="1"/>
  <c r="X1458" i="23"/>
  <c r="Y1458" i="23"/>
  <c r="Z1458" i="23"/>
  <c r="AA1458" i="23" a="1"/>
  <c r="AA1458" i="23" s="1"/>
  <c r="AB1458" i="23"/>
  <c r="AC1458" i="23" a="1"/>
  <c r="AC1458" i="23"/>
  <c r="AD1458" i="23"/>
  <c r="AE1458" i="23"/>
  <c r="AF1458" i="23" a="1"/>
  <c r="AF1458" i="23" s="1"/>
  <c r="X1459" i="23"/>
  <c r="Y1459" i="23"/>
  <c r="Z1459" i="23"/>
  <c r="AA1459" i="23" a="1"/>
  <c r="AA1459" i="23" s="1"/>
  <c r="AB1459" i="23"/>
  <c r="AC1459" i="23" a="1"/>
  <c r="AC1459" i="23" s="1"/>
  <c r="AD1459" i="23"/>
  <c r="AE1459" i="23"/>
  <c r="AF1459" i="23" a="1"/>
  <c r="AF1459" i="23" s="1"/>
  <c r="X1460" i="23"/>
  <c r="Y1460" i="23"/>
  <c r="Z1460" i="23"/>
  <c r="AA1460" i="23" a="1"/>
  <c r="AA1460" i="23" s="1"/>
  <c r="AB1460" i="23"/>
  <c r="AC1460" i="23" a="1"/>
  <c r="AC1460" i="23" s="1"/>
  <c r="AD1460" i="23"/>
  <c r="AE1460" i="23"/>
  <c r="AF1460" i="23" a="1"/>
  <c r="AF1460" i="23" s="1"/>
  <c r="X1461" i="23"/>
  <c r="Y1461" i="23"/>
  <c r="Z1461" i="23"/>
  <c r="AA1461" i="23" a="1"/>
  <c r="AA1461" i="23" s="1"/>
  <c r="AB1461" i="23"/>
  <c r="AC1461" i="23" a="1"/>
  <c r="AC1461" i="23" s="1"/>
  <c r="AD1461" i="23"/>
  <c r="AE1461" i="23"/>
  <c r="AF1461" i="23" a="1"/>
  <c r="AF1461" i="23" s="1"/>
  <c r="X1462" i="23"/>
  <c r="Y1462" i="23"/>
  <c r="Z1462" i="23"/>
  <c r="AA1462" i="23" a="1"/>
  <c r="AA1462" i="23" s="1"/>
  <c r="AB1462" i="23"/>
  <c r="AC1462" i="23" a="1"/>
  <c r="AC1462" i="23"/>
  <c r="AD1462" i="23"/>
  <c r="AE1462" i="23"/>
  <c r="AF1462" i="23" a="1"/>
  <c r="AF1462" i="23" s="1"/>
  <c r="X1463" i="23"/>
  <c r="Y1463" i="23"/>
  <c r="Z1463" i="23"/>
  <c r="AA1463" i="23" a="1"/>
  <c r="AA1463" i="23" s="1"/>
  <c r="AB1463" i="23"/>
  <c r="AC1463" i="23" a="1"/>
  <c r="AC1463" i="23" s="1"/>
  <c r="AD1463" i="23"/>
  <c r="AE1463" i="23"/>
  <c r="AF1463" i="23" a="1"/>
  <c r="AF1463" i="23" s="1"/>
  <c r="X1464" i="23"/>
  <c r="Y1464" i="23"/>
  <c r="Z1464" i="23"/>
  <c r="AA1464" i="23" a="1"/>
  <c r="AA1464" i="23" s="1"/>
  <c r="AB1464" i="23"/>
  <c r="AC1464" i="23" a="1"/>
  <c r="AC1464" i="23" s="1"/>
  <c r="AD1464" i="23"/>
  <c r="AE1464" i="23"/>
  <c r="AF1464" i="23" a="1"/>
  <c r="AF1464" i="23" s="1"/>
  <c r="X1465" i="23"/>
  <c r="Y1465" i="23"/>
  <c r="Z1465" i="23"/>
  <c r="AA1465" i="23" a="1"/>
  <c r="AA1465" i="23" s="1"/>
  <c r="AB1465" i="23"/>
  <c r="AC1465" i="23" a="1"/>
  <c r="AC1465" i="23" s="1"/>
  <c r="AD1465" i="23"/>
  <c r="AE1465" i="23"/>
  <c r="AF1465" i="23" a="1"/>
  <c r="AF1465" i="23" s="1"/>
  <c r="X1466" i="23"/>
  <c r="Y1466" i="23"/>
  <c r="Z1466" i="23"/>
  <c r="AA1466" i="23" a="1"/>
  <c r="AA1466" i="23" s="1"/>
  <c r="AB1466" i="23"/>
  <c r="AC1466" i="23" a="1"/>
  <c r="AC1466" i="23" s="1"/>
  <c r="AD1466" i="23"/>
  <c r="AE1466" i="23"/>
  <c r="AF1466" i="23" a="1"/>
  <c r="AF1466" i="23" s="1"/>
  <c r="X1467" i="23"/>
  <c r="Y1467" i="23"/>
  <c r="Z1467" i="23"/>
  <c r="AA1467" i="23" a="1"/>
  <c r="AA1467" i="23" s="1"/>
  <c r="AB1467" i="23"/>
  <c r="AC1467" i="23" a="1"/>
  <c r="AC1467" i="23" s="1"/>
  <c r="AD1467" i="23"/>
  <c r="AE1467" i="23"/>
  <c r="AF1467" i="23" a="1"/>
  <c r="AF1467" i="23" s="1"/>
  <c r="X1468" i="23"/>
  <c r="Y1468" i="23"/>
  <c r="Z1468" i="23"/>
  <c r="AA1468" i="23" a="1"/>
  <c r="AA1468" i="23" s="1"/>
  <c r="AB1468" i="23"/>
  <c r="AC1468" i="23" a="1"/>
  <c r="AC1468" i="23" s="1"/>
  <c r="AD1468" i="23"/>
  <c r="AE1468" i="23"/>
  <c r="AF1468" i="23" a="1"/>
  <c r="AF1468" i="23" s="1"/>
  <c r="X1469" i="23"/>
  <c r="Y1469" i="23"/>
  <c r="Z1469" i="23"/>
  <c r="AA1469" i="23" a="1"/>
  <c r="AA1469" i="23" s="1"/>
  <c r="AB1469" i="23"/>
  <c r="AC1469" i="23" a="1"/>
  <c r="AC1469" i="23" s="1"/>
  <c r="AD1469" i="23"/>
  <c r="AE1469" i="23"/>
  <c r="AF1469" i="23" a="1"/>
  <c r="AF1469" i="23" s="1"/>
  <c r="X1470" i="23"/>
  <c r="Y1470" i="23"/>
  <c r="Z1470" i="23"/>
  <c r="AA1470" i="23" a="1"/>
  <c r="AA1470" i="23" s="1"/>
  <c r="AB1470" i="23"/>
  <c r="AC1470" i="23" a="1"/>
  <c r="AC1470" i="23" s="1"/>
  <c r="AD1470" i="23"/>
  <c r="AE1470" i="23"/>
  <c r="AF1470" i="23" a="1"/>
  <c r="AF1470" i="23" s="1"/>
  <c r="X1471" i="23"/>
  <c r="Y1471" i="23"/>
  <c r="Z1471" i="23"/>
  <c r="AA1471" i="23" a="1"/>
  <c r="AA1471" i="23" s="1"/>
  <c r="AB1471" i="23"/>
  <c r="AC1471" i="23" a="1"/>
  <c r="AC1471" i="23" s="1"/>
  <c r="AD1471" i="23"/>
  <c r="AE1471" i="23"/>
  <c r="AF1471" i="23" a="1"/>
  <c r="AF1471" i="23" s="1"/>
  <c r="X1472" i="23"/>
  <c r="Y1472" i="23"/>
  <c r="Z1472" i="23"/>
  <c r="AA1472" i="23" a="1"/>
  <c r="AA1472" i="23" s="1"/>
  <c r="AB1472" i="23"/>
  <c r="AC1472" i="23" a="1"/>
  <c r="AC1472" i="23"/>
  <c r="AD1472" i="23"/>
  <c r="AE1472" i="23"/>
  <c r="AF1472" i="23" a="1"/>
  <c r="AF1472" i="23" s="1"/>
  <c r="X1473" i="23"/>
  <c r="Y1473" i="23"/>
  <c r="Z1473" i="23"/>
  <c r="AA1473" i="23" a="1"/>
  <c r="AA1473" i="23" s="1"/>
  <c r="AB1473" i="23"/>
  <c r="AC1473" i="23" a="1"/>
  <c r="AC1473" i="23" s="1"/>
  <c r="AD1473" i="23"/>
  <c r="AE1473" i="23"/>
  <c r="AF1473" i="23" a="1"/>
  <c r="AF1473" i="23" s="1"/>
  <c r="X1474" i="23"/>
  <c r="Y1474" i="23"/>
  <c r="Z1474" i="23"/>
  <c r="AA1474" i="23" a="1"/>
  <c r="AA1474" i="23" s="1"/>
  <c r="AB1474" i="23"/>
  <c r="AC1474" i="23" a="1"/>
  <c r="AC1474" i="23"/>
  <c r="AD1474" i="23"/>
  <c r="AE1474" i="23"/>
  <c r="AF1474" i="23" a="1"/>
  <c r="AF1474" i="23" s="1"/>
  <c r="X1475" i="23"/>
  <c r="Y1475" i="23"/>
  <c r="Z1475" i="23"/>
  <c r="AA1475" i="23" a="1"/>
  <c r="AA1475" i="23" s="1"/>
  <c r="AB1475" i="23"/>
  <c r="AC1475" i="23" a="1"/>
  <c r="AC1475" i="23" s="1"/>
  <c r="AD1475" i="23"/>
  <c r="AE1475" i="23"/>
  <c r="AF1475" i="23" a="1"/>
  <c r="AF1475" i="23" s="1"/>
  <c r="X1476" i="23"/>
  <c r="Y1476" i="23"/>
  <c r="Z1476" i="23"/>
  <c r="AA1476" i="23" a="1"/>
  <c r="AA1476" i="23" s="1"/>
  <c r="AB1476" i="23"/>
  <c r="AC1476" i="23" a="1"/>
  <c r="AC1476" i="23" s="1"/>
  <c r="AD1476" i="23"/>
  <c r="AE1476" i="23"/>
  <c r="AF1476" i="23" a="1"/>
  <c r="AF1476" i="23" s="1"/>
  <c r="X1477" i="23"/>
  <c r="Y1477" i="23"/>
  <c r="Z1477" i="23"/>
  <c r="AA1477" i="23" a="1"/>
  <c r="AA1477" i="23" s="1"/>
  <c r="AB1477" i="23"/>
  <c r="AC1477" i="23" a="1"/>
  <c r="AC1477" i="23" s="1"/>
  <c r="AD1477" i="23"/>
  <c r="AE1477" i="23"/>
  <c r="AF1477" i="23" a="1"/>
  <c r="AF1477" i="23" s="1"/>
  <c r="X1478" i="23"/>
  <c r="Y1478" i="23"/>
  <c r="Z1478" i="23"/>
  <c r="AA1478" i="23" a="1"/>
  <c r="AA1478" i="23" s="1"/>
  <c r="AB1478" i="23"/>
  <c r="AC1478" i="23" a="1"/>
  <c r="AC1478" i="23" s="1"/>
  <c r="AD1478" i="23"/>
  <c r="AE1478" i="23"/>
  <c r="AF1478" i="23" a="1"/>
  <c r="AF1478" i="23" s="1"/>
  <c r="X1479" i="23"/>
  <c r="Y1479" i="23"/>
  <c r="Z1479" i="23"/>
  <c r="AA1479" i="23" a="1"/>
  <c r="AA1479" i="23" s="1"/>
  <c r="AB1479" i="23"/>
  <c r="AC1479" i="23" a="1"/>
  <c r="AC1479" i="23" s="1"/>
  <c r="AD1479" i="23"/>
  <c r="AE1479" i="23"/>
  <c r="AF1479" i="23" a="1"/>
  <c r="AF1479" i="23" s="1"/>
  <c r="X1480" i="23"/>
  <c r="Y1480" i="23"/>
  <c r="Z1480" i="23"/>
  <c r="AA1480" i="23" a="1"/>
  <c r="AA1480" i="23" s="1"/>
  <c r="AB1480" i="23"/>
  <c r="AC1480" i="23" a="1"/>
  <c r="AC1480" i="23" s="1"/>
  <c r="AD1480" i="23"/>
  <c r="AE1480" i="23"/>
  <c r="AF1480" i="23" a="1"/>
  <c r="AF1480" i="23" s="1"/>
  <c r="X1481" i="23"/>
  <c r="Y1481" i="23"/>
  <c r="Z1481" i="23"/>
  <c r="AA1481" i="23" a="1"/>
  <c r="AA1481" i="23" s="1"/>
  <c r="AB1481" i="23"/>
  <c r="AC1481" i="23" a="1"/>
  <c r="AC1481" i="23" s="1"/>
  <c r="AD1481" i="23"/>
  <c r="AE1481" i="23"/>
  <c r="AF1481" i="23" a="1"/>
  <c r="AF1481" i="23" s="1"/>
  <c r="X1482" i="23"/>
  <c r="Y1482" i="23"/>
  <c r="Z1482" i="23"/>
  <c r="AA1482" i="23" a="1"/>
  <c r="AA1482" i="23" s="1"/>
  <c r="AB1482" i="23"/>
  <c r="AC1482" i="23" a="1"/>
  <c r="AC1482" i="23" s="1"/>
  <c r="AD1482" i="23"/>
  <c r="AE1482" i="23"/>
  <c r="AF1482" i="23" a="1"/>
  <c r="AF1482" i="23" s="1"/>
  <c r="X1483" i="23"/>
  <c r="Y1483" i="23"/>
  <c r="Z1483" i="23"/>
  <c r="AA1483" i="23" a="1"/>
  <c r="AA1483" i="23" s="1"/>
  <c r="AB1483" i="23"/>
  <c r="AC1483" i="23" a="1"/>
  <c r="AC1483" i="23" s="1"/>
  <c r="AD1483" i="23"/>
  <c r="AE1483" i="23"/>
  <c r="AF1483" i="23" a="1"/>
  <c r="AF1483" i="23" s="1"/>
  <c r="X1484" i="23"/>
  <c r="Y1484" i="23"/>
  <c r="Z1484" i="23"/>
  <c r="AA1484" i="23" a="1"/>
  <c r="AA1484" i="23" s="1"/>
  <c r="AB1484" i="23"/>
  <c r="AC1484" i="23" a="1"/>
  <c r="AC1484" i="23" s="1"/>
  <c r="AD1484" i="23"/>
  <c r="AE1484" i="23"/>
  <c r="AF1484" i="23" a="1"/>
  <c r="AF1484" i="23" s="1"/>
  <c r="X1485" i="23"/>
  <c r="Y1485" i="23"/>
  <c r="Z1485" i="23"/>
  <c r="AA1485" i="23" a="1"/>
  <c r="AA1485" i="23" s="1"/>
  <c r="AB1485" i="23"/>
  <c r="AC1485" i="23" a="1"/>
  <c r="AC1485" i="23" s="1"/>
  <c r="AD1485" i="23"/>
  <c r="AE1485" i="23"/>
  <c r="AF1485" i="23" a="1"/>
  <c r="AF1485" i="23" s="1"/>
  <c r="X1486" i="23"/>
  <c r="Y1486" i="23"/>
  <c r="Z1486" i="23"/>
  <c r="AA1486" i="23" a="1"/>
  <c r="AA1486" i="23" s="1"/>
  <c r="AB1486" i="23"/>
  <c r="AC1486" i="23" a="1"/>
  <c r="AC1486" i="23" s="1"/>
  <c r="AD1486" i="23"/>
  <c r="AE1486" i="23"/>
  <c r="AF1486" i="23" a="1"/>
  <c r="AF1486" i="23" s="1"/>
  <c r="X1487" i="23"/>
  <c r="Y1487" i="23"/>
  <c r="Z1487" i="23"/>
  <c r="AA1487" i="23" a="1"/>
  <c r="AA1487" i="23" s="1"/>
  <c r="AB1487" i="23"/>
  <c r="AC1487" i="23" a="1"/>
  <c r="AC1487" i="23" s="1"/>
  <c r="AD1487" i="23"/>
  <c r="AE1487" i="23"/>
  <c r="AF1487" i="23" a="1"/>
  <c r="AF1487" i="23" s="1"/>
  <c r="X1488" i="23"/>
  <c r="Y1488" i="23"/>
  <c r="Z1488" i="23"/>
  <c r="AA1488" i="23" a="1"/>
  <c r="AA1488" i="23" s="1"/>
  <c r="AB1488" i="23"/>
  <c r="AC1488" i="23" a="1"/>
  <c r="AC1488" i="23" s="1"/>
  <c r="AD1488" i="23"/>
  <c r="AE1488" i="23"/>
  <c r="AF1488" i="23" a="1"/>
  <c r="AF1488" i="23" s="1"/>
  <c r="X1489" i="23"/>
  <c r="Y1489" i="23"/>
  <c r="Z1489" i="23"/>
  <c r="AA1489" i="23" a="1"/>
  <c r="AA1489" i="23" s="1"/>
  <c r="AB1489" i="23"/>
  <c r="AC1489" i="23" a="1"/>
  <c r="AC1489" i="23" s="1"/>
  <c r="AD1489" i="23"/>
  <c r="AE1489" i="23"/>
  <c r="AF1489" i="23" a="1"/>
  <c r="AF1489" i="23" s="1"/>
  <c r="X1490" i="23"/>
  <c r="Y1490" i="23"/>
  <c r="Z1490" i="23"/>
  <c r="AA1490" i="23" a="1"/>
  <c r="AA1490" i="23" s="1"/>
  <c r="AB1490" i="23"/>
  <c r="AC1490" i="23" a="1"/>
  <c r="AC1490" i="23" s="1"/>
  <c r="AD1490" i="23"/>
  <c r="AE1490" i="23"/>
  <c r="AF1490" i="23" a="1"/>
  <c r="AF1490" i="23" s="1"/>
  <c r="X1491" i="23"/>
  <c r="Y1491" i="23"/>
  <c r="Z1491" i="23"/>
  <c r="AA1491" i="23" a="1"/>
  <c r="AA1491" i="23" s="1"/>
  <c r="AB1491" i="23"/>
  <c r="AC1491" i="23" a="1"/>
  <c r="AC1491" i="23" s="1"/>
  <c r="AD1491" i="23"/>
  <c r="AE1491" i="23"/>
  <c r="AF1491" i="23" a="1"/>
  <c r="AF1491" i="23" s="1"/>
  <c r="X1492" i="23"/>
  <c r="Y1492" i="23"/>
  <c r="Z1492" i="23"/>
  <c r="AA1492" i="23" a="1"/>
  <c r="AA1492" i="23" s="1"/>
  <c r="AB1492" i="23"/>
  <c r="AC1492" i="23" a="1"/>
  <c r="AC1492" i="23" s="1"/>
  <c r="AD1492" i="23"/>
  <c r="AE1492" i="23"/>
  <c r="AF1492" i="23" a="1"/>
  <c r="AF1492" i="23" s="1"/>
  <c r="X1493" i="23"/>
  <c r="Y1493" i="23"/>
  <c r="Z1493" i="23"/>
  <c r="AA1493" i="23" a="1"/>
  <c r="AA1493" i="23" s="1"/>
  <c r="AB1493" i="23"/>
  <c r="AC1493" i="23" a="1"/>
  <c r="AC1493" i="23" s="1"/>
  <c r="AD1493" i="23"/>
  <c r="AE1493" i="23"/>
  <c r="AF1493" i="23" a="1"/>
  <c r="AF1493" i="23" s="1"/>
  <c r="X1494" i="23"/>
  <c r="Y1494" i="23"/>
  <c r="Z1494" i="23"/>
  <c r="AA1494" i="23" a="1"/>
  <c r="AA1494" i="23" s="1"/>
  <c r="AB1494" i="23"/>
  <c r="AC1494" i="23" a="1"/>
  <c r="AC1494" i="23" s="1"/>
  <c r="AD1494" i="23"/>
  <c r="AE1494" i="23"/>
  <c r="AF1494" i="23" a="1"/>
  <c r="AF1494" i="23" s="1"/>
  <c r="X1495" i="23"/>
  <c r="Y1495" i="23"/>
  <c r="Z1495" i="23"/>
  <c r="AA1495" i="23" a="1"/>
  <c r="AA1495" i="23" s="1"/>
  <c r="AB1495" i="23"/>
  <c r="AC1495" i="23" a="1"/>
  <c r="AC1495" i="23" s="1"/>
  <c r="AD1495" i="23"/>
  <c r="AE1495" i="23"/>
  <c r="AF1495" i="23" a="1"/>
  <c r="AF1495" i="23" s="1"/>
  <c r="X1496" i="23"/>
  <c r="Y1496" i="23"/>
  <c r="Z1496" i="23"/>
  <c r="AA1496" i="23" a="1"/>
  <c r="AA1496" i="23" s="1"/>
  <c r="AB1496" i="23"/>
  <c r="AC1496" i="23" a="1"/>
  <c r="AC1496" i="23" s="1"/>
  <c r="AD1496" i="23"/>
  <c r="AE1496" i="23"/>
  <c r="AF1496" i="23" a="1"/>
  <c r="AF1496" i="23" s="1"/>
  <c r="X1497" i="23"/>
  <c r="Y1497" i="23"/>
  <c r="Z1497" i="23"/>
  <c r="AA1497" i="23" a="1"/>
  <c r="AA1497" i="23" s="1"/>
  <c r="AB1497" i="23"/>
  <c r="AC1497" i="23" a="1"/>
  <c r="AC1497" i="23" s="1"/>
  <c r="AD1497" i="23"/>
  <c r="AE1497" i="23"/>
  <c r="AF1497" i="23" a="1"/>
  <c r="AF1497" i="23" s="1"/>
  <c r="X1498" i="23"/>
  <c r="Y1498" i="23"/>
  <c r="Z1498" i="23"/>
  <c r="AA1498" i="23" a="1"/>
  <c r="AA1498" i="23" s="1"/>
  <c r="AB1498" i="23"/>
  <c r="AC1498" i="23" a="1"/>
  <c r="AC1498" i="23"/>
  <c r="AD1498" i="23"/>
  <c r="AE1498" i="23"/>
  <c r="AF1498" i="23" a="1"/>
  <c r="AF1498" i="23" s="1"/>
  <c r="X1499" i="23"/>
  <c r="Y1499" i="23"/>
  <c r="Z1499" i="23"/>
  <c r="AA1499" i="23" a="1"/>
  <c r="AA1499" i="23" s="1"/>
  <c r="AB1499" i="23"/>
  <c r="AC1499" i="23" a="1"/>
  <c r="AC1499" i="23" s="1"/>
  <c r="AD1499" i="23"/>
  <c r="AE1499" i="23"/>
  <c r="AF1499" i="23" a="1"/>
  <c r="AF1499" i="23" s="1"/>
  <c r="X1500" i="23"/>
  <c r="Y1500" i="23"/>
  <c r="Z1500" i="23"/>
  <c r="AA1500" i="23" a="1"/>
  <c r="AA1500" i="23" s="1"/>
  <c r="AB1500" i="23"/>
  <c r="AC1500" i="23" a="1"/>
  <c r="AC1500" i="23" s="1"/>
  <c r="AD1500" i="23"/>
  <c r="AE1500" i="23"/>
  <c r="AF1500" i="23" a="1"/>
  <c r="AF1500" i="23" s="1"/>
  <c r="X1501" i="23"/>
  <c r="Y1501" i="23"/>
  <c r="Z1501" i="23"/>
  <c r="AA1501" i="23" a="1"/>
  <c r="AA1501" i="23" s="1"/>
  <c r="AB1501" i="23"/>
  <c r="AC1501" i="23" a="1"/>
  <c r="AC1501" i="23" s="1"/>
  <c r="AD1501" i="23"/>
  <c r="AE1501" i="23"/>
  <c r="AF1501" i="23" a="1"/>
  <c r="AF1501" i="23" s="1"/>
  <c r="X1502" i="23"/>
  <c r="Y1502" i="23"/>
  <c r="Z1502" i="23"/>
  <c r="AA1502" i="23" a="1"/>
  <c r="AA1502" i="23" s="1"/>
  <c r="AB1502" i="23"/>
  <c r="AC1502" i="23" a="1"/>
  <c r="AC1502" i="23" s="1"/>
  <c r="AD1502" i="23"/>
  <c r="AE1502" i="23"/>
  <c r="AF1502" i="23" a="1"/>
  <c r="AF1502" i="23" s="1"/>
  <c r="X1503" i="23"/>
  <c r="Y1503" i="23"/>
  <c r="Z1503" i="23"/>
  <c r="AA1503" i="23" a="1"/>
  <c r="AA1503" i="23" s="1"/>
  <c r="AB1503" i="23"/>
  <c r="AC1503" i="23" a="1"/>
  <c r="AC1503" i="23" s="1"/>
  <c r="AD1503" i="23"/>
  <c r="AE1503" i="23"/>
  <c r="AF1503" i="23" a="1"/>
  <c r="AF1503" i="23" s="1"/>
  <c r="X1504" i="23"/>
  <c r="Y1504" i="23"/>
  <c r="Z1504" i="23"/>
  <c r="AA1504" i="23" a="1"/>
  <c r="AA1504" i="23" s="1"/>
  <c r="AB1504" i="23"/>
  <c r="AC1504" i="23" a="1"/>
  <c r="AC1504" i="23" s="1"/>
  <c r="AD1504" i="23"/>
  <c r="AE1504" i="23"/>
  <c r="AF1504" i="23" a="1"/>
  <c r="AF1504" i="23" s="1"/>
  <c r="X1505" i="23"/>
  <c r="Y1505" i="23"/>
  <c r="Z1505" i="23"/>
  <c r="AA1505" i="23" a="1"/>
  <c r="AA1505" i="23" s="1"/>
  <c r="AB1505" i="23"/>
  <c r="AC1505" i="23" a="1"/>
  <c r="AC1505" i="23" s="1"/>
  <c r="AD1505" i="23"/>
  <c r="AE1505" i="23"/>
  <c r="AF1505" i="23" a="1"/>
  <c r="AF1505" i="23" s="1"/>
  <c r="X1506" i="23"/>
  <c r="Y1506" i="23"/>
  <c r="Z1506" i="23"/>
  <c r="AA1506" i="23" a="1"/>
  <c r="AA1506" i="23" s="1"/>
  <c r="AB1506" i="23"/>
  <c r="AC1506" i="23" a="1"/>
  <c r="AC1506" i="23" s="1"/>
  <c r="AD1506" i="23"/>
  <c r="AE1506" i="23"/>
  <c r="AF1506" i="23" a="1"/>
  <c r="AF1506" i="23" s="1"/>
  <c r="X1507" i="23"/>
  <c r="Y1507" i="23"/>
  <c r="Z1507" i="23"/>
  <c r="AA1507" i="23" a="1"/>
  <c r="AA1507" i="23" s="1"/>
  <c r="AB1507" i="23"/>
  <c r="AC1507" i="23" a="1"/>
  <c r="AC1507" i="23" s="1"/>
  <c r="AD1507" i="23"/>
  <c r="AE1507" i="23"/>
  <c r="AF1507" i="23" a="1"/>
  <c r="AF1507" i="23" s="1"/>
  <c r="X1508" i="23"/>
  <c r="Y1508" i="23"/>
  <c r="Z1508" i="23"/>
  <c r="AA1508" i="23" a="1"/>
  <c r="AA1508" i="23" s="1"/>
  <c r="AB1508" i="23"/>
  <c r="AC1508" i="23" a="1"/>
  <c r="AC1508" i="23" s="1"/>
  <c r="AD1508" i="23"/>
  <c r="AE1508" i="23"/>
  <c r="AF1508" i="23" a="1"/>
  <c r="AF1508" i="23" s="1"/>
  <c r="X1509" i="23"/>
  <c r="Y1509" i="23"/>
  <c r="Z1509" i="23"/>
  <c r="AA1509" i="23" a="1"/>
  <c r="AA1509" i="23" s="1"/>
  <c r="AB1509" i="23"/>
  <c r="AC1509" i="23" a="1"/>
  <c r="AC1509" i="23" s="1"/>
  <c r="AD1509" i="23"/>
  <c r="AE1509" i="23"/>
  <c r="AF1509" i="23" a="1"/>
  <c r="AF1509" i="23" s="1"/>
  <c r="X1510" i="23"/>
  <c r="Y1510" i="23"/>
  <c r="Z1510" i="23"/>
  <c r="AA1510" i="23" a="1"/>
  <c r="AA1510" i="23" s="1"/>
  <c r="AB1510" i="23"/>
  <c r="AC1510" i="23" a="1"/>
  <c r="AC1510" i="23" s="1"/>
  <c r="AD1510" i="23"/>
  <c r="AE1510" i="23"/>
  <c r="AF1510" i="23" a="1"/>
  <c r="AF1510" i="23" s="1"/>
  <c r="X1511" i="23"/>
  <c r="Y1511" i="23"/>
  <c r="Z1511" i="23"/>
  <c r="AA1511" i="23" a="1"/>
  <c r="AA1511" i="23" s="1"/>
  <c r="AB1511" i="23"/>
  <c r="AC1511" i="23" a="1"/>
  <c r="AC1511" i="23" s="1"/>
  <c r="AD1511" i="23"/>
  <c r="AE1511" i="23"/>
  <c r="AF1511" i="23" a="1"/>
  <c r="AF1511" i="23" s="1"/>
  <c r="X1512" i="23"/>
  <c r="Y1512" i="23"/>
  <c r="Z1512" i="23"/>
  <c r="AA1512" i="23" a="1"/>
  <c r="AA1512" i="23" s="1"/>
  <c r="AB1512" i="23"/>
  <c r="AC1512" i="23" a="1"/>
  <c r="AC1512" i="23" s="1"/>
  <c r="AD1512" i="23"/>
  <c r="AE1512" i="23"/>
  <c r="AF1512" i="23" a="1"/>
  <c r="AF1512" i="23" s="1"/>
  <c r="X1513" i="23"/>
  <c r="Y1513" i="23"/>
  <c r="Z1513" i="23"/>
  <c r="AA1513" i="23" a="1"/>
  <c r="AA1513" i="23" s="1"/>
  <c r="AB1513" i="23"/>
  <c r="AC1513" i="23" a="1"/>
  <c r="AC1513" i="23" s="1"/>
  <c r="AD1513" i="23"/>
  <c r="AE1513" i="23"/>
  <c r="AF1513" i="23" a="1"/>
  <c r="AF1513" i="23" s="1"/>
  <c r="X1514" i="23"/>
  <c r="Y1514" i="23"/>
  <c r="Z1514" i="23"/>
  <c r="AA1514" i="23" a="1"/>
  <c r="AA1514" i="23" s="1"/>
  <c r="AB1514" i="23"/>
  <c r="AC1514" i="23" a="1"/>
  <c r="AC1514" i="23" s="1"/>
  <c r="AD1514" i="23"/>
  <c r="AE1514" i="23"/>
  <c r="AF1514" i="23" a="1"/>
  <c r="AF1514" i="23" s="1"/>
  <c r="X1515" i="23"/>
  <c r="Y1515" i="23"/>
  <c r="Z1515" i="23"/>
  <c r="AA1515" i="23" a="1"/>
  <c r="AA1515" i="23" s="1"/>
  <c r="AB1515" i="23"/>
  <c r="AC1515" i="23" a="1"/>
  <c r="AC1515" i="23" s="1"/>
  <c r="AD1515" i="23"/>
  <c r="AE1515" i="23"/>
  <c r="AF1515" i="23" a="1"/>
  <c r="AF1515" i="23" s="1"/>
  <c r="X1516" i="23"/>
  <c r="Y1516" i="23"/>
  <c r="Z1516" i="23"/>
  <c r="AA1516" i="23" a="1"/>
  <c r="AA1516" i="23" s="1"/>
  <c r="AB1516" i="23"/>
  <c r="AC1516" i="23" a="1"/>
  <c r="AC1516" i="23" s="1"/>
  <c r="AD1516" i="23"/>
  <c r="AE1516" i="23"/>
  <c r="AF1516" i="23" a="1"/>
  <c r="AF1516" i="23" s="1"/>
  <c r="X1517" i="23"/>
  <c r="Y1517" i="23"/>
  <c r="Z1517" i="23"/>
  <c r="AA1517" i="23" a="1"/>
  <c r="AA1517" i="23" s="1"/>
  <c r="AB1517" i="23"/>
  <c r="AC1517" i="23" a="1"/>
  <c r="AC1517" i="23" s="1"/>
  <c r="AD1517" i="23"/>
  <c r="AE1517" i="23"/>
  <c r="AF1517" i="23" a="1"/>
  <c r="AF1517" i="23" s="1"/>
  <c r="X1518" i="23"/>
  <c r="Y1518" i="23"/>
  <c r="Z1518" i="23"/>
  <c r="AA1518" i="23" a="1"/>
  <c r="AA1518" i="23" s="1"/>
  <c r="AB1518" i="23"/>
  <c r="AC1518" i="23" a="1"/>
  <c r="AC1518" i="23"/>
  <c r="AD1518" i="23"/>
  <c r="AE1518" i="23"/>
  <c r="AF1518" i="23" a="1"/>
  <c r="AF1518" i="23" s="1"/>
  <c r="X1519" i="23"/>
  <c r="Y1519" i="23"/>
  <c r="Z1519" i="23"/>
  <c r="AA1519" i="23" a="1"/>
  <c r="AA1519" i="23" s="1"/>
  <c r="AB1519" i="23"/>
  <c r="AC1519" i="23" a="1"/>
  <c r="AC1519" i="23" s="1"/>
  <c r="AD1519" i="23"/>
  <c r="AE1519" i="23"/>
  <c r="AF1519" i="23" a="1"/>
  <c r="AF1519" i="23" s="1"/>
  <c r="X1520" i="23"/>
  <c r="Y1520" i="23"/>
  <c r="Z1520" i="23"/>
  <c r="AA1520" i="23" a="1"/>
  <c r="AA1520" i="23" s="1"/>
  <c r="AB1520" i="23"/>
  <c r="AC1520" i="23" a="1"/>
  <c r="AC1520" i="23" s="1"/>
  <c r="AD1520" i="23"/>
  <c r="AE1520" i="23"/>
  <c r="AF1520" i="23" a="1"/>
  <c r="AF1520" i="23" s="1"/>
  <c r="X1521" i="23"/>
  <c r="Y1521" i="23"/>
  <c r="Z1521" i="23"/>
  <c r="AA1521" i="23" a="1"/>
  <c r="AA1521" i="23" s="1"/>
  <c r="AB1521" i="23"/>
  <c r="AC1521" i="23" a="1"/>
  <c r="AC1521" i="23" s="1"/>
  <c r="AD1521" i="23"/>
  <c r="AE1521" i="23"/>
  <c r="AF1521" i="23" a="1"/>
  <c r="AF1521" i="23" s="1"/>
  <c r="X1522" i="23"/>
  <c r="Y1522" i="23"/>
  <c r="Z1522" i="23"/>
  <c r="AA1522" i="23" a="1"/>
  <c r="AA1522" i="23" s="1"/>
  <c r="AB1522" i="23"/>
  <c r="AC1522" i="23" a="1"/>
  <c r="AC1522" i="23" s="1"/>
  <c r="AD1522" i="23"/>
  <c r="AE1522" i="23"/>
  <c r="AF1522" i="23" a="1"/>
  <c r="AF1522" i="23" s="1"/>
  <c r="X1523" i="23"/>
  <c r="Y1523" i="23"/>
  <c r="Z1523" i="23"/>
  <c r="AA1523" i="23" a="1"/>
  <c r="AA1523" i="23" s="1"/>
  <c r="AB1523" i="23"/>
  <c r="AC1523" i="23" a="1"/>
  <c r="AC1523" i="23" s="1"/>
  <c r="AD1523" i="23"/>
  <c r="AE1523" i="23"/>
  <c r="AF1523" i="23" a="1"/>
  <c r="AF1523" i="23" s="1"/>
  <c r="X1524" i="23"/>
  <c r="Y1524" i="23"/>
  <c r="Z1524" i="23"/>
  <c r="AA1524" i="23" a="1"/>
  <c r="AA1524" i="23" s="1"/>
  <c r="AB1524" i="23"/>
  <c r="AC1524" i="23" a="1"/>
  <c r="AC1524" i="23" s="1"/>
  <c r="AD1524" i="23"/>
  <c r="AE1524" i="23"/>
  <c r="AF1524" i="23" a="1"/>
  <c r="AF1524" i="23" s="1"/>
  <c r="X1525" i="23"/>
  <c r="Y1525" i="23"/>
  <c r="Z1525" i="23"/>
  <c r="AA1525" i="23" a="1"/>
  <c r="AA1525" i="23" s="1"/>
  <c r="AB1525" i="23"/>
  <c r="AC1525" i="23" a="1"/>
  <c r="AC1525" i="23" s="1"/>
  <c r="AD1525" i="23"/>
  <c r="AE1525" i="23"/>
  <c r="AF1525" i="23" a="1"/>
  <c r="AF1525" i="23" s="1"/>
  <c r="X1526" i="23"/>
  <c r="Y1526" i="23"/>
  <c r="Z1526" i="23"/>
  <c r="AA1526" i="23" a="1"/>
  <c r="AA1526" i="23" s="1"/>
  <c r="AB1526" i="23"/>
  <c r="AC1526" i="23" a="1"/>
  <c r="AC1526" i="23" s="1"/>
  <c r="AD1526" i="23"/>
  <c r="AE1526" i="23"/>
  <c r="AF1526" i="23" a="1"/>
  <c r="AF1526" i="23" s="1"/>
  <c r="X1527" i="23"/>
  <c r="Y1527" i="23"/>
  <c r="Z1527" i="23"/>
  <c r="AA1527" i="23" a="1"/>
  <c r="AA1527" i="23" s="1"/>
  <c r="AB1527" i="23"/>
  <c r="AC1527" i="23" a="1"/>
  <c r="AC1527" i="23" s="1"/>
  <c r="AD1527" i="23"/>
  <c r="AE1527" i="23"/>
  <c r="AF1527" i="23" a="1"/>
  <c r="AF1527" i="23" s="1"/>
  <c r="X1528" i="23"/>
  <c r="Y1528" i="23"/>
  <c r="Z1528" i="23"/>
  <c r="AA1528" i="23" a="1"/>
  <c r="AA1528" i="23" s="1"/>
  <c r="AB1528" i="23"/>
  <c r="AC1528" i="23" a="1"/>
  <c r="AC1528" i="23" s="1"/>
  <c r="AD1528" i="23"/>
  <c r="AE1528" i="23"/>
  <c r="AF1528" i="23" a="1"/>
  <c r="AF1528" i="23" s="1"/>
  <c r="X1529" i="23"/>
  <c r="Y1529" i="23"/>
  <c r="Z1529" i="23"/>
  <c r="AA1529" i="23" a="1"/>
  <c r="AA1529" i="23" s="1"/>
  <c r="AB1529" i="23"/>
  <c r="AC1529" i="23" a="1"/>
  <c r="AC1529" i="23" s="1"/>
  <c r="AD1529" i="23"/>
  <c r="AE1529" i="23"/>
  <c r="AF1529" i="23" a="1"/>
  <c r="AF1529" i="23" s="1"/>
  <c r="X1530" i="23"/>
  <c r="Y1530" i="23"/>
  <c r="Z1530" i="23"/>
  <c r="AA1530" i="23" a="1"/>
  <c r="AA1530" i="23" s="1"/>
  <c r="AB1530" i="23"/>
  <c r="AC1530" i="23" a="1"/>
  <c r="AC1530" i="23" s="1"/>
  <c r="AD1530" i="23"/>
  <c r="AE1530" i="23"/>
  <c r="AF1530" i="23" a="1"/>
  <c r="AF1530" i="23" s="1"/>
  <c r="X1531" i="23"/>
  <c r="Y1531" i="23"/>
  <c r="Z1531" i="23"/>
  <c r="AA1531" i="23" a="1"/>
  <c r="AA1531" i="23" s="1"/>
  <c r="AB1531" i="23"/>
  <c r="AC1531" i="23" a="1"/>
  <c r="AC1531" i="23" s="1"/>
  <c r="AD1531" i="23"/>
  <c r="AE1531" i="23"/>
  <c r="AF1531" i="23" a="1"/>
  <c r="AF1531" i="23" s="1"/>
  <c r="X1532" i="23"/>
  <c r="Y1532" i="23"/>
  <c r="Z1532" i="23"/>
  <c r="AA1532" i="23" a="1"/>
  <c r="AA1532" i="23" s="1"/>
  <c r="AB1532" i="23"/>
  <c r="AC1532" i="23" a="1"/>
  <c r="AC1532" i="23" s="1"/>
  <c r="AD1532" i="23"/>
  <c r="AE1532" i="23"/>
  <c r="AF1532" i="23" a="1"/>
  <c r="AF1532" i="23" s="1"/>
  <c r="X1533" i="23"/>
  <c r="Y1533" i="23"/>
  <c r="Z1533" i="23"/>
  <c r="AA1533" i="23" a="1"/>
  <c r="AA1533" i="23" s="1"/>
  <c r="AB1533" i="23"/>
  <c r="AC1533" i="23" a="1"/>
  <c r="AC1533" i="23" s="1"/>
  <c r="AD1533" i="23"/>
  <c r="AE1533" i="23"/>
  <c r="AF1533" i="23" a="1"/>
  <c r="AF1533" i="23" s="1"/>
  <c r="X1534" i="23"/>
  <c r="Y1534" i="23"/>
  <c r="Z1534" i="23"/>
  <c r="AA1534" i="23" a="1"/>
  <c r="AA1534" i="23" s="1"/>
  <c r="AB1534" i="23"/>
  <c r="AC1534" i="23" a="1"/>
  <c r="AC1534" i="23" s="1"/>
  <c r="AD1534" i="23"/>
  <c r="AE1534" i="23"/>
  <c r="AF1534" i="23" a="1"/>
  <c r="AF1534" i="23" s="1"/>
  <c r="X1535" i="23"/>
  <c r="Y1535" i="23"/>
  <c r="Z1535" i="23"/>
  <c r="AA1535" i="23" a="1"/>
  <c r="AA1535" i="23" s="1"/>
  <c r="AB1535" i="23"/>
  <c r="AC1535" i="23" a="1"/>
  <c r="AC1535" i="23" s="1"/>
  <c r="AD1535" i="23"/>
  <c r="AE1535" i="23"/>
  <c r="AF1535" i="23" a="1"/>
  <c r="AF1535" i="23" s="1"/>
  <c r="X1536" i="23"/>
  <c r="Y1536" i="23"/>
  <c r="Z1536" i="23"/>
  <c r="AA1536" i="23" a="1"/>
  <c r="AA1536" i="23" s="1"/>
  <c r="AB1536" i="23"/>
  <c r="AC1536" i="23" a="1"/>
  <c r="AC1536" i="23" s="1"/>
  <c r="AD1536" i="23"/>
  <c r="AE1536" i="23"/>
  <c r="AF1536" i="23" a="1"/>
  <c r="AF1536" i="23" s="1"/>
  <c r="X1537" i="23"/>
  <c r="Y1537" i="23"/>
  <c r="Z1537" i="23"/>
  <c r="AA1537" i="23" a="1"/>
  <c r="AA1537" i="23" s="1"/>
  <c r="AB1537" i="23"/>
  <c r="AC1537" i="23" a="1"/>
  <c r="AC1537" i="23" s="1"/>
  <c r="AD1537" i="23"/>
  <c r="AE1537" i="23"/>
  <c r="AF1537" i="23" a="1"/>
  <c r="AF1537" i="23" s="1"/>
  <c r="X1538" i="23"/>
  <c r="Y1538" i="23"/>
  <c r="Z1538" i="23"/>
  <c r="AA1538" i="23" a="1"/>
  <c r="AA1538" i="23" s="1"/>
  <c r="AB1538" i="23"/>
  <c r="AC1538" i="23" a="1"/>
  <c r="AC1538" i="23" s="1"/>
  <c r="AD1538" i="23"/>
  <c r="AE1538" i="23"/>
  <c r="AF1538" i="23" a="1"/>
  <c r="AF1538" i="23" s="1"/>
  <c r="X1539" i="23"/>
  <c r="Y1539" i="23"/>
  <c r="Z1539" i="23"/>
  <c r="AA1539" i="23" a="1"/>
  <c r="AA1539" i="23" s="1"/>
  <c r="AB1539" i="23"/>
  <c r="AC1539" i="23" a="1"/>
  <c r="AC1539" i="23" s="1"/>
  <c r="AD1539" i="23"/>
  <c r="AE1539" i="23"/>
  <c r="AF1539" i="23" a="1"/>
  <c r="AF1539" i="23" s="1"/>
  <c r="X1540" i="23"/>
  <c r="Y1540" i="23"/>
  <c r="Z1540" i="23"/>
  <c r="AA1540" i="23" a="1"/>
  <c r="AA1540" i="23" s="1"/>
  <c r="AB1540" i="23"/>
  <c r="AC1540" i="23" a="1"/>
  <c r="AC1540" i="23" s="1"/>
  <c r="AD1540" i="23"/>
  <c r="AE1540" i="23"/>
  <c r="AF1540" i="23" a="1"/>
  <c r="AF1540" i="23" s="1"/>
  <c r="X1541" i="23"/>
  <c r="Y1541" i="23"/>
  <c r="Z1541" i="23"/>
  <c r="AA1541" i="23" a="1"/>
  <c r="AA1541" i="23" s="1"/>
  <c r="AB1541" i="23"/>
  <c r="AC1541" i="23" a="1"/>
  <c r="AC1541" i="23" s="1"/>
  <c r="AD1541" i="23"/>
  <c r="AE1541" i="23"/>
  <c r="AF1541" i="23" a="1"/>
  <c r="AF1541" i="23" s="1"/>
  <c r="X1542" i="23"/>
  <c r="Y1542" i="23"/>
  <c r="Z1542" i="23"/>
  <c r="AA1542" i="23" a="1"/>
  <c r="AA1542" i="23" s="1"/>
  <c r="AB1542" i="23"/>
  <c r="AC1542" i="23" a="1"/>
  <c r="AC1542" i="23" s="1"/>
  <c r="AD1542" i="23"/>
  <c r="AE1542" i="23"/>
  <c r="AF1542" i="23" a="1"/>
  <c r="AF1542" i="23" s="1"/>
  <c r="X1543" i="23"/>
  <c r="Y1543" i="23"/>
  <c r="Z1543" i="23"/>
  <c r="AA1543" i="23" a="1"/>
  <c r="AA1543" i="23" s="1"/>
  <c r="AB1543" i="23"/>
  <c r="AC1543" i="23" a="1"/>
  <c r="AC1543" i="23" s="1"/>
  <c r="AD1543" i="23"/>
  <c r="AE1543" i="23"/>
  <c r="AF1543" i="23" a="1"/>
  <c r="AF1543" i="23" s="1"/>
  <c r="X1544" i="23"/>
  <c r="Y1544" i="23"/>
  <c r="Z1544" i="23"/>
  <c r="AA1544" i="23" a="1"/>
  <c r="AA1544" i="23" s="1"/>
  <c r="AB1544" i="23"/>
  <c r="AC1544" i="23" a="1"/>
  <c r="AC1544" i="23" s="1"/>
  <c r="AD1544" i="23"/>
  <c r="AE1544" i="23"/>
  <c r="AF1544" i="23" a="1"/>
  <c r="AF1544" i="23" s="1"/>
  <c r="X1545" i="23"/>
  <c r="Y1545" i="23"/>
  <c r="Z1545" i="23"/>
  <c r="AA1545" i="23" a="1"/>
  <c r="AA1545" i="23" s="1"/>
  <c r="AB1545" i="23"/>
  <c r="AC1545" i="23" a="1"/>
  <c r="AC1545" i="23" s="1"/>
  <c r="AD1545" i="23"/>
  <c r="AE1545" i="23"/>
  <c r="AF1545" i="23" a="1"/>
  <c r="AF1545" i="23" s="1"/>
  <c r="X1546" i="23"/>
  <c r="Y1546" i="23"/>
  <c r="Z1546" i="23"/>
  <c r="AA1546" i="23" a="1"/>
  <c r="AA1546" i="23" s="1"/>
  <c r="AB1546" i="23"/>
  <c r="AC1546" i="23" a="1"/>
  <c r="AC1546" i="23" s="1"/>
  <c r="AD1546" i="23"/>
  <c r="AE1546" i="23"/>
  <c r="AF1546" i="23" a="1"/>
  <c r="AF1546" i="23" s="1"/>
  <c r="X1547" i="23"/>
  <c r="Y1547" i="23"/>
  <c r="Z1547" i="23"/>
  <c r="AA1547" i="23" a="1"/>
  <c r="AA1547" i="23" s="1"/>
  <c r="AB1547" i="23"/>
  <c r="AC1547" i="23" a="1"/>
  <c r="AC1547" i="23" s="1"/>
  <c r="AD1547" i="23"/>
  <c r="AE1547" i="23"/>
  <c r="AF1547" i="23" a="1"/>
  <c r="AF1547" i="23" s="1"/>
  <c r="X1548" i="23"/>
  <c r="Y1548" i="23"/>
  <c r="Z1548" i="23"/>
  <c r="AA1548" i="23" a="1"/>
  <c r="AA1548" i="23" s="1"/>
  <c r="AB1548" i="23"/>
  <c r="AC1548" i="23" a="1"/>
  <c r="AC1548" i="23" s="1"/>
  <c r="AD1548" i="23"/>
  <c r="AE1548" i="23"/>
  <c r="AF1548" i="23" a="1"/>
  <c r="AF1548" i="23" s="1"/>
  <c r="X1549" i="23"/>
  <c r="Y1549" i="23"/>
  <c r="Z1549" i="23"/>
  <c r="AA1549" i="23" a="1"/>
  <c r="AA1549" i="23" s="1"/>
  <c r="AB1549" i="23"/>
  <c r="AC1549" i="23" a="1"/>
  <c r="AC1549" i="23" s="1"/>
  <c r="AD1549" i="23"/>
  <c r="AE1549" i="23"/>
  <c r="AF1549" i="23" a="1"/>
  <c r="AF1549" i="23" s="1"/>
  <c r="X1550" i="23"/>
  <c r="Y1550" i="23"/>
  <c r="Z1550" i="23"/>
  <c r="AA1550" i="23" a="1"/>
  <c r="AA1550" i="23" s="1"/>
  <c r="AB1550" i="23"/>
  <c r="AC1550" i="23" a="1"/>
  <c r="AC1550" i="23" s="1"/>
  <c r="AD1550" i="23"/>
  <c r="AE1550" i="23"/>
  <c r="AF1550" i="23" a="1"/>
  <c r="AF1550" i="23" s="1"/>
  <c r="X1551" i="23"/>
  <c r="Y1551" i="23"/>
  <c r="Z1551" i="23"/>
  <c r="AA1551" i="23" a="1"/>
  <c r="AA1551" i="23" s="1"/>
  <c r="AB1551" i="23"/>
  <c r="AC1551" i="23" a="1"/>
  <c r="AC1551" i="23" s="1"/>
  <c r="AD1551" i="23"/>
  <c r="AE1551" i="23"/>
  <c r="AF1551" i="23" a="1"/>
  <c r="AF1551" i="23" s="1"/>
  <c r="X1552" i="23"/>
  <c r="Y1552" i="23"/>
  <c r="Z1552" i="23"/>
  <c r="AA1552" i="23" a="1"/>
  <c r="AA1552" i="23" s="1"/>
  <c r="AB1552" i="23"/>
  <c r="AC1552" i="23" a="1"/>
  <c r="AC1552" i="23" s="1"/>
  <c r="AD1552" i="23"/>
  <c r="AE1552" i="23"/>
  <c r="AF1552" i="23" a="1"/>
  <c r="AF1552" i="23" s="1"/>
  <c r="X1553" i="23"/>
  <c r="Y1553" i="23"/>
  <c r="Z1553" i="23"/>
  <c r="AA1553" i="23" a="1"/>
  <c r="AA1553" i="23" s="1"/>
  <c r="AB1553" i="23"/>
  <c r="AC1553" i="23" a="1"/>
  <c r="AC1553" i="23" s="1"/>
  <c r="AD1553" i="23"/>
  <c r="AE1553" i="23"/>
  <c r="AF1553" i="23" a="1"/>
  <c r="AF1553" i="23" s="1"/>
  <c r="X1554" i="23"/>
  <c r="Y1554" i="23"/>
  <c r="Z1554" i="23"/>
  <c r="AA1554" i="23" a="1"/>
  <c r="AA1554" i="23" s="1"/>
  <c r="AB1554" i="23"/>
  <c r="AC1554" i="23" a="1"/>
  <c r="AC1554" i="23" s="1"/>
  <c r="AD1554" i="23"/>
  <c r="AE1554" i="23"/>
  <c r="AF1554" i="23" a="1"/>
  <c r="AF1554" i="23" s="1"/>
  <c r="X1555" i="23"/>
  <c r="Y1555" i="23"/>
  <c r="Z1555" i="23"/>
  <c r="AA1555" i="23" a="1"/>
  <c r="AA1555" i="23" s="1"/>
  <c r="AB1555" i="23"/>
  <c r="AC1555" i="23" a="1"/>
  <c r="AC1555" i="23" s="1"/>
  <c r="AD1555" i="23"/>
  <c r="AE1555" i="23"/>
  <c r="AF1555" i="23" a="1"/>
  <c r="AF1555" i="23" s="1"/>
  <c r="X1556" i="23"/>
  <c r="Y1556" i="23"/>
  <c r="Z1556" i="23"/>
  <c r="AA1556" i="23" a="1"/>
  <c r="AA1556" i="23" s="1"/>
  <c r="AB1556" i="23"/>
  <c r="AC1556" i="23" a="1"/>
  <c r="AC1556" i="23" s="1"/>
  <c r="AD1556" i="23"/>
  <c r="AE1556" i="23"/>
  <c r="AF1556" i="23" a="1"/>
  <c r="AF1556" i="23" s="1"/>
  <c r="X1557" i="23"/>
  <c r="Y1557" i="23"/>
  <c r="Z1557" i="23"/>
  <c r="AA1557" i="23" a="1"/>
  <c r="AA1557" i="23" s="1"/>
  <c r="AB1557" i="23"/>
  <c r="AC1557" i="23" a="1"/>
  <c r="AC1557" i="23" s="1"/>
  <c r="AD1557" i="23"/>
  <c r="AE1557" i="23"/>
  <c r="AF1557" i="23" a="1"/>
  <c r="AF1557" i="23" s="1"/>
  <c r="X1558" i="23"/>
  <c r="Y1558" i="23"/>
  <c r="Z1558" i="23"/>
  <c r="AA1558" i="23" a="1"/>
  <c r="AA1558" i="23" s="1"/>
  <c r="AB1558" i="23"/>
  <c r="AC1558" i="23" a="1"/>
  <c r="AC1558" i="23" s="1"/>
  <c r="AD1558" i="23"/>
  <c r="AE1558" i="23"/>
  <c r="AF1558" i="23" a="1"/>
  <c r="AF1558" i="23" s="1"/>
  <c r="X1559" i="23"/>
  <c r="Y1559" i="23"/>
  <c r="Z1559" i="23"/>
  <c r="AA1559" i="23" a="1"/>
  <c r="AA1559" i="23" s="1"/>
  <c r="AB1559" i="23"/>
  <c r="AC1559" i="23" a="1"/>
  <c r="AC1559" i="23" s="1"/>
  <c r="AD1559" i="23"/>
  <c r="AE1559" i="23"/>
  <c r="AF1559" i="23" a="1"/>
  <c r="AF1559" i="23" s="1"/>
  <c r="X1560" i="23"/>
  <c r="Y1560" i="23"/>
  <c r="Z1560" i="23"/>
  <c r="AA1560" i="23" a="1"/>
  <c r="AA1560" i="23" s="1"/>
  <c r="AB1560" i="23"/>
  <c r="AC1560" i="23" a="1"/>
  <c r="AC1560" i="23" s="1"/>
  <c r="AD1560" i="23"/>
  <c r="AE1560" i="23"/>
  <c r="AF1560" i="23" a="1"/>
  <c r="AF1560" i="23" s="1"/>
  <c r="X1561" i="23"/>
  <c r="Y1561" i="23"/>
  <c r="Z1561" i="23"/>
  <c r="AA1561" i="23" a="1"/>
  <c r="AA1561" i="23" s="1"/>
  <c r="AB1561" i="23"/>
  <c r="AC1561" i="23" a="1"/>
  <c r="AC1561" i="23" s="1"/>
  <c r="AD1561" i="23"/>
  <c r="AE1561" i="23"/>
  <c r="AF1561" i="23" a="1"/>
  <c r="AF1561" i="23" s="1"/>
  <c r="X1562" i="23"/>
  <c r="Y1562" i="23"/>
  <c r="Z1562" i="23"/>
  <c r="AA1562" i="23" a="1"/>
  <c r="AA1562" i="23" s="1"/>
  <c r="AB1562" i="23"/>
  <c r="AC1562" i="23" a="1"/>
  <c r="AC1562" i="23" s="1"/>
  <c r="AD1562" i="23"/>
  <c r="AE1562" i="23"/>
  <c r="AF1562" i="23" a="1"/>
  <c r="AF1562" i="23" s="1"/>
  <c r="X1563" i="23"/>
  <c r="Y1563" i="23"/>
  <c r="Z1563" i="23"/>
  <c r="AA1563" i="23" a="1"/>
  <c r="AA1563" i="23" s="1"/>
  <c r="AB1563" i="23"/>
  <c r="AC1563" i="23" a="1"/>
  <c r="AC1563" i="23" s="1"/>
  <c r="AD1563" i="23"/>
  <c r="AE1563" i="23"/>
  <c r="AF1563" i="23" a="1"/>
  <c r="AF1563" i="23" s="1"/>
  <c r="X1564" i="23"/>
  <c r="Y1564" i="23"/>
  <c r="Z1564" i="23"/>
  <c r="AA1564" i="23" a="1"/>
  <c r="AA1564" i="23" s="1"/>
  <c r="AB1564" i="23"/>
  <c r="AC1564" i="23" a="1"/>
  <c r="AC1564" i="23" s="1"/>
  <c r="AD1564" i="23"/>
  <c r="AE1564" i="23"/>
  <c r="AF1564" i="23" a="1"/>
  <c r="AF1564" i="23" s="1"/>
  <c r="X1565" i="23"/>
  <c r="Y1565" i="23"/>
  <c r="Z1565" i="23"/>
  <c r="AA1565" i="23" a="1"/>
  <c r="AA1565" i="23" s="1"/>
  <c r="AB1565" i="23"/>
  <c r="AC1565" i="23" a="1"/>
  <c r="AC1565" i="23" s="1"/>
  <c r="AD1565" i="23"/>
  <c r="AE1565" i="23"/>
  <c r="AF1565" i="23" a="1"/>
  <c r="AF1565" i="23" s="1"/>
  <c r="X1566" i="23"/>
  <c r="Y1566" i="23"/>
  <c r="Z1566" i="23"/>
  <c r="AA1566" i="23" a="1"/>
  <c r="AA1566" i="23" s="1"/>
  <c r="AB1566" i="23"/>
  <c r="AC1566" i="23" a="1"/>
  <c r="AC1566" i="23" s="1"/>
  <c r="AD1566" i="23"/>
  <c r="AE1566" i="23"/>
  <c r="AF1566" i="23" a="1"/>
  <c r="AF1566" i="23" s="1"/>
  <c r="X1567" i="23"/>
  <c r="Y1567" i="23"/>
  <c r="Z1567" i="23"/>
  <c r="AA1567" i="23" a="1"/>
  <c r="AA1567" i="23" s="1"/>
  <c r="AB1567" i="23"/>
  <c r="AC1567" i="23" a="1"/>
  <c r="AC1567" i="23" s="1"/>
  <c r="AD1567" i="23"/>
  <c r="AE1567" i="23"/>
  <c r="AF1567" i="23" a="1"/>
  <c r="AF1567" i="23" s="1"/>
  <c r="X1568" i="23"/>
  <c r="Y1568" i="23"/>
  <c r="Z1568" i="23"/>
  <c r="AA1568" i="23" a="1"/>
  <c r="AA1568" i="23" s="1"/>
  <c r="AB1568" i="23"/>
  <c r="AC1568" i="23" a="1"/>
  <c r="AC1568" i="23" s="1"/>
  <c r="AD1568" i="23"/>
  <c r="AE1568" i="23"/>
  <c r="AF1568" i="23" a="1"/>
  <c r="AF1568" i="23" s="1"/>
  <c r="X1569" i="23"/>
  <c r="Y1569" i="23"/>
  <c r="Z1569" i="23"/>
  <c r="AA1569" i="23" a="1"/>
  <c r="AA1569" i="23" s="1"/>
  <c r="AB1569" i="23"/>
  <c r="AC1569" i="23" a="1"/>
  <c r="AC1569" i="23" s="1"/>
  <c r="AD1569" i="23"/>
  <c r="AE1569" i="23"/>
  <c r="AF1569" i="23" a="1"/>
  <c r="AF1569" i="23" s="1"/>
  <c r="X1570" i="23"/>
  <c r="Y1570" i="23"/>
  <c r="Z1570" i="23"/>
  <c r="AA1570" i="23" a="1"/>
  <c r="AA1570" i="23" s="1"/>
  <c r="AB1570" i="23"/>
  <c r="AC1570" i="23" a="1"/>
  <c r="AC1570" i="23" s="1"/>
  <c r="AD1570" i="23"/>
  <c r="AE1570" i="23"/>
  <c r="AF1570" i="23" a="1"/>
  <c r="AF1570" i="23" s="1"/>
  <c r="X1571" i="23"/>
  <c r="Y1571" i="23"/>
  <c r="Z1571" i="23"/>
  <c r="AA1571" i="23" a="1"/>
  <c r="AA1571" i="23" s="1"/>
  <c r="AB1571" i="23"/>
  <c r="AC1571" i="23" a="1"/>
  <c r="AC1571" i="23" s="1"/>
  <c r="AD1571" i="23"/>
  <c r="AE1571" i="23"/>
  <c r="AF1571" i="23" a="1"/>
  <c r="AF1571" i="23" s="1"/>
  <c r="X1572" i="23"/>
  <c r="Y1572" i="23"/>
  <c r="Z1572" i="23"/>
  <c r="AA1572" i="23" a="1"/>
  <c r="AA1572" i="23" s="1"/>
  <c r="AB1572" i="23"/>
  <c r="AC1572" i="23" a="1"/>
  <c r="AC1572" i="23" s="1"/>
  <c r="AD1572" i="23"/>
  <c r="AE1572" i="23"/>
  <c r="AF1572" i="23" a="1"/>
  <c r="AF1572" i="23" s="1"/>
  <c r="X1573" i="23"/>
  <c r="Y1573" i="23"/>
  <c r="Z1573" i="23"/>
  <c r="AA1573" i="23" a="1"/>
  <c r="AA1573" i="23" s="1"/>
  <c r="AB1573" i="23"/>
  <c r="AC1573" i="23" a="1"/>
  <c r="AC1573" i="23" s="1"/>
  <c r="AD1573" i="23"/>
  <c r="AE1573" i="23"/>
  <c r="AF1573" i="23" a="1"/>
  <c r="AF1573" i="23" s="1"/>
  <c r="X1574" i="23"/>
  <c r="Y1574" i="23"/>
  <c r="Z1574" i="23"/>
  <c r="AA1574" i="23" a="1"/>
  <c r="AA1574" i="23" s="1"/>
  <c r="AB1574" i="23"/>
  <c r="AC1574" i="23" a="1"/>
  <c r="AC1574" i="23" s="1"/>
  <c r="AD1574" i="23"/>
  <c r="AE1574" i="23"/>
  <c r="AF1574" i="23" a="1"/>
  <c r="AF1574" i="23" s="1"/>
  <c r="X1575" i="23"/>
  <c r="Y1575" i="23"/>
  <c r="Z1575" i="23"/>
  <c r="AA1575" i="23" a="1"/>
  <c r="AA1575" i="23" s="1"/>
  <c r="AB1575" i="23"/>
  <c r="AC1575" i="23" a="1"/>
  <c r="AC1575" i="23" s="1"/>
  <c r="AD1575" i="23"/>
  <c r="AE1575" i="23"/>
  <c r="AF1575" i="23" a="1"/>
  <c r="AF1575" i="23" s="1"/>
  <c r="X1576" i="23"/>
  <c r="Y1576" i="23"/>
  <c r="Z1576" i="23"/>
  <c r="AA1576" i="23" a="1"/>
  <c r="AA1576" i="23" s="1"/>
  <c r="AB1576" i="23"/>
  <c r="AC1576" i="23" a="1"/>
  <c r="AC1576" i="23" s="1"/>
  <c r="AD1576" i="23"/>
  <c r="AE1576" i="23"/>
  <c r="AF1576" i="23" a="1"/>
  <c r="AF1576" i="23" s="1"/>
  <c r="X1577" i="23"/>
  <c r="Y1577" i="23"/>
  <c r="Z1577" i="23"/>
  <c r="AA1577" i="23" a="1"/>
  <c r="AA1577" i="23" s="1"/>
  <c r="AB1577" i="23"/>
  <c r="AC1577" i="23" a="1"/>
  <c r="AC1577" i="23" s="1"/>
  <c r="AD1577" i="23"/>
  <c r="AE1577" i="23"/>
  <c r="AF1577" i="23" a="1"/>
  <c r="AF1577" i="23" s="1"/>
  <c r="X1578" i="23"/>
  <c r="Y1578" i="23"/>
  <c r="Z1578" i="23"/>
  <c r="AA1578" i="23" a="1"/>
  <c r="AA1578" i="23" s="1"/>
  <c r="AB1578" i="23"/>
  <c r="AC1578" i="23" a="1"/>
  <c r="AC1578" i="23" s="1"/>
  <c r="AD1578" i="23"/>
  <c r="AE1578" i="23"/>
  <c r="AF1578" i="23" a="1"/>
  <c r="AF1578" i="23" s="1"/>
  <c r="X1579" i="23"/>
  <c r="Y1579" i="23"/>
  <c r="Z1579" i="23"/>
  <c r="AA1579" i="23" a="1"/>
  <c r="AA1579" i="23" s="1"/>
  <c r="AB1579" i="23"/>
  <c r="AC1579" i="23" a="1"/>
  <c r="AC1579" i="23" s="1"/>
  <c r="AD1579" i="23"/>
  <c r="AE1579" i="23"/>
  <c r="AF1579" i="23" a="1"/>
  <c r="AF1579" i="23" s="1"/>
  <c r="X1580" i="23"/>
  <c r="Y1580" i="23"/>
  <c r="Z1580" i="23"/>
  <c r="AA1580" i="23" a="1"/>
  <c r="AA1580" i="23" s="1"/>
  <c r="AB1580" i="23"/>
  <c r="AC1580" i="23" a="1"/>
  <c r="AC1580" i="23" s="1"/>
  <c r="AD1580" i="23"/>
  <c r="AE1580" i="23"/>
  <c r="AF1580" i="23" a="1"/>
  <c r="AF1580" i="23" s="1"/>
  <c r="X1581" i="23"/>
  <c r="Y1581" i="23"/>
  <c r="Z1581" i="23"/>
  <c r="AA1581" i="23" a="1"/>
  <c r="AA1581" i="23" s="1"/>
  <c r="AB1581" i="23"/>
  <c r="AC1581" i="23" a="1"/>
  <c r="AC1581" i="23" s="1"/>
  <c r="AD1581" i="23"/>
  <c r="AE1581" i="23"/>
  <c r="AF1581" i="23" a="1"/>
  <c r="AF1581" i="23" s="1"/>
  <c r="X1582" i="23"/>
  <c r="Y1582" i="23"/>
  <c r="Z1582" i="23"/>
  <c r="AA1582" i="23" a="1"/>
  <c r="AA1582" i="23" s="1"/>
  <c r="AB1582" i="23"/>
  <c r="AC1582" i="23" a="1"/>
  <c r="AC1582" i="23" s="1"/>
  <c r="AD1582" i="23"/>
  <c r="AE1582" i="23"/>
  <c r="AF1582" i="23" a="1"/>
  <c r="AF1582" i="23" s="1"/>
  <c r="X1583" i="23"/>
  <c r="Y1583" i="23"/>
  <c r="Z1583" i="23"/>
  <c r="AA1583" i="23" a="1"/>
  <c r="AA1583" i="23" s="1"/>
  <c r="AB1583" i="23"/>
  <c r="AC1583" i="23" a="1"/>
  <c r="AC1583" i="23" s="1"/>
  <c r="AD1583" i="23"/>
  <c r="AE1583" i="23"/>
  <c r="AF1583" i="23" a="1"/>
  <c r="AF1583" i="23" s="1"/>
  <c r="X1584" i="23"/>
  <c r="Y1584" i="23"/>
  <c r="Z1584" i="23"/>
  <c r="AA1584" i="23" a="1"/>
  <c r="AA1584" i="23" s="1"/>
  <c r="AB1584" i="23"/>
  <c r="AC1584" i="23" a="1"/>
  <c r="AC1584" i="23" s="1"/>
  <c r="AD1584" i="23"/>
  <c r="AE1584" i="23"/>
  <c r="AF1584" i="23" a="1"/>
  <c r="AF1584" i="23" s="1"/>
  <c r="X1585" i="23"/>
  <c r="Y1585" i="23"/>
  <c r="Z1585" i="23"/>
  <c r="AA1585" i="23" a="1"/>
  <c r="AA1585" i="23" s="1"/>
  <c r="AB1585" i="23"/>
  <c r="AC1585" i="23" a="1"/>
  <c r="AC1585" i="23" s="1"/>
  <c r="AD1585" i="23"/>
  <c r="AE1585" i="23"/>
  <c r="AF1585" i="23" a="1"/>
  <c r="AF1585" i="23" s="1"/>
  <c r="X1586" i="23"/>
  <c r="Y1586" i="23"/>
  <c r="Z1586" i="23"/>
  <c r="AA1586" i="23" a="1"/>
  <c r="AA1586" i="23" s="1"/>
  <c r="AB1586" i="23"/>
  <c r="AC1586" i="23" a="1"/>
  <c r="AC1586" i="23" s="1"/>
  <c r="AD1586" i="23"/>
  <c r="AE1586" i="23"/>
  <c r="AF1586" i="23" a="1"/>
  <c r="AF1586" i="23" s="1"/>
  <c r="X1587" i="23"/>
  <c r="Y1587" i="23"/>
  <c r="Z1587" i="23"/>
  <c r="AA1587" i="23" a="1"/>
  <c r="AA1587" i="23" s="1"/>
  <c r="AB1587" i="23"/>
  <c r="AC1587" i="23" a="1"/>
  <c r="AC1587" i="23" s="1"/>
  <c r="AD1587" i="23"/>
  <c r="AE1587" i="23"/>
  <c r="AF1587" i="23" a="1"/>
  <c r="AF1587" i="23" s="1"/>
  <c r="X1588" i="23"/>
  <c r="Y1588" i="23"/>
  <c r="Z1588" i="23"/>
  <c r="AA1588" i="23" a="1"/>
  <c r="AA1588" i="23" s="1"/>
  <c r="AB1588" i="23"/>
  <c r="AC1588" i="23" a="1"/>
  <c r="AC1588" i="23" s="1"/>
  <c r="AD1588" i="23"/>
  <c r="AE1588" i="23"/>
  <c r="AF1588" i="23" a="1"/>
  <c r="AF1588" i="23" s="1"/>
  <c r="X1589" i="23"/>
  <c r="Y1589" i="23"/>
  <c r="Z1589" i="23"/>
  <c r="AA1589" i="23" a="1"/>
  <c r="AA1589" i="23" s="1"/>
  <c r="AB1589" i="23"/>
  <c r="AC1589" i="23" a="1"/>
  <c r="AC1589" i="23" s="1"/>
  <c r="AD1589" i="23"/>
  <c r="AE1589" i="23"/>
  <c r="AF1589" i="23" a="1"/>
  <c r="AF1589" i="23" s="1"/>
  <c r="X1590" i="23"/>
  <c r="Y1590" i="23"/>
  <c r="Z1590" i="23"/>
  <c r="AA1590" i="23" a="1"/>
  <c r="AA1590" i="23" s="1"/>
  <c r="AB1590" i="23"/>
  <c r="AC1590" i="23" a="1"/>
  <c r="AC1590" i="23" s="1"/>
  <c r="AD1590" i="23"/>
  <c r="AE1590" i="23"/>
  <c r="AF1590" i="23" a="1"/>
  <c r="AF1590" i="23" s="1"/>
  <c r="X1591" i="23"/>
  <c r="Y1591" i="23"/>
  <c r="Z1591" i="23"/>
  <c r="AA1591" i="23" a="1"/>
  <c r="AA1591" i="23" s="1"/>
  <c r="AB1591" i="23"/>
  <c r="AC1591" i="23" a="1"/>
  <c r="AC1591" i="23" s="1"/>
  <c r="AD1591" i="23"/>
  <c r="AE1591" i="23"/>
  <c r="AF1591" i="23" a="1"/>
  <c r="AF1591" i="23" s="1"/>
  <c r="X1592" i="23"/>
  <c r="Y1592" i="23"/>
  <c r="Z1592" i="23"/>
  <c r="AA1592" i="23" a="1"/>
  <c r="AA1592" i="23" s="1"/>
  <c r="AB1592" i="23"/>
  <c r="AC1592" i="23" a="1"/>
  <c r="AC1592" i="23" s="1"/>
  <c r="AD1592" i="23"/>
  <c r="AE1592" i="23"/>
  <c r="AF1592" i="23" a="1"/>
  <c r="AF1592" i="23" s="1"/>
  <c r="X1593" i="23"/>
  <c r="Y1593" i="23"/>
  <c r="Z1593" i="23"/>
  <c r="AA1593" i="23" a="1"/>
  <c r="AA1593" i="23" s="1"/>
  <c r="AB1593" i="23"/>
  <c r="AC1593" i="23" a="1"/>
  <c r="AC1593" i="23" s="1"/>
  <c r="AD1593" i="23"/>
  <c r="AE1593" i="23"/>
  <c r="AF1593" i="23" a="1"/>
  <c r="AF1593" i="23" s="1"/>
  <c r="X1594" i="23"/>
  <c r="Y1594" i="23"/>
  <c r="Z1594" i="23"/>
  <c r="AA1594" i="23" a="1"/>
  <c r="AA1594" i="23" s="1"/>
  <c r="AB1594" i="23"/>
  <c r="AC1594" i="23" a="1"/>
  <c r="AC1594" i="23" s="1"/>
  <c r="AD1594" i="23"/>
  <c r="AE1594" i="23"/>
  <c r="AF1594" i="23" a="1"/>
  <c r="AF1594" i="23" s="1"/>
  <c r="X1595" i="23"/>
  <c r="Y1595" i="23"/>
  <c r="Z1595" i="23"/>
  <c r="AA1595" i="23" a="1"/>
  <c r="AA1595" i="23" s="1"/>
  <c r="AB1595" i="23"/>
  <c r="AC1595" i="23" a="1"/>
  <c r="AC1595" i="23" s="1"/>
  <c r="AD1595" i="23"/>
  <c r="AE1595" i="23"/>
  <c r="AF1595" i="23" a="1"/>
  <c r="AF1595" i="23" s="1"/>
  <c r="X1596" i="23"/>
  <c r="Y1596" i="23"/>
  <c r="Z1596" i="23"/>
  <c r="AA1596" i="23" a="1"/>
  <c r="AA1596" i="23" s="1"/>
  <c r="AB1596" i="23"/>
  <c r="AC1596" i="23" a="1"/>
  <c r="AC1596" i="23" s="1"/>
  <c r="AD1596" i="23"/>
  <c r="AE1596" i="23"/>
  <c r="AF1596" i="23" a="1"/>
  <c r="AF1596" i="23" s="1"/>
  <c r="X1597" i="23"/>
  <c r="Y1597" i="23"/>
  <c r="Z1597" i="23"/>
  <c r="AA1597" i="23" a="1"/>
  <c r="AA1597" i="23" s="1"/>
  <c r="AB1597" i="23"/>
  <c r="AC1597" i="23" a="1"/>
  <c r="AC1597" i="23" s="1"/>
  <c r="AD1597" i="23"/>
  <c r="AE1597" i="23"/>
  <c r="AF1597" i="23" a="1"/>
  <c r="AF1597" i="23" s="1"/>
  <c r="X1598" i="23"/>
  <c r="Y1598" i="23"/>
  <c r="Z1598" i="23"/>
  <c r="AA1598" i="23" a="1"/>
  <c r="AA1598" i="23" s="1"/>
  <c r="AB1598" i="23"/>
  <c r="AC1598" i="23" a="1"/>
  <c r="AC1598" i="23" s="1"/>
  <c r="AD1598" i="23"/>
  <c r="AE1598" i="23"/>
  <c r="AF1598" i="23" a="1"/>
  <c r="AF1598" i="23" s="1"/>
  <c r="X1599" i="23"/>
  <c r="Y1599" i="23"/>
  <c r="Z1599" i="23"/>
  <c r="AA1599" i="23" a="1"/>
  <c r="AA1599" i="23" s="1"/>
  <c r="AB1599" i="23"/>
  <c r="AC1599" i="23" a="1"/>
  <c r="AC1599" i="23" s="1"/>
  <c r="AD1599" i="23"/>
  <c r="AE1599" i="23"/>
  <c r="AF1599" i="23" a="1"/>
  <c r="AF1599" i="23" s="1"/>
  <c r="X1600" i="23"/>
  <c r="Y1600" i="23"/>
  <c r="Z1600" i="23"/>
  <c r="AA1600" i="23" a="1"/>
  <c r="AA1600" i="23" s="1"/>
  <c r="AB1600" i="23"/>
  <c r="AC1600" i="23" a="1"/>
  <c r="AC1600" i="23" s="1"/>
  <c r="AD1600" i="23"/>
  <c r="AE1600" i="23"/>
  <c r="AF1600" i="23" a="1"/>
  <c r="AF1600" i="23" s="1"/>
  <c r="X1601" i="23"/>
  <c r="Y1601" i="23"/>
  <c r="Z1601" i="23"/>
  <c r="AA1601" i="23" a="1"/>
  <c r="AA1601" i="23" s="1"/>
  <c r="AB1601" i="23"/>
  <c r="AC1601" i="23" a="1"/>
  <c r="AC1601" i="23" s="1"/>
  <c r="AD1601" i="23"/>
  <c r="AE1601" i="23"/>
  <c r="AF1601" i="23" a="1"/>
  <c r="AF1601" i="23" s="1"/>
  <c r="X1602" i="23"/>
  <c r="Y1602" i="23"/>
  <c r="Z1602" i="23"/>
  <c r="AA1602" i="23" a="1"/>
  <c r="AA1602" i="23" s="1"/>
  <c r="AB1602" i="23"/>
  <c r="AC1602" i="23" a="1"/>
  <c r="AC1602" i="23" s="1"/>
  <c r="AD1602" i="23"/>
  <c r="AE1602" i="23"/>
  <c r="AF1602" i="23" a="1"/>
  <c r="AF1602" i="23" s="1"/>
  <c r="X1603" i="23"/>
  <c r="Y1603" i="23"/>
  <c r="Z1603" i="23"/>
  <c r="AA1603" i="23" a="1"/>
  <c r="AA1603" i="23" s="1"/>
  <c r="AB1603" i="23"/>
  <c r="AC1603" i="23" a="1"/>
  <c r="AC1603" i="23" s="1"/>
  <c r="AD1603" i="23"/>
  <c r="AE1603" i="23"/>
  <c r="AF1603" i="23" a="1"/>
  <c r="AF1603" i="23" s="1"/>
  <c r="X1604" i="23"/>
  <c r="Y1604" i="23"/>
  <c r="Z1604" i="23"/>
  <c r="AA1604" i="23" a="1"/>
  <c r="AA1604" i="23" s="1"/>
  <c r="AB1604" i="23"/>
  <c r="AC1604" i="23" a="1"/>
  <c r="AC1604" i="23" s="1"/>
  <c r="AD1604" i="23"/>
  <c r="AE1604" i="23"/>
  <c r="AF1604" i="23" a="1"/>
  <c r="AF1604" i="23" s="1"/>
  <c r="X1605" i="23"/>
  <c r="Y1605" i="23"/>
  <c r="Z1605" i="23"/>
  <c r="AA1605" i="23" a="1"/>
  <c r="AA1605" i="23" s="1"/>
  <c r="AB1605" i="23"/>
  <c r="AC1605" i="23" a="1"/>
  <c r="AC1605" i="23" s="1"/>
  <c r="AD1605" i="23"/>
  <c r="AE1605" i="23"/>
  <c r="AF1605" i="23" a="1"/>
  <c r="AF1605" i="23" s="1"/>
  <c r="X1606" i="23"/>
  <c r="Y1606" i="23"/>
  <c r="Z1606" i="23"/>
  <c r="AA1606" i="23" a="1"/>
  <c r="AA1606" i="23" s="1"/>
  <c r="AB1606" i="23"/>
  <c r="AC1606" i="23" a="1"/>
  <c r="AC1606" i="23" s="1"/>
  <c r="AD1606" i="23"/>
  <c r="AE1606" i="23"/>
  <c r="AF1606" i="23" a="1"/>
  <c r="AF1606" i="23" s="1"/>
  <c r="X1607" i="23"/>
  <c r="Y1607" i="23"/>
  <c r="Z1607" i="23"/>
  <c r="AA1607" i="23" a="1"/>
  <c r="AA1607" i="23" s="1"/>
  <c r="AB1607" i="23"/>
  <c r="AC1607" i="23" a="1"/>
  <c r="AC1607" i="23" s="1"/>
  <c r="AD1607" i="23"/>
  <c r="AE1607" i="23"/>
  <c r="AF1607" i="23" a="1"/>
  <c r="AF1607" i="23" s="1"/>
  <c r="X1608" i="23"/>
  <c r="Y1608" i="23"/>
  <c r="Z1608" i="23"/>
  <c r="AA1608" i="23" a="1"/>
  <c r="AA1608" i="23" s="1"/>
  <c r="AB1608" i="23"/>
  <c r="AC1608" i="23" a="1"/>
  <c r="AC1608" i="23" s="1"/>
  <c r="AD1608" i="23"/>
  <c r="AE1608" i="23"/>
  <c r="AF1608" i="23" a="1"/>
  <c r="AF1608" i="23" s="1"/>
  <c r="X1609" i="23"/>
  <c r="Y1609" i="23"/>
  <c r="Z1609" i="23"/>
  <c r="AA1609" i="23" a="1"/>
  <c r="AA1609" i="23" s="1"/>
  <c r="AB1609" i="23"/>
  <c r="AC1609" i="23" a="1"/>
  <c r="AC1609" i="23" s="1"/>
  <c r="AD1609" i="23"/>
  <c r="AE1609" i="23"/>
  <c r="AF1609" i="23" a="1"/>
  <c r="AF1609" i="23" s="1"/>
  <c r="X1610" i="23"/>
  <c r="Y1610" i="23"/>
  <c r="Z1610" i="23"/>
  <c r="AA1610" i="23" a="1"/>
  <c r="AA1610" i="23" s="1"/>
  <c r="AB1610" i="23"/>
  <c r="AC1610" i="23" a="1"/>
  <c r="AC1610" i="23" s="1"/>
  <c r="AD1610" i="23"/>
  <c r="AE1610" i="23"/>
  <c r="AF1610" i="23" a="1"/>
  <c r="AF1610" i="23" s="1"/>
  <c r="X1611" i="23"/>
  <c r="Y1611" i="23"/>
  <c r="Z1611" i="23"/>
  <c r="AA1611" i="23" a="1"/>
  <c r="AA1611" i="23" s="1"/>
  <c r="AB1611" i="23"/>
  <c r="AC1611" i="23" a="1"/>
  <c r="AC1611" i="23" s="1"/>
  <c r="AD1611" i="23"/>
  <c r="AE1611" i="23"/>
  <c r="AF1611" i="23" a="1"/>
  <c r="AF1611" i="23" s="1"/>
  <c r="X1612" i="23"/>
  <c r="Y1612" i="23"/>
  <c r="Z1612" i="23"/>
  <c r="AA1612" i="23" a="1"/>
  <c r="AA1612" i="23" s="1"/>
  <c r="AB1612" i="23"/>
  <c r="AC1612" i="23" a="1"/>
  <c r="AC1612" i="23" s="1"/>
  <c r="AD1612" i="23"/>
  <c r="AE1612" i="23"/>
  <c r="AF1612" i="23" a="1"/>
  <c r="AF1612" i="23" s="1"/>
  <c r="X1613" i="23"/>
  <c r="Y1613" i="23"/>
  <c r="Z1613" i="23"/>
  <c r="AA1613" i="23" a="1"/>
  <c r="AA1613" i="23"/>
  <c r="AB1613" i="23"/>
  <c r="AC1613" i="23" a="1"/>
  <c r="AC1613" i="23" s="1"/>
  <c r="AD1613" i="23"/>
  <c r="AE1613" i="23"/>
  <c r="AF1613" i="23" a="1"/>
  <c r="AF1613" i="23" s="1"/>
  <c r="X1614" i="23"/>
  <c r="Y1614" i="23"/>
  <c r="Z1614" i="23"/>
  <c r="AA1614" i="23" a="1"/>
  <c r="AA1614" i="23" s="1"/>
  <c r="AB1614" i="23"/>
  <c r="AC1614" i="23" a="1"/>
  <c r="AC1614" i="23"/>
  <c r="AD1614" i="23"/>
  <c r="AE1614" i="23"/>
  <c r="AF1614" i="23" a="1"/>
  <c r="AF1614" i="23" s="1"/>
  <c r="X1615" i="23"/>
  <c r="Y1615" i="23"/>
  <c r="Z1615" i="23"/>
  <c r="AA1615" i="23" a="1"/>
  <c r="AA1615" i="23" s="1"/>
  <c r="AB1615" i="23"/>
  <c r="AC1615" i="23" a="1"/>
  <c r="AC1615" i="23" s="1"/>
  <c r="AD1615" i="23"/>
  <c r="AE1615" i="23"/>
  <c r="AF1615" i="23" a="1"/>
  <c r="AF1615" i="23" s="1"/>
  <c r="X1616" i="23"/>
  <c r="Y1616" i="23"/>
  <c r="Z1616" i="23"/>
  <c r="AA1616" i="23" a="1"/>
  <c r="AA1616" i="23" s="1"/>
  <c r="AB1616" i="23"/>
  <c r="AC1616" i="23" a="1"/>
  <c r="AC1616" i="23" s="1"/>
  <c r="AD1616" i="23"/>
  <c r="AE1616" i="23"/>
  <c r="AF1616" i="23" a="1"/>
  <c r="AF1616" i="23" s="1"/>
  <c r="X1617" i="23"/>
  <c r="Y1617" i="23"/>
  <c r="Z1617" i="23"/>
  <c r="AA1617" i="23" a="1"/>
  <c r="AA1617" i="23" s="1"/>
  <c r="AB1617" i="23"/>
  <c r="AC1617" i="23" a="1"/>
  <c r="AC1617" i="23" s="1"/>
  <c r="AD1617" i="23"/>
  <c r="AE1617" i="23"/>
  <c r="AF1617" i="23" a="1"/>
  <c r="AF1617" i="23" s="1"/>
  <c r="X1618" i="23"/>
  <c r="Y1618" i="23"/>
  <c r="Z1618" i="23"/>
  <c r="AA1618" i="23" a="1"/>
  <c r="AA1618" i="23" s="1"/>
  <c r="AB1618" i="23"/>
  <c r="AC1618" i="23" a="1"/>
  <c r="AC1618" i="23"/>
  <c r="AD1618" i="23"/>
  <c r="AE1618" i="23"/>
  <c r="AF1618" i="23" a="1"/>
  <c r="AF1618" i="23" s="1"/>
  <c r="X1619" i="23"/>
  <c r="Y1619" i="23"/>
  <c r="Z1619" i="23"/>
  <c r="AA1619" i="23" a="1"/>
  <c r="AA1619" i="23" s="1"/>
  <c r="AB1619" i="23"/>
  <c r="AC1619" i="23" a="1"/>
  <c r="AC1619" i="23"/>
  <c r="AD1619" i="23"/>
  <c r="AE1619" i="23"/>
  <c r="AF1619" i="23" a="1"/>
  <c r="AF1619" i="23" s="1"/>
  <c r="X1620" i="23"/>
  <c r="Y1620" i="23"/>
  <c r="Z1620" i="23"/>
  <c r="AA1620" i="23" a="1"/>
  <c r="AA1620" i="23" s="1"/>
  <c r="AB1620" i="23"/>
  <c r="AC1620" i="23" a="1"/>
  <c r="AC1620" i="23" s="1"/>
  <c r="AD1620" i="23"/>
  <c r="AE1620" i="23"/>
  <c r="AF1620" i="23" a="1"/>
  <c r="AF1620" i="23" s="1"/>
  <c r="X1621" i="23"/>
  <c r="Y1621" i="23"/>
  <c r="Z1621" i="23"/>
  <c r="AA1621" i="23" a="1"/>
  <c r="AA1621" i="23" s="1"/>
  <c r="AB1621" i="23"/>
  <c r="AC1621" i="23" a="1"/>
  <c r="AC1621" i="23" s="1"/>
  <c r="AD1621" i="23"/>
  <c r="AE1621" i="23"/>
  <c r="AF1621" i="23" a="1"/>
  <c r="AF1621" i="23" s="1"/>
  <c r="X1622" i="23"/>
  <c r="Y1622" i="23"/>
  <c r="Z1622" i="23"/>
  <c r="AA1622" i="23" a="1"/>
  <c r="AA1622" i="23" s="1"/>
  <c r="AB1622" i="23"/>
  <c r="AC1622" i="23" a="1"/>
  <c r="AC1622" i="23"/>
  <c r="AD1622" i="23"/>
  <c r="AE1622" i="23"/>
  <c r="AF1622" i="23" a="1"/>
  <c r="AF1622" i="23" s="1"/>
  <c r="X1623" i="23"/>
  <c r="Y1623" i="23"/>
  <c r="Z1623" i="23"/>
  <c r="AA1623" i="23" a="1"/>
  <c r="AA1623" i="23" s="1"/>
  <c r="AB1623" i="23"/>
  <c r="AC1623" i="23" a="1"/>
  <c r="AC1623" i="23" s="1"/>
  <c r="AD1623" i="23"/>
  <c r="AE1623" i="23"/>
  <c r="AF1623" i="23" a="1"/>
  <c r="AF1623" i="23" s="1"/>
  <c r="X1624" i="23"/>
  <c r="Y1624" i="23"/>
  <c r="Z1624" i="23"/>
  <c r="AA1624" i="23" a="1"/>
  <c r="AA1624" i="23" s="1"/>
  <c r="AB1624" i="23"/>
  <c r="AC1624" i="23" a="1"/>
  <c r="AC1624" i="23" s="1"/>
  <c r="AD1624" i="23"/>
  <c r="AE1624" i="23"/>
  <c r="AF1624" i="23" a="1"/>
  <c r="AF1624" i="23" s="1"/>
  <c r="X1625" i="23"/>
  <c r="Y1625" i="23"/>
  <c r="Z1625" i="23"/>
  <c r="AA1625" i="23" a="1"/>
  <c r="AA1625" i="23" s="1"/>
  <c r="AB1625" i="23"/>
  <c r="AC1625" i="23" a="1"/>
  <c r="AC1625" i="23" s="1"/>
  <c r="AD1625" i="23"/>
  <c r="AE1625" i="23"/>
  <c r="AF1625" i="23" a="1"/>
  <c r="AF1625" i="23" s="1"/>
  <c r="X1626" i="23"/>
  <c r="Y1626" i="23"/>
  <c r="Z1626" i="23"/>
  <c r="AA1626" i="23" a="1"/>
  <c r="AA1626" i="23" s="1"/>
  <c r="AB1626" i="23"/>
  <c r="AC1626" i="23" a="1"/>
  <c r="AC1626" i="23"/>
  <c r="AD1626" i="23"/>
  <c r="AE1626" i="23"/>
  <c r="AF1626" i="23" a="1"/>
  <c r="AF1626" i="23" s="1"/>
  <c r="X1627" i="23"/>
  <c r="Y1627" i="23"/>
  <c r="Z1627" i="23"/>
  <c r="AA1627" i="23" a="1"/>
  <c r="AA1627" i="23" s="1"/>
  <c r="AB1627" i="23"/>
  <c r="AC1627" i="23" a="1"/>
  <c r="AC1627" i="23" s="1"/>
  <c r="AD1627" i="23"/>
  <c r="AE1627" i="23"/>
  <c r="AF1627" i="23" a="1"/>
  <c r="AF1627" i="23" s="1"/>
  <c r="X1628" i="23"/>
  <c r="Y1628" i="23"/>
  <c r="Z1628" i="23"/>
  <c r="AA1628" i="23" a="1"/>
  <c r="AA1628" i="23" s="1"/>
  <c r="AB1628" i="23"/>
  <c r="AC1628" i="23" a="1"/>
  <c r="AC1628" i="23" s="1"/>
  <c r="AD1628" i="23"/>
  <c r="AE1628" i="23"/>
  <c r="AF1628" i="23" a="1"/>
  <c r="AF1628" i="23" s="1"/>
  <c r="X1629" i="23"/>
  <c r="Y1629" i="23"/>
  <c r="Z1629" i="23"/>
  <c r="AA1629" i="23" a="1"/>
  <c r="AA1629" i="23" s="1"/>
  <c r="AB1629" i="23"/>
  <c r="AC1629" i="23" a="1"/>
  <c r="AC1629" i="23" s="1"/>
  <c r="AD1629" i="23"/>
  <c r="AE1629" i="23"/>
  <c r="AF1629" i="23" a="1"/>
  <c r="AF1629" i="23" s="1"/>
  <c r="X1630" i="23"/>
  <c r="Y1630" i="23"/>
  <c r="Z1630" i="23"/>
  <c r="AA1630" i="23" a="1"/>
  <c r="AA1630" i="23" s="1"/>
  <c r="AB1630" i="23"/>
  <c r="AC1630" i="23" a="1"/>
  <c r="AC1630" i="23" s="1"/>
  <c r="AD1630" i="23"/>
  <c r="AE1630" i="23"/>
  <c r="AF1630" i="23" a="1"/>
  <c r="AF1630" i="23" s="1"/>
  <c r="X1631" i="23"/>
  <c r="Y1631" i="23"/>
  <c r="Z1631" i="23"/>
  <c r="AA1631" i="23" a="1"/>
  <c r="AA1631" i="23" s="1"/>
  <c r="AB1631" i="23"/>
  <c r="AC1631" i="23" a="1"/>
  <c r="AC1631" i="23"/>
  <c r="AD1631" i="23"/>
  <c r="AE1631" i="23"/>
  <c r="AF1631" i="23" a="1"/>
  <c r="AF1631" i="23" s="1"/>
  <c r="X1632" i="23"/>
  <c r="Y1632" i="23"/>
  <c r="Z1632" i="23"/>
  <c r="AA1632" i="23" a="1"/>
  <c r="AA1632" i="23" s="1"/>
  <c r="AB1632" i="23"/>
  <c r="AC1632" i="23" a="1"/>
  <c r="AC1632" i="23" s="1"/>
  <c r="AD1632" i="23"/>
  <c r="AE1632" i="23"/>
  <c r="AF1632" i="23" a="1"/>
  <c r="AF1632" i="23" s="1"/>
  <c r="X1633" i="23"/>
  <c r="Y1633" i="23"/>
  <c r="Z1633" i="23"/>
  <c r="AA1633" i="23" a="1"/>
  <c r="AA1633" i="23" s="1"/>
  <c r="AB1633" i="23"/>
  <c r="AC1633" i="23" a="1"/>
  <c r="AC1633" i="23" s="1"/>
  <c r="AD1633" i="23"/>
  <c r="AE1633" i="23"/>
  <c r="AF1633" i="23" a="1"/>
  <c r="AF1633" i="23" s="1"/>
  <c r="X1634" i="23"/>
  <c r="Y1634" i="23"/>
  <c r="Z1634" i="23"/>
  <c r="AA1634" i="23" a="1"/>
  <c r="AA1634" i="23" s="1"/>
  <c r="AB1634" i="23"/>
  <c r="AC1634" i="23" a="1"/>
  <c r="AC1634" i="23" s="1"/>
  <c r="AD1634" i="23"/>
  <c r="AE1634" i="23"/>
  <c r="AF1634" i="23" a="1"/>
  <c r="AF1634" i="23" s="1"/>
  <c r="X1635" i="23"/>
  <c r="Y1635" i="23"/>
  <c r="Z1635" i="23"/>
  <c r="AA1635" i="23" a="1"/>
  <c r="AA1635" i="23" s="1"/>
  <c r="AB1635" i="23"/>
  <c r="AC1635" i="23" a="1"/>
  <c r="AC1635" i="23" s="1"/>
  <c r="AD1635" i="23"/>
  <c r="AE1635" i="23"/>
  <c r="AF1635" i="23" a="1"/>
  <c r="AF1635" i="23" s="1"/>
  <c r="X1636" i="23"/>
  <c r="Y1636" i="23"/>
  <c r="Z1636" i="23"/>
  <c r="AA1636" i="23" a="1"/>
  <c r="AA1636" i="23" s="1"/>
  <c r="AB1636" i="23"/>
  <c r="AC1636" i="23" a="1"/>
  <c r="AC1636" i="23" s="1"/>
  <c r="AD1636" i="23"/>
  <c r="AE1636" i="23"/>
  <c r="AF1636" i="23" a="1"/>
  <c r="AF1636" i="23" s="1"/>
  <c r="X1637" i="23"/>
  <c r="Y1637" i="23"/>
  <c r="Z1637" i="23"/>
  <c r="AA1637" i="23" a="1"/>
  <c r="AA1637" i="23" s="1"/>
  <c r="AB1637" i="23"/>
  <c r="AC1637" i="23" a="1"/>
  <c r="AC1637" i="23" s="1"/>
  <c r="AD1637" i="23"/>
  <c r="AE1637" i="23"/>
  <c r="AF1637" i="23" a="1"/>
  <c r="AF1637" i="23" s="1"/>
  <c r="X1638" i="23"/>
  <c r="Y1638" i="23"/>
  <c r="Z1638" i="23"/>
  <c r="AA1638" i="23" a="1"/>
  <c r="AA1638" i="23" s="1"/>
  <c r="AB1638" i="23"/>
  <c r="AC1638" i="23" a="1"/>
  <c r="AC1638" i="23" s="1"/>
  <c r="AD1638" i="23"/>
  <c r="AE1638" i="23"/>
  <c r="AF1638" i="23" a="1"/>
  <c r="AF1638" i="23" s="1"/>
  <c r="X1639" i="23"/>
  <c r="Y1639" i="23"/>
  <c r="Z1639" i="23"/>
  <c r="AA1639" i="23" a="1"/>
  <c r="AA1639" i="23" s="1"/>
  <c r="AB1639" i="23"/>
  <c r="AC1639" i="23" a="1"/>
  <c r="AC1639" i="23" s="1"/>
  <c r="AD1639" i="23"/>
  <c r="AE1639" i="23"/>
  <c r="AF1639" i="23" a="1"/>
  <c r="AF1639" i="23" s="1"/>
  <c r="X1640" i="23"/>
  <c r="Y1640" i="23"/>
  <c r="Z1640" i="23"/>
  <c r="AA1640" i="23" a="1"/>
  <c r="AA1640" i="23" s="1"/>
  <c r="AB1640" i="23"/>
  <c r="AC1640" i="23" a="1"/>
  <c r="AC1640" i="23" s="1"/>
  <c r="AD1640" i="23"/>
  <c r="AE1640" i="23"/>
  <c r="AF1640" i="23" a="1"/>
  <c r="AF1640" i="23" s="1"/>
  <c r="X1641" i="23"/>
  <c r="Y1641" i="23"/>
  <c r="Z1641" i="23"/>
  <c r="AA1641" i="23" a="1"/>
  <c r="AA1641" i="23" s="1"/>
  <c r="AB1641" i="23"/>
  <c r="AC1641" i="23" a="1"/>
  <c r="AC1641" i="23" s="1"/>
  <c r="AD1641" i="23"/>
  <c r="AE1641" i="23"/>
  <c r="AF1641" i="23" a="1"/>
  <c r="AF1641" i="23" s="1"/>
  <c r="X1642" i="23"/>
  <c r="Y1642" i="23"/>
  <c r="Z1642" i="23"/>
  <c r="AA1642" i="23" a="1"/>
  <c r="AA1642" i="23" s="1"/>
  <c r="AB1642" i="23"/>
  <c r="AC1642" i="23" a="1"/>
  <c r="AC1642" i="23"/>
  <c r="AD1642" i="23"/>
  <c r="AE1642" i="23"/>
  <c r="AF1642" i="23" a="1"/>
  <c r="AF1642" i="23" s="1"/>
  <c r="X1643" i="23"/>
  <c r="Y1643" i="23"/>
  <c r="Z1643" i="23"/>
  <c r="AA1643" i="23" a="1"/>
  <c r="AA1643" i="23" s="1"/>
  <c r="AB1643" i="23"/>
  <c r="AC1643" i="23" a="1"/>
  <c r="AC1643" i="23" s="1"/>
  <c r="AD1643" i="23"/>
  <c r="AE1643" i="23"/>
  <c r="AF1643" i="23" a="1"/>
  <c r="AF1643" i="23" s="1"/>
  <c r="X1644" i="23"/>
  <c r="Y1644" i="23"/>
  <c r="Z1644" i="23"/>
  <c r="AA1644" i="23" a="1"/>
  <c r="AA1644" i="23" s="1"/>
  <c r="AB1644" i="23"/>
  <c r="AC1644" i="23" a="1"/>
  <c r="AC1644" i="23" s="1"/>
  <c r="AD1644" i="23"/>
  <c r="AE1644" i="23"/>
  <c r="AF1644" i="23" a="1"/>
  <c r="AF1644" i="23" s="1"/>
  <c r="X1645" i="23"/>
  <c r="Y1645" i="23"/>
  <c r="Z1645" i="23"/>
  <c r="AA1645" i="23" a="1"/>
  <c r="AA1645" i="23" s="1"/>
  <c r="AB1645" i="23"/>
  <c r="AC1645" i="23" a="1"/>
  <c r="AC1645" i="23" s="1"/>
  <c r="AD1645" i="23"/>
  <c r="AE1645" i="23"/>
  <c r="AF1645" i="23" a="1"/>
  <c r="AF1645" i="23" s="1"/>
  <c r="X1646" i="23"/>
  <c r="Y1646" i="23"/>
  <c r="Z1646" i="23"/>
  <c r="AA1646" i="23" a="1"/>
  <c r="AA1646" i="23" s="1"/>
  <c r="AB1646" i="23"/>
  <c r="AC1646" i="23" a="1"/>
  <c r="AC1646" i="23" s="1"/>
  <c r="AD1646" i="23"/>
  <c r="AE1646" i="23"/>
  <c r="AF1646" i="23" a="1"/>
  <c r="AF1646" i="23" s="1"/>
  <c r="X1647" i="23"/>
  <c r="Y1647" i="23"/>
  <c r="Z1647" i="23"/>
  <c r="AA1647" i="23" a="1"/>
  <c r="AA1647" i="23" s="1"/>
  <c r="AB1647" i="23"/>
  <c r="AC1647" i="23" a="1"/>
  <c r="AC1647" i="23"/>
  <c r="AD1647" i="23"/>
  <c r="AE1647" i="23"/>
  <c r="AF1647" i="23" a="1"/>
  <c r="AF1647" i="23" s="1"/>
  <c r="X1648" i="23"/>
  <c r="Y1648" i="23"/>
  <c r="Z1648" i="23"/>
  <c r="AA1648" i="23" a="1"/>
  <c r="AA1648" i="23" s="1"/>
  <c r="AB1648" i="23"/>
  <c r="AC1648" i="23" a="1"/>
  <c r="AC1648" i="23" s="1"/>
  <c r="AD1648" i="23"/>
  <c r="AE1648" i="23"/>
  <c r="AF1648" i="23" a="1"/>
  <c r="AF1648" i="23" s="1"/>
  <c r="X1649" i="23"/>
  <c r="Y1649" i="23"/>
  <c r="Z1649" i="23"/>
  <c r="AA1649" i="23" a="1"/>
  <c r="AA1649" i="23" s="1"/>
  <c r="AB1649" i="23"/>
  <c r="AC1649" i="23" a="1"/>
  <c r="AC1649" i="23" s="1"/>
  <c r="AD1649" i="23"/>
  <c r="AE1649" i="23"/>
  <c r="AF1649" i="23" a="1"/>
  <c r="AF1649" i="23" s="1"/>
  <c r="X1650" i="23"/>
  <c r="Y1650" i="23"/>
  <c r="Z1650" i="23"/>
  <c r="AA1650" i="23" a="1"/>
  <c r="AA1650" i="23" s="1"/>
  <c r="AB1650" i="23"/>
  <c r="AC1650" i="23" a="1"/>
  <c r="AC1650" i="23" s="1"/>
  <c r="AD1650" i="23"/>
  <c r="AE1650" i="23"/>
  <c r="AF1650" i="23" a="1"/>
  <c r="AF1650" i="23" s="1"/>
  <c r="X1651" i="23"/>
  <c r="Y1651" i="23"/>
  <c r="Z1651" i="23"/>
  <c r="AA1651" i="23" a="1"/>
  <c r="AA1651" i="23" s="1"/>
  <c r="AB1651" i="23"/>
  <c r="AC1651" i="23" a="1"/>
  <c r="AC1651" i="23" s="1"/>
  <c r="AD1651" i="23"/>
  <c r="AE1651" i="23"/>
  <c r="AF1651" i="23" a="1"/>
  <c r="AF1651" i="23" s="1"/>
  <c r="X1652" i="23"/>
  <c r="Y1652" i="23"/>
  <c r="Z1652" i="23"/>
  <c r="AA1652" i="23" a="1"/>
  <c r="AA1652" i="23" s="1"/>
  <c r="AB1652" i="23"/>
  <c r="AC1652" i="23" a="1"/>
  <c r="AC1652" i="23" s="1"/>
  <c r="AD1652" i="23"/>
  <c r="AE1652" i="23"/>
  <c r="AF1652" i="23" a="1"/>
  <c r="AF1652" i="23" s="1"/>
  <c r="X1653" i="23"/>
  <c r="Y1653" i="23"/>
  <c r="Z1653" i="23"/>
  <c r="AA1653" i="23" a="1"/>
  <c r="AA1653" i="23" s="1"/>
  <c r="AB1653" i="23"/>
  <c r="AC1653" i="23" a="1"/>
  <c r="AC1653" i="23" s="1"/>
  <c r="AD1653" i="23"/>
  <c r="AE1653" i="23"/>
  <c r="AF1653" i="23" a="1"/>
  <c r="AF1653" i="23" s="1"/>
  <c r="X1654" i="23"/>
  <c r="Y1654" i="23"/>
  <c r="Z1654" i="23"/>
  <c r="AA1654" i="23" a="1"/>
  <c r="AA1654" i="23" s="1"/>
  <c r="AB1654" i="23"/>
  <c r="AC1654" i="23" a="1"/>
  <c r="AC1654" i="23" s="1"/>
  <c r="AD1654" i="23"/>
  <c r="AE1654" i="23"/>
  <c r="AF1654" i="23" a="1"/>
  <c r="AF1654" i="23" s="1"/>
  <c r="X1655" i="23"/>
  <c r="Y1655" i="23"/>
  <c r="Z1655" i="23"/>
  <c r="AA1655" i="23" a="1"/>
  <c r="AA1655" i="23" s="1"/>
  <c r="AB1655" i="23"/>
  <c r="AC1655" i="23" a="1"/>
  <c r="AC1655" i="23" s="1"/>
  <c r="AD1655" i="23"/>
  <c r="AE1655" i="23"/>
  <c r="AF1655" i="23" a="1"/>
  <c r="AF1655" i="23" s="1"/>
  <c r="X1656" i="23"/>
  <c r="Y1656" i="23"/>
  <c r="Z1656" i="23"/>
  <c r="AA1656" i="23" a="1"/>
  <c r="AA1656" i="23" s="1"/>
  <c r="AB1656" i="23"/>
  <c r="AC1656" i="23" a="1"/>
  <c r="AC1656" i="23" s="1"/>
  <c r="AD1656" i="23"/>
  <c r="AE1656" i="23"/>
  <c r="AF1656" i="23" a="1"/>
  <c r="AF1656" i="23" s="1"/>
  <c r="X1657" i="23"/>
  <c r="Y1657" i="23"/>
  <c r="Z1657" i="23"/>
  <c r="AA1657" i="23" a="1"/>
  <c r="AA1657" i="23" s="1"/>
  <c r="AB1657" i="23"/>
  <c r="AC1657" i="23" a="1"/>
  <c r="AC1657" i="23" s="1"/>
  <c r="AD1657" i="23"/>
  <c r="AE1657" i="23"/>
  <c r="AF1657" i="23" a="1"/>
  <c r="AF1657" i="23" s="1"/>
  <c r="X1658" i="23"/>
  <c r="Y1658" i="23"/>
  <c r="Z1658" i="23"/>
  <c r="AA1658" i="23" a="1"/>
  <c r="AA1658" i="23" s="1"/>
  <c r="AB1658" i="23"/>
  <c r="AC1658" i="23" a="1"/>
  <c r="AC1658" i="23"/>
  <c r="AD1658" i="23"/>
  <c r="AE1658" i="23"/>
  <c r="AF1658" i="23" a="1"/>
  <c r="AF1658" i="23" s="1"/>
  <c r="X1659" i="23"/>
  <c r="Y1659" i="23"/>
  <c r="Z1659" i="23"/>
  <c r="AA1659" i="23" a="1"/>
  <c r="AA1659" i="23" s="1"/>
  <c r="AB1659" i="23"/>
  <c r="AC1659" i="23" a="1"/>
  <c r="AC1659" i="23" s="1"/>
  <c r="AD1659" i="23"/>
  <c r="AE1659" i="23"/>
  <c r="AF1659" i="23" a="1"/>
  <c r="AF1659" i="23" s="1"/>
  <c r="X1660" i="23"/>
  <c r="Y1660" i="23"/>
  <c r="Z1660" i="23"/>
  <c r="AA1660" i="23" a="1"/>
  <c r="AA1660" i="23" s="1"/>
  <c r="AB1660" i="23"/>
  <c r="AC1660" i="23" a="1"/>
  <c r="AC1660" i="23" s="1"/>
  <c r="AD1660" i="23"/>
  <c r="AE1660" i="23"/>
  <c r="AF1660" i="23" a="1"/>
  <c r="AF1660" i="23" s="1"/>
  <c r="X1661" i="23"/>
  <c r="Y1661" i="23"/>
  <c r="Z1661" i="23"/>
  <c r="AA1661" i="23" a="1"/>
  <c r="AA1661" i="23" s="1"/>
  <c r="AB1661" i="23"/>
  <c r="AC1661" i="23" a="1"/>
  <c r="AC1661" i="23" s="1"/>
  <c r="AD1661" i="23"/>
  <c r="AE1661" i="23"/>
  <c r="AF1661" i="23" a="1"/>
  <c r="AF1661" i="23" s="1"/>
  <c r="X1662" i="23"/>
  <c r="Y1662" i="23"/>
  <c r="Z1662" i="23"/>
  <c r="AA1662" i="23" a="1"/>
  <c r="AA1662" i="23" s="1"/>
  <c r="AB1662" i="23"/>
  <c r="AC1662" i="23" a="1"/>
  <c r="AC1662" i="23" s="1"/>
  <c r="AD1662" i="23"/>
  <c r="AE1662" i="23"/>
  <c r="AF1662" i="23" a="1"/>
  <c r="AF1662" i="23" s="1"/>
  <c r="X1663" i="23"/>
  <c r="Y1663" i="23"/>
  <c r="Z1663" i="23"/>
  <c r="AA1663" i="23" a="1"/>
  <c r="AA1663" i="23" s="1"/>
  <c r="AB1663" i="23"/>
  <c r="AC1663" i="23" a="1"/>
  <c r="AC1663" i="23"/>
  <c r="AD1663" i="23"/>
  <c r="AE1663" i="23"/>
  <c r="AF1663" i="23" a="1"/>
  <c r="AF1663" i="23" s="1"/>
  <c r="X1664" i="23"/>
  <c r="Y1664" i="23"/>
  <c r="Z1664" i="23"/>
  <c r="AA1664" i="23" a="1"/>
  <c r="AA1664" i="23" s="1"/>
  <c r="AB1664" i="23"/>
  <c r="AC1664" i="23" a="1"/>
  <c r="AC1664" i="23" s="1"/>
  <c r="AD1664" i="23"/>
  <c r="AE1664" i="23"/>
  <c r="AF1664" i="23" a="1"/>
  <c r="AF1664" i="23" s="1"/>
  <c r="X1665" i="23"/>
  <c r="Y1665" i="23"/>
  <c r="Z1665" i="23"/>
  <c r="AA1665" i="23" a="1"/>
  <c r="AA1665" i="23" s="1"/>
  <c r="AB1665" i="23"/>
  <c r="AC1665" i="23" a="1"/>
  <c r="AC1665" i="23" s="1"/>
  <c r="AD1665" i="23"/>
  <c r="AE1665" i="23"/>
  <c r="AF1665" i="23" a="1"/>
  <c r="AF1665" i="23" s="1"/>
  <c r="X1666" i="23"/>
  <c r="Y1666" i="23"/>
  <c r="Z1666" i="23"/>
  <c r="AA1666" i="23" a="1"/>
  <c r="AA1666" i="23" s="1"/>
  <c r="AB1666" i="23"/>
  <c r="AC1666" i="23" a="1"/>
  <c r="AC1666" i="23" s="1"/>
  <c r="AD1666" i="23"/>
  <c r="AE1666" i="23"/>
  <c r="AF1666" i="23" a="1"/>
  <c r="AF1666" i="23" s="1"/>
  <c r="X1667" i="23"/>
  <c r="Y1667" i="23"/>
  <c r="Z1667" i="23"/>
  <c r="AA1667" i="23" a="1"/>
  <c r="AA1667" i="23" s="1"/>
  <c r="AB1667" i="23"/>
  <c r="AC1667" i="23" a="1"/>
  <c r="AC1667" i="23" s="1"/>
  <c r="AD1667" i="23"/>
  <c r="AE1667" i="23"/>
  <c r="AF1667" i="23" a="1"/>
  <c r="AF1667" i="23" s="1"/>
  <c r="X1668" i="23"/>
  <c r="Y1668" i="23"/>
  <c r="Z1668" i="23"/>
  <c r="AA1668" i="23" a="1"/>
  <c r="AA1668" i="23" s="1"/>
  <c r="AB1668" i="23"/>
  <c r="AC1668" i="23" a="1"/>
  <c r="AC1668" i="23" s="1"/>
  <c r="AD1668" i="23"/>
  <c r="AE1668" i="23"/>
  <c r="AF1668" i="23" a="1"/>
  <c r="AF1668" i="23" s="1"/>
  <c r="X1669" i="23"/>
  <c r="Y1669" i="23"/>
  <c r="Z1669" i="23"/>
  <c r="AA1669" i="23" a="1"/>
  <c r="AA1669" i="23" s="1"/>
  <c r="AB1669" i="23"/>
  <c r="AC1669" i="23" a="1"/>
  <c r="AC1669" i="23" s="1"/>
  <c r="AD1669" i="23"/>
  <c r="AE1669" i="23"/>
  <c r="AF1669" i="23" a="1"/>
  <c r="AF1669" i="23" s="1"/>
  <c r="X1670" i="23"/>
  <c r="Y1670" i="23"/>
  <c r="Z1670" i="23"/>
  <c r="AA1670" i="23" a="1"/>
  <c r="AA1670" i="23" s="1"/>
  <c r="AB1670" i="23"/>
  <c r="AC1670" i="23" a="1"/>
  <c r="AC1670" i="23" s="1"/>
  <c r="AD1670" i="23"/>
  <c r="AE1670" i="23"/>
  <c r="AF1670" i="23" a="1"/>
  <c r="AF1670" i="23" s="1"/>
  <c r="X1671" i="23"/>
  <c r="Y1671" i="23"/>
  <c r="Z1671" i="23"/>
  <c r="AA1671" i="23" a="1"/>
  <c r="AA1671" i="23" s="1"/>
  <c r="AB1671" i="23"/>
  <c r="AC1671" i="23" a="1"/>
  <c r="AC1671" i="23" s="1"/>
  <c r="AD1671" i="23"/>
  <c r="AE1671" i="23"/>
  <c r="AF1671" i="23" a="1"/>
  <c r="AF1671" i="23" s="1"/>
  <c r="X1672" i="23"/>
  <c r="Y1672" i="23"/>
  <c r="Z1672" i="23"/>
  <c r="AA1672" i="23" a="1"/>
  <c r="AA1672" i="23" s="1"/>
  <c r="AB1672" i="23"/>
  <c r="AC1672" i="23" a="1"/>
  <c r="AC1672" i="23" s="1"/>
  <c r="AD1672" i="23"/>
  <c r="AE1672" i="23"/>
  <c r="AF1672" i="23" a="1"/>
  <c r="AF1672" i="23" s="1"/>
  <c r="X1673" i="23"/>
  <c r="Y1673" i="23"/>
  <c r="Z1673" i="23"/>
  <c r="AA1673" i="23" a="1"/>
  <c r="AA1673" i="23" s="1"/>
  <c r="AB1673" i="23"/>
  <c r="AC1673" i="23" a="1"/>
  <c r="AC1673" i="23" s="1"/>
  <c r="AD1673" i="23"/>
  <c r="AE1673" i="23"/>
  <c r="AF1673" i="23" a="1"/>
  <c r="AF1673" i="23" s="1"/>
  <c r="X1674" i="23"/>
  <c r="Y1674" i="23"/>
  <c r="Z1674" i="23"/>
  <c r="AA1674" i="23" a="1"/>
  <c r="AA1674" i="23" s="1"/>
  <c r="AB1674" i="23"/>
  <c r="AC1674" i="23" a="1"/>
  <c r="AC1674" i="23"/>
  <c r="AD1674" i="23"/>
  <c r="AE1674" i="23"/>
  <c r="AF1674" i="23" a="1"/>
  <c r="AF1674" i="23" s="1"/>
  <c r="X1675" i="23"/>
  <c r="Y1675" i="23"/>
  <c r="Z1675" i="23"/>
  <c r="AA1675" i="23" a="1"/>
  <c r="AA1675" i="23" s="1"/>
  <c r="AB1675" i="23"/>
  <c r="AC1675" i="23" a="1"/>
  <c r="AC1675" i="23" s="1"/>
  <c r="AD1675" i="23"/>
  <c r="AE1675" i="23"/>
  <c r="AF1675" i="23" a="1"/>
  <c r="AF1675" i="23" s="1"/>
  <c r="X1676" i="23"/>
  <c r="Y1676" i="23"/>
  <c r="Z1676" i="23"/>
  <c r="AA1676" i="23" a="1"/>
  <c r="AA1676" i="23"/>
  <c r="AB1676" i="23"/>
  <c r="AC1676" i="23" a="1"/>
  <c r="AC1676" i="23"/>
  <c r="AD1676" i="23"/>
  <c r="AE1676" i="23"/>
  <c r="AF1676" i="23" a="1"/>
  <c r="AF1676" i="23" s="1"/>
  <c r="X1677" i="23"/>
  <c r="Y1677" i="23"/>
  <c r="Z1677" i="23"/>
  <c r="AA1677" i="23" a="1"/>
  <c r="AA1677" i="23" s="1"/>
  <c r="AB1677" i="23"/>
  <c r="AC1677" i="23" a="1"/>
  <c r="AC1677" i="23"/>
  <c r="AD1677" i="23"/>
  <c r="AE1677" i="23"/>
  <c r="AF1677" i="23" a="1"/>
  <c r="AF1677" i="23" s="1"/>
  <c r="X1678" i="23"/>
  <c r="Y1678" i="23"/>
  <c r="Z1678" i="23"/>
  <c r="AA1678" i="23" a="1"/>
  <c r="AA1678" i="23"/>
  <c r="AB1678" i="23"/>
  <c r="AC1678" i="23" a="1"/>
  <c r="AC1678" i="23" s="1"/>
  <c r="AD1678" i="23"/>
  <c r="AE1678" i="23"/>
  <c r="AF1678" i="23" a="1"/>
  <c r="AF1678" i="23" s="1"/>
  <c r="X1679" i="23"/>
  <c r="Y1679" i="23"/>
  <c r="Z1679" i="23"/>
  <c r="AA1679" i="23" a="1"/>
  <c r="AA1679" i="23" s="1"/>
  <c r="AB1679" i="23"/>
  <c r="AC1679" i="23" a="1"/>
  <c r="AC1679" i="23" s="1"/>
  <c r="AD1679" i="23"/>
  <c r="AE1679" i="23"/>
  <c r="AF1679" i="23" a="1"/>
  <c r="AF1679" i="23" s="1"/>
  <c r="X1680" i="23"/>
  <c r="Y1680" i="23"/>
  <c r="Z1680" i="23"/>
  <c r="AA1680" i="23" a="1"/>
  <c r="AA1680" i="23"/>
  <c r="AB1680" i="23"/>
  <c r="AC1680" i="23" a="1"/>
  <c r="AC1680" i="23" s="1"/>
  <c r="AD1680" i="23"/>
  <c r="AE1680" i="23"/>
  <c r="AF1680" i="23" a="1"/>
  <c r="AF1680" i="23" s="1"/>
  <c r="X1681" i="23"/>
  <c r="Y1681" i="23"/>
  <c r="Z1681" i="23"/>
  <c r="AA1681" i="23" a="1"/>
  <c r="AA1681" i="23" s="1"/>
  <c r="AB1681" i="23"/>
  <c r="AC1681" i="23" a="1"/>
  <c r="AC1681" i="23" s="1"/>
  <c r="AD1681" i="23"/>
  <c r="AE1681" i="23"/>
  <c r="AF1681" i="23" a="1"/>
  <c r="AF1681" i="23" s="1"/>
  <c r="X1682" i="23"/>
  <c r="Y1682" i="23"/>
  <c r="Z1682" i="23"/>
  <c r="AA1682" i="23" a="1"/>
  <c r="AA1682" i="23"/>
  <c r="AB1682" i="23"/>
  <c r="AC1682" i="23" a="1"/>
  <c r="AC1682" i="23" s="1"/>
  <c r="AD1682" i="23"/>
  <c r="AE1682" i="23"/>
  <c r="AF1682" i="23" a="1"/>
  <c r="AF1682" i="23" s="1"/>
  <c r="X1683" i="23"/>
  <c r="Y1683" i="23"/>
  <c r="Z1683" i="23"/>
  <c r="AA1683" i="23" a="1"/>
  <c r="AA1683" i="23" s="1"/>
  <c r="AB1683" i="23"/>
  <c r="AC1683" i="23" a="1"/>
  <c r="AC1683" i="23" s="1"/>
  <c r="AD1683" i="23"/>
  <c r="AE1683" i="23"/>
  <c r="AF1683" i="23" a="1"/>
  <c r="AF1683" i="23" s="1"/>
  <c r="X1684" i="23"/>
  <c r="Y1684" i="23"/>
  <c r="Z1684" i="23"/>
  <c r="AA1684" i="23" a="1"/>
  <c r="AA1684" i="23"/>
  <c r="AB1684" i="23"/>
  <c r="AC1684" i="23" a="1"/>
  <c r="AC1684" i="23" s="1"/>
  <c r="AD1684" i="23"/>
  <c r="AE1684" i="23"/>
  <c r="AF1684" i="23" a="1"/>
  <c r="AF1684" i="23" s="1"/>
  <c r="X1685" i="23"/>
  <c r="Y1685" i="23"/>
  <c r="Z1685" i="23"/>
  <c r="AA1685" i="23" a="1"/>
  <c r="AA1685" i="23" s="1"/>
  <c r="AB1685" i="23"/>
  <c r="AC1685" i="23" a="1"/>
  <c r="AC1685" i="23" s="1"/>
  <c r="AD1685" i="23"/>
  <c r="AE1685" i="23"/>
  <c r="AF1685" i="23" a="1"/>
  <c r="AF1685" i="23" s="1"/>
  <c r="X1686" i="23"/>
  <c r="Y1686" i="23"/>
  <c r="Z1686" i="23"/>
  <c r="AA1686" i="23" a="1"/>
  <c r="AA1686" i="23"/>
  <c r="AB1686" i="23"/>
  <c r="AC1686" i="23" a="1"/>
  <c r="AC1686" i="23" s="1"/>
  <c r="AD1686" i="23"/>
  <c r="AE1686" i="23"/>
  <c r="AF1686" i="23" a="1"/>
  <c r="AF1686" i="23" s="1"/>
  <c r="X1687" i="23"/>
  <c r="Y1687" i="23"/>
  <c r="Z1687" i="23"/>
  <c r="AA1687" i="23" a="1"/>
  <c r="AA1687" i="23" s="1"/>
  <c r="AB1687" i="23"/>
  <c r="AC1687" i="23" a="1"/>
  <c r="AC1687" i="23" s="1"/>
  <c r="AD1687" i="23"/>
  <c r="AE1687" i="23"/>
  <c r="AF1687" i="23" a="1"/>
  <c r="AF1687" i="23" s="1"/>
  <c r="X1688" i="23"/>
  <c r="Y1688" i="23"/>
  <c r="Z1688" i="23"/>
  <c r="AA1688" i="23" a="1"/>
  <c r="AA1688" i="23"/>
  <c r="AB1688" i="23"/>
  <c r="AC1688" i="23" a="1"/>
  <c r="AC1688" i="23" s="1"/>
  <c r="AD1688" i="23"/>
  <c r="AE1688" i="23"/>
  <c r="AF1688" i="23" a="1"/>
  <c r="AF1688" i="23" s="1"/>
  <c r="X1689" i="23"/>
  <c r="Y1689" i="23"/>
  <c r="Z1689" i="23"/>
  <c r="AA1689" i="23" a="1"/>
  <c r="AA1689" i="23" s="1"/>
  <c r="AB1689" i="23"/>
  <c r="AC1689" i="23" a="1"/>
  <c r="AC1689" i="23"/>
  <c r="AD1689" i="23"/>
  <c r="AE1689" i="23"/>
  <c r="AF1689" i="23" a="1"/>
  <c r="AF1689" i="23" s="1"/>
  <c r="X1690" i="23"/>
  <c r="Y1690" i="23"/>
  <c r="Z1690" i="23"/>
  <c r="AA1690" i="23" a="1"/>
  <c r="AA1690" i="23"/>
  <c r="AB1690" i="23"/>
  <c r="AC1690" i="23" a="1"/>
  <c r="AC1690" i="23"/>
  <c r="AD1690" i="23"/>
  <c r="AE1690" i="23"/>
  <c r="AF1690" i="23" a="1"/>
  <c r="AF1690" i="23" s="1"/>
  <c r="X1691" i="23"/>
  <c r="Y1691" i="23"/>
  <c r="Z1691" i="23"/>
  <c r="AA1691" i="23" a="1"/>
  <c r="AA1691" i="23" s="1"/>
  <c r="AB1691" i="23"/>
  <c r="AC1691" i="23" a="1"/>
  <c r="AC1691" i="23" s="1"/>
  <c r="AD1691" i="23"/>
  <c r="AE1691" i="23"/>
  <c r="AF1691" i="23" a="1"/>
  <c r="AF1691" i="23" s="1"/>
  <c r="X1692" i="23"/>
  <c r="Y1692" i="23"/>
  <c r="Z1692" i="23"/>
  <c r="AA1692" i="23" a="1"/>
  <c r="AA1692" i="23"/>
  <c r="AB1692" i="23"/>
  <c r="AC1692" i="23" a="1"/>
  <c r="AC1692" i="23"/>
  <c r="AD1692" i="23"/>
  <c r="AE1692" i="23"/>
  <c r="AF1692" i="23" a="1"/>
  <c r="AF1692" i="23" s="1"/>
  <c r="X1693" i="23"/>
  <c r="Y1693" i="23"/>
  <c r="Z1693" i="23"/>
  <c r="AA1693" i="23" a="1"/>
  <c r="AA1693" i="23" s="1"/>
  <c r="AB1693" i="23"/>
  <c r="AC1693" i="23" a="1"/>
  <c r="AC1693" i="23"/>
  <c r="AD1693" i="23"/>
  <c r="AE1693" i="23"/>
  <c r="AF1693" i="23" a="1"/>
  <c r="AF1693" i="23" s="1"/>
  <c r="X1694" i="23"/>
  <c r="Y1694" i="23"/>
  <c r="Z1694" i="23"/>
  <c r="AA1694" i="23" a="1"/>
  <c r="AA1694" i="23"/>
  <c r="AB1694" i="23"/>
  <c r="AC1694" i="23" a="1"/>
  <c r="AC1694" i="23" s="1"/>
  <c r="AD1694" i="23"/>
  <c r="AE1694" i="23"/>
  <c r="AF1694" i="23" a="1"/>
  <c r="AF1694" i="23" s="1"/>
  <c r="X1695" i="23"/>
  <c r="Y1695" i="23"/>
  <c r="Z1695" i="23"/>
  <c r="AA1695" i="23" a="1"/>
  <c r="AA1695" i="23" s="1"/>
  <c r="AB1695" i="23"/>
  <c r="AC1695" i="23" a="1"/>
  <c r="AC1695" i="23" s="1"/>
  <c r="AD1695" i="23"/>
  <c r="AE1695" i="23"/>
  <c r="AF1695" i="23" a="1"/>
  <c r="AF1695" i="23" s="1"/>
  <c r="X1696" i="23"/>
  <c r="Y1696" i="23"/>
  <c r="Z1696" i="23"/>
  <c r="AA1696" i="23" a="1"/>
  <c r="AA1696" i="23"/>
  <c r="AB1696" i="23"/>
  <c r="AC1696" i="23" a="1"/>
  <c r="AC1696" i="23" s="1"/>
  <c r="AD1696" i="23"/>
  <c r="AE1696" i="23"/>
  <c r="AF1696" i="23" a="1"/>
  <c r="AF1696" i="23" s="1"/>
  <c r="X1697" i="23"/>
  <c r="Y1697" i="23"/>
  <c r="Z1697" i="23"/>
  <c r="AA1697" i="23" a="1"/>
  <c r="AA1697" i="23" s="1"/>
  <c r="AB1697" i="23"/>
  <c r="AC1697" i="23" a="1"/>
  <c r="AC1697" i="23" s="1"/>
  <c r="AD1697" i="23"/>
  <c r="AE1697" i="23"/>
  <c r="AF1697" i="23" a="1"/>
  <c r="AF1697" i="23" s="1"/>
  <c r="X1698" i="23"/>
  <c r="Y1698" i="23"/>
  <c r="Z1698" i="23"/>
  <c r="AA1698" i="23" a="1"/>
  <c r="AA1698" i="23"/>
  <c r="AB1698" i="23"/>
  <c r="AC1698" i="23" a="1"/>
  <c r="AC1698" i="23" s="1"/>
  <c r="AD1698" i="23"/>
  <c r="AE1698" i="23"/>
  <c r="AF1698" i="23" a="1"/>
  <c r="AF1698" i="23" s="1"/>
  <c r="X1699" i="23"/>
  <c r="Y1699" i="23"/>
  <c r="Z1699" i="23"/>
  <c r="AA1699" i="23" a="1"/>
  <c r="AA1699" i="23" s="1"/>
  <c r="AB1699" i="23"/>
  <c r="AC1699" i="23" a="1"/>
  <c r="AC1699" i="23" s="1"/>
  <c r="AD1699" i="23"/>
  <c r="AE1699" i="23"/>
  <c r="AF1699" i="23" a="1"/>
  <c r="AF1699" i="23" s="1"/>
  <c r="X1700" i="23"/>
  <c r="Y1700" i="23"/>
  <c r="Z1700" i="23"/>
  <c r="AA1700" i="23" a="1"/>
  <c r="AA1700" i="23"/>
  <c r="AB1700" i="23"/>
  <c r="AC1700" i="23" a="1"/>
  <c r="AC1700" i="23" s="1"/>
  <c r="AD1700" i="23"/>
  <c r="AE1700" i="23"/>
  <c r="AF1700" i="23" a="1"/>
  <c r="AF1700" i="23" s="1"/>
  <c r="X1701" i="23"/>
  <c r="Y1701" i="23"/>
  <c r="Z1701" i="23"/>
  <c r="AA1701" i="23" a="1"/>
  <c r="AA1701" i="23" s="1"/>
  <c r="AB1701" i="23"/>
  <c r="AC1701" i="23" a="1"/>
  <c r="AC1701" i="23" s="1"/>
  <c r="AD1701" i="23"/>
  <c r="AE1701" i="23"/>
  <c r="AF1701" i="23" a="1"/>
  <c r="AF1701" i="23" s="1"/>
  <c r="X1702" i="23"/>
  <c r="Y1702" i="23"/>
  <c r="Z1702" i="23"/>
  <c r="AA1702" i="23" a="1"/>
  <c r="AA1702" i="23"/>
  <c r="AB1702" i="23"/>
  <c r="AC1702" i="23" a="1"/>
  <c r="AC1702" i="23" s="1"/>
  <c r="AD1702" i="23"/>
  <c r="AE1702" i="23"/>
  <c r="AF1702" i="23" a="1"/>
  <c r="AF1702" i="23" s="1"/>
  <c r="X1703" i="23"/>
  <c r="Y1703" i="23"/>
  <c r="Z1703" i="23"/>
  <c r="AA1703" i="23" a="1"/>
  <c r="AA1703" i="23" s="1"/>
  <c r="AB1703" i="23"/>
  <c r="AC1703" i="23" a="1"/>
  <c r="AC1703" i="23" s="1"/>
  <c r="AD1703" i="23"/>
  <c r="AE1703" i="23"/>
  <c r="AF1703" i="23" a="1"/>
  <c r="AF1703" i="23" s="1"/>
  <c r="X1704" i="23"/>
  <c r="Y1704" i="23"/>
  <c r="Z1704" i="23"/>
  <c r="AA1704" i="23" a="1"/>
  <c r="AA1704" i="23"/>
  <c r="AB1704" i="23"/>
  <c r="AC1704" i="23" a="1"/>
  <c r="AC1704" i="23" s="1"/>
  <c r="AD1704" i="23"/>
  <c r="AE1704" i="23"/>
  <c r="AF1704" i="23" a="1"/>
  <c r="AF1704" i="23" s="1"/>
  <c r="X1705" i="23"/>
  <c r="Y1705" i="23"/>
  <c r="Z1705" i="23"/>
  <c r="AA1705" i="23" a="1"/>
  <c r="AA1705" i="23" s="1"/>
  <c r="AB1705" i="23"/>
  <c r="AC1705" i="23" a="1"/>
  <c r="AC1705" i="23" s="1"/>
  <c r="AD1705" i="23"/>
  <c r="AE1705" i="23"/>
  <c r="AF1705" i="23" a="1"/>
  <c r="AF1705" i="23" s="1"/>
  <c r="X1706" i="23"/>
  <c r="Y1706" i="23"/>
  <c r="Z1706" i="23"/>
  <c r="AA1706" i="23" a="1"/>
  <c r="AA1706" i="23"/>
  <c r="AB1706" i="23"/>
  <c r="AC1706" i="23" a="1"/>
  <c r="AC1706" i="23"/>
  <c r="AD1706" i="23"/>
  <c r="AE1706" i="23"/>
  <c r="AF1706" i="23" a="1"/>
  <c r="AF1706" i="23" s="1"/>
  <c r="X1707" i="23"/>
  <c r="Y1707" i="23"/>
  <c r="Z1707" i="23"/>
  <c r="AA1707" i="23" a="1"/>
  <c r="AA1707" i="23" s="1"/>
  <c r="AB1707" i="23"/>
  <c r="AC1707" i="23" a="1"/>
  <c r="AC1707" i="23"/>
  <c r="AD1707" i="23"/>
  <c r="AE1707" i="23"/>
  <c r="AF1707" i="23" a="1"/>
  <c r="AF1707" i="23" s="1"/>
  <c r="X1708" i="23"/>
  <c r="Y1708" i="23"/>
  <c r="Z1708" i="23"/>
  <c r="AA1708" i="23" a="1"/>
  <c r="AA1708" i="23"/>
  <c r="AB1708" i="23"/>
  <c r="AC1708" i="23" a="1"/>
  <c r="AC1708" i="23" s="1"/>
  <c r="AD1708" i="23"/>
  <c r="AE1708" i="23"/>
  <c r="AF1708" i="23" a="1"/>
  <c r="AF1708" i="23" s="1"/>
  <c r="X1709" i="23"/>
  <c r="Y1709" i="23"/>
  <c r="Z1709" i="23"/>
  <c r="AA1709" i="23" a="1"/>
  <c r="AA1709" i="23" s="1"/>
  <c r="AB1709" i="23"/>
  <c r="AC1709" i="23" a="1"/>
  <c r="AC1709" i="23"/>
  <c r="AD1709" i="23"/>
  <c r="AE1709" i="23"/>
  <c r="AF1709" i="23" a="1"/>
  <c r="AF1709" i="23" s="1"/>
  <c r="X1710" i="23"/>
  <c r="Y1710" i="23"/>
  <c r="Z1710" i="23"/>
  <c r="AA1710" i="23" a="1"/>
  <c r="AA1710" i="23"/>
  <c r="AB1710" i="23"/>
  <c r="AC1710" i="23" a="1"/>
  <c r="AC1710" i="23"/>
  <c r="AD1710" i="23"/>
  <c r="AE1710" i="23"/>
  <c r="AF1710" i="23" a="1"/>
  <c r="AF1710" i="23" s="1"/>
  <c r="X1711" i="23"/>
  <c r="Y1711" i="23"/>
  <c r="Z1711" i="23"/>
  <c r="AA1711" i="23" a="1"/>
  <c r="AA1711" i="23" s="1"/>
  <c r="AB1711" i="23"/>
  <c r="AC1711" i="23" a="1"/>
  <c r="AC1711" i="23" s="1"/>
  <c r="AD1711" i="23"/>
  <c r="AE1711" i="23"/>
  <c r="AF1711" i="23" a="1"/>
  <c r="AF1711" i="23" s="1"/>
  <c r="X1712" i="23"/>
  <c r="Y1712" i="23"/>
  <c r="Z1712" i="23"/>
  <c r="AA1712" i="23" a="1"/>
  <c r="AA1712" i="23"/>
  <c r="AB1712" i="23"/>
  <c r="AC1712" i="23" a="1"/>
  <c r="AC1712" i="23"/>
  <c r="AD1712" i="23"/>
  <c r="AE1712" i="23"/>
  <c r="AF1712" i="23" a="1"/>
  <c r="AF1712" i="23" s="1"/>
  <c r="X1713" i="23"/>
  <c r="Y1713" i="23"/>
  <c r="Z1713" i="23"/>
  <c r="AA1713" i="23" a="1"/>
  <c r="AA1713" i="23" s="1"/>
  <c r="AB1713" i="23"/>
  <c r="AC1713" i="23" a="1"/>
  <c r="AC1713" i="23" s="1"/>
  <c r="AD1713" i="23"/>
  <c r="AE1713" i="23"/>
  <c r="AF1713" i="23" a="1"/>
  <c r="AF1713" i="23" s="1"/>
  <c r="X1714" i="23"/>
  <c r="Y1714" i="23"/>
  <c r="Z1714" i="23"/>
  <c r="AA1714" i="23" a="1"/>
  <c r="AA1714" i="23"/>
  <c r="AB1714" i="23"/>
  <c r="AC1714" i="23" a="1"/>
  <c r="AC1714" i="23" s="1"/>
  <c r="AD1714" i="23"/>
  <c r="AE1714" i="23"/>
  <c r="AF1714" i="23" a="1"/>
  <c r="AF1714" i="23" s="1"/>
  <c r="X1715" i="23"/>
  <c r="Y1715" i="23"/>
  <c r="Z1715" i="23"/>
  <c r="AA1715" i="23" a="1"/>
  <c r="AA1715" i="23" s="1"/>
  <c r="AB1715" i="23"/>
  <c r="AC1715" i="23" a="1"/>
  <c r="AC1715" i="23" s="1"/>
  <c r="AD1715" i="23"/>
  <c r="AE1715" i="23"/>
  <c r="AF1715" i="23" a="1"/>
  <c r="AF1715" i="23" s="1"/>
  <c r="X1716" i="23"/>
  <c r="Y1716" i="23"/>
  <c r="Z1716" i="23"/>
  <c r="AA1716" i="23" a="1"/>
  <c r="AA1716" i="23"/>
  <c r="AB1716" i="23"/>
  <c r="AC1716" i="23" a="1"/>
  <c r="AC1716" i="23" s="1"/>
  <c r="AD1716" i="23"/>
  <c r="AE1716" i="23"/>
  <c r="AF1716" i="23" a="1"/>
  <c r="AF1716" i="23" s="1"/>
  <c r="X1717" i="23"/>
  <c r="Y1717" i="23"/>
  <c r="Z1717" i="23"/>
  <c r="AA1717" i="23" a="1"/>
  <c r="AA1717" i="23" s="1"/>
  <c r="AB1717" i="23"/>
  <c r="AC1717" i="23" a="1"/>
  <c r="AC1717" i="23" s="1"/>
  <c r="AD1717" i="23"/>
  <c r="AE1717" i="23"/>
  <c r="AF1717" i="23" a="1"/>
  <c r="AF1717" i="23" s="1"/>
  <c r="X1718" i="23"/>
  <c r="Y1718" i="23"/>
  <c r="Z1718" i="23"/>
  <c r="AA1718" i="23" a="1"/>
  <c r="AA1718" i="23"/>
  <c r="AB1718" i="23"/>
  <c r="AC1718" i="23" a="1"/>
  <c r="AC1718" i="23" s="1"/>
  <c r="AD1718" i="23"/>
  <c r="AE1718" i="23"/>
  <c r="AF1718" i="23" a="1"/>
  <c r="AF1718" i="23" s="1"/>
  <c r="X1719" i="23"/>
  <c r="Y1719" i="23"/>
  <c r="Z1719" i="23"/>
  <c r="AA1719" i="23" a="1"/>
  <c r="AA1719" i="23" s="1"/>
  <c r="AB1719" i="23"/>
  <c r="AC1719" i="23" a="1"/>
  <c r="AC1719" i="23"/>
  <c r="AD1719" i="23"/>
  <c r="AE1719" i="23"/>
  <c r="AF1719" i="23" a="1"/>
  <c r="AF1719" i="23" s="1"/>
  <c r="X1720" i="23"/>
  <c r="Y1720" i="23"/>
  <c r="Z1720" i="23"/>
  <c r="AA1720" i="23" a="1"/>
  <c r="AA1720" i="23"/>
  <c r="AB1720" i="23"/>
  <c r="AC1720" i="23" a="1"/>
  <c r="AC1720" i="23" s="1"/>
  <c r="AD1720" i="23"/>
  <c r="AE1720" i="23"/>
  <c r="AF1720" i="23" a="1"/>
  <c r="AF1720" i="23" s="1"/>
  <c r="X1721" i="23"/>
  <c r="Y1721" i="23"/>
  <c r="Z1721" i="23"/>
  <c r="AA1721" i="23" a="1"/>
  <c r="AA1721" i="23" s="1"/>
  <c r="AB1721" i="23"/>
  <c r="AC1721" i="23" a="1"/>
  <c r="AC1721" i="23" s="1"/>
  <c r="AD1721" i="23"/>
  <c r="AE1721" i="23"/>
  <c r="AF1721" i="23" a="1"/>
  <c r="AF1721" i="23" s="1"/>
  <c r="X1722" i="23"/>
  <c r="Y1722" i="23"/>
  <c r="Z1722" i="23"/>
  <c r="AA1722" i="23" a="1"/>
  <c r="AA1722" i="23"/>
  <c r="AB1722" i="23"/>
  <c r="AC1722" i="23" a="1"/>
  <c r="AC1722" i="23"/>
  <c r="AD1722" i="23"/>
  <c r="AE1722" i="23"/>
  <c r="AF1722" i="23" a="1"/>
  <c r="AF1722" i="23" s="1"/>
  <c r="X1723" i="23"/>
  <c r="Y1723" i="23"/>
  <c r="Z1723" i="23"/>
  <c r="AA1723" i="23" a="1"/>
  <c r="AA1723" i="23" s="1"/>
  <c r="AB1723" i="23"/>
  <c r="AC1723" i="23" a="1"/>
  <c r="AC1723" i="23" s="1"/>
  <c r="AD1723" i="23"/>
  <c r="AE1723" i="23"/>
  <c r="AF1723" i="23" a="1"/>
  <c r="AF1723" i="23" s="1"/>
  <c r="X1724" i="23"/>
  <c r="Y1724" i="23"/>
  <c r="Z1724" i="23"/>
  <c r="AA1724" i="23" a="1"/>
  <c r="AA1724" i="23"/>
  <c r="AB1724" i="23"/>
  <c r="AC1724" i="23" a="1"/>
  <c r="AC1724" i="23" s="1"/>
  <c r="AD1724" i="23"/>
  <c r="AE1724" i="23"/>
  <c r="AF1724" i="23" a="1"/>
  <c r="AF1724" i="23" s="1"/>
  <c r="X1725" i="23"/>
  <c r="Y1725" i="23"/>
  <c r="Z1725" i="23"/>
  <c r="AA1725" i="23" a="1"/>
  <c r="AA1725" i="23" s="1"/>
  <c r="AB1725" i="23"/>
  <c r="AC1725" i="23" a="1"/>
  <c r="AC1725" i="23" s="1"/>
  <c r="AD1725" i="23"/>
  <c r="AE1725" i="23"/>
  <c r="AF1725" i="23" a="1"/>
  <c r="AF1725" i="23" s="1"/>
  <c r="X1726" i="23"/>
  <c r="Y1726" i="23"/>
  <c r="Z1726" i="23"/>
  <c r="AA1726" i="23" a="1"/>
  <c r="AA1726" i="23"/>
  <c r="AB1726" i="23"/>
  <c r="AC1726" i="23" a="1"/>
  <c r="AC1726" i="23" s="1"/>
  <c r="AD1726" i="23"/>
  <c r="AE1726" i="23"/>
  <c r="AF1726" i="23" a="1"/>
  <c r="AF1726" i="23" s="1"/>
  <c r="X1727" i="23"/>
  <c r="Y1727" i="23"/>
  <c r="Z1727" i="23"/>
  <c r="AA1727" i="23" a="1"/>
  <c r="AA1727" i="23" s="1"/>
  <c r="AB1727" i="23"/>
  <c r="AC1727" i="23" a="1"/>
  <c r="AC1727" i="23" s="1"/>
  <c r="AD1727" i="23"/>
  <c r="AE1727" i="23"/>
  <c r="AF1727" i="23" a="1"/>
  <c r="AF1727" i="23" s="1"/>
  <c r="X1728" i="23"/>
  <c r="Y1728" i="23"/>
  <c r="Z1728" i="23"/>
  <c r="AA1728" i="23" a="1"/>
  <c r="AA1728" i="23"/>
  <c r="AB1728" i="23"/>
  <c r="AC1728" i="23" a="1"/>
  <c r="AC1728" i="23" s="1"/>
  <c r="AD1728" i="23"/>
  <c r="AE1728" i="23"/>
  <c r="AF1728" i="23" a="1"/>
  <c r="AF1728" i="23" s="1"/>
  <c r="X1729" i="23"/>
  <c r="Y1729" i="23"/>
  <c r="Z1729" i="23"/>
  <c r="AA1729" i="23" a="1"/>
  <c r="AA1729" i="23" s="1"/>
  <c r="AB1729" i="23"/>
  <c r="AC1729" i="23" a="1"/>
  <c r="AC1729" i="23" s="1"/>
  <c r="AD1729" i="23"/>
  <c r="AE1729" i="23"/>
  <c r="AF1729" i="23" a="1"/>
  <c r="AF1729" i="23" s="1"/>
  <c r="X1730" i="23"/>
  <c r="Y1730" i="23"/>
  <c r="Z1730" i="23"/>
  <c r="AA1730" i="23" a="1"/>
  <c r="AA1730" i="23"/>
  <c r="AB1730" i="23"/>
  <c r="AC1730" i="23" a="1"/>
  <c r="AC1730" i="23" s="1"/>
  <c r="AD1730" i="23"/>
  <c r="AE1730" i="23"/>
  <c r="AF1730" i="23" a="1"/>
  <c r="AF1730" i="23" s="1"/>
  <c r="X1731" i="23"/>
  <c r="Y1731" i="23"/>
  <c r="Z1731" i="23"/>
  <c r="AA1731" i="23" a="1"/>
  <c r="AA1731" i="23" s="1"/>
  <c r="AB1731" i="23"/>
  <c r="AC1731" i="23" a="1"/>
  <c r="AC1731" i="23" s="1"/>
  <c r="AD1731" i="23"/>
  <c r="AE1731" i="23"/>
  <c r="AF1731" i="23" a="1"/>
  <c r="AF1731" i="23" s="1"/>
  <c r="X1732" i="23"/>
  <c r="Y1732" i="23"/>
  <c r="Z1732" i="23"/>
  <c r="AA1732" i="23" a="1"/>
  <c r="AA1732" i="23"/>
  <c r="AB1732" i="23"/>
  <c r="AC1732" i="23" a="1"/>
  <c r="AC1732" i="23" s="1"/>
  <c r="AD1732" i="23"/>
  <c r="AE1732" i="23"/>
  <c r="AF1732" i="23" a="1"/>
  <c r="AF1732" i="23" s="1"/>
  <c r="X1733" i="23"/>
  <c r="Y1733" i="23"/>
  <c r="Z1733" i="23"/>
  <c r="AA1733" i="23" a="1"/>
  <c r="AA1733" i="23" s="1"/>
  <c r="AB1733" i="23"/>
  <c r="AC1733" i="23" a="1"/>
  <c r="AC1733" i="23" s="1"/>
  <c r="AD1733" i="23"/>
  <c r="AE1733" i="23"/>
  <c r="AF1733" i="23" a="1"/>
  <c r="AF1733" i="23" s="1"/>
  <c r="X1734" i="23"/>
  <c r="Y1734" i="23"/>
  <c r="Z1734" i="23"/>
  <c r="AA1734" i="23" a="1"/>
  <c r="AA1734" i="23"/>
  <c r="AB1734" i="23"/>
  <c r="AC1734" i="23" a="1"/>
  <c r="AC1734" i="23" s="1"/>
  <c r="AD1734" i="23"/>
  <c r="AE1734" i="23"/>
  <c r="AF1734" i="23" a="1"/>
  <c r="AF1734" i="23" s="1"/>
  <c r="X1735" i="23"/>
  <c r="Y1735" i="23"/>
  <c r="Z1735" i="23"/>
  <c r="AA1735" i="23" a="1"/>
  <c r="AA1735" i="23" s="1"/>
  <c r="AB1735" i="23"/>
  <c r="AC1735" i="23" a="1"/>
  <c r="AC1735" i="23"/>
  <c r="AD1735" i="23"/>
  <c r="AE1735" i="23"/>
  <c r="AF1735" i="23" a="1"/>
  <c r="AF1735" i="23" s="1"/>
  <c r="X1736" i="23"/>
  <c r="Y1736" i="23"/>
  <c r="Z1736" i="23"/>
  <c r="AA1736" i="23" a="1"/>
  <c r="AA1736" i="23"/>
  <c r="AB1736" i="23"/>
  <c r="AC1736" i="23" a="1"/>
  <c r="AC1736" i="23" s="1"/>
  <c r="AD1736" i="23"/>
  <c r="AE1736" i="23"/>
  <c r="AF1736" i="23" a="1"/>
  <c r="AF1736" i="23" s="1"/>
  <c r="X1737" i="23"/>
  <c r="Y1737" i="23"/>
  <c r="Z1737" i="23"/>
  <c r="AA1737" i="23" a="1"/>
  <c r="AA1737" i="23" s="1"/>
  <c r="AB1737" i="23"/>
  <c r="AC1737" i="23" a="1"/>
  <c r="AC1737" i="23" s="1"/>
  <c r="AD1737" i="23"/>
  <c r="AE1737" i="23"/>
  <c r="AF1737" i="23" a="1"/>
  <c r="AF1737" i="23" s="1"/>
  <c r="X1738" i="23"/>
  <c r="Y1738" i="23"/>
  <c r="Z1738" i="23"/>
  <c r="AA1738" i="23" a="1"/>
  <c r="AA1738" i="23"/>
  <c r="AB1738" i="23"/>
  <c r="AC1738" i="23" a="1"/>
  <c r="AC1738" i="23"/>
  <c r="AD1738" i="23"/>
  <c r="AE1738" i="23"/>
  <c r="AF1738" i="23" a="1"/>
  <c r="AF1738" i="23" s="1"/>
  <c r="X1739" i="23"/>
  <c r="Y1739" i="23"/>
  <c r="Z1739" i="23"/>
  <c r="AA1739" i="23" a="1"/>
  <c r="AA1739" i="23" s="1"/>
  <c r="AB1739" i="23"/>
  <c r="AC1739" i="23" a="1"/>
  <c r="AC1739" i="23" s="1"/>
  <c r="AD1739" i="23"/>
  <c r="AE1739" i="23"/>
  <c r="AF1739" i="23" a="1"/>
  <c r="AF1739" i="23" s="1"/>
  <c r="X1740" i="23"/>
  <c r="Y1740" i="23"/>
  <c r="Z1740" i="23"/>
  <c r="AA1740" i="23" a="1"/>
  <c r="AA1740" i="23"/>
  <c r="AB1740" i="23"/>
  <c r="AC1740" i="23" a="1"/>
  <c r="AC1740" i="23" s="1"/>
  <c r="AD1740" i="23"/>
  <c r="AE1740" i="23"/>
  <c r="AF1740" i="23" a="1"/>
  <c r="AF1740" i="23" s="1"/>
  <c r="X1741" i="23"/>
  <c r="Y1741" i="23"/>
  <c r="Z1741" i="23"/>
  <c r="AA1741" i="23" a="1"/>
  <c r="AA1741" i="23" s="1"/>
  <c r="AB1741" i="23"/>
  <c r="AC1741" i="23" a="1"/>
  <c r="AC1741" i="23" s="1"/>
  <c r="AD1741" i="23"/>
  <c r="AE1741" i="23"/>
  <c r="AF1741" i="23" a="1"/>
  <c r="AF1741" i="23" s="1"/>
  <c r="X1742" i="23"/>
  <c r="Y1742" i="23"/>
  <c r="Z1742" i="23"/>
  <c r="AA1742" i="23" a="1"/>
  <c r="AA1742" i="23"/>
  <c r="AB1742" i="23"/>
  <c r="AC1742" i="23" a="1"/>
  <c r="AC1742" i="23"/>
  <c r="AD1742" i="23"/>
  <c r="AE1742" i="23"/>
  <c r="AF1742" i="23" a="1"/>
  <c r="AF1742" i="23" s="1"/>
  <c r="X1743" i="23"/>
  <c r="Y1743" i="23"/>
  <c r="Z1743" i="23"/>
  <c r="AA1743" i="23" a="1"/>
  <c r="AA1743" i="23" s="1"/>
  <c r="AB1743" i="23"/>
  <c r="AC1743" i="23" a="1"/>
  <c r="AC1743" i="23" s="1"/>
  <c r="AD1743" i="23"/>
  <c r="AE1743" i="23"/>
  <c r="AF1743" i="23" a="1"/>
  <c r="AF1743" i="23" s="1"/>
  <c r="X1744" i="23"/>
  <c r="Y1744" i="23"/>
  <c r="Z1744" i="23"/>
  <c r="AA1744" i="23" a="1"/>
  <c r="AA1744" i="23"/>
  <c r="AB1744" i="23"/>
  <c r="AC1744" i="23" a="1"/>
  <c r="AC1744" i="23" s="1"/>
  <c r="AD1744" i="23"/>
  <c r="AE1744" i="23"/>
  <c r="AF1744" i="23" a="1"/>
  <c r="AF1744" i="23" s="1"/>
  <c r="X1745" i="23"/>
  <c r="Y1745" i="23"/>
  <c r="Z1745" i="23"/>
  <c r="AA1745" i="23" a="1"/>
  <c r="AA1745" i="23" s="1"/>
  <c r="AB1745" i="23"/>
  <c r="AC1745" i="23" a="1"/>
  <c r="AC1745" i="23" s="1"/>
  <c r="AD1745" i="23"/>
  <c r="AE1745" i="23"/>
  <c r="AF1745" i="23" a="1"/>
  <c r="AF1745" i="23" s="1"/>
  <c r="X1746" i="23"/>
  <c r="Y1746" i="23"/>
  <c r="Z1746" i="23"/>
  <c r="AA1746" i="23" a="1"/>
  <c r="AA1746" i="23"/>
  <c r="AB1746" i="23"/>
  <c r="AC1746" i="23" a="1"/>
  <c r="AC1746" i="23" s="1"/>
  <c r="AD1746" i="23"/>
  <c r="AE1746" i="23"/>
  <c r="AF1746" i="23" a="1"/>
  <c r="AF1746" i="23" s="1"/>
  <c r="X1747" i="23"/>
  <c r="Y1747" i="23"/>
  <c r="Z1747" i="23"/>
  <c r="AA1747" i="23" a="1"/>
  <c r="AA1747" i="23" s="1"/>
  <c r="AB1747" i="23"/>
  <c r="AC1747" i="23" a="1"/>
  <c r="AC1747" i="23" s="1"/>
  <c r="AD1747" i="23"/>
  <c r="AE1747" i="23"/>
  <c r="AF1747" i="23" a="1"/>
  <c r="AF1747" i="23" s="1"/>
  <c r="X1748" i="23"/>
  <c r="Y1748" i="23"/>
  <c r="Z1748" i="23"/>
  <c r="AA1748" i="23" a="1"/>
  <c r="AA1748" i="23"/>
  <c r="AB1748" i="23"/>
  <c r="AC1748" i="23" a="1"/>
  <c r="AC1748" i="23" s="1"/>
  <c r="AD1748" i="23"/>
  <c r="AE1748" i="23"/>
  <c r="AF1748" i="23" a="1"/>
  <c r="AF1748" i="23" s="1"/>
  <c r="X1749" i="23"/>
  <c r="Y1749" i="23"/>
  <c r="Z1749" i="23"/>
  <c r="AA1749" i="23" a="1"/>
  <c r="AA1749" i="23" s="1"/>
  <c r="AB1749" i="23"/>
  <c r="AC1749" i="23" a="1"/>
  <c r="AC1749" i="23" s="1"/>
  <c r="AD1749" i="23"/>
  <c r="AE1749" i="23"/>
  <c r="AF1749" i="23" a="1"/>
  <c r="AF1749" i="23" s="1"/>
  <c r="X1750" i="23"/>
  <c r="Y1750" i="23"/>
  <c r="Z1750" i="23"/>
  <c r="AA1750" i="23" a="1"/>
  <c r="AA1750" i="23"/>
  <c r="AB1750" i="23"/>
  <c r="AC1750" i="23" a="1"/>
  <c r="AC1750" i="23"/>
  <c r="AD1750" i="23"/>
  <c r="AE1750" i="23"/>
  <c r="AF1750" i="23" a="1"/>
  <c r="AF1750" i="23" s="1"/>
  <c r="X1751" i="23"/>
  <c r="Y1751" i="23"/>
  <c r="Z1751" i="23"/>
  <c r="AA1751" i="23" a="1"/>
  <c r="AA1751" i="23" s="1"/>
  <c r="AB1751" i="23"/>
  <c r="AC1751" i="23" a="1"/>
  <c r="AC1751" i="23" s="1"/>
  <c r="AD1751" i="23"/>
  <c r="AE1751" i="23"/>
  <c r="AF1751" i="23" a="1"/>
  <c r="AF1751" i="23" s="1"/>
  <c r="X1752" i="23"/>
  <c r="Y1752" i="23"/>
  <c r="Z1752" i="23"/>
  <c r="AA1752" i="23" a="1"/>
  <c r="AA1752" i="23"/>
  <c r="AB1752" i="23"/>
  <c r="AC1752" i="23" a="1"/>
  <c r="AC1752" i="23" s="1"/>
  <c r="AD1752" i="23"/>
  <c r="AE1752" i="23"/>
  <c r="AF1752" i="23" a="1"/>
  <c r="AF1752" i="23" s="1"/>
  <c r="X1753" i="23"/>
  <c r="Y1753" i="23"/>
  <c r="Z1753" i="23"/>
  <c r="AA1753" i="23" a="1"/>
  <c r="AA1753" i="23" s="1"/>
  <c r="AB1753" i="23"/>
  <c r="AC1753" i="23" a="1"/>
  <c r="AC1753" i="23" s="1"/>
  <c r="AD1753" i="23"/>
  <c r="AE1753" i="23"/>
  <c r="AF1753" i="23" a="1"/>
  <c r="AF1753" i="23" s="1"/>
  <c r="X1754" i="23"/>
  <c r="Y1754" i="23"/>
  <c r="Z1754" i="23"/>
  <c r="AA1754" i="23" a="1"/>
  <c r="AA1754" i="23"/>
  <c r="AB1754" i="23"/>
  <c r="AC1754" i="23" a="1"/>
  <c r="AC1754" i="23" s="1"/>
  <c r="AD1754" i="23"/>
  <c r="AE1754" i="23"/>
  <c r="AF1754" i="23" a="1"/>
  <c r="AF1754" i="23" s="1"/>
  <c r="X1755" i="23"/>
  <c r="Y1755" i="23"/>
  <c r="Z1755" i="23"/>
  <c r="AA1755" i="23" a="1"/>
  <c r="AA1755" i="23" s="1"/>
  <c r="AB1755" i="23"/>
  <c r="AC1755" i="23" a="1"/>
  <c r="AC1755" i="23" s="1"/>
  <c r="AD1755" i="23"/>
  <c r="AE1755" i="23"/>
  <c r="AF1755" i="23" a="1"/>
  <c r="AF1755" i="23" s="1"/>
  <c r="X1756" i="23"/>
  <c r="Y1756" i="23"/>
  <c r="Z1756" i="23"/>
  <c r="AA1756" i="23" a="1"/>
  <c r="AA1756" i="23"/>
  <c r="AB1756" i="23"/>
  <c r="AC1756" i="23" a="1"/>
  <c r="AC1756" i="23" s="1"/>
  <c r="AD1756" i="23"/>
  <c r="AE1756" i="23"/>
  <c r="AF1756" i="23" a="1"/>
  <c r="AF1756" i="23" s="1"/>
  <c r="X1757" i="23"/>
  <c r="Y1757" i="23"/>
  <c r="Z1757" i="23"/>
  <c r="AA1757" i="23" a="1"/>
  <c r="AA1757" i="23" s="1"/>
  <c r="AB1757" i="23"/>
  <c r="AC1757" i="23" a="1"/>
  <c r="AC1757" i="23" s="1"/>
  <c r="AD1757" i="23"/>
  <c r="AE1757" i="23"/>
  <c r="AF1757" i="23" a="1"/>
  <c r="AF1757" i="23" s="1"/>
  <c r="X1758" i="23"/>
  <c r="Y1758" i="23"/>
  <c r="Z1758" i="23"/>
  <c r="AA1758" i="23" a="1"/>
  <c r="AA1758" i="23"/>
  <c r="AB1758" i="23"/>
  <c r="AC1758" i="23" a="1"/>
  <c r="AC1758" i="23" s="1"/>
  <c r="AD1758" i="23"/>
  <c r="AE1758" i="23"/>
  <c r="AF1758" i="23" a="1"/>
  <c r="AF1758" i="23" s="1"/>
  <c r="X1759" i="23"/>
  <c r="Y1759" i="23"/>
  <c r="Z1759" i="23"/>
  <c r="AA1759" i="23" a="1"/>
  <c r="AA1759" i="23" s="1"/>
  <c r="AB1759" i="23"/>
  <c r="AC1759" i="23" a="1"/>
  <c r="AC1759" i="23" s="1"/>
  <c r="AD1759" i="23"/>
  <c r="AE1759" i="23"/>
  <c r="AF1759" i="23" a="1"/>
  <c r="AF1759" i="23" s="1"/>
  <c r="X1760" i="23"/>
  <c r="Y1760" i="23"/>
  <c r="Z1760" i="23"/>
  <c r="AA1760" i="23" a="1"/>
  <c r="AA1760" i="23"/>
  <c r="AB1760" i="23"/>
  <c r="AC1760" i="23" a="1"/>
  <c r="AC1760" i="23" s="1"/>
  <c r="AD1760" i="23"/>
  <c r="AE1760" i="23"/>
  <c r="AF1760" i="23" a="1"/>
  <c r="AF1760" i="23" s="1"/>
  <c r="X1761" i="23"/>
  <c r="Y1761" i="23"/>
  <c r="Z1761" i="23"/>
  <c r="AA1761" i="23" a="1"/>
  <c r="AA1761" i="23" s="1"/>
  <c r="AB1761" i="23"/>
  <c r="AC1761" i="23" a="1"/>
  <c r="AC1761" i="23" s="1"/>
  <c r="AD1761" i="23"/>
  <c r="AE1761" i="23"/>
  <c r="AF1761" i="23" a="1"/>
  <c r="AF1761" i="23" s="1"/>
  <c r="X1762" i="23"/>
  <c r="Y1762" i="23"/>
  <c r="Z1762" i="23"/>
  <c r="AA1762" i="23" a="1"/>
  <c r="AA1762" i="23"/>
  <c r="AB1762" i="23"/>
  <c r="AC1762" i="23" a="1"/>
  <c r="AC1762" i="23" s="1"/>
  <c r="AD1762" i="23"/>
  <c r="AE1762" i="23"/>
  <c r="AF1762" i="23" a="1"/>
  <c r="AF1762" i="23" s="1"/>
  <c r="X1763" i="23"/>
  <c r="Y1763" i="23"/>
  <c r="Z1763" i="23"/>
  <c r="AA1763" i="23" a="1"/>
  <c r="AA1763" i="23" s="1"/>
  <c r="AB1763" i="23"/>
  <c r="AC1763" i="23" a="1"/>
  <c r="AC1763" i="23" s="1"/>
  <c r="AD1763" i="23"/>
  <c r="AE1763" i="23"/>
  <c r="AF1763" i="23" a="1"/>
  <c r="AF1763" i="23" s="1"/>
  <c r="X1764" i="23"/>
  <c r="Y1764" i="23"/>
  <c r="Z1764" i="23"/>
  <c r="AA1764" i="23" a="1"/>
  <c r="AA1764" i="23"/>
  <c r="AB1764" i="23"/>
  <c r="AC1764" i="23" a="1"/>
  <c r="AC1764" i="23" s="1"/>
  <c r="AD1764" i="23"/>
  <c r="AE1764" i="23"/>
  <c r="AF1764" i="23" a="1"/>
  <c r="AF1764" i="23" s="1"/>
  <c r="X1765" i="23"/>
  <c r="Y1765" i="23"/>
  <c r="Z1765" i="23"/>
  <c r="AA1765" i="23" a="1"/>
  <c r="AA1765" i="23" s="1"/>
  <c r="AB1765" i="23"/>
  <c r="AC1765" i="23" a="1"/>
  <c r="AC1765" i="23" s="1"/>
  <c r="AD1765" i="23"/>
  <c r="AE1765" i="23"/>
  <c r="AF1765" i="23" a="1"/>
  <c r="AF1765" i="23" s="1"/>
  <c r="X1766" i="23"/>
  <c r="Y1766" i="23"/>
  <c r="Z1766" i="23"/>
  <c r="AA1766" i="23" a="1"/>
  <c r="AA1766" i="23"/>
  <c r="AB1766" i="23"/>
  <c r="AC1766" i="23" a="1"/>
  <c r="AC1766" i="23" s="1"/>
  <c r="AD1766" i="23"/>
  <c r="AE1766" i="23"/>
  <c r="AF1766" i="23" a="1"/>
  <c r="AF1766" i="23" s="1"/>
  <c r="X1767" i="23"/>
  <c r="Y1767" i="23"/>
  <c r="Z1767" i="23"/>
  <c r="AA1767" i="23" a="1"/>
  <c r="AA1767" i="23" s="1"/>
  <c r="AB1767" i="23"/>
  <c r="AC1767" i="23" a="1"/>
  <c r="AC1767" i="23" s="1"/>
  <c r="AD1767" i="23"/>
  <c r="AE1767" i="23"/>
  <c r="AF1767" i="23" a="1"/>
  <c r="AF1767" i="23" s="1"/>
  <c r="X1768" i="23"/>
  <c r="Y1768" i="23"/>
  <c r="Z1768" i="23"/>
  <c r="AA1768" i="23" a="1"/>
  <c r="AA1768" i="23"/>
  <c r="AB1768" i="23"/>
  <c r="AC1768" i="23" a="1"/>
  <c r="AC1768" i="23" s="1"/>
  <c r="AD1768" i="23"/>
  <c r="AE1768" i="23"/>
  <c r="AF1768" i="23" a="1"/>
  <c r="AF1768" i="23" s="1"/>
  <c r="X1769" i="23"/>
  <c r="Y1769" i="23"/>
  <c r="Z1769" i="23"/>
  <c r="AA1769" i="23" a="1"/>
  <c r="AA1769" i="23" s="1"/>
  <c r="AB1769" i="23"/>
  <c r="AC1769" i="23" a="1"/>
  <c r="AC1769" i="23" s="1"/>
  <c r="AD1769" i="23"/>
  <c r="AE1769" i="23"/>
  <c r="AF1769" i="23" a="1"/>
  <c r="AF1769" i="23" s="1"/>
  <c r="X1770" i="23"/>
  <c r="Y1770" i="23"/>
  <c r="Z1770" i="23"/>
  <c r="AA1770" i="23" a="1"/>
  <c r="AA1770" i="23"/>
  <c r="AB1770" i="23"/>
  <c r="AC1770" i="23" a="1"/>
  <c r="AC1770" i="23" s="1"/>
  <c r="AD1770" i="23"/>
  <c r="AE1770" i="23"/>
  <c r="AF1770" i="23" a="1"/>
  <c r="AF1770" i="23" s="1"/>
  <c r="X1771" i="23"/>
  <c r="Y1771" i="23"/>
  <c r="Z1771" i="23"/>
  <c r="AA1771" i="23" a="1"/>
  <c r="AA1771" i="23" s="1"/>
  <c r="AB1771" i="23"/>
  <c r="AC1771" i="23" a="1"/>
  <c r="AC1771" i="23" s="1"/>
  <c r="AD1771" i="23"/>
  <c r="AE1771" i="23"/>
  <c r="AF1771" i="23" a="1"/>
  <c r="AF1771" i="23" s="1"/>
  <c r="X1772" i="23"/>
  <c r="Y1772" i="23"/>
  <c r="Z1772" i="23"/>
  <c r="AA1772" i="23" a="1"/>
  <c r="AA1772" i="23"/>
  <c r="AB1772" i="23"/>
  <c r="AC1772" i="23" a="1"/>
  <c r="AC1772" i="23" s="1"/>
  <c r="AD1772" i="23"/>
  <c r="AE1772" i="23"/>
  <c r="AF1772" i="23" a="1"/>
  <c r="AF1772" i="23" s="1"/>
  <c r="X1773" i="23"/>
  <c r="Y1773" i="23"/>
  <c r="Z1773" i="23"/>
  <c r="AA1773" i="23" a="1"/>
  <c r="AA1773" i="23" s="1"/>
  <c r="AB1773" i="23"/>
  <c r="AC1773" i="23" a="1"/>
  <c r="AC1773" i="23" s="1"/>
  <c r="AD1773" i="23"/>
  <c r="AE1773" i="23"/>
  <c r="AF1773" i="23" a="1"/>
  <c r="AF1773" i="23" s="1"/>
  <c r="X1774" i="23"/>
  <c r="Y1774" i="23"/>
  <c r="Z1774" i="23"/>
  <c r="AA1774" i="23" a="1"/>
  <c r="AA1774" i="23"/>
  <c r="AB1774" i="23"/>
  <c r="AC1774" i="23" a="1"/>
  <c r="AC1774" i="23" s="1"/>
  <c r="AD1774" i="23"/>
  <c r="AE1774" i="23"/>
  <c r="AF1774" i="23" a="1"/>
  <c r="AF1774" i="23" s="1"/>
  <c r="X1775" i="23"/>
  <c r="Y1775" i="23"/>
  <c r="Z1775" i="23"/>
  <c r="AA1775" i="23" a="1"/>
  <c r="AA1775" i="23" s="1"/>
  <c r="AB1775" i="23"/>
  <c r="AC1775" i="23" a="1"/>
  <c r="AC1775" i="23" s="1"/>
  <c r="AD1775" i="23"/>
  <c r="AE1775" i="23"/>
  <c r="AF1775" i="23" a="1"/>
  <c r="AF1775" i="23" s="1"/>
  <c r="X1776" i="23"/>
  <c r="Y1776" i="23"/>
  <c r="Z1776" i="23"/>
  <c r="AA1776" i="23" a="1"/>
  <c r="AA1776" i="23"/>
  <c r="AB1776" i="23"/>
  <c r="AC1776" i="23" a="1"/>
  <c r="AC1776" i="23" s="1"/>
  <c r="AD1776" i="23"/>
  <c r="AE1776" i="23"/>
  <c r="AF1776" i="23" a="1"/>
  <c r="AF1776" i="23" s="1"/>
  <c r="X1777" i="23"/>
  <c r="Y1777" i="23"/>
  <c r="Z1777" i="23"/>
  <c r="AA1777" i="23" a="1"/>
  <c r="AA1777" i="23" s="1"/>
  <c r="AB1777" i="23"/>
  <c r="AC1777" i="23" a="1"/>
  <c r="AC1777" i="23" s="1"/>
  <c r="AD1777" i="23"/>
  <c r="AE1777" i="23"/>
  <c r="AF1777" i="23" a="1"/>
  <c r="AF1777" i="23" s="1"/>
  <c r="X1778" i="23"/>
  <c r="Y1778" i="23"/>
  <c r="Z1778" i="23"/>
  <c r="AA1778" i="23" a="1"/>
  <c r="AA1778" i="23"/>
  <c r="AB1778" i="23"/>
  <c r="AC1778" i="23" a="1"/>
  <c r="AC1778" i="23" s="1"/>
  <c r="AD1778" i="23"/>
  <c r="AE1778" i="23"/>
  <c r="AF1778" i="23" a="1"/>
  <c r="AF1778" i="23" s="1"/>
  <c r="X1779" i="23"/>
  <c r="Y1779" i="23"/>
  <c r="Z1779" i="23"/>
  <c r="AA1779" i="23" a="1"/>
  <c r="AA1779" i="23" s="1"/>
  <c r="AB1779" i="23"/>
  <c r="AC1779" i="23" a="1"/>
  <c r="AC1779" i="23" s="1"/>
  <c r="AD1779" i="23"/>
  <c r="AE1779" i="23"/>
  <c r="AF1779" i="23" a="1"/>
  <c r="AF1779" i="23" s="1"/>
  <c r="X1780" i="23"/>
  <c r="Y1780" i="23"/>
  <c r="Z1780" i="23"/>
  <c r="AA1780" i="23" a="1"/>
  <c r="AA1780" i="23"/>
  <c r="AB1780" i="23"/>
  <c r="AC1780" i="23" a="1"/>
  <c r="AC1780" i="23" s="1"/>
  <c r="AD1780" i="23"/>
  <c r="AE1780" i="23"/>
  <c r="AF1780" i="23" a="1"/>
  <c r="AF1780" i="23" s="1"/>
  <c r="X1781" i="23"/>
  <c r="Y1781" i="23"/>
  <c r="Z1781" i="23"/>
  <c r="AA1781" i="23" a="1"/>
  <c r="AA1781" i="23" s="1"/>
  <c r="AB1781" i="23"/>
  <c r="AC1781" i="23" a="1"/>
  <c r="AC1781" i="23" s="1"/>
  <c r="AD1781" i="23"/>
  <c r="AE1781" i="23"/>
  <c r="AF1781" i="23" a="1"/>
  <c r="AF1781" i="23" s="1"/>
  <c r="X1782" i="23"/>
  <c r="Y1782" i="23"/>
  <c r="Z1782" i="23"/>
  <c r="AA1782" i="23" a="1"/>
  <c r="AA1782" i="23"/>
  <c r="AB1782" i="23"/>
  <c r="AC1782" i="23" a="1"/>
  <c r="AC1782" i="23" s="1"/>
  <c r="AD1782" i="23"/>
  <c r="AE1782" i="23"/>
  <c r="AF1782" i="23" a="1"/>
  <c r="AF1782" i="23" s="1"/>
  <c r="X1783" i="23"/>
  <c r="Y1783" i="23"/>
  <c r="Z1783" i="23"/>
  <c r="AA1783" i="23" a="1"/>
  <c r="AA1783" i="23" s="1"/>
  <c r="AB1783" i="23"/>
  <c r="AC1783" i="23" a="1"/>
  <c r="AC1783" i="23" s="1"/>
  <c r="AD1783" i="23"/>
  <c r="AE1783" i="23"/>
  <c r="AF1783" i="23" a="1"/>
  <c r="AF1783" i="23" s="1"/>
  <c r="X1784" i="23"/>
  <c r="Y1784" i="23"/>
  <c r="Z1784" i="23"/>
  <c r="AA1784" i="23" a="1"/>
  <c r="AA1784" i="23"/>
  <c r="AB1784" i="23"/>
  <c r="AC1784" i="23" a="1"/>
  <c r="AC1784" i="23" s="1"/>
  <c r="AD1784" i="23"/>
  <c r="AE1784" i="23"/>
  <c r="AF1784" i="23" a="1"/>
  <c r="AF1784" i="23" s="1"/>
  <c r="X1785" i="23"/>
  <c r="Y1785" i="23"/>
  <c r="Z1785" i="23"/>
  <c r="AA1785" i="23" a="1"/>
  <c r="AA1785" i="23" s="1"/>
  <c r="AB1785" i="23"/>
  <c r="AC1785" i="23" a="1"/>
  <c r="AC1785" i="23" s="1"/>
  <c r="AD1785" i="23"/>
  <c r="AE1785" i="23"/>
  <c r="AF1785" i="23" a="1"/>
  <c r="AF1785" i="23" s="1"/>
  <c r="X1786" i="23"/>
  <c r="Y1786" i="23"/>
  <c r="Z1786" i="23"/>
  <c r="AA1786" i="23" a="1"/>
  <c r="AA1786" i="23"/>
  <c r="AB1786" i="23"/>
  <c r="AC1786" i="23" a="1"/>
  <c r="AC1786" i="23" s="1"/>
  <c r="AD1786" i="23"/>
  <c r="AE1786" i="23"/>
  <c r="AF1786" i="23" a="1"/>
  <c r="AF1786" i="23" s="1"/>
  <c r="X1787" i="23"/>
  <c r="Y1787" i="23"/>
  <c r="Z1787" i="23"/>
  <c r="AA1787" i="23" a="1"/>
  <c r="AA1787" i="23" s="1"/>
  <c r="AB1787" i="23"/>
  <c r="AC1787" i="23" a="1"/>
  <c r="AC1787" i="23" s="1"/>
  <c r="AD1787" i="23"/>
  <c r="AE1787" i="23"/>
  <c r="AF1787" i="23" a="1"/>
  <c r="AF1787" i="23" s="1"/>
  <c r="X1788" i="23"/>
  <c r="Y1788" i="23"/>
  <c r="Z1788" i="23"/>
  <c r="AA1788" i="23" a="1"/>
  <c r="AA1788" i="23"/>
  <c r="AB1788" i="23"/>
  <c r="AC1788" i="23" a="1"/>
  <c r="AC1788" i="23" s="1"/>
  <c r="AD1788" i="23"/>
  <c r="AE1788" i="23"/>
  <c r="AF1788" i="23" a="1"/>
  <c r="AF1788" i="23" s="1"/>
  <c r="X1789" i="23"/>
  <c r="Y1789" i="23"/>
  <c r="Z1789" i="23"/>
  <c r="AA1789" i="23" a="1"/>
  <c r="AA1789" i="23" s="1"/>
  <c r="AB1789" i="23"/>
  <c r="AC1789" i="23" a="1"/>
  <c r="AC1789" i="23" s="1"/>
  <c r="AD1789" i="23"/>
  <c r="AE1789" i="23"/>
  <c r="AF1789" i="23" a="1"/>
  <c r="AF1789" i="23" s="1"/>
  <c r="X1790" i="23"/>
  <c r="Y1790" i="23"/>
  <c r="Z1790" i="23"/>
  <c r="AA1790" i="23" a="1"/>
  <c r="AA1790" i="23"/>
  <c r="AB1790" i="23"/>
  <c r="AC1790" i="23" a="1"/>
  <c r="AC1790" i="23" s="1"/>
  <c r="AD1790" i="23"/>
  <c r="AE1790" i="23"/>
  <c r="AF1790" i="23" a="1"/>
  <c r="AF1790" i="23" s="1"/>
  <c r="X1791" i="23"/>
  <c r="Y1791" i="23"/>
  <c r="Z1791" i="23"/>
  <c r="AA1791" i="23" a="1"/>
  <c r="AA1791" i="23" s="1"/>
  <c r="AB1791" i="23"/>
  <c r="AC1791" i="23" a="1"/>
  <c r="AC1791" i="23" s="1"/>
  <c r="AD1791" i="23"/>
  <c r="AE1791" i="23"/>
  <c r="AF1791" i="23" a="1"/>
  <c r="AF1791" i="23" s="1"/>
  <c r="X1792" i="23"/>
  <c r="Y1792" i="23"/>
  <c r="Z1792" i="23"/>
  <c r="AA1792" i="23" a="1"/>
  <c r="AA1792" i="23"/>
  <c r="AB1792" i="23"/>
  <c r="AC1792" i="23" a="1"/>
  <c r="AC1792" i="23" s="1"/>
  <c r="AD1792" i="23"/>
  <c r="AE1792" i="23"/>
  <c r="AF1792" i="23" a="1"/>
  <c r="AF1792" i="23" s="1"/>
  <c r="X1793" i="23"/>
  <c r="Y1793" i="23"/>
  <c r="Z1793" i="23"/>
  <c r="AA1793" i="23" a="1"/>
  <c r="AA1793" i="23" s="1"/>
  <c r="AB1793" i="23"/>
  <c r="AC1793" i="23" a="1"/>
  <c r="AC1793" i="23" s="1"/>
  <c r="AD1793" i="23"/>
  <c r="AE1793" i="23"/>
  <c r="AF1793" i="23" a="1"/>
  <c r="AF1793" i="23" s="1"/>
  <c r="X1794" i="23"/>
  <c r="Y1794" i="23"/>
  <c r="Z1794" i="23"/>
  <c r="AA1794" i="23" a="1"/>
  <c r="AA1794" i="23"/>
  <c r="AB1794" i="23"/>
  <c r="AC1794" i="23" a="1"/>
  <c r="AC1794" i="23" s="1"/>
  <c r="AD1794" i="23"/>
  <c r="AE1794" i="23"/>
  <c r="AF1794" i="23" a="1"/>
  <c r="AF1794" i="23" s="1"/>
  <c r="X1795" i="23"/>
  <c r="Y1795" i="23"/>
  <c r="Z1795" i="23"/>
  <c r="AA1795" i="23" a="1"/>
  <c r="AA1795" i="23" s="1"/>
  <c r="AB1795" i="23"/>
  <c r="AC1795" i="23" a="1"/>
  <c r="AC1795" i="23" s="1"/>
  <c r="AD1795" i="23"/>
  <c r="AE1795" i="23"/>
  <c r="AF1795" i="23" a="1"/>
  <c r="AF1795" i="23" s="1"/>
  <c r="X1796" i="23"/>
  <c r="Y1796" i="23"/>
  <c r="Z1796" i="23"/>
  <c r="AA1796" i="23" a="1"/>
  <c r="AA1796" i="23"/>
  <c r="AB1796" i="23"/>
  <c r="AC1796" i="23" a="1"/>
  <c r="AC1796" i="23" s="1"/>
  <c r="AD1796" i="23"/>
  <c r="AE1796" i="23"/>
  <c r="AF1796" i="23" a="1"/>
  <c r="AF1796" i="23" s="1"/>
  <c r="X1797" i="23"/>
  <c r="Y1797" i="23"/>
  <c r="Z1797" i="23"/>
  <c r="AA1797" i="23" a="1"/>
  <c r="AA1797" i="23" s="1"/>
  <c r="AB1797" i="23"/>
  <c r="AC1797" i="23" a="1"/>
  <c r="AC1797" i="23" s="1"/>
  <c r="AD1797" i="23"/>
  <c r="AE1797" i="23"/>
  <c r="AF1797" i="23" a="1"/>
  <c r="AF1797" i="23" s="1"/>
  <c r="X1798" i="23"/>
  <c r="Y1798" i="23"/>
  <c r="Z1798" i="23"/>
  <c r="AA1798" i="23" a="1"/>
  <c r="AA1798" i="23"/>
  <c r="AB1798" i="23"/>
  <c r="AC1798" i="23" a="1"/>
  <c r="AC1798" i="23" s="1"/>
  <c r="AD1798" i="23"/>
  <c r="AE1798" i="23"/>
  <c r="AF1798" i="23" a="1"/>
  <c r="AF1798" i="23" s="1"/>
  <c r="X1799" i="23"/>
  <c r="Y1799" i="23"/>
  <c r="Z1799" i="23"/>
  <c r="AA1799" i="23" a="1"/>
  <c r="AA1799" i="23" s="1"/>
  <c r="AB1799" i="23"/>
  <c r="AC1799" i="23" a="1"/>
  <c r="AC1799" i="23" s="1"/>
  <c r="AD1799" i="23"/>
  <c r="AE1799" i="23"/>
  <c r="AF1799" i="23" a="1"/>
  <c r="AF1799" i="23" s="1"/>
  <c r="X1800" i="23"/>
  <c r="Y1800" i="23"/>
  <c r="Z1800" i="23"/>
  <c r="AA1800" i="23" a="1"/>
  <c r="AA1800" i="23"/>
  <c r="AB1800" i="23"/>
  <c r="AC1800" i="23" a="1"/>
  <c r="AC1800" i="23" s="1"/>
  <c r="AD1800" i="23"/>
  <c r="AE1800" i="23"/>
  <c r="AF1800" i="23" a="1"/>
  <c r="AF1800" i="23" s="1"/>
  <c r="X1801" i="23"/>
  <c r="Y1801" i="23"/>
  <c r="Z1801" i="23"/>
  <c r="AA1801" i="23" a="1"/>
  <c r="AA1801" i="23" s="1"/>
  <c r="AB1801" i="23"/>
  <c r="AC1801" i="23" a="1"/>
  <c r="AC1801" i="23" s="1"/>
  <c r="AD1801" i="23"/>
  <c r="AE1801" i="23"/>
  <c r="AF1801" i="23" a="1"/>
  <c r="AF1801" i="23" s="1"/>
  <c r="X1802" i="23"/>
  <c r="Y1802" i="23"/>
  <c r="Z1802" i="23"/>
  <c r="AA1802" i="23" a="1"/>
  <c r="AA1802" i="23"/>
  <c r="AB1802" i="23"/>
  <c r="AC1802" i="23" a="1"/>
  <c r="AC1802" i="23" s="1"/>
  <c r="AD1802" i="23"/>
  <c r="AE1802" i="23"/>
  <c r="AF1802" i="23" a="1"/>
  <c r="AF1802" i="23" s="1"/>
  <c r="X1803" i="23"/>
  <c r="Y1803" i="23"/>
  <c r="Z1803" i="23"/>
  <c r="AA1803" i="23" a="1"/>
  <c r="AA1803" i="23" s="1"/>
  <c r="AB1803" i="23"/>
  <c r="AC1803" i="23" a="1"/>
  <c r="AC1803" i="23" s="1"/>
  <c r="AD1803" i="23"/>
  <c r="AE1803" i="23"/>
  <c r="AF1803" i="23" a="1"/>
  <c r="AF1803" i="23" s="1"/>
  <c r="X1804" i="23"/>
  <c r="Y1804" i="23"/>
  <c r="Z1804" i="23"/>
  <c r="AA1804" i="23" a="1"/>
  <c r="AA1804" i="23"/>
  <c r="AB1804" i="23"/>
  <c r="AC1804" i="23" a="1"/>
  <c r="AC1804" i="23" s="1"/>
  <c r="AD1804" i="23"/>
  <c r="AE1804" i="23"/>
  <c r="AF1804" i="23" a="1"/>
  <c r="AF1804" i="23" s="1"/>
  <c r="X1805" i="23"/>
  <c r="Y1805" i="23"/>
  <c r="Z1805" i="23"/>
  <c r="AA1805" i="23" a="1"/>
  <c r="AA1805" i="23" s="1"/>
  <c r="AB1805" i="23"/>
  <c r="AC1805" i="23" a="1"/>
  <c r="AC1805" i="23" s="1"/>
  <c r="AD1805" i="23"/>
  <c r="AE1805" i="23"/>
  <c r="AF1805" i="23" a="1"/>
  <c r="AF1805" i="23" s="1"/>
  <c r="X1806" i="23"/>
  <c r="Y1806" i="23"/>
  <c r="Z1806" i="23"/>
  <c r="AA1806" i="23" a="1"/>
  <c r="AA1806" i="23"/>
  <c r="AB1806" i="23"/>
  <c r="AC1806" i="23" a="1"/>
  <c r="AC1806" i="23" s="1"/>
  <c r="AD1806" i="23"/>
  <c r="AE1806" i="23"/>
  <c r="AF1806" i="23" a="1"/>
  <c r="AF1806" i="23" s="1"/>
  <c r="X1807" i="23"/>
  <c r="Y1807" i="23"/>
  <c r="Z1807" i="23"/>
  <c r="AA1807" i="23" a="1"/>
  <c r="AA1807" i="23" s="1"/>
  <c r="AB1807" i="23"/>
  <c r="AC1807" i="23" a="1"/>
  <c r="AC1807" i="23" s="1"/>
  <c r="AD1807" i="23"/>
  <c r="AE1807" i="23"/>
  <c r="AF1807" i="23" a="1"/>
  <c r="AF1807" i="23" s="1"/>
  <c r="X1808" i="23"/>
  <c r="Y1808" i="23"/>
  <c r="Z1808" i="23"/>
  <c r="AA1808" i="23" a="1"/>
  <c r="AA1808" i="23"/>
  <c r="AB1808" i="23"/>
  <c r="AC1808" i="23" a="1"/>
  <c r="AC1808" i="23" s="1"/>
  <c r="AD1808" i="23"/>
  <c r="AE1808" i="23"/>
  <c r="AF1808" i="23" a="1"/>
  <c r="AF1808" i="23" s="1"/>
  <c r="X1809" i="23"/>
  <c r="Y1809" i="23"/>
  <c r="Z1809" i="23"/>
  <c r="AA1809" i="23" a="1"/>
  <c r="AA1809" i="23" s="1"/>
  <c r="AB1809" i="23"/>
  <c r="AC1809" i="23" a="1"/>
  <c r="AC1809" i="23" s="1"/>
  <c r="AD1809" i="23"/>
  <c r="AE1809" i="23"/>
  <c r="AF1809" i="23" a="1"/>
  <c r="AF1809" i="23" s="1"/>
  <c r="X1810" i="23"/>
  <c r="Y1810" i="23"/>
  <c r="Z1810" i="23"/>
  <c r="AA1810" i="23" a="1"/>
  <c r="AA1810" i="23"/>
  <c r="AB1810" i="23"/>
  <c r="AC1810" i="23" a="1"/>
  <c r="AC1810" i="23" s="1"/>
  <c r="AD1810" i="23"/>
  <c r="AE1810" i="23"/>
  <c r="AF1810" i="23" a="1"/>
  <c r="AF1810" i="23" s="1"/>
  <c r="X1811" i="23"/>
  <c r="Y1811" i="23"/>
  <c r="Z1811" i="23"/>
  <c r="AA1811" i="23" a="1"/>
  <c r="AA1811" i="23" s="1"/>
  <c r="AB1811" i="23"/>
  <c r="AC1811" i="23" a="1"/>
  <c r="AC1811" i="23" s="1"/>
  <c r="AD1811" i="23"/>
  <c r="AE1811" i="23"/>
  <c r="AF1811" i="23" a="1"/>
  <c r="AF1811" i="23" s="1"/>
  <c r="X1812" i="23"/>
  <c r="Y1812" i="23"/>
  <c r="Z1812" i="23"/>
  <c r="AA1812" i="23" a="1"/>
  <c r="AA1812" i="23"/>
  <c r="AB1812" i="23"/>
  <c r="AC1812" i="23" a="1"/>
  <c r="AC1812" i="23" s="1"/>
  <c r="AD1812" i="23"/>
  <c r="AE1812" i="23"/>
  <c r="AF1812" i="23" a="1"/>
  <c r="AF1812" i="23" s="1"/>
  <c r="X1813" i="23"/>
  <c r="Y1813" i="23"/>
  <c r="Z1813" i="23"/>
  <c r="AA1813" i="23" a="1"/>
  <c r="AA1813" i="23" s="1"/>
  <c r="AB1813" i="23"/>
  <c r="AC1813" i="23" a="1"/>
  <c r="AC1813" i="23" s="1"/>
  <c r="AD1813" i="23"/>
  <c r="AE1813" i="23"/>
  <c r="AF1813" i="23" a="1"/>
  <c r="AF1813" i="23" s="1"/>
  <c r="X1814" i="23"/>
  <c r="Y1814" i="23"/>
  <c r="Z1814" i="23"/>
  <c r="AA1814" i="23" a="1"/>
  <c r="AA1814" i="23"/>
  <c r="AB1814" i="23"/>
  <c r="AC1814" i="23" a="1"/>
  <c r="AC1814" i="23" s="1"/>
  <c r="AD1814" i="23"/>
  <c r="AE1814" i="23"/>
  <c r="AF1814" i="23" a="1"/>
  <c r="AF1814" i="23" s="1"/>
  <c r="X1815" i="23"/>
  <c r="Y1815" i="23"/>
  <c r="Z1815" i="23"/>
  <c r="AA1815" i="23" a="1"/>
  <c r="AA1815" i="23" s="1"/>
  <c r="AB1815" i="23"/>
  <c r="AC1815" i="23" a="1"/>
  <c r="AC1815" i="23" s="1"/>
  <c r="AD1815" i="23"/>
  <c r="AE1815" i="23"/>
  <c r="AF1815" i="23" a="1"/>
  <c r="AF1815" i="23" s="1"/>
  <c r="X1816" i="23"/>
  <c r="Y1816" i="23"/>
  <c r="Z1816" i="23"/>
  <c r="AA1816" i="23" a="1"/>
  <c r="AA1816" i="23"/>
  <c r="AB1816" i="23"/>
  <c r="AC1816" i="23" a="1"/>
  <c r="AC1816" i="23" s="1"/>
  <c r="AD1816" i="23"/>
  <c r="AE1816" i="23"/>
  <c r="AF1816" i="23" a="1"/>
  <c r="AF1816" i="23" s="1"/>
  <c r="X1817" i="23"/>
  <c r="Y1817" i="23"/>
  <c r="Z1817" i="23"/>
  <c r="AA1817" i="23" a="1"/>
  <c r="AA1817" i="23" s="1"/>
  <c r="AB1817" i="23"/>
  <c r="AC1817" i="23" a="1"/>
  <c r="AC1817" i="23" s="1"/>
  <c r="AD1817" i="23"/>
  <c r="AE1817" i="23"/>
  <c r="AF1817" i="23" a="1"/>
  <c r="AF1817" i="23" s="1"/>
  <c r="X1818" i="23"/>
  <c r="Y1818" i="23"/>
  <c r="Z1818" i="23"/>
  <c r="AA1818" i="23" a="1"/>
  <c r="AA1818" i="23"/>
  <c r="AB1818" i="23"/>
  <c r="AC1818" i="23" a="1"/>
  <c r="AC1818" i="23" s="1"/>
  <c r="AD1818" i="23"/>
  <c r="AE1818" i="23"/>
  <c r="AF1818" i="23" a="1"/>
  <c r="AF1818" i="23" s="1"/>
  <c r="X1819" i="23"/>
  <c r="Y1819" i="23"/>
  <c r="Z1819" i="23"/>
  <c r="AA1819" i="23" a="1"/>
  <c r="AA1819" i="23" s="1"/>
  <c r="AB1819" i="23"/>
  <c r="AC1819" i="23" a="1"/>
  <c r="AC1819" i="23" s="1"/>
  <c r="AD1819" i="23"/>
  <c r="AE1819" i="23"/>
  <c r="AF1819" i="23" a="1"/>
  <c r="AF1819" i="23" s="1"/>
  <c r="X1820" i="23"/>
  <c r="Y1820" i="23"/>
  <c r="Z1820" i="23"/>
  <c r="AA1820" i="23" a="1"/>
  <c r="AA1820" i="23"/>
  <c r="AB1820" i="23"/>
  <c r="AC1820" i="23" a="1"/>
  <c r="AC1820" i="23" s="1"/>
  <c r="AD1820" i="23"/>
  <c r="AE1820" i="23"/>
  <c r="AF1820" i="23" a="1"/>
  <c r="AF1820" i="23" s="1"/>
  <c r="X1821" i="23"/>
  <c r="Y1821" i="23"/>
  <c r="Z1821" i="23"/>
  <c r="AA1821" i="23" a="1"/>
  <c r="AA1821" i="23" s="1"/>
  <c r="AB1821" i="23"/>
  <c r="AC1821" i="23" a="1"/>
  <c r="AC1821" i="23" s="1"/>
  <c r="AD1821" i="23"/>
  <c r="AE1821" i="23"/>
  <c r="AF1821" i="23" a="1"/>
  <c r="AF1821" i="23" s="1"/>
  <c r="X1822" i="23"/>
  <c r="Y1822" i="23"/>
  <c r="Z1822" i="23"/>
  <c r="AA1822" i="23" a="1"/>
  <c r="AA1822" i="23"/>
  <c r="AB1822" i="23"/>
  <c r="AC1822" i="23" a="1"/>
  <c r="AC1822" i="23" s="1"/>
  <c r="AD1822" i="23"/>
  <c r="AE1822" i="23"/>
  <c r="AF1822" i="23" a="1"/>
  <c r="AF1822" i="23" s="1"/>
  <c r="X1823" i="23"/>
  <c r="Y1823" i="23"/>
  <c r="Z1823" i="23"/>
  <c r="AA1823" i="23" a="1"/>
  <c r="AA1823" i="23" s="1"/>
  <c r="AB1823" i="23"/>
  <c r="AC1823" i="23" a="1"/>
  <c r="AC1823" i="23" s="1"/>
  <c r="AD1823" i="23"/>
  <c r="AE1823" i="23"/>
  <c r="AF1823" i="23" a="1"/>
  <c r="AF1823" i="23" s="1"/>
  <c r="X1824" i="23"/>
  <c r="Y1824" i="23"/>
  <c r="Z1824" i="23"/>
  <c r="AA1824" i="23" a="1"/>
  <c r="AA1824" i="23"/>
  <c r="AB1824" i="23"/>
  <c r="AC1824" i="23" a="1"/>
  <c r="AC1824" i="23" s="1"/>
  <c r="AD1824" i="23"/>
  <c r="AE1824" i="23"/>
  <c r="AF1824" i="23" a="1"/>
  <c r="AF1824" i="23" s="1"/>
  <c r="X1825" i="23"/>
  <c r="Y1825" i="23"/>
  <c r="Z1825" i="23"/>
  <c r="AA1825" i="23" a="1"/>
  <c r="AA1825" i="23" s="1"/>
  <c r="AB1825" i="23"/>
  <c r="AC1825" i="23" a="1"/>
  <c r="AC1825" i="23" s="1"/>
  <c r="AD1825" i="23"/>
  <c r="AE1825" i="23"/>
  <c r="AF1825" i="23" a="1"/>
  <c r="AF1825" i="23" s="1"/>
  <c r="X1826" i="23"/>
  <c r="Y1826" i="23"/>
  <c r="Z1826" i="23"/>
  <c r="AA1826" i="23" a="1"/>
  <c r="AA1826" i="23"/>
  <c r="AB1826" i="23"/>
  <c r="AC1826" i="23" a="1"/>
  <c r="AC1826" i="23" s="1"/>
  <c r="AD1826" i="23"/>
  <c r="AE1826" i="23"/>
  <c r="AF1826" i="23" a="1"/>
  <c r="AF1826" i="23" s="1"/>
  <c r="X1827" i="23"/>
  <c r="Y1827" i="23"/>
  <c r="Z1827" i="23"/>
  <c r="AA1827" i="23" a="1"/>
  <c r="AA1827" i="23" s="1"/>
  <c r="AB1827" i="23"/>
  <c r="AC1827" i="23" a="1"/>
  <c r="AC1827" i="23" s="1"/>
  <c r="AD1827" i="23"/>
  <c r="AE1827" i="23"/>
  <c r="AF1827" i="23" a="1"/>
  <c r="AF1827" i="23" s="1"/>
  <c r="X1828" i="23"/>
  <c r="Y1828" i="23"/>
  <c r="Z1828" i="23"/>
  <c r="AA1828" i="23" a="1"/>
  <c r="AA1828" i="23"/>
  <c r="AB1828" i="23"/>
  <c r="AC1828" i="23" a="1"/>
  <c r="AC1828" i="23" s="1"/>
  <c r="AD1828" i="23"/>
  <c r="AE1828" i="23"/>
  <c r="AF1828" i="23" a="1"/>
  <c r="AF1828" i="23" s="1"/>
  <c r="X1829" i="23"/>
  <c r="Y1829" i="23"/>
  <c r="Z1829" i="23"/>
  <c r="AA1829" i="23" a="1"/>
  <c r="AA1829" i="23" s="1"/>
  <c r="AB1829" i="23"/>
  <c r="AC1829" i="23" a="1"/>
  <c r="AC1829" i="23" s="1"/>
  <c r="AD1829" i="23"/>
  <c r="AE1829" i="23"/>
  <c r="AF1829" i="23" a="1"/>
  <c r="AF1829" i="23" s="1"/>
  <c r="X1830" i="23"/>
  <c r="Y1830" i="23"/>
  <c r="Z1830" i="23"/>
  <c r="AA1830" i="23" a="1"/>
  <c r="AA1830" i="23"/>
  <c r="AB1830" i="23"/>
  <c r="AC1830" i="23" a="1"/>
  <c r="AC1830" i="23" s="1"/>
  <c r="AD1830" i="23"/>
  <c r="AE1830" i="23"/>
  <c r="AF1830" i="23" a="1"/>
  <c r="AF1830" i="23" s="1"/>
  <c r="X1831" i="23"/>
  <c r="Y1831" i="23"/>
  <c r="Z1831" i="23"/>
  <c r="AA1831" i="23" a="1"/>
  <c r="AA1831" i="23" s="1"/>
  <c r="AB1831" i="23"/>
  <c r="AC1831" i="23" a="1"/>
  <c r="AC1831" i="23" s="1"/>
  <c r="AD1831" i="23"/>
  <c r="AE1831" i="23"/>
  <c r="AF1831" i="23" a="1"/>
  <c r="AF1831" i="23" s="1"/>
  <c r="X1832" i="23"/>
  <c r="Y1832" i="23"/>
  <c r="Z1832" i="23"/>
  <c r="AA1832" i="23" a="1"/>
  <c r="AA1832" i="23"/>
  <c r="AB1832" i="23"/>
  <c r="AC1832" i="23" a="1"/>
  <c r="AC1832" i="23" s="1"/>
  <c r="AD1832" i="23"/>
  <c r="AE1832" i="23"/>
  <c r="AF1832" i="23" a="1"/>
  <c r="AF1832" i="23" s="1"/>
  <c r="X1833" i="23"/>
  <c r="Y1833" i="23"/>
  <c r="Z1833" i="23"/>
  <c r="AA1833" i="23" a="1"/>
  <c r="AA1833" i="23" s="1"/>
  <c r="AB1833" i="23"/>
  <c r="AC1833" i="23" a="1"/>
  <c r="AC1833" i="23" s="1"/>
  <c r="AD1833" i="23"/>
  <c r="AE1833" i="23"/>
  <c r="AF1833" i="23" a="1"/>
  <c r="AF1833" i="23" s="1"/>
  <c r="X1834" i="23"/>
  <c r="Y1834" i="23"/>
  <c r="Z1834" i="23"/>
  <c r="AA1834" i="23" a="1"/>
  <c r="AA1834" i="23"/>
  <c r="AB1834" i="23"/>
  <c r="AC1834" i="23" a="1"/>
  <c r="AC1834" i="23" s="1"/>
  <c r="AD1834" i="23"/>
  <c r="AE1834" i="23"/>
  <c r="AF1834" i="23" a="1"/>
  <c r="AF1834" i="23" s="1"/>
  <c r="X1835" i="23"/>
  <c r="Y1835" i="23"/>
  <c r="Z1835" i="23"/>
  <c r="AA1835" i="23" a="1"/>
  <c r="AA1835" i="23" s="1"/>
  <c r="AB1835" i="23"/>
  <c r="AC1835" i="23" a="1"/>
  <c r="AC1835" i="23" s="1"/>
  <c r="AD1835" i="23"/>
  <c r="AE1835" i="23"/>
  <c r="AF1835" i="23" a="1"/>
  <c r="AF1835" i="23" s="1"/>
  <c r="X1836" i="23"/>
  <c r="Y1836" i="23"/>
  <c r="Z1836" i="23"/>
  <c r="AA1836" i="23" a="1"/>
  <c r="AA1836" i="23"/>
  <c r="AB1836" i="23"/>
  <c r="AC1836" i="23" a="1"/>
  <c r="AC1836" i="23" s="1"/>
  <c r="AD1836" i="23"/>
  <c r="AE1836" i="23"/>
  <c r="AF1836" i="23" a="1"/>
  <c r="AF1836" i="23" s="1"/>
  <c r="X1837" i="23"/>
  <c r="Y1837" i="23"/>
  <c r="Z1837" i="23"/>
  <c r="AA1837" i="23" a="1"/>
  <c r="AA1837" i="23" s="1"/>
  <c r="AB1837" i="23"/>
  <c r="AC1837" i="23" a="1"/>
  <c r="AC1837" i="23" s="1"/>
  <c r="AD1837" i="23"/>
  <c r="AE1837" i="23"/>
  <c r="AF1837" i="23" a="1"/>
  <c r="AF1837" i="23" s="1"/>
  <c r="X1838" i="23"/>
  <c r="Y1838" i="23"/>
  <c r="Z1838" i="23"/>
  <c r="AA1838" i="23" a="1"/>
  <c r="AA1838" i="23"/>
  <c r="AB1838" i="23"/>
  <c r="AC1838" i="23" a="1"/>
  <c r="AC1838" i="23"/>
  <c r="AD1838" i="23"/>
  <c r="AE1838" i="23"/>
  <c r="AF1838" i="23" a="1"/>
  <c r="AF1838" i="23" s="1"/>
  <c r="X1839" i="23"/>
  <c r="Y1839" i="23"/>
  <c r="Z1839" i="23"/>
  <c r="AA1839" i="23" a="1"/>
  <c r="AA1839" i="23" s="1"/>
  <c r="AB1839" i="23"/>
  <c r="AC1839" i="23" a="1"/>
  <c r="AC1839" i="23" s="1"/>
  <c r="AD1839" i="23"/>
  <c r="AE1839" i="23"/>
  <c r="AF1839" i="23" a="1"/>
  <c r="AF1839" i="23" s="1"/>
  <c r="X1840" i="23"/>
  <c r="Y1840" i="23"/>
  <c r="Z1840" i="23"/>
  <c r="AA1840" i="23" a="1"/>
  <c r="AA1840" i="23"/>
  <c r="AB1840" i="23"/>
  <c r="AC1840" i="23" a="1"/>
  <c r="AC1840" i="23" s="1"/>
  <c r="AD1840" i="23"/>
  <c r="AE1840" i="23"/>
  <c r="AF1840" i="23" a="1"/>
  <c r="AF1840" i="23" s="1"/>
  <c r="X1841" i="23"/>
  <c r="Y1841" i="23"/>
  <c r="Z1841" i="23"/>
  <c r="AA1841" i="23" a="1"/>
  <c r="AA1841" i="23" s="1"/>
  <c r="AB1841" i="23"/>
  <c r="AC1841" i="23" a="1"/>
  <c r="AC1841" i="23" s="1"/>
  <c r="AD1841" i="23"/>
  <c r="AE1841" i="23"/>
  <c r="AF1841" i="23" a="1"/>
  <c r="AF1841" i="23" s="1"/>
  <c r="X1842" i="23"/>
  <c r="Y1842" i="23"/>
  <c r="Z1842" i="23"/>
  <c r="AA1842" i="23" a="1"/>
  <c r="AA1842" i="23"/>
  <c r="AB1842" i="23"/>
  <c r="AC1842" i="23" a="1"/>
  <c r="AC1842" i="23" s="1"/>
  <c r="AD1842" i="23"/>
  <c r="AE1842" i="23"/>
  <c r="AF1842" i="23" a="1"/>
  <c r="AF1842" i="23" s="1"/>
  <c r="X1843" i="23"/>
  <c r="Y1843" i="23"/>
  <c r="Z1843" i="23"/>
  <c r="AA1843" i="23" a="1"/>
  <c r="AA1843" i="23" s="1"/>
  <c r="AB1843" i="23"/>
  <c r="AC1843" i="23" a="1"/>
  <c r="AC1843" i="23"/>
  <c r="AD1843" i="23"/>
  <c r="AE1843" i="23"/>
  <c r="AF1843" i="23" a="1"/>
  <c r="AF1843" i="23" s="1"/>
  <c r="X1844" i="23"/>
  <c r="Y1844" i="23"/>
  <c r="Z1844" i="23"/>
  <c r="AA1844" i="23" a="1"/>
  <c r="AA1844" i="23" s="1"/>
  <c r="AB1844" i="23"/>
  <c r="AC1844" i="23" a="1"/>
  <c r="AC1844" i="23" s="1"/>
  <c r="AD1844" i="23"/>
  <c r="AE1844" i="23"/>
  <c r="AF1844" i="23" a="1"/>
  <c r="AF1844" i="23" s="1"/>
  <c r="X1845" i="23"/>
  <c r="Y1845" i="23"/>
  <c r="Z1845" i="23"/>
  <c r="AA1845" i="23" a="1"/>
  <c r="AA1845" i="23" s="1"/>
  <c r="AB1845" i="23"/>
  <c r="AC1845" i="23" a="1"/>
  <c r="AC1845" i="23"/>
  <c r="AD1845" i="23"/>
  <c r="AE1845" i="23"/>
  <c r="AF1845" i="23" a="1"/>
  <c r="AF1845" i="23" s="1"/>
  <c r="X1846" i="23"/>
  <c r="Y1846" i="23"/>
  <c r="Z1846" i="23"/>
  <c r="AA1846" i="23" a="1"/>
  <c r="AA1846" i="23"/>
  <c r="AB1846" i="23"/>
  <c r="AC1846" i="23" a="1"/>
  <c r="AC1846" i="23"/>
  <c r="AD1846" i="23"/>
  <c r="AE1846" i="23"/>
  <c r="AF1846" i="23" a="1"/>
  <c r="AF1846" i="23" s="1"/>
  <c r="X1847" i="23"/>
  <c r="Y1847" i="23"/>
  <c r="Z1847" i="23"/>
  <c r="AA1847" i="23" a="1"/>
  <c r="AA1847" i="23" s="1"/>
  <c r="AB1847" i="23"/>
  <c r="AC1847" i="23" a="1"/>
  <c r="AC1847" i="23"/>
  <c r="AD1847" i="23"/>
  <c r="AE1847" i="23"/>
  <c r="AF1847" i="23" a="1"/>
  <c r="AF1847" i="23" s="1"/>
  <c r="X1848" i="23"/>
  <c r="Y1848" i="23"/>
  <c r="Z1848" i="23"/>
  <c r="AA1848" i="23" a="1"/>
  <c r="AA1848" i="23" s="1"/>
  <c r="AB1848" i="23"/>
  <c r="AC1848" i="23" a="1"/>
  <c r="AC1848" i="23" s="1"/>
  <c r="AD1848" i="23"/>
  <c r="AE1848" i="23"/>
  <c r="AF1848" i="23" a="1"/>
  <c r="AF1848" i="23" s="1"/>
  <c r="X1849" i="23"/>
  <c r="Y1849" i="23"/>
  <c r="Z1849" i="23"/>
  <c r="AA1849" i="23" a="1"/>
  <c r="AA1849" i="23" s="1"/>
  <c r="AB1849" i="23"/>
  <c r="AC1849" i="23" a="1"/>
  <c r="AC1849" i="23" s="1"/>
  <c r="AD1849" i="23"/>
  <c r="AE1849" i="23"/>
  <c r="AF1849" i="23" a="1"/>
  <c r="AF1849" i="23" s="1"/>
  <c r="X1850" i="23"/>
  <c r="Y1850" i="23"/>
  <c r="Z1850" i="23"/>
  <c r="AA1850" i="23" a="1"/>
  <c r="AA1850" i="23"/>
  <c r="AB1850" i="23"/>
  <c r="AC1850" i="23" a="1"/>
  <c r="AC1850" i="23" s="1"/>
  <c r="AD1850" i="23"/>
  <c r="AE1850" i="23"/>
  <c r="AF1850" i="23" a="1"/>
  <c r="AF1850" i="23" s="1"/>
  <c r="X1851" i="23"/>
  <c r="Y1851" i="23"/>
  <c r="Z1851" i="23"/>
  <c r="AA1851" i="23" a="1"/>
  <c r="AA1851" i="23" s="1"/>
  <c r="AB1851" i="23"/>
  <c r="AC1851" i="23" a="1"/>
  <c r="AC1851" i="23" s="1"/>
  <c r="AD1851" i="23"/>
  <c r="AE1851" i="23"/>
  <c r="AF1851" i="23" a="1"/>
  <c r="AF1851" i="23" s="1"/>
  <c r="X1852" i="23"/>
  <c r="Y1852" i="23"/>
  <c r="Z1852" i="23"/>
  <c r="AA1852" i="23" a="1"/>
  <c r="AA1852" i="23" s="1"/>
  <c r="AB1852" i="23"/>
  <c r="AC1852" i="23" a="1"/>
  <c r="AC1852" i="23" s="1"/>
  <c r="AD1852" i="23"/>
  <c r="AE1852" i="23"/>
  <c r="AF1852" i="23" a="1"/>
  <c r="AF1852" i="23" s="1"/>
  <c r="X1853" i="23"/>
  <c r="Y1853" i="23"/>
  <c r="Z1853" i="23"/>
  <c r="AA1853" i="23" a="1"/>
  <c r="AA1853" i="23" s="1"/>
  <c r="AB1853" i="23"/>
  <c r="AC1853" i="23" a="1"/>
  <c r="AC1853" i="23" s="1"/>
  <c r="AD1853" i="23"/>
  <c r="AE1853" i="23"/>
  <c r="AF1853" i="23" a="1"/>
  <c r="AF1853" i="23" s="1"/>
  <c r="X1854" i="23"/>
  <c r="Y1854" i="23"/>
  <c r="Z1854" i="23"/>
  <c r="AA1854" i="23" a="1"/>
  <c r="AA1854" i="23" s="1"/>
  <c r="AB1854" i="23"/>
  <c r="AC1854" i="23" a="1"/>
  <c r="AC1854" i="23" s="1"/>
  <c r="AD1854" i="23"/>
  <c r="AE1854" i="23"/>
  <c r="AF1854" i="23" a="1"/>
  <c r="AF1854" i="23" s="1"/>
  <c r="X1855" i="23"/>
  <c r="Y1855" i="23"/>
  <c r="Z1855" i="23"/>
  <c r="AA1855" i="23" a="1"/>
  <c r="AA1855" i="23" s="1"/>
  <c r="AB1855" i="23"/>
  <c r="AC1855" i="23" a="1"/>
  <c r="AC1855" i="23" s="1"/>
  <c r="AD1855" i="23"/>
  <c r="AE1855" i="23"/>
  <c r="AF1855" i="23" a="1"/>
  <c r="AF1855" i="23" s="1"/>
  <c r="X1856" i="23"/>
  <c r="Y1856" i="23"/>
  <c r="Z1856" i="23"/>
  <c r="AA1856" i="23" a="1"/>
  <c r="AA1856" i="23"/>
  <c r="AB1856" i="23"/>
  <c r="AC1856" i="23" a="1"/>
  <c r="AC1856" i="23" s="1"/>
  <c r="AD1856" i="23"/>
  <c r="AE1856" i="23"/>
  <c r="AF1856" i="23" a="1"/>
  <c r="AF1856" i="23" s="1"/>
  <c r="X1857" i="23"/>
  <c r="Y1857" i="23"/>
  <c r="Z1857" i="23"/>
  <c r="AA1857" i="23" a="1"/>
  <c r="AA1857" i="23" s="1"/>
  <c r="AB1857" i="23"/>
  <c r="AC1857" i="23" a="1"/>
  <c r="AC1857" i="23" s="1"/>
  <c r="AD1857" i="23"/>
  <c r="AE1857" i="23"/>
  <c r="AF1857" i="23" a="1"/>
  <c r="AF1857" i="23" s="1"/>
  <c r="X1858" i="23"/>
  <c r="Y1858" i="23"/>
  <c r="Z1858" i="23"/>
  <c r="AA1858" i="23" a="1"/>
  <c r="AA1858" i="23" s="1"/>
  <c r="AB1858" i="23"/>
  <c r="AC1858" i="23" a="1"/>
  <c r="AC1858" i="23" s="1"/>
  <c r="AD1858" i="23"/>
  <c r="AE1858" i="23"/>
  <c r="AF1858" i="23" a="1"/>
  <c r="AF1858" i="23" s="1"/>
  <c r="X1859" i="23"/>
  <c r="Y1859" i="23"/>
  <c r="Z1859" i="23"/>
  <c r="AA1859" i="23" a="1"/>
  <c r="AA1859" i="23" s="1"/>
  <c r="AB1859" i="23"/>
  <c r="AC1859" i="23" a="1"/>
  <c r="AC1859" i="23" s="1"/>
  <c r="AD1859" i="23"/>
  <c r="AE1859" i="23"/>
  <c r="AF1859" i="23" a="1"/>
  <c r="AF1859" i="23" s="1"/>
  <c r="X1860" i="23"/>
  <c r="Y1860" i="23"/>
  <c r="Z1860" i="23"/>
  <c r="AA1860" i="23" a="1"/>
  <c r="AA1860" i="23" s="1"/>
  <c r="AB1860" i="23"/>
  <c r="AC1860" i="23" a="1"/>
  <c r="AC1860" i="23" s="1"/>
  <c r="AD1860" i="23"/>
  <c r="AE1860" i="23"/>
  <c r="AF1860" i="23" a="1"/>
  <c r="AF1860" i="23" s="1"/>
  <c r="X1861" i="23"/>
  <c r="Y1861" i="23"/>
  <c r="Z1861" i="23"/>
  <c r="AA1861" i="23" a="1"/>
  <c r="AA1861" i="23" s="1"/>
  <c r="AB1861" i="23"/>
  <c r="AC1861" i="23" a="1"/>
  <c r="AC1861" i="23" s="1"/>
  <c r="AD1861" i="23"/>
  <c r="AE1861" i="23"/>
  <c r="AF1861" i="23" a="1"/>
  <c r="AF1861" i="23" s="1"/>
  <c r="X1862" i="23"/>
  <c r="Y1862" i="23"/>
  <c r="Z1862" i="23"/>
  <c r="AA1862" i="23" a="1"/>
  <c r="AA1862" i="23"/>
  <c r="AB1862" i="23"/>
  <c r="AC1862" i="23" a="1"/>
  <c r="AC1862" i="23"/>
  <c r="AD1862" i="23"/>
  <c r="AE1862" i="23"/>
  <c r="AF1862" i="23" a="1"/>
  <c r="AF1862" i="23" s="1"/>
  <c r="X1863" i="23"/>
  <c r="Y1863" i="23"/>
  <c r="Z1863" i="23"/>
  <c r="AA1863" i="23" a="1"/>
  <c r="AA1863" i="23" s="1"/>
  <c r="AB1863" i="23"/>
  <c r="AC1863" i="23" a="1"/>
  <c r="AC1863" i="23" s="1"/>
  <c r="AD1863" i="23"/>
  <c r="AE1863" i="23"/>
  <c r="AF1863" i="23" a="1"/>
  <c r="AF1863" i="23" s="1"/>
  <c r="X1864" i="23"/>
  <c r="Y1864" i="23"/>
  <c r="Z1864" i="23"/>
  <c r="AA1864" i="23" a="1"/>
  <c r="AA1864" i="23" s="1"/>
  <c r="AB1864" i="23"/>
  <c r="AC1864" i="23" a="1"/>
  <c r="AC1864" i="23" s="1"/>
  <c r="AD1864" i="23"/>
  <c r="AE1864" i="23"/>
  <c r="AF1864" i="23" a="1"/>
  <c r="AF1864" i="23" s="1"/>
  <c r="X1865" i="23"/>
  <c r="Y1865" i="23"/>
  <c r="Z1865" i="23"/>
  <c r="AA1865" i="23" a="1"/>
  <c r="AA1865" i="23" s="1"/>
  <c r="AB1865" i="23"/>
  <c r="AC1865" i="23" a="1"/>
  <c r="AC1865" i="23" s="1"/>
  <c r="AD1865" i="23"/>
  <c r="AE1865" i="23"/>
  <c r="AF1865" i="23" a="1"/>
  <c r="AF1865" i="23" s="1"/>
  <c r="X1866" i="23"/>
  <c r="Y1866" i="23"/>
  <c r="Z1866" i="23"/>
  <c r="AA1866" i="23" a="1"/>
  <c r="AA1866" i="23"/>
  <c r="AB1866" i="23"/>
  <c r="AC1866" i="23" a="1"/>
  <c r="AC1866" i="23" s="1"/>
  <c r="AD1866" i="23"/>
  <c r="AE1866" i="23"/>
  <c r="AF1866" i="23" a="1"/>
  <c r="AF1866" i="23" s="1"/>
  <c r="X1867" i="23"/>
  <c r="Y1867" i="23"/>
  <c r="Z1867" i="23"/>
  <c r="AA1867" i="23" a="1"/>
  <c r="AA1867" i="23" s="1"/>
  <c r="AB1867" i="23"/>
  <c r="AC1867" i="23" a="1"/>
  <c r="AC1867" i="23" s="1"/>
  <c r="AD1867" i="23"/>
  <c r="AE1867" i="23"/>
  <c r="AF1867" i="23" a="1"/>
  <c r="AF1867" i="23" s="1"/>
  <c r="X1868" i="23"/>
  <c r="Y1868" i="23"/>
  <c r="Z1868" i="23"/>
  <c r="AA1868" i="23" a="1"/>
  <c r="AA1868" i="23"/>
  <c r="AB1868" i="23"/>
  <c r="AC1868" i="23" a="1"/>
  <c r="AC1868" i="23" s="1"/>
  <c r="AD1868" i="23"/>
  <c r="AE1868" i="23"/>
  <c r="AF1868" i="23" a="1"/>
  <c r="AF1868" i="23" s="1"/>
  <c r="X1869" i="23"/>
  <c r="Y1869" i="23"/>
  <c r="Z1869" i="23"/>
  <c r="AA1869" i="23" a="1"/>
  <c r="AA1869" i="23" s="1"/>
  <c r="AB1869" i="23"/>
  <c r="AC1869" i="23" a="1"/>
  <c r="AC1869" i="23"/>
  <c r="AD1869" i="23"/>
  <c r="AE1869" i="23"/>
  <c r="AF1869" i="23" a="1"/>
  <c r="AF1869" i="23" s="1"/>
  <c r="X1870" i="23"/>
  <c r="Y1870" i="23"/>
  <c r="Z1870" i="23"/>
  <c r="AA1870" i="23" a="1"/>
  <c r="AA1870" i="23" s="1"/>
  <c r="AB1870" i="23"/>
  <c r="AC1870" i="23" a="1"/>
  <c r="AC1870" i="23" s="1"/>
  <c r="AD1870" i="23"/>
  <c r="AE1870" i="23"/>
  <c r="AF1870" i="23" a="1"/>
  <c r="AF1870" i="23" s="1"/>
  <c r="X1871" i="23"/>
  <c r="Y1871" i="23"/>
  <c r="Z1871" i="23"/>
  <c r="AA1871" i="23" a="1"/>
  <c r="AA1871" i="23" s="1"/>
  <c r="AB1871" i="23"/>
  <c r="AC1871" i="23" a="1"/>
  <c r="AC1871" i="23" s="1"/>
  <c r="AD1871" i="23"/>
  <c r="AE1871" i="23"/>
  <c r="AF1871" i="23" a="1"/>
  <c r="AF1871" i="23" s="1"/>
  <c r="X1872" i="23"/>
  <c r="Y1872" i="23"/>
  <c r="Z1872" i="23"/>
  <c r="AA1872" i="23" a="1"/>
  <c r="AA1872" i="23"/>
  <c r="AB1872" i="23"/>
  <c r="AC1872" i="23" a="1"/>
  <c r="AC1872" i="23" s="1"/>
  <c r="AD1872" i="23"/>
  <c r="AE1872" i="23"/>
  <c r="AF1872" i="23" a="1"/>
  <c r="AF1872" i="23" s="1"/>
  <c r="X1873" i="23"/>
  <c r="Y1873" i="23"/>
  <c r="Z1873" i="23"/>
  <c r="AA1873" i="23" a="1"/>
  <c r="AA1873" i="23" s="1"/>
  <c r="AB1873" i="23"/>
  <c r="AC1873" i="23" a="1"/>
  <c r="AC1873" i="23" s="1"/>
  <c r="AD1873" i="23"/>
  <c r="AE1873" i="23"/>
  <c r="AF1873" i="23" a="1"/>
  <c r="AF1873" i="23" s="1"/>
  <c r="X1874" i="23"/>
  <c r="Y1874" i="23"/>
  <c r="Z1874" i="23"/>
  <c r="AA1874" i="23" a="1"/>
  <c r="AA1874" i="23" s="1"/>
  <c r="AB1874" i="23"/>
  <c r="AC1874" i="23" a="1"/>
  <c r="AC1874" i="23" s="1"/>
  <c r="AD1874" i="23"/>
  <c r="AE1874" i="23"/>
  <c r="AF1874" i="23" a="1"/>
  <c r="AF1874" i="23" s="1"/>
  <c r="X1875" i="23"/>
  <c r="Y1875" i="23"/>
  <c r="Z1875" i="23"/>
  <c r="AA1875" i="23" a="1"/>
  <c r="AA1875" i="23" s="1"/>
  <c r="AB1875" i="23"/>
  <c r="AC1875" i="23" a="1"/>
  <c r="AC1875" i="23" s="1"/>
  <c r="AD1875" i="23"/>
  <c r="AE1875" i="23"/>
  <c r="AF1875" i="23" a="1"/>
  <c r="AF1875" i="23" s="1"/>
  <c r="X1876" i="23"/>
  <c r="Y1876" i="23"/>
  <c r="Z1876" i="23"/>
  <c r="AA1876" i="23" a="1"/>
  <c r="AA1876" i="23" s="1"/>
  <c r="AB1876" i="23"/>
  <c r="AC1876" i="23" a="1"/>
  <c r="AC1876" i="23" s="1"/>
  <c r="AD1876" i="23"/>
  <c r="AE1876" i="23"/>
  <c r="AF1876" i="23" a="1"/>
  <c r="AF1876" i="23" s="1"/>
  <c r="X1877" i="23"/>
  <c r="Y1877" i="23"/>
  <c r="Z1877" i="23"/>
  <c r="AA1877" i="23" a="1"/>
  <c r="AA1877" i="23" s="1"/>
  <c r="AB1877" i="23"/>
  <c r="AC1877" i="23" a="1"/>
  <c r="AC1877" i="23" s="1"/>
  <c r="AD1877" i="23"/>
  <c r="AE1877" i="23"/>
  <c r="AF1877" i="23" a="1"/>
  <c r="AF1877" i="23" s="1"/>
  <c r="X1878" i="23"/>
  <c r="Y1878" i="23"/>
  <c r="Z1878" i="23"/>
  <c r="AA1878" i="23" a="1"/>
  <c r="AA1878" i="23"/>
  <c r="AB1878" i="23"/>
  <c r="AC1878" i="23" a="1"/>
  <c r="AC1878" i="23" s="1"/>
  <c r="AD1878" i="23"/>
  <c r="AE1878" i="23"/>
  <c r="AF1878" i="23" a="1"/>
  <c r="AF1878" i="23" s="1"/>
  <c r="X1879" i="23"/>
  <c r="Y1879" i="23"/>
  <c r="Z1879" i="23"/>
  <c r="AA1879" i="23" a="1"/>
  <c r="AA1879" i="23" s="1"/>
  <c r="AB1879" i="23"/>
  <c r="AC1879" i="23" a="1"/>
  <c r="AC1879" i="23" s="1"/>
  <c r="AD1879" i="23"/>
  <c r="AE1879" i="23"/>
  <c r="AF1879" i="23" a="1"/>
  <c r="AF1879" i="23" s="1"/>
  <c r="X1880" i="23"/>
  <c r="Y1880" i="23"/>
  <c r="Z1880" i="23"/>
  <c r="AA1880" i="23" a="1"/>
  <c r="AA1880" i="23" s="1"/>
  <c r="AB1880" i="23"/>
  <c r="AC1880" i="23" a="1"/>
  <c r="AC1880" i="23" s="1"/>
  <c r="AD1880" i="23"/>
  <c r="AE1880" i="23"/>
  <c r="AF1880" i="23" a="1"/>
  <c r="AF1880" i="23" s="1"/>
  <c r="X1881" i="23"/>
  <c r="Y1881" i="23"/>
  <c r="Z1881" i="23"/>
  <c r="AA1881" i="23" a="1"/>
  <c r="AA1881" i="23" s="1"/>
  <c r="AB1881" i="23"/>
  <c r="AC1881" i="23" a="1"/>
  <c r="AC1881" i="23" s="1"/>
  <c r="AD1881" i="23"/>
  <c r="AE1881" i="23"/>
  <c r="AF1881" i="23" a="1"/>
  <c r="AF1881" i="23" s="1"/>
  <c r="X1882" i="23"/>
  <c r="Y1882" i="23"/>
  <c r="Z1882" i="23"/>
  <c r="AA1882" i="23" a="1"/>
  <c r="AA1882" i="23" s="1"/>
  <c r="AB1882" i="23"/>
  <c r="AC1882" i="23" a="1"/>
  <c r="AC1882" i="23" s="1"/>
  <c r="AD1882" i="23"/>
  <c r="AE1882" i="23"/>
  <c r="AF1882" i="23" a="1"/>
  <c r="AF1882" i="23" s="1"/>
  <c r="X1883" i="23"/>
  <c r="Y1883" i="23"/>
  <c r="Z1883" i="23"/>
  <c r="AA1883" i="23" a="1"/>
  <c r="AA1883" i="23" s="1"/>
  <c r="AB1883" i="23"/>
  <c r="AC1883" i="23" a="1"/>
  <c r="AC1883" i="23" s="1"/>
  <c r="AD1883" i="23"/>
  <c r="AE1883" i="23"/>
  <c r="AF1883" i="23" a="1"/>
  <c r="AF1883" i="23" s="1"/>
  <c r="X1884" i="23"/>
  <c r="Y1884" i="23"/>
  <c r="Z1884" i="23"/>
  <c r="AA1884" i="23" a="1"/>
  <c r="AA1884" i="23"/>
  <c r="AB1884" i="23"/>
  <c r="AC1884" i="23" a="1"/>
  <c r="AC1884" i="23" s="1"/>
  <c r="AD1884" i="23"/>
  <c r="AE1884" i="23"/>
  <c r="AF1884" i="23" a="1"/>
  <c r="AF1884" i="23" s="1"/>
  <c r="X1885" i="23"/>
  <c r="Y1885" i="23"/>
  <c r="Z1885" i="23"/>
  <c r="AA1885" i="23" a="1"/>
  <c r="AA1885" i="23" s="1"/>
  <c r="AB1885" i="23"/>
  <c r="AC1885" i="23" a="1"/>
  <c r="AC1885" i="23"/>
  <c r="AD1885" i="23"/>
  <c r="AE1885" i="23"/>
  <c r="AF1885" i="23" a="1"/>
  <c r="AF1885" i="23" s="1"/>
  <c r="X1886" i="23"/>
  <c r="Y1886" i="23"/>
  <c r="Z1886" i="23"/>
  <c r="AA1886" i="23" a="1"/>
  <c r="AA1886" i="23" s="1"/>
  <c r="AB1886" i="23"/>
  <c r="AC1886" i="23" a="1"/>
  <c r="AC1886" i="23" s="1"/>
  <c r="AD1886" i="23"/>
  <c r="AE1886" i="23"/>
  <c r="AF1886" i="23" a="1"/>
  <c r="AF1886" i="23" s="1"/>
  <c r="X1887" i="23"/>
  <c r="Y1887" i="23"/>
  <c r="Z1887" i="23"/>
  <c r="AA1887" i="23" a="1"/>
  <c r="AA1887" i="23" s="1"/>
  <c r="AB1887" i="23"/>
  <c r="AC1887" i="23" a="1"/>
  <c r="AC1887" i="23" s="1"/>
  <c r="AD1887" i="23"/>
  <c r="AE1887" i="23"/>
  <c r="AF1887" i="23" a="1"/>
  <c r="AF1887" i="23" s="1"/>
  <c r="X1888" i="23"/>
  <c r="Y1888" i="23"/>
  <c r="Z1888" i="23"/>
  <c r="AA1888" i="23" a="1"/>
  <c r="AA1888" i="23"/>
  <c r="AB1888" i="23"/>
  <c r="AC1888" i="23" a="1"/>
  <c r="AC1888" i="23" s="1"/>
  <c r="AD1888" i="23"/>
  <c r="AE1888" i="23"/>
  <c r="AF1888" i="23" a="1"/>
  <c r="AF1888" i="23" s="1"/>
  <c r="X1889" i="23"/>
  <c r="Y1889" i="23"/>
  <c r="Z1889" i="23"/>
  <c r="AA1889" i="23" a="1"/>
  <c r="AA1889" i="23" s="1"/>
  <c r="AB1889" i="23"/>
  <c r="AC1889" i="23" a="1"/>
  <c r="AC1889" i="23" s="1"/>
  <c r="AD1889" i="23"/>
  <c r="AE1889" i="23"/>
  <c r="AF1889" i="23" a="1"/>
  <c r="AF1889" i="23" s="1"/>
  <c r="X1890" i="23"/>
  <c r="Y1890" i="23"/>
  <c r="Z1890" i="23"/>
  <c r="AA1890" i="23" a="1"/>
  <c r="AA1890" i="23" s="1"/>
  <c r="AB1890" i="23"/>
  <c r="AC1890" i="23" a="1"/>
  <c r="AC1890" i="23" s="1"/>
  <c r="AD1890" i="23"/>
  <c r="AE1890" i="23"/>
  <c r="AF1890" i="23" a="1"/>
  <c r="AF1890" i="23" s="1"/>
  <c r="X1891" i="23"/>
  <c r="Y1891" i="23"/>
  <c r="Z1891" i="23"/>
  <c r="AA1891" i="23" a="1"/>
  <c r="AA1891" i="23" s="1"/>
  <c r="AB1891" i="23"/>
  <c r="AC1891" i="23" a="1"/>
  <c r="AC1891" i="23" s="1"/>
  <c r="AD1891" i="23"/>
  <c r="AE1891" i="23"/>
  <c r="AF1891" i="23" a="1"/>
  <c r="AF1891" i="23" s="1"/>
  <c r="X1892" i="23"/>
  <c r="Y1892" i="23"/>
  <c r="Z1892" i="23"/>
  <c r="AA1892" i="23" a="1"/>
  <c r="AA1892" i="23" s="1"/>
  <c r="AB1892" i="23"/>
  <c r="AC1892" i="23" a="1"/>
  <c r="AC1892" i="23" s="1"/>
  <c r="AD1892" i="23"/>
  <c r="AE1892" i="23"/>
  <c r="AF1892" i="23" a="1"/>
  <c r="AF1892" i="23" s="1"/>
  <c r="X1893" i="23"/>
  <c r="Y1893" i="23"/>
  <c r="Z1893" i="23"/>
  <c r="AA1893" i="23" a="1"/>
  <c r="AA1893" i="23"/>
  <c r="AB1893" i="23"/>
  <c r="AC1893" i="23" a="1"/>
  <c r="AC1893" i="23" s="1"/>
  <c r="AD1893" i="23"/>
  <c r="AE1893" i="23"/>
  <c r="AF1893" i="23" a="1"/>
  <c r="AF1893" i="23" s="1"/>
  <c r="X1894" i="23"/>
  <c r="Y1894" i="23"/>
  <c r="Z1894" i="23"/>
  <c r="AA1894" i="23" a="1"/>
  <c r="AA1894" i="23" s="1"/>
  <c r="AB1894" i="23"/>
  <c r="AC1894" i="23" a="1"/>
  <c r="AC1894" i="23" s="1"/>
  <c r="AD1894" i="23"/>
  <c r="AE1894" i="23"/>
  <c r="AF1894" i="23" a="1"/>
  <c r="AF1894" i="23" s="1"/>
  <c r="X1895" i="23"/>
  <c r="Y1895" i="23"/>
  <c r="Z1895" i="23"/>
  <c r="AA1895" i="23" a="1"/>
  <c r="AA1895" i="23"/>
  <c r="AB1895" i="23"/>
  <c r="AC1895" i="23" a="1"/>
  <c r="AC1895" i="23" s="1"/>
  <c r="AD1895" i="23"/>
  <c r="AE1895" i="23"/>
  <c r="AF1895" i="23" a="1"/>
  <c r="AF1895" i="23" s="1"/>
  <c r="X1896" i="23"/>
  <c r="Y1896" i="23"/>
  <c r="Z1896" i="23"/>
  <c r="AA1896" i="23" a="1"/>
  <c r="AA1896" i="23" s="1"/>
  <c r="AB1896" i="23"/>
  <c r="AC1896" i="23" a="1"/>
  <c r="AC1896" i="23" s="1"/>
  <c r="AD1896" i="23"/>
  <c r="AE1896" i="23"/>
  <c r="AF1896" i="23" a="1"/>
  <c r="AF1896" i="23" s="1"/>
  <c r="X1897" i="23"/>
  <c r="Y1897" i="23"/>
  <c r="Z1897" i="23"/>
  <c r="AA1897" i="23" a="1"/>
  <c r="AA1897" i="23"/>
  <c r="AB1897" i="23"/>
  <c r="AC1897" i="23" a="1"/>
  <c r="AC1897" i="23" s="1"/>
  <c r="AD1897" i="23"/>
  <c r="AE1897" i="23"/>
  <c r="AF1897" i="23" a="1"/>
  <c r="AF1897" i="23" s="1"/>
  <c r="X1898" i="23"/>
  <c r="Y1898" i="23"/>
  <c r="Z1898" i="23"/>
  <c r="AA1898" i="23" a="1"/>
  <c r="AA1898" i="23" s="1"/>
  <c r="AB1898" i="23"/>
  <c r="AC1898" i="23" a="1"/>
  <c r="AC1898" i="23" s="1"/>
  <c r="AD1898" i="23"/>
  <c r="AE1898" i="23"/>
  <c r="AF1898" i="23" a="1"/>
  <c r="AF1898" i="23" s="1"/>
  <c r="X1899" i="23"/>
  <c r="Y1899" i="23"/>
  <c r="Z1899" i="23"/>
  <c r="AA1899" i="23" a="1"/>
  <c r="AA1899" i="23"/>
  <c r="AB1899" i="23"/>
  <c r="AC1899" i="23" a="1"/>
  <c r="AC1899" i="23" s="1"/>
  <c r="AD1899" i="23"/>
  <c r="AE1899" i="23"/>
  <c r="AF1899" i="23" a="1"/>
  <c r="AF1899" i="23" s="1"/>
  <c r="X1900" i="23"/>
  <c r="Y1900" i="23"/>
  <c r="Z1900" i="23"/>
  <c r="AA1900" i="23" a="1"/>
  <c r="AA1900" i="23" s="1"/>
  <c r="AB1900" i="23"/>
  <c r="AC1900" i="23" a="1"/>
  <c r="AC1900" i="23" s="1"/>
  <c r="AD1900" i="23"/>
  <c r="AE1900" i="23"/>
  <c r="AF1900" i="23" a="1"/>
  <c r="AF1900" i="23" s="1"/>
  <c r="X1901" i="23"/>
  <c r="Y1901" i="23"/>
  <c r="Z1901" i="23"/>
  <c r="AA1901" i="23" a="1"/>
  <c r="AA1901" i="23"/>
  <c r="AB1901" i="23"/>
  <c r="AC1901" i="23" a="1"/>
  <c r="AC1901" i="23" s="1"/>
  <c r="AD1901" i="23"/>
  <c r="AE1901" i="23"/>
  <c r="AF1901" i="23" a="1"/>
  <c r="AF1901" i="23" s="1"/>
  <c r="X1902" i="23"/>
  <c r="Y1902" i="23"/>
  <c r="Z1902" i="23"/>
  <c r="AA1902" i="23" a="1"/>
  <c r="AA1902" i="23" s="1"/>
  <c r="AB1902" i="23"/>
  <c r="AC1902" i="23" a="1"/>
  <c r="AC1902" i="23" s="1"/>
  <c r="AD1902" i="23"/>
  <c r="AE1902" i="23"/>
  <c r="AF1902" i="23" a="1"/>
  <c r="AF1902" i="23" s="1"/>
  <c r="X1903" i="23"/>
  <c r="Y1903" i="23"/>
  <c r="Z1903" i="23"/>
  <c r="AA1903" i="23" a="1"/>
  <c r="AA1903" i="23"/>
  <c r="AB1903" i="23"/>
  <c r="AC1903" i="23" a="1"/>
  <c r="AC1903" i="23" s="1"/>
  <c r="AD1903" i="23"/>
  <c r="AE1903" i="23"/>
  <c r="AF1903" i="23" a="1"/>
  <c r="AF1903" i="23" s="1"/>
  <c r="X1904" i="23"/>
  <c r="Y1904" i="23"/>
  <c r="Z1904" i="23"/>
  <c r="AA1904" i="23" a="1"/>
  <c r="AA1904" i="23" s="1"/>
  <c r="AB1904" i="23"/>
  <c r="AC1904" i="23" a="1"/>
  <c r="AC1904" i="23" s="1"/>
  <c r="AD1904" i="23"/>
  <c r="AE1904" i="23"/>
  <c r="AF1904" i="23" a="1"/>
  <c r="AF1904" i="23" s="1"/>
  <c r="X1905" i="23"/>
  <c r="Y1905" i="23"/>
  <c r="Z1905" i="23"/>
  <c r="AA1905" i="23" a="1"/>
  <c r="AA1905" i="23"/>
  <c r="AB1905" i="23"/>
  <c r="AC1905" i="23" a="1"/>
  <c r="AC1905" i="23"/>
  <c r="AD1905" i="23"/>
  <c r="AE1905" i="23"/>
  <c r="AF1905" i="23" a="1"/>
  <c r="AF1905" i="23" s="1"/>
  <c r="X1906" i="23"/>
  <c r="Y1906" i="23"/>
  <c r="Z1906" i="23"/>
  <c r="AA1906" i="23" a="1"/>
  <c r="AA1906" i="23" s="1"/>
  <c r="AB1906" i="23"/>
  <c r="AC1906" i="23" a="1"/>
  <c r="AC1906" i="23" s="1"/>
  <c r="AD1906" i="23"/>
  <c r="AE1906" i="23"/>
  <c r="AF1906" i="23" a="1"/>
  <c r="AF1906" i="23" s="1"/>
  <c r="X1907" i="23"/>
  <c r="Y1907" i="23"/>
  <c r="Z1907" i="23"/>
  <c r="AA1907" i="23" a="1"/>
  <c r="AA1907" i="23"/>
  <c r="AB1907" i="23"/>
  <c r="AC1907" i="23" a="1"/>
  <c r="AC1907" i="23" s="1"/>
  <c r="AD1907" i="23"/>
  <c r="AE1907" i="23"/>
  <c r="AF1907" i="23" a="1"/>
  <c r="AF1907" i="23" s="1"/>
  <c r="X1908" i="23"/>
  <c r="Y1908" i="23"/>
  <c r="Z1908" i="23"/>
  <c r="AA1908" i="23" a="1"/>
  <c r="AA1908" i="23" s="1"/>
  <c r="AB1908" i="23"/>
  <c r="AC1908" i="23" a="1"/>
  <c r="AC1908" i="23" s="1"/>
  <c r="AD1908" i="23"/>
  <c r="AE1908" i="23"/>
  <c r="AF1908" i="23" a="1"/>
  <c r="AF1908" i="23" s="1"/>
  <c r="X1909" i="23"/>
  <c r="Y1909" i="23"/>
  <c r="Z1909" i="23"/>
  <c r="AA1909" i="23" a="1"/>
  <c r="AA1909" i="23"/>
  <c r="AB1909" i="23"/>
  <c r="AC1909" i="23" a="1"/>
  <c r="AC1909" i="23"/>
  <c r="AD1909" i="23"/>
  <c r="AE1909" i="23"/>
  <c r="AF1909" i="23" a="1"/>
  <c r="AF1909" i="23" s="1"/>
  <c r="X1910" i="23"/>
  <c r="Y1910" i="23"/>
  <c r="Z1910" i="23"/>
  <c r="AA1910" i="23" a="1"/>
  <c r="AA1910" i="23" s="1"/>
  <c r="AB1910" i="23"/>
  <c r="AC1910" i="23" a="1"/>
  <c r="AC1910" i="23" s="1"/>
  <c r="AD1910" i="23"/>
  <c r="AE1910" i="23"/>
  <c r="AF1910" i="23" a="1"/>
  <c r="AF1910" i="23" s="1"/>
  <c r="X1911" i="23"/>
  <c r="Y1911" i="23"/>
  <c r="Z1911" i="23"/>
  <c r="AA1911" i="23" a="1"/>
  <c r="AA1911" i="23"/>
  <c r="AB1911" i="23"/>
  <c r="AC1911" i="23" a="1"/>
  <c r="AC1911" i="23" s="1"/>
  <c r="AD1911" i="23"/>
  <c r="AE1911" i="23"/>
  <c r="AF1911" i="23" a="1"/>
  <c r="AF1911" i="23" s="1"/>
  <c r="X1912" i="23"/>
  <c r="Y1912" i="23"/>
  <c r="Z1912" i="23"/>
  <c r="AA1912" i="23" a="1"/>
  <c r="AA1912" i="23" s="1"/>
  <c r="AB1912" i="23"/>
  <c r="AC1912" i="23" a="1"/>
  <c r="AC1912" i="23" s="1"/>
  <c r="AD1912" i="23"/>
  <c r="AE1912" i="23"/>
  <c r="AF1912" i="23" a="1"/>
  <c r="AF1912" i="23" s="1"/>
  <c r="X1913" i="23"/>
  <c r="Y1913" i="23"/>
  <c r="Z1913" i="23"/>
  <c r="AA1913" i="23" a="1"/>
  <c r="AA1913" i="23"/>
  <c r="AB1913" i="23"/>
  <c r="AC1913" i="23" a="1"/>
  <c r="AC1913" i="23"/>
  <c r="AD1913" i="23"/>
  <c r="AE1913" i="23"/>
  <c r="AF1913" i="23" a="1"/>
  <c r="AF1913" i="23" s="1"/>
  <c r="X1914" i="23"/>
  <c r="Y1914" i="23"/>
  <c r="Z1914" i="23"/>
  <c r="AA1914" i="23" a="1"/>
  <c r="AA1914" i="23" s="1"/>
  <c r="AB1914" i="23"/>
  <c r="AC1914" i="23" a="1"/>
  <c r="AC1914" i="23" s="1"/>
  <c r="AD1914" i="23"/>
  <c r="AE1914" i="23"/>
  <c r="AF1914" i="23" a="1"/>
  <c r="AF1914" i="23" s="1"/>
  <c r="X1915" i="23"/>
  <c r="Y1915" i="23"/>
  <c r="Z1915" i="23"/>
  <c r="AA1915" i="23" a="1"/>
  <c r="AA1915" i="23"/>
  <c r="AB1915" i="23"/>
  <c r="AC1915" i="23" a="1"/>
  <c r="AC1915" i="23"/>
  <c r="AD1915" i="23"/>
  <c r="AE1915" i="23"/>
  <c r="AF1915" i="23" a="1"/>
  <c r="AF1915" i="23" s="1"/>
  <c r="X1916" i="23"/>
  <c r="Y1916" i="23"/>
  <c r="Z1916" i="23"/>
  <c r="AA1916" i="23" a="1"/>
  <c r="AA1916" i="23" s="1"/>
  <c r="AB1916" i="23"/>
  <c r="AC1916" i="23" a="1"/>
  <c r="AC1916" i="23" s="1"/>
  <c r="AD1916" i="23"/>
  <c r="AE1916" i="23"/>
  <c r="AF1916" i="23" a="1"/>
  <c r="AF1916" i="23" s="1"/>
  <c r="X1917" i="23"/>
  <c r="Y1917" i="23"/>
  <c r="Z1917" i="23"/>
  <c r="AA1917" i="23" a="1"/>
  <c r="AA1917" i="23"/>
  <c r="AB1917" i="23"/>
  <c r="AC1917" i="23" a="1"/>
  <c r="AC1917" i="23"/>
  <c r="AD1917" i="23"/>
  <c r="AE1917" i="23"/>
  <c r="AF1917" i="23" a="1"/>
  <c r="AF1917" i="23" s="1"/>
  <c r="X1918" i="23"/>
  <c r="Y1918" i="23"/>
  <c r="Z1918" i="23"/>
  <c r="AA1918" i="23" a="1"/>
  <c r="AA1918" i="23" s="1"/>
  <c r="AB1918" i="23"/>
  <c r="AC1918" i="23" a="1"/>
  <c r="AC1918" i="23" s="1"/>
  <c r="AD1918" i="23"/>
  <c r="AE1918" i="23"/>
  <c r="AF1918" i="23" a="1"/>
  <c r="AF1918" i="23" s="1"/>
  <c r="X1919" i="23"/>
  <c r="Y1919" i="23"/>
  <c r="Z1919" i="23"/>
  <c r="AA1919" i="23" a="1"/>
  <c r="AA1919" i="23"/>
  <c r="AB1919" i="23"/>
  <c r="AC1919" i="23" a="1"/>
  <c r="AC1919" i="23"/>
  <c r="AD1919" i="23"/>
  <c r="AE1919" i="23"/>
  <c r="AF1919" i="23" a="1"/>
  <c r="AF1919" i="23" s="1"/>
  <c r="X1920" i="23"/>
  <c r="Y1920" i="23"/>
  <c r="Z1920" i="23"/>
  <c r="AA1920" i="23" a="1"/>
  <c r="AA1920" i="23" s="1"/>
  <c r="AB1920" i="23"/>
  <c r="AC1920" i="23" a="1"/>
  <c r="AC1920" i="23" s="1"/>
  <c r="AD1920" i="23"/>
  <c r="AE1920" i="23"/>
  <c r="AF1920" i="23" a="1"/>
  <c r="AF1920" i="23" s="1"/>
  <c r="X1921" i="23"/>
  <c r="Y1921" i="23"/>
  <c r="Z1921" i="23"/>
  <c r="AA1921" i="23" a="1"/>
  <c r="AA1921" i="23"/>
  <c r="AB1921" i="23"/>
  <c r="AC1921" i="23" a="1"/>
  <c r="AC1921" i="23"/>
  <c r="AD1921" i="23"/>
  <c r="AE1921" i="23"/>
  <c r="AF1921" i="23" a="1"/>
  <c r="AF1921" i="23" s="1"/>
  <c r="X1922" i="23"/>
  <c r="Y1922" i="23"/>
  <c r="Z1922" i="23"/>
  <c r="AA1922" i="23" a="1"/>
  <c r="AA1922" i="23" s="1"/>
  <c r="AB1922" i="23"/>
  <c r="AC1922" i="23" a="1"/>
  <c r="AC1922" i="23" s="1"/>
  <c r="AD1922" i="23"/>
  <c r="AE1922" i="23"/>
  <c r="AF1922" i="23" a="1"/>
  <c r="AF1922" i="23" s="1"/>
  <c r="X1923" i="23"/>
  <c r="Y1923" i="23"/>
  <c r="Z1923" i="23"/>
  <c r="AA1923" i="23" a="1"/>
  <c r="AA1923" i="23"/>
  <c r="AB1923" i="23"/>
  <c r="AC1923" i="23" a="1"/>
  <c r="AC1923" i="23"/>
  <c r="AD1923" i="23"/>
  <c r="AE1923" i="23"/>
  <c r="AF1923" i="23" a="1"/>
  <c r="AF1923" i="23" s="1"/>
  <c r="X1924" i="23"/>
  <c r="Y1924" i="23"/>
  <c r="Z1924" i="23"/>
  <c r="AA1924" i="23" a="1"/>
  <c r="AA1924" i="23" s="1"/>
  <c r="AB1924" i="23"/>
  <c r="AC1924" i="23" a="1"/>
  <c r="AC1924" i="23" s="1"/>
  <c r="AD1924" i="23"/>
  <c r="AE1924" i="23"/>
  <c r="AF1924" i="23" a="1"/>
  <c r="AF1924" i="23" s="1"/>
  <c r="X1925" i="23"/>
  <c r="Y1925" i="23"/>
  <c r="Z1925" i="23"/>
  <c r="AA1925" i="23" a="1"/>
  <c r="AA1925" i="23"/>
  <c r="AB1925" i="23"/>
  <c r="AC1925" i="23" a="1"/>
  <c r="AC1925" i="23"/>
  <c r="AD1925" i="23"/>
  <c r="AE1925" i="23"/>
  <c r="AF1925" i="23" a="1"/>
  <c r="AF1925" i="23" s="1"/>
  <c r="X1926" i="23"/>
  <c r="Y1926" i="23"/>
  <c r="Z1926" i="23"/>
  <c r="AA1926" i="23" a="1"/>
  <c r="AA1926" i="23" s="1"/>
  <c r="AB1926" i="23"/>
  <c r="AC1926" i="23" a="1"/>
  <c r="AC1926" i="23" s="1"/>
  <c r="AD1926" i="23"/>
  <c r="AE1926" i="23"/>
  <c r="AF1926" i="23" a="1"/>
  <c r="AF1926" i="23" s="1"/>
  <c r="X1927" i="23"/>
  <c r="Y1927" i="23"/>
  <c r="Z1927" i="23"/>
  <c r="AA1927" i="23" a="1"/>
  <c r="AA1927" i="23"/>
  <c r="AB1927" i="23"/>
  <c r="AC1927" i="23" a="1"/>
  <c r="AC1927" i="23"/>
  <c r="AD1927" i="23"/>
  <c r="AE1927" i="23"/>
  <c r="AF1927" i="23" a="1"/>
  <c r="AF1927" i="23" s="1"/>
  <c r="X1928" i="23"/>
  <c r="Y1928" i="23"/>
  <c r="Z1928" i="23"/>
  <c r="AA1928" i="23" a="1"/>
  <c r="AA1928" i="23" s="1"/>
  <c r="AB1928" i="23"/>
  <c r="AC1928" i="23" a="1"/>
  <c r="AC1928" i="23" s="1"/>
  <c r="AD1928" i="23"/>
  <c r="AE1928" i="23"/>
  <c r="AF1928" i="23" a="1"/>
  <c r="AF1928" i="23" s="1"/>
  <c r="X1929" i="23"/>
  <c r="Y1929" i="23"/>
  <c r="Z1929" i="23"/>
  <c r="AA1929" i="23" a="1"/>
  <c r="AA1929" i="23"/>
  <c r="AB1929" i="23"/>
  <c r="AC1929" i="23" a="1"/>
  <c r="AC1929" i="23" s="1"/>
  <c r="AD1929" i="23"/>
  <c r="AE1929" i="23"/>
  <c r="AF1929" i="23" a="1"/>
  <c r="AF1929" i="23" s="1"/>
  <c r="X1930" i="23"/>
  <c r="Y1930" i="23"/>
  <c r="Z1930" i="23"/>
  <c r="AA1930" i="23" a="1"/>
  <c r="AA1930" i="23" s="1"/>
  <c r="AB1930" i="23"/>
  <c r="AC1930" i="23" a="1"/>
  <c r="AC1930" i="23" s="1"/>
  <c r="AD1930" i="23"/>
  <c r="AE1930" i="23"/>
  <c r="AF1930" i="23" a="1"/>
  <c r="AF1930" i="23" s="1"/>
  <c r="X1931" i="23"/>
  <c r="Y1931" i="23"/>
  <c r="Z1931" i="23"/>
  <c r="AA1931" i="23" a="1"/>
  <c r="AA1931" i="23"/>
  <c r="AB1931" i="23"/>
  <c r="AC1931" i="23" a="1"/>
  <c r="AC1931" i="23" s="1"/>
  <c r="AD1931" i="23"/>
  <c r="AE1931" i="23"/>
  <c r="AF1931" i="23" a="1"/>
  <c r="AF1931" i="23" s="1"/>
  <c r="X1932" i="23"/>
  <c r="Y1932" i="23"/>
  <c r="Z1932" i="23"/>
  <c r="AA1932" i="23" a="1"/>
  <c r="AA1932" i="23" s="1"/>
  <c r="AB1932" i="23"/>
  <c r="AC1932" i="23" a="1"/>
  <c r="AC1932" i="23" s="1"/>
  <c r="AD1932" i="23"/>
  <c r="AE1932" i="23"/>
  <c r="AF1932" i="23" a="1"/>
  <c r="AF1932" i="23" s="1"/>
  <c r="X1933" i="23"/>
  <c r="Y1933" i="23"/>
  <c r="Z1933" i="23"/>
  <c r="AA1933" i="23" a="1"/>
  <c r="AA1933" i="23"/>
  <c r="AB1933" i="23"/>
  <c r="AC1933" i="23" a="1"/>
  <c r="AC1933" i="23"/>
  <c r="AD1933" i="23"/>
  <c r="AE1933" i="23"/>
  <c r="AF1933" i="23" a="1"/>
  <c r="AF1933" i="23" s="1"/>
  <c r="X1934" i="23"/>
  <c r="Y1934" i="23"/>
  <c r="Z1934" i="23"/>
  <c r="AA1934" i="23" a="1"/>
  <c r="AA1934" i="23" s="1"/>
  <c r="AB1934" i="23"/>
  <c r="AC1934" i="23" a="1"/>
  <c r="AC1934" i="23" s="1"/>
  <c r="AD1934" i="23"/>
  <c r="AE1934" i="23"/>
  <c r="AF1934" i="23" a="1"/>
  <c r="AF1934" i="23" s="1"/>
  <c r="X1935" i="23"/>
  <c r="Y1935" i="23"/>
  <c r="Z1935" i="23"/>
  <c r="AA1935" i="23" a="1"/>
  <c r="AA1935" i="23"/>
  <c r="AB1935" i="23"/>
  <c r="AC1935" i="23" a="1"/>
  <c r="AC1935" i="23" s="1"/>
  <c r="AD1935" i="23"/>
  <c r="AE1935" i="23"/>
  <c r="AF1935" i="23" a="1"/>
  <c r="AF1935" i="23" s="1"/>
  <c r="X1936" i="23"/>
  <c r="Y1936" i="23"/>
  <c r="Z1936" i="23"/>
  <c r="AA1936" i="23" a="1"/>
  <c r="AA1936" i="23" s="1"/>
  <c r="AB1936" i="23"/>
  <c r="AC1936" i="23" a="1"/>
  <c r="AC1936" i="23" s="1"/>
  <c r="AD1936" i="23"/>
  <c r="AE1936" i="23"/>
  <c r="AF1936" i="23" a="1"/>
  <c r="AF1936" i="23" s="1"/>
  <c r="X1937" i="23"/>
  <c r="Y1937" i="23"/>
  <c r="Z1937" i="23"/>
  <c r="AA1937" i="23" a="1"/>
  <c r="AA1937" i="23"/>
  <c r="AB1937" i="23"/>
  <c r="AC1937" i="23" a="1"/>
  <c r="AC1937" i="23" s="1"/>
  <c r="AD1937" i="23"/>
  <c r="AE1937" i="23"/>
  <c r="AF1937" i="23" a="1"/>
  <c r="AF1937" i="23" s="1"/>
  <c r="X1938" i="23"/>
  <c r="Y1938" i="23"/>
  <c r="Z1938" i="23"/>
  <c r="AA1938" i="23" a="1"/>
  <c r="AA1938" i="23" s="1"/>
  <c r="AB1938" i="23"/>
  <c r="AC1938" i="23" a="1"/>
  <c r="AC1938" i="23" s="1"/>
  <c r="AD1938" i="23"/>
  <c r="AE1938" i="23"/>
  <c r="AF1938" i="23" a="1"/>
  <c r="AF1938" i="23" s="1"/>
  <c r="X1939" i="23"/>
  <c r="Y1939" i="23"/>
  <c r="Z1939" i="23"/>
  <c r="AA1939" i="23" a="1"/>
  <c r="AA1939" i="23"/>
  <c r="AB1939" i="23"/>
  <c r="AC1939" i="23" a="1"/>
  <c r="AC1939" i="23" s="1"/>
  <c r="AD1939" i="23"/>
  <c r="AE1939" i="23"/>
  <c r="AF1939" i="23" a="1"/>
  <c r="AF1939" i="23" s="1"/>
  <c r="X1940" i="23"/>
  <c r="Y1940" i="23"/>
  <c r="Z1940" i="23"/>
  <c r="AA1940" i="23" a="1"/>
  <c r="AA1940" i="23" s="1"/>
  <c r="AB1940" i="23"/>
  <c r="AC1940" i="23" a="1"/>
  <c r="AC1940" i="23" s="1"/>
  <c r="AD1940" i="23"/>
  <c r="AE1940" i="23"/>
  <c r="AF1940" i="23" a="1"/>
  <c r="AF1940" i="23" s="1"/>
  <c r="X1941" i="23"/>
  <c r="Y1941" i="23"/>
  <c r="Z1941" i="23"/>
  <c r="AA1941" i="23" a="1"/>
  <c r="AA1941" i="23"/>
  <c r="AB1941" i="23"/>
  <c r="AC1941" i="23" a="1"/>
  <c r="AC1941" i="23" s="1"/>
  <c r="AD1941" i="23"/>
  <c r="AE1941" i="23"/>
  <c r="AF1941" i="23" a="1"/>
  <c r="AF1941" i="23" s="1"/>
  <c r="X1942" i="23"/>
  <c r="Y1942" i="23"/>
  <c r="Z1942" i="23"/>
  <c r="AA1942" i="23" a="1"/>
  <c r="AA1942" i="23" s="1"/>
  <c r="AB1942" i="23"/>
  <c r="AC1942" i="23" a="1"/>
  <c r="AC1942" i="23" s="1"/>
  <c r="AD1942" i="23"/>
  <c r="AE1942" i="23"/>
  <c r="AF1942" i="23" a="1"/>
  <c r="AF1942" i="23" s="1"/>
  <c r="X1943" i="23"/>
  <c r="Y1943" i="23"/>
  <c r="Z1943" i="23"/>
  <c r="AA1943" i="23" a="1"/>
  <c r="AA1943" i="23"/>
  <c r="AB1943" i="23"/>
  <c r="AC1943" i="23" a="1"/>
  <c r="AC1943" i="23" s="1"/>
  <c r="AD1943" i="23"/>
  <c r="AE1943" i="23"/>
  <c r="AF1943" i="23" a="1"/>
  <c r="AF1943" i="23" s="1"/>
  <c r="X1944" i="23"/>
  <c r="Y1944" i="23"/>
  <c r="Z1944" i="23"/>
  <c r="AA1944" i="23" a="1"/>
  <c r="AA1944" i="23" s="1"/>
  <c r="AB1944" i="23"/>
  <c r="AC1944" i="23" a="1"/>
  <c r="AC1944" i="23" s="1"/>
  <c r="AD1944" i="23"/>
  <c r="AE1944" i="23"/>
  <c r="AF1944" i="23" a="1"/>
  <c r="AF1944" i="23" s="1"/>
  <c r="X1945" i="23"/>
  <c r="Y1945" i="23"/>
  <c r="Z1945" i="23"/>
  <c r="AA1945" i="23" a="1"/>
  <c r="AA1945" i="23"/>
  <c r="AB1945" i="23"/>
  <c r="AC1945" i="23" a="1"/>
  <c r="AC1945" i="23" s="1"/>
  <c r="AD1945" i="23"/>
  <c r="AE1945" i="23"/>
  <c r="AF1945" i="23" a="1"/>
  <c r="AF1945" i="23" s="1"/>
  <c r="X1946" i="23"/>
  <c r="Y1946" i="23"/>
  <c r="Z1946" i="23"/>
  <c r="AA1946" i="23" a="1"/>
  <c r="AA1946" i="23" s="1"/>
  <c r="AB1946" i="23"/>
  <c r="AC1946" i="23" a="1"/>
  <c r="AC1946" i="23" s="1"/>
  <c r="AD1946" i="23"/>
  <c r="AE1946" i="23"/>
  <c r="AF1946" i="23" a="1"/>
  <c r="AF1946" i="23" s="1"/>
  <c r="X1947" i="23"/>
  <c r="Y1947" i="23"/>
  <c r="Z1947" i="23"/>
  <c r="AA1947" i="23" a="1"/>
  <c r="AA1947" i="23"/>
  <c r="AB1947" i="23"/>
  <c r="AC1947" i="23" a="1"/>
  <c r="AC1947" i="23" s="1"/>
  <c r="AD1947" i="23"/>
  <c r="AE1947" i="23"/>
  <c r="AF1947" i="23" a="1"/>
  <c r="AF1947" i="23" s="1"/>
  <c r="X1948" i="23"/>
  <c r="Y1948" i="23"/>
  <c r="Z1948" i="23"/>
  <c r="AA1948" i="23" a="1"/>
  <c r="AA1948" i="23" s="1"/>
  <c r="AB1948" i="23"/>
  <c r="AC1948" i="23" a="1"/>
  <c r="AC1948" i="23" s="1"/>
  <c r="AD1948" i="23"/>
  <c r="AE1948" i="23"/>
  <c r="AF1948" i="23" a="1"/>
  <c r="AF1948" i="23" s="1"/>
  <c r="X1949" i="23"/>
  <c r="Y1949" i="23"/>
  <c r="Z1949" i="23"/>
  <c r="AA1949" i="23" a="1"/>
  <c r="AA1949" i="23"/>
  <c r="AB1949" i="23"/>
  <c r="AC1949" i="23" a="1"/>
  <c r="AC1949" i="23" s="1"/>
  <c r="AD1949" i="23"/>
  <c r="AE1949" i="23"/>
  <c r="AF1949" i="23" a="1"/>
  <c r="AF1949" i="23" s="1"/>
  <c r="X1950" i="23"/>
  <c r="Y1950" i="23"/>
  <c r="Z1950" i="23"/>
  <c r="AA1950" i="23" a="1"/>
  <c r="AA1950" i="23" s="1"/>
  <c r="AB1950" i="23"/>
  <c r="AC1950" i="23" a="1"/>
  <c r="AC1950" i="23" s="1"/>
  <c r="AD1950" i="23"/>
  <c r="AE1950" i="23"/>
  <c r="AF1950" i="23" a="1"/>
  <c r="AF1950" i="23" s="1"/>
  <c r="X1951" i="23"/>
  <c r="Y1951" i="23"/>
  <c r="Z1951" i="23"/>
  <c r="AA1951" i="23" a="1"/>
  <c r="AA1951" i="23"/>
  <c r="AB1951" i="23"/>
  <c r="AC1951" i="23" a="1"/>
  <c r="AC1951" i="23" s="1"/>
  <c r="AD1951" i="23"/>
  <c r="AE1951" i="23"/>
  <c r="AF1951" i="23" a="1"/>
  <c r="AF1951" i="23" s="1"/>
  <c r="X1952" i="23"/>
  <c r="Y1952" i="23"/>
  <c r="Z1952" i="23"/>
  <c r="AA1952" i="23" a="1"/>
  <c r="AA1952" i="23" s="1"/>
  <c r="AB1952" i="23"/>
  <c r="AC1952" i="23" a="1"/>
  <c r="AC1952" i="23" s="1"/>
  <c r="AD1952" i="23"/>
  <c r="AE1952" i="23"/>
  <c r="AF1952" i="23" a="1"/>
  <c r="AF1952" i="23" s="1"/>
  <c r="X1953" i="23"/>
  <c r="Y1953" i="23"/>
  <c r="Z1953" i="23"/>
  <c r="AA1953" i="23" a="1"/>
  <c r="AA1953" i="23"/>
  <c r="AB1953" i="23"/>
  <c r="AC1953" i="23" a="1"/>
  <c r="AC1953" i="23" s="1"/>
  <c r="AD1953" i="23"/>
  <c r="AE1953" i="23"/>
  <c r="AF1953" i="23" a="1"/>
  <c r="AF1953" i="23" s="1"/>
  <c r="X1954" i="23"/>
  <c r="Y1954" i="23"/>
  <c r="Z1954" i="23"/>
  <c r="AA1954" i="23" a="1"/>
  <c r="AA1954" i="23" s="1"/>
  <c r="AB1954" i="23"/>
  <c r="AC1954" i="23" a="1"/>
  <c r="AC1954" i="23" s="1"/>
  <c r="AD1954" i="23"/>
  <c r="AE1954" i="23"/>
  <c r="AF1954" i="23" a="1"/>
  <c r="AF1954" i="23" s="1"/>
  <c r="X1955" i="23"/>
  <c r="Y1955" i="23"/>
  <c r="Z1955" i="23"/>
  <c r="AA1955" i="23" a="1"/>
  <c r="AA1955" i="23"/>
  <c r="AB1955" i="23"/>
  <c r="AC1955" i="23" a="1"/>
  <c r="AC1955" i="23" s="1"/>
  <c r="AD1955" i="23"/>
  <c r="AE1955" i="23"/>
  <c r="AF1955" i="23" a="1"/>
  <c r="AF1955" i="23" s="1"/>
  <c r="X1956" i="23"/>
  <c r="Y1956" i="23"/>
  <c r="Z1956" i="23"/>
  <c r="AA1956" i="23" a="1"/>
  <c r="AA1956" i="23" s="1"/>
  <c r="AB1956" i="23"/>
  <c r="AC1956" i="23" a="1"/>
  <c r="AC1956" i="23" s="1"/>
  <c r="AD1956" i="23"/>
  <c r="AE1956" i="23"/>
  <c r="AF1956" i="23" a="1"/>
  <c r="AF1956" i="23" s="1"/>
  <c r="X1957" i="23"/>
  <c r="Y1957" i="23"/>
  <c r="Z1957" i="23"/>
  <c r="AA1957" i="23" a="1"/>
  <c r="AA1957" i="23"/>
  <c r="AB1957" i="23"/>
  <c r="AC1957" i="23" a="1"/>
  <c r="AC1957" i="23" s="1"/>
  <c r="AD1957" i="23"/>
  <c r="AE1957" i="23"/>
  <c r="AF1957" i="23" a="1"/>
  <c r="AF1957" i="23" s="1"/>
  <c r="X1958" i="23"/>
  <c r="Y1958" i="23"/>
  <c r="Z1958" i="23"/>
  <c r="AA1958" i="23" a="1"/>
  <c r="AA1958" i="23" s="1"/>
  <c r="AB1958" i="23"/>
  <c r="AC1958" i="23" a="1"/>
  <c r="AC1958" i="23" s="1"/>
  <c r="AD1958" i="23"/>
  <c r="AE1958" i="23"/>
  <c r="AF1958" i="23" a="1"/>
  <c r="AF1958" i="23" s="1"/>
  <c r="X1959" i="23"/>
  <c r="Y1959" i="23"/>
  <c r="Z1959" i="23"/>
  <c r="AA1959" i="23" a="1"/>
  <c r="AA1959" i="23"/>
  <c r="AB1959" i="23"/>
  <c r="AC1959" i="23" a="1"/>
  <c r="AC1959" i="23" s="1"/>
  <c r="AD1959" i="23"/>
  <c r="AE1959" i="23"/>
  <c r="AF1959" i="23" a="1"/>
  <c r="AF1959" i="23" s="1"/>
  <c r="X1960" i="23"/>
  <c r="Y1960" i="23"/>
  <c r="Z1960" i="23"/>
  <c r="AA1960" i="23" a="1"/>
  <c r="AA1960" i="23" s="1"/>
  <c r="AB1960" i="23"/>
  <c r="AC1960" i="23" a="1"/>
  <c r="AC1960" i="23" s="1"/>
  <c r="AD1960" i="23"/>
  <c r="AE1960" i="23"/>
  <c r="AF1960" i="23" a="1"/>
  <c r="AF1960" i="23" s="1"/>
  <c r="X1961" i="23"/>
  <c r="Y1961" i="23"/>
  <c r="Z1961" i="23"/>
  <c r="AA1961" i="23" a="1"/>
  <c r="AA1961" i="23"/>
  <c r="AB1961" i="23"/>
  <c r="AC1961" i="23" a="1"/>
  <c r="AC1961" i="23" s="1"/>
  <c r="AD1961" i="23"/>
  <c r="AE1961" i="23"/>
  <c r="AF1961" i="23" a="1"/>
  <c r="AF1961" i="23" s="1"/>
  <c r="X1962" i="23"/>
  <c r="Y1962" i="23"/>
  <c r="Z1962" i="23"/>
  <c r="AA1962" i="23" a="1"/>
  <c r="AA1962" i="23" s="1"/>
  <c r="AB1962" i="23"/>
  <c r="AC1962" i="23" a="1"/>
  <c r="AC1962" i="23" s="1"/>
  <c r="AD1962" i="23"/>
  <c r="AE1962" i="23"/>
  <c r="AF1962" i="23" a="1"/>
  <c r="AF1962" i="23" s="1"/>
  <c r="X1963" i="23"/>
  <c r="Y1963" i="23"/>
  <c r="Z1963" i="23"/>
  <c r="AA1963" i="23" a="1"/>
  <c r="AA1963" i="23"/>
  <c r="AB1963" i="23"/>
  <c r="AC1963" i="23" a="1"/>
  <c r="AC1963" i="23" s="1"/>
  <c r="AD1963" i="23"/>
  <c r="AE1963" i="23"/>
  <c r="AF1963" i="23" a="1"/>
  <c r="AF1963" i="23" s="1"/>
  <c r="X1964" i="23"/>
  <c r="Y1964" i="23"/>
  <c r="Z1964" i="23"/>
  <c r="AA1964" i="23" a="1"/>
  <c r="AA1964" i="23" s="1"/>
  <c r="AB1964" i="23"/>
  <c r="AC1964" i="23" a="1"/>
  <c r="AC1964" i="23" s="1"/>
  <c r="AD1964" i="23"/>
  <c r="AE1964" i="23"/>
  <c r="AF1964" i="23" a="1"/>
  <c r="AF1964" i="23" s="1"/>
  <c r="X1965" i="23"/>
  <c r="Y1965" i="23"/>
  <c r="Z1965" i="23"/>
  <c r="AA1965" i="23" a="1"/>
  <c r="AA1965" i="23"/>
  <c r="AB1965" i="23"/>
  <c r="AC1965" i="23" a="1"/>
  <c r="AC1965" i="23" s="1"/>
  <c r="AD1965" i="23"/>
  <c r="AE1965" i="23"/>
  <c r="AF1965" i="23" a="1"/>
  <c r="AF1965" i="23" s="1"/>
  <c r="X1966" i="23"/>
  <c r="Y1966" i="23"/>
  <c r="Z1966" i="23"/>
  <c r="AA1966" i="23" a="1"/>
  <c r="AA1966" i="23" s="1"/>
  <c r="AB1966" i="23"/>
  <c r="AC1966" i="23" a="1"/>
  <c r="AC1966" i="23" s="1"/>
  <c r="AD1966" i="23"/>
  <c r="AE1966" i="23"/>
  <c r="AF1966" i="23" a="1"/>
  <c r="AF1966" i="23" s="1"/>
  <c r="X1967" i="23"/>
  <c r="Y1967" i="23"/>
  <c r="Z1967" i="23"/>
  <c r="AA1967" i="23" a="1"/>
  <c r="AA1967" i="23"/>
  <c r="AB1967" i="23"/>
  <c r="AC1967" i="23" a="1"/>
  <c r="AC1967" i="23" s="1"/>
  <c r="AD1967" i="23"/>
  <c r="AE1967" i="23"/>
  <c r="AF1967" i="23" a="1"/>
  <c r="AF1967" i="23" s="1"/>
  <c r="X1968" i="23"/>
  <c r="Y1968" i="23"/>
  <c r="Z1968" i="23"/>
  <c r="AA1968" i="23" a="1"/>
  <c r="AA1968" i="23" s="1"/>
  <c r="AB1968" i="23"/>
  <c r="AC1968" i="23" a="1"/>
  <c r="AC1968" i="23" s="1"/>
  <c r="AD1968" i="23"/>
  <c r="AE1968" i="23"/>
  <c r="AF1968" i="23" a="1"/>
  <c r="AF1968" i="23" s="1"/>
  <c r="X1969" i="23"/>
  <c r="Y1969" i="23"/>
  <c r="Z1969" i="23"/>
  <c r="AA1969" i="23" a="1"/>
  <c r="AA1969" i="23"/>
  <c r="AB1969" i="23"/>
  <c r="AC1969" i="23" a="1"/>
  <c r="AC1969" i="23" s="1"/>
  <c r="AD1969" i="23"/>
  <c r="AE1969" i="23"/>
  <c r="AF1969" i="23" a="1"/>
  <c r="AF1969" i="23" s="1"/>
  <c r="X1970" i="23"/>
  <c r="Y1970" i="23"/>
  <c r="Z1970" i="23"/>
  <c r="AA1970" i="23" a="1"/>
  <c r="AA1970" i="23" s="1"/>
  <c r="AB1970" i="23"/>
  <c r="AC1970" i="23" a="1"/>
  <c r="AC1970" i="23" s="1"/>
  <c r="AD1970" i="23"/>
  <c r="AE1970" i="23"/>
  <c r="AF1970" i="23" a="1"/>
  <c r="AF1970" i="23" s="1"/>
  <c r="X1971" i="23"/>
  <c r="Y1971" i="23"/>
  <c r="Z1971" i="23"/>
  <c r="AA1971" i="23" a="1"/>
  <c r="AA1971" i="23"/>
  <c r="AB1971" i="23"/>
  <c r="AC1971" i="23" a="1"/>
  <c r="AC1971" i="23" s="1"/>
  <c r="AD1971" i="23"/>
  <c r="AE1971" i="23"/>
  <c r="AF1971" i="23" a="1"/>
  <c r="AF1971" i="23" s="1"/>
  <c r="X1972" i="23"/>
  <c r="Y1972" i="23"/>
  <c r="Z1972" i="23"/>
  <c r="AA1972" i="23" a="1"/>
  <c r="AA1972" i="23" s="1"/>
  <c r="AB1972" i="23"/>
  <c r="AC1972" i="23" a="1"/>
  <c r="AC1972" i="23" s="1"/>
  <c r="AD1972" i="23"/>
  <c r="AE1972" i="23"/>
  <c r="AF1972" i="23" a="1"/>
  <c r="AF1972" i="23" s="1"/>
  <c r="X1973" i="23"/>
  <c r="Y1973" i="23"/>
  <c r="Z1973" i="23"/>
  <c r="AA1973" i="23" a="1"/>
  <c r="AA1973" i="23"/>
  <c r="AB1973" i="23"/>
  <c r="AC1973" i="23" a="1"/>
  <c r="AC1973" i="23" s="1"/>
  <c r="AD1973" i="23"/>
  <c r="AE1973" i="23"/>
  <c r="AF1973" i="23" a="1"/>
  <c r="AF1973" i="23" s="1"/>
  <c r="X1974" i="23"/>
  <c r="Y1974" i="23"/>
  <c r="Z1974" i="23"/>
  <c r="AA1974" i="23" a="1"/>
  <c r="AA1974" i="23" s="1"/>
  <c r="AB1974" i="23"/>
  <c r="AC1974" i="23" a="1"/>
  <c r="AC1974" i="23" s="1"/>
  <c r="AD1974" i="23"/>
  <c r="AE1974" i="23"/>
  <c r="AF1974" i="23" a="1"/>
  <c r="AF1974" i="23" s="1"/>
  <c r="X1975" i="23"/>
  <c r="Y1975" i="23"/>
  <c r="Z1975" i="23"/>
  <c r="AA1975" i="23" a="1"/>
  <c r="AA1975" i="23"/>
  <c r="AB1975" i="23"/>
  <c r="AC1975" i="23" a="1"/>
  <c r="AC1975" i="23" s="1"/>
  <c r="AD1975" i="23"/>
  <c r="AE1975" i="23"/>
  <c r="AF1975" i="23" a="1"/>
  <c r="AF1975" i="23" s="1"/>
  <c r="X1976" i="23"/>
  <c r="Y1976" i="23"/>
  <c r="Z1976" i="23"/>
  <c r="AA1976" i="23" a="1"/>
  <c r="AA1976" i="23" s="1"/>
  <c r="AB1976" i="23"/>
  <c r="AC1976" i="23" a="1"/>
  <c r="AC1976" i="23" s="1"/>
  <c r="AD1976" i="23"/>
  <c r="AE1976" i="23"/>
  <c r="AF1976" i="23" a="1"/>
  <c r="AF1976" i="23" s="1"/>
  <c r="X1977" i="23"/>
  <c r="Y1977" i="23"/>
  <c r="Z1977" i="23"/>
  <c r="AA1977" i="23" a="1"/>
  <c r="AA1977" i="23"/>
  <c r="AB1977" i="23"/>
  <c r="AC1977" i="23" a="1"/>
  <c r="AC1977" i="23" s="1"/>
  <c r="AD1977" i="23"/>
  <c r="AE1977" i="23"/>
  <c r="AF1977" i="23" a="1"/>
  <c r="AF1977" i="23" s="1"/>
  <c r="X1978" i="23"/>
  <c r="Y1978" i="23"/>
  <c r="Z1978" i="23"/>
  <c r="AA1978" i="23" a="1"/>
  <c r="AA1978" i="23" s="1"/>
  <c r="AB1978" i="23"/>
  <c r="AC1978" i="23" a="1"/>
  <c r="AC1978" i="23" s="1"/>
  <c r="AD1978" i="23"/>
  <c r="AE1978" i="23"/>
  <c r="AF1978" i="23" a="1"/>
  <c r="AF1978" i="23" s="1"/>
  <c r="X1979" i="23"/>
  <c r="Y1979" i="23"/>
  <c r="Z1979" i="23"/>
  <c r="AA1979" i="23" a="1"/>
  <c r="AA1979" i="23"/>
  <c r="AB1979" i="23"/>
  <c r="AC1979" i="23" a="1"/>
  <c r="AC1979" i="23" s="1"/>
  <c r="AD1979" i="23"/>
  <c r="AE1979" i="23"/>
  <c r="AF1979" i="23" a="1"/>
  <c r="AF1979" i="23" s="1"/>
  <c r="X1980" i="23"/>
  <c r="Y1980" i="23"/>
  <c r="Z1980" i="23"/>
  <c r="AA1980" i="23" a="1"/>
  <c r="AA1980" i="23" s="1"/>
  <c r="AB1980" i="23"/>
  <c r="AC1980" i="23" a="1"/>
  <c r="AC1980" i="23" s="1"/>
  <c r="AD1980" i="23"/>
  <c r="AE1980" i="23"/>
  <c r="AF1980" i="23" a="1"/>
  <c r="AF1980" i="23" s="1"/>
  <c r="X1981" i="23"/>
  <c r="Y1981" i="23"/>
  <c r="Z1981" i="23"/>
  <c r="AA1981" i="23" a="1"/>
  <c r="AA1981" i="23"/>
  <c r="AB1981" i="23"/>
  <c r="AC1981" i="23" a="1"/>
  <c r="AC1981" i="23" s="1"/>
  <c r="AD1981" i="23"/>
  <c r="AE1981" i="23"/>
  <c r="AF1981" i="23" a="1"/>
  <c r="AF1981" i="23" s="1"/>
  <c r="X1982" i="23"/>
  <c r="Y1982" i="23"/>
  <c r="Z1982" i="23"/>
  <c r="AA1982" i="23" a="1"/>
  <c r="AA1982" i="23" s="1"/>
  <c r="AB1982" i="23"/>
  <c r="AC1982" i="23" a="1"/>
  <c r="AC1982" i="23" s="1"/>
  <c r="AD1982" i="23"/>
  <c r="AE1982" i="23"/>
  <c r="AF1982" i="23" a="1"/>
  <c r="AF1982" i="23" s="1"/>
  <c r="X1983" i="23"/>
  <c r="Y1983" i="23"/>
  <c r="Z1983" i="23"/>
  <c r="AA1983" i="23" a="1"/>
  <c r="AA1983" i="23"/>
  <c r="AB1983" i="23"/>
  <c r="AC1983" i="23" a="1"/>
  <c r="AC1983" i="23" s="1"/>
  <c r="AD1983" i="23"/>
  <c r="AE1983" i="23"/>
  <c r="AF1983" i="23" a="1"/>
  <c r="AF1983" i="23" s="1"/>
  <c r="X1984" i="23"/>
  <c r="Y1984" i="23"/>
  <c r="Z1984" i="23"/>
  <c r="AA1984" i="23" a="1"/>
  <c r="AA1984" i="23" s="1"/>
  <c r="AB1984" i="23"/>
  <c r="AC1984" i="23" a="1"/>
  <c r="AC1984" i="23" s="1"/>
  <c r="AD1984" i="23"/>
  <c r="AE1984" i="23"/>
  <c r="AF1984" i="23" a="1"/>
  <c r="AF1984" i="23" s="1"/>
  <c r="X1985" i="23"/>
  <c r="Y1985" i="23"/>
  <c r="Z1985" i="23"/>
  <c r="AA1985" i="23" a="1"/>
  <c r="AA1985" i="23"/>
  <c r="AB1985" i="23"/>
  <c r="AC1985" i="23" a="1"/>
  <c r="AC1985" i="23" s="1"/>
  <c r="AD1985" i="23"/>
  <c r="AE1985" i="23"/>
  <c r="AF1985" i="23" a="1"/>
  <c r="AF1985" i="23" s="1"/>
  <c r="X1986" i="23"/>
  <c r="Y1986" i="23"/>
  <c r="Z1986" i="23"/>
  <c r="AA1986" i="23" a="1"/>
  <c r="AA1986" i="23" s="1"/>
  <c r="AB1986" i="23"/>
  <c r="AC1986" i="23" a="1"/>
  <c r="AC1986" i="23" s="1"/>
  <c r="AD1986" i="23"/>
  <c r="AE1986" i="23"/>
  <c r="AF1986" i="23" a="1"/>
  <c r="AF1986" i="23" s="1"/>
  <c r="X1987" i="23"/>
  <c r="Y1987" i="23"/>
  <c r="Z1987" i="23"/>
  <c r="AA1987" i="23" a="1"/>
  <c r="AA1987" i="23"/>
  <c r="AB1987" i="23"/>
  <c r="AC1987" i="23" a="1"/>
  <c r="AC1987" i="23" s="1"/>
  <c r="AD1987" i="23"/>
  <c r="AE1987" i="23"/>
  <c r="AF1987" i="23" a="1"/>
  <c r="AF1987" i="23" s="1"/>
  <c r="X1988" i="23"/>
  <c r="Y1988" i="23"/>
  <c r="Z1988" i="23"/>
  <c r="AA1988" i="23" a="1"/>
  <c r="AA1988" i="23" s="1"/>
  <c r="AB1988" i="23"/>
  <c r="AC1988" i="23" a="1"/>
  <c r="AC1988" i="23" s="1"/>
  <c r="AD1988" i="23"/>
  <c r="AE1988" i="23"/>
  <c r="AF1988" i="23" a="1"/>
  <c r="AF1988" i="23" s="1"/>
  <c r="X1989" i="23"/>
  <c r="Y1989" i="23"/>
  <c r="Z1989" i="23"/>
  <c r="AA1989" i="23" a="1"/>
  <c r="AA1989" i="23"/>
  <c r="AB1989" i="23"/>
  <c r="AC1989" i="23" a="1"/>
  <c r="AC1989" i="23" s="1"/>
  <c r="AD1989" i="23"/>
  <c r="AE1989" i="23"/>
  <c r="AF1989" i="23" a="1"/>
  <c r="AF1989" i="23" s="1"/>
  <c r="X1990" i="23"/>
  <c r="Y1990" i="23"/>
  <c r="Z1990" i="23"/>
  <c r="AA1990" i="23" a="1"/>
  <c r="AA1990" i="23" s="1"/>
  <c r="AB1990" i="23"/>
  <c r="AC1990" i="23" a="1"/>
  <c r="AC1990" i="23" s="1"/>
  <c r="AD1990" i="23"/>
  <c r="AE1990" i="23"/>
  <c r="AF1990" i="23" a="1"/>
  <c r="AF1990" i="23" s="1"/>
  <c r="X1991" i="23"/>
  <c r="Y1991" i="23"/>
  <c r="Z1991" i="23"/>
  <c r="AA1991" i="23" a="1"/>
  <c r="AA1991" i="23"/>
  <c r="AB1991" i="23"/>
  <c r="AC1991" i="23" a="1"/>
  <c r="AC1991" i="23" s="1"/>
  <c r="AD1991" i="23"/>
  <c r="AE1991" i="23"/>
  <c r="AF1991" i="23" a="1"/>
  <c r="AF1991" i="23" s="1"/>
  <c r="X1992" i="23"/>
  <c r="Y1992" i="23"/>
  <c r="Z1992" i="23"/>
  <c r="AA1992" i="23" a="1"/>
  <c r="AA1992" i="23" s="1"/>
  <c r="AB1992" i="23"/>
  <c r="AC1992" i="23" a="1"/>
  <c r="AC1992" i="23" s="1"/>
  <c r="AD1992" i="23"/>
  <c r="AE1992" i="23"/>
  <c r="AF1992" i="23" a="1"/>
  <c r="AF1992" i="23" s="1"/>
  <c r="X1993" i="23"/>
  <c r="Y1993" i="23"/>
  <c r="Z1993" i="23"/>
  <c r="AA1993" i="23" a="1"/>
  <c r="AA1993" i="23"/>
  <c r="AB1993" i="23"/>
  <c r="AC1993" i="23" a="1"/>
  <c r="AC1993" i="23" s="1"/>
  <c r="AD1993" i="23"/>
  <c r="AE1993" i="23"/>
  <c r="AF1993" i="23" a="1"/>
  <c r="AF1993" i="23" s="1"/>
  <c r="X1994" i="23"/>
  <c r="Y1994" i="23"/>
  <c r="Z1994" i="23"/>
  <c r="AA1994" i="23" a="1"/>
  <c r="AA1994" i="23" s="1"/>
  <c r="AB1994" i="23"/>
  <c r="AC1994" i="23" a="1"/>
  <c r="AC1994" i="23" s="1"/>
  <c r="AD1994" i="23"/>
  <c r="AE1994" i="23"/>
  <c r="AF1994" i="23" a="1"/>
  <c r="AF1994" i="23" s="1"/>
  <c r="X1995" i="23"/>
  <c r="Y1995" i="23"/>
  <c r="Z1995" i="23"/>
  <c r="AA1995" i="23" a="1"/>
  <c r="AA1995" i="23"/>
  <c r="AB1995" i="23"/>
  <c r="AC1995" i="23" a="1"/>
  <c r="AC1995" i="23" s="1"/>
  <c r="AD1995" i="23"/>
  <c r="AE1995" i="23"/>
  <c r="AF1995" i="23" a="1"/>
  <c r="AF1995" i="23" s="1"/>
  <c r="X1996" i="23"/>
  <c r="Y1996" i="23"/>
  <c r="Z1996" i="23"/>
  <c r="AA1996" i="23" a="1"/>
  <c r="AA1996" i="23" s="1"/>
  <c r="AB1996" i="23"/>
  <c r="AC1996" i="23" a="1"/>
  <c r="AC1996" i="23" s="1"/>
  <c r="AD1996" i="23"/>
  <c r="AE1996" i="23"/>
  <c r="AF1996" i="23" a="1"/>
  <c r="AF1996" i="23" s="1"/>
  <c r="X1997" i="23"/>
  <c r="Y1997" i="23"/>
  <c r="Z1997" i="23"/>
  <c r="AA1997" i="23" a="1"/>
  <c r="AA1997" i="23"/>
  <c r="AB1997" i="23"/>
  <c r="AC1997" i="23" a="1"/>
  <c r="AC1997" i="23" s="1"/>
  <c r="AD1997" i="23"/>
  <c r="AE1997" i="23"/>
  <c r="AF1997" i="23" a="1"/>
  <c r="AF1997" i="23" s="1"/>
  <c r="X1998" i="23"/>
  <c r="Y1998" i="23"/>
  <c r="Z1998" i="23"/>
  <c r="AA1998" i="23" a="1"/>
  <c r="AA1998" i="23" s="1"/>
  <c r="AB1998" i="23"/>
  <c r="AC1998" i="23" a="1"/>
  <c r="AC1998" i="23" s="1"/>
  <c r="AD1998" i="23"/>
  <c r="AE1998" i="23"/>
  <c r="AF1998" i="23" a="1"/>
  <c r="AF1998" i="23" s="1"/>
  <c r="X1999" i="23"/>
  <c r="Y1999" i="23"/>
  <c r="Z1999" i="23"/>
  <c r="AA1999" i="23" a="1"/>
  <c r="AA1999" i="23"/>
  <c r="AB1999" i="23"/>
  <c r="AC1999" i="23" a="1"/>
  <c r="AC1999" i="23" s="1"/>
  <c r="AD1999" i="23"/>
  <c r="AE1999" i="23"/>
  <c r="AF1999" i="23" a="1"/>
  <c r="AF1999" i="23" s="1"/>
  <c r="X2000" i="23"/>
  <c r="Y2000" i="23"/>
  <c r="Z2000" i="23"/>
  <c r="AA2000" i="23" a="1"/>
  <c r="AA2000" i="23" s="1"/>
  <c r="AB2000" i="23"/>
  <c r="AC2000" i="23" a="1"/>
  <c r="AC2000" i="23" s="1"/>
  <c r="AD2000" i="23"/>
  <c r="AE2000" i="23"/>
  <c r="AF2000" i="23" a="1"/>
  <c r="AF2000" i="23" s="1"/>
  <c r="I6" i="29"/>
  <c r="I7" i="29"/>
  <c r="I5" i="29"/>
  <c r="AF6" i="23" a="1"/>
  <c r="AF5" i="23" a="1"/>
  <c r="AF6" i="23" l="1"/>
  <c r="AF5" i="23"/>
  <c r="AF4" i="23" a="1"/>
  <c r="AF4" i="23" l="1"/>
  <c r="M9" i="41"/>
  <c r="AD4" i="23"/>
  <c r="G9" i="41" l="1"/>
  <c r="N9" i="41"/>
  <c r="E9" i="41" l="1"/>
  <c r="F9" i="41"/>
  <c r="C10" i="29"/>
  <c r="B27" i="37"/>
  <c r="B26" i="37"/>
  <c r="A23" i="37"/>
  <c r="B21" i="37"/>
  <c r="A21" i="37"/>
  <c r="A20" i="37"/>
  <c r="B19" i="37"/>
  <c r="B18" i="37"/>
  <c r="B12" i="37"/>
  <c r="B13" i="37"/>
  <c r="B14" i="37"/>
  <c r="B15" i="37"/>
  <c r="B16" i="37"/>
  <c r="B17" i="37"/>
  <c r="B11" i="37"/>
  <c r="A18" i="37"/>
  <c r="A17" i="37"/>
  <c r="A12" i="37"/>
  <c r="A13" i="37"/>
  <c r="A14" i="37"/>
  <c r="A15" i="37"/>
  <c r="A16" i="37"/>
  <c r="A11" i="37"/>
  <c r="B9" i="37"/>
  <c r="B10" i="37"/>
  <c r="A10" i="37"/>
  <c r="B6" i="37"/>
  <c r="B7" i="37"/>
  <c r="B5" i="37"/>
  <c r="B4" i="37"/>
  <c r="B3" i="37"/>
  <c r="A6" i="37"/>
  <c r="A7" i="37"/>
  <c r="A8" i="37"/>
  <c r="A9" i="37"/>
  <c r="A5" i="37"/>
  <c r="A4" i="37"/>
  <c r="AA4" i="23" a="1"/>
  <c r="AA4" i="23" s="1"/>
  <c r="AE4" i="23"/>
  <c r="M16" i="41" s="1"/>
  <c r="N16" i="41" s="1"/>
  <c r="M15" i="41"/>
  <c r="G15" i="41" s="1"/>
  <c r="AC4" i="23" a="1"/>
  <c r="AC4" i="23" s="1"/>
  <c r="G7" i="41"/>
  <c r="G6" i="41"/>
  <c r="M10" i="41" l="1"/>
  <c r="N10" i="41" s="1"/>
  <c r="N15" i="41"/>
  <c r="G16" i="41"/>
  <c r="B2" i="37"/>
  <c r="G10" i="41" l="1"/>
  <c r="G12" i="41"/>
  <c r="G11" i="41"/>
  <c r="G4" i="41" l="1"/>
  <c r="G2" i="41"/>
  <c r="E2" i="41" s="1"/>
  <c r="AB4" i="23"/>
  <c r="M18" i="41" s="1"/>
  <c r="N18" i="41" s="1"/>
  <c r="Z4" i="23"/>
  <c r="Y4" i="23"/>
  <c r="X4" i="23"/>
  <c r="B2" i="40"/>
  <c r="F4" i="41" l="1"/>
  <c r="F5" i="41"/>
  <c r="F7" i="41"/>
  <c r="F6" i="41"/>
  <c r="F3" i="41"/>
  <c r="F12" i="41"/>
  <c r="F11" i="41"/>
  <c r="M13" i="41"/>
  <c r="N13" i="41" s="1"/>
  <c r="M14" i="41"/>
  <c r="N14" i="41" s="1"/>
  <c r="G18" i="41"/>
  <c r="M17" i="41"/>
  <c r="M8" i="41"/>
  <c r="G8" i="41" s="1"/>
  <c r="F2" i="41"/>
  <c r="G13" i="41" l="1"/>
  <c r="G14" i="41"/>
  <c r="G17" i="41"/>
  <c r="N17" i="41"/>
  <c r="N8" i="41"/>
  <c r="B7" i="35" l="1"/>
  <c r="B12" i="35"/>
  <c r="B42" i="29" l="1"/>
  <c r="B61" i="35" l="1"/>
  <c r="B60" i="35"/>
  <c r="B59" i="35"/>
  <c r="B57" i="35"/>
  <c r="B56" i="35"/>
  <c r="B55" i="35"/>
  <c r="B54" i="35"/>
  <c r="B53" i="35"/>
  <c r="B52" i="35"/>
  <c r="B51" i="35"/>
  <c r="B49" i="35"/>
  <c r="B48" i="35"/>
  <c r="B39" i="35"/>
  <c r="B40" i="35"/>
  <c r="B41" i="35"/>
  <c r="B42" i="35"/>
  <c r="B43" i="35"/>
  <c r="B44" i="35"/>
  <c r="B45" i="35"/>
  <c r="B46" i="35"/>
  <c r="B38" i="35"/>
  <c r="B34" i="35"/>
  <c r="B35" i="35"/>
  <c r="B36" i="35"/>
  <c r="B33" i="35"/>
  <c r="B32" i="35"/>
  <c r="B31" i="35"/>
  <c r="B30" i="35"/>
  <c r="B29" i="35"/>
  <c r="B27" i="35"/>
  <c r="B26" i="35"/>
  <c r="B25" i="35"/>
  <c r="B24" i="35"/>
  <c r="B23" i="35"/>
  <c r="B22" i="35"/>
  <c r="B20" i="35"/>
  <c r="B19" i="35"/>
  <c r="B18" i="35"/>
  <c r="B17" i="35"/>
  <c r="B16" i="35"/>
  <c r="B15" i="35"/>
  <c r="B14" i="35"/>
  <c r="B11" i="35"/>
  <c r="B10" i="35"/>
  <c r="B9" i="35"/>
  <c r="B8" i="35"/>
  <c r="B13" i="35"/>
  <c r="B58" i="35" l="1"/>
  <c r="B312" i="35" s="1"/>
  <c r="B50" i="35"/>
  <c r="B268" i="35" s="1"/>
  <c r="B47" i="35"/>
  <c r="B254" i="35" s="1"/>
  <c r="B37" i="35"/>
  <c r="B210" i="35" s="1"/>
  <c r="B28" i="35"/>
  <c r="B168" i="35" s="1"/>
  <c r="B21" i="35"/>
  <c r="B139" i="35" s="1"/>
  <c r="B75" i="35"/>
  <c r="B100" i="35"/>
  <c r="S38" i="11" l="1"/>
  <c r="X22" i="29" l="1"/>
  <c r="T22" i="29"/>
  <c r="X17" i="29"/>
  <c r="T17" i="29"/>
  <c r="K22" i="29" l="1"/>
  <c r="K22" i="11"/>
  <c r="S39" i="11"/>
  <c r="S61" i="26" l="1"/>
  <c r="S60" i="26"/>
  <c r="S59" i="26"/>
  <c r="S58" i="26"/>
  <c r="S57" i="26"/>
  <c r="S56" i="26"/>
  <c r="S55" i="26"/>
  <c r="S54" i="26"/>
  <c r="S53" i="26"/>
  <c r="S52" i="26"/>
  <c r="S51" i="26"/>
  <c r="S50" i="26"/>
  <c r="S49" i="26"/>
  <c r="S48" i="26"/>
  <c r="S47" i="26"/>
  <c r="S46" i="26"/>
  <c r="S45" i="26"/>
  <c r="S44" i="26"/>
  <c r="S43" i="26"/>
  <c r="S42" i="26"/>
  <c r="S41" i="26"/>
  <c r="S40" i="26"/>
  <c r="S39" i="26"/>
  <c r="S38" i="26"/>
  <c r="S37" i="26"/>
  <c r="S36" i="26"/>
  <c r="S35" i="26"/>
  <c r="S34" i="26"/>
  <c r="S33" i="26"/>
  <c r="S32" i="26"/>
  <c r="S31" i="26"/>
  <c r="S30" i="26"/>
  <c r="S29" i="26"/>
  <c r="S28" i="26"/>
  <c r="S27" i="26"/>
  <c r="S26" i="26"/>
  <c r="S25" i="26"/>
  <c r="S24" i="26"/>
  <c r="S23" i="26"/>
  <c r="S22" i="26"/>
  <c r="S21" i="26"/>
  <c r="S20" i="26"/>
  <c r="S19" i="26"/>
  <c r="S18" i="26"/>
  <c r="S17" i="26"/>
  <c r="S16" i="26"/>
  <c r="S15" i="26"/>
  <c r="S14" i="26"/>
  <c r="S13" i="26"/>
  <c r="S12" i="26"/>
  <c r="S11" i="26"/>
  <c r="S10" i="26"/>
  <c r="S9" i="26"/>
  <c r="S8" i="26"/>
  <c r="S7" i="26"/>
  <c r="X61" i="26"/>
  <c r="X60" i="26"/>
  <c r="X59" i="26"/>
  <c r="X58" i="26"/>
  <c r="X57" i="26"/>
  <c r="X56" i="26"/>
  <c r="X55" i="26"/>
  <c r="X54" i="26"/>
  <c r="X53" i="26"/>
  <c r="X52" i="26"/>
  <c r="X51" i="26"/>
  <c r="X50" i="26"/>
  <c r="X49" i="26"/>
  <c r="X48" i="26"/>
  <c r="X47" i="26"/>
  <c r="X46" i="26"/>
  <c r="X45" i="26"/>
  <c r="X44" i="26"/>
  <c r="X43" i="26"/>
  <c r="X42" i="26"/>
  <c r="X41" i="26"/>
  <c r="X40" i="26"/>
  <c r="X39" i="26"/>
  <c r="X38" i="26"/>
  <c r="X37" i="26"/>
  <c r="X36" i="26"/>
  <c r="X35" i="26"/>
  <c r="X34" i="26"/>
  <c r="X33" i="26"/>
  <c r="X32" i="26"/>
  <c r="X31" i="26"/>
  <c r="X30" i="26"/>
  <c r="X29" i="26"/>
  <c r="X28" i="26"/>
  <c r="X27" i="26"/>
  <c r="X26" i="26"/>
  <c r="X25" i="26"/>
  <c r="X24" i="26"/>
  <c r="X23" i="26"/>
  <c r="X22" i="26"/>
  <c r="X21" i="26"/>
  <c r="X20" i="26"/>
  <c r="X19" i="26"/>
  <c r="X18" i="26"/>
  <c r="X17" i="26"/>
  <c r="X16" i="26"/>
  <c r="X15" i="26"/>
  <c r="X14" i="26"/>
  <c r="X13" i="26"/>
  <c r="X12" i="26"/>
  <c r="X11" i="26"/>
  <c r="X10" i="26"/>
  <c r="X9" i="26"/>
  <c r="X8" i="26"/>
  <c r="X7" i="26"/>
  <c r="AC61" i="26"/>
  <c r="AC60" i="26"/>
  <c r="AC59" i="26"/>
  <c r="AC58" i="26"/>
  <c r="AC57" i="26"/>
  <c r="AC56" i="26"/>
  <c r="AC55" i="26"/>
  <c r="AC54" i="26"/>
  <c r="AC53" i="26"/>
  <c r="AC52" i="26"/>
  <c r="AC51" i="26"/>
  <c r="AC50" i="26"/>
  <c r="AC49" i="26"/>
  <c r="AC48" i="26"/>
  <c r="AC47" i="26"/>
  <c r="AC46" i="26"/>
  <c r="AC45" i="26"/>
  <c r="AC44" i="26"/>
  <c r="AC43" i="26"/>
  <c r="AC42" i="26"/>
  <c r="AC41" i="26"/>
  <c r="AC40" i="26"/>
  <c r="AC39" i="26"/>
  <c r="AC38" i="26"/>
  <c r="AC37" i="26"/>
  <c r="AC36" i="26"/>
  <c r="AC35" i="26"/>
  <c r="AC34" i="26"/>
  <c r="AC33" i="26"/>
  <c r="AC32" i="26"/>
  <c r="AC31" i="26"/>
  <c r="AC30" i="26"/>
  <c r="AC29" i="26"/>
  <c r="AC28" i="26"/>
  <c r="AC27" i="26"/>
  <c r="AC26" i="26"/>
  <c r="AC25" i="26"/>
  <c r="AC24" i="26"/>
  <c r="AC23" i="26"/>
  <c r="AC22" i="26"/>
  <c r="AC21" i="26"/>
  <c r="AC20" i="26"/>
  <c r="AC19" i="26"/>
  <c r="AC18" i="26"/>
  <c r="AC17" i="26"/>
  <c r="AC16" i="26"/>
  <c r="AC15" i="26"/>
  <c r="AC14" i="26"/>
  <c r="AC13" i="26"/>
  <c r="AC12" i="26"/>
  <c r="AC11" i="26"/>
  <c r="AC10" i="26"/>
  <c r="AC9" i="26"/>
  <c r="AC8" i="26"/>
  <c r="AC7" i="26"/>
  <c r="AH61" i="26"/>
  <c r="AH60" i="26"/>
  <c r="AH59" i="26"/>
  <c r="AH58" i="26"/>
  <c r="AH57" i="26"/>
  <c r="AH56" i="26"/>
  <c r="AH55" i="26"/>
  <c r="AH54" i="26"/>
  <c r="AH53" i="26"/>
  <c r="AH52" i="26"/>
  <c r="AH51" i="26"/>
  <c r="AH50" i="26"/>
  <c r="AH49" i="26"/>
  <c r="AH48" i="26"/>
  <c r="AH47" i="26"/>
  <c r="AH46" i="26"/>
  <c r="AH45" i="26"/>
  <c r="AH44" i="26"/>
  <c r="AH43" i="26"/>
  <c r="AH42" i="26"/>
  <c r="AH41" i="26"/>
  <c r="AH40" i="26"/>
  <c r="AH39" i="26"/>
  <c r="AH38" i="26"/>
  <c r="AH37" i="26"/>
  <c r="AH36" i="26"/>
  <c r="AH35" i="26"/>
  <c r="AH34" i="26"/>
  <c r="AH33" i="26"/>
  <c r="AH32" i="26"/>
  <c r="AH31" i="26"/>
  <c r="AH30" i="26"/>
  <c r="AH29" i="26"/>
  <c r="AH28" i="26"/>
  <c r="AH27" i="26"/>
  <c r="AH26" i="26"/>
  <c r="AH25" i="26"/>
  <c r="AH24" i="26"/>
  <c r="AH23" i="26"/>
  <c r="AH22" i="26"/>
  <c r="AH21" i="26"/>
  <c r="AH20" i="26"/>
  <c r="AH19" i="26"/>
  <c r="AH18" i="26"/>
  <c r="AH17" i="26"/>
  <c r="AH16" i="26"/>
  <c r="AH15" i="26"/>
  <c r="AH14" i="26"/>
  <c r="AH13" i="26"/>
  <c r="AH12" i="26"/>
  <c r="AH11" i="26"/>
  <c r="AH10" i="26"/>
  <c r="AH9" i="26"/>
  <c r="AH8" i="26"/>
  <c r="AH7" i="26"/>
  <c r="AM61" i="26"/>
  <c r="AM60" i="26"/>
  <c r="AM59" i="26"/>
  <c r="AM58" i="26"/>
  <c r="AM57" i="26"/>
  <c r="AM56" i="26"/>
  <c r="AM55" i="26"/>
  <c r="AM54" i="26"/>
  <c r="AM53" i="26"/>
  <c r="AM52" i="26"/>
  <c r="AM51" i="26"/>
  <c r="AM50" i="26"/>
  <c r="AM49" i="26"/>
  <c r="AM48" i="26"/>
  <c r="AM47" i="26"/>
  <c r="AM46" i="26"/>
  <c r="AM45" i="26"/>
  <c r="AM44" i="26"/>
  <c r="AM43" i="26"/>
  <c r="AM42" i="26"/>
  <c r="AM41" i="26"/>
  <c r="AM40" i="26"/>
  <c r="AM39" i="26"/>
  <c r="AM38" i="26"/>
  <c r="AM37" i="26"/>
  <c r="AM36" i="26"/>
  <c r="AM35" i="26"/>
  <c r="AM34" i="26"/>
  <c r="AM33" i="26"/>
  <c r="AM32" i="26"/>
  <c r="AM31" i="26"/>
  <c r="AM30" i="26"/>
  <c r="AM29" i="26"/>
  <c r="AM28" i="26"/>
  <c r="AM27" i="26"/>
  <c r="AM26" i="26"/>
  <c r="AM25" i="26"/>
  <c r="AM24" i="26"/>
  <c r="AM23" i="26"/>
  <c r="AM22" i="26"/>
  <c r="AM21" i="26"/>
  <c r="AM20" i="26"/>
  <c r="AM19" i="26"/>
  <c r="AM18" i="26"/>
  <c r="AM17" i="26"/>
  <c r="AM16" i="26"/>
  <c r="AM15" i="26"/>
  <c r="AM14" i="26"/>
  <c r="AM13" i="26"/>
  <c r="AM12" i="26"/>
  <c r="AM11" i="26"/>
  <c r="AM10" i="26"/>
  <c r="AM9" i="26"/>
  <c r="AM8" i="26"/>
  <c r="AM7" i="26"/>
  <c r="AS58" i="26" l="1"/>
  <c r="D48" i="37" s="1"/>
  <c r="AS57" i="26"/>
  <c r="D47" i="37" s="1"/>
  <c r="AS56" i="26"/>
  <c r="D46" i="37" s="1"/>
  <c r="AS55" i="26"/>
  <c r="BD56" i="26" l="1"/>
  <c r="H46" i="37" s="1"/>
  <c r="BD58" i="26"/>
  <c r="H48" i="37" s="1"/>
  <c r="BD57" i="26"/>
  <c r="H47" i="37" s="1"/>
  <c r="BC57" i="26"/>
  <c r="I47" i="37" s="1"/>
  <c r="BB58" i="26"/>
  <c r="E48" i="37" s="1"/>
  <c r="BB57" i="26"/>
  <c r="E47" i="37" s="1"/>
  <c r="BC56" i="26"/>
  <c r="I46" i="37" s="1"/>
  <c r="BB56" i="26"/>
  <c r="E46" i="37" s="1"/>
  <c r="BC58" i="26"/>
  <c r="I48" i="37" s="1"/>
  <c r="AT57" i="26"/>
  <c r="AX56" i="26"/>
  <c r="AX57" i="26"/>
  <c r="AT56" i="26"/>
  <c r="AT58" i="26"/>
  <c r="AX58" i="26"/>
  <c r="AZ58" i="26"/>
  <c r="G48" i="37" s="1"/>
  <c r="AV56" i="26"/>
  <c r="F46" i="37" s="1"/>
  <c r="AZ56" i="26"/>
  <c r="G46" i="37" s="1"/>
  <c r="AV57" i="26"/>
  <c r="F47" i="37" s="1"/>
  <c r="AZ57" i="26"/>
  <c r="G47" i="37" s="1"/>
  <c r="AV58" i="26"/>
  <c r="F48" i="37" s="1"/>
  <c r="O22" i="29"/>
  <c r="G22" i="29"/>
  <c r="O22" i="11"/>
  <c r="G22" i="11"/>
  <c r="AT2" i="26"/>
  <c r="E22" i="29" l="1"/>
  <c r="BA57" i="26"/>
  <c r="BA58" i="26"/>
  <c r="AY58" i="26"/>
  <c r="AW57" i="26"/>
  <c r="AY57" i="26"/>
  <c r="AW58" i="26"/>
  <c r="AW56" i="26"/>
  <c r="AY56" i="26"/>
  <c r="BA56" i="26"/>
  <c r="AU58" i="26"/>
  <c r="AU56" i="26"/>
  <c r="AU57" i="26"/>
  <c r="AS49" i="26" l="1"/>
  <c r="D40" i="37" s="1"/>
  <c r="AS50" i="26"/>
  <c r="D41" i="37" s="1"/>
  <c r="AS51" i="26"/>
  <c r="D42" i="37" s="1"/>
  <c r="AS52" i="26"/>
  <c r="D43" i="37" s="1"/>
  <c r="AS53" i="26"/>
  <c r="D44" i="37" s="1"/>
  <c r="AS54" i="26"/>
  <c r="D45" i="37" s="1"/>
  <c r="AS48" i="26"/>
  <c r="D39" i="37" s="1"/>
  <c r="AS47" i="26"/>
  <c r="AS46" i="26"/>
  <c r="D38" i="37" s="1"/>
  <c r="AS45" i="26"/>
  <c r="D37" i="37" s="1"/>
  <c r="AS44" i="26"/>
  <c r="AS41" i="26"/>
  <c r="D34" i="37" s="1"/>
  <c r="AS42" i="26"/>
  <c r="D35" i="37" s="1"/>
  <c r="AS43" i="26"/>
  <c r="D36" i="37" s="1"/>
  <c r="AS36" i="26"/>
  <c r="D29" i="37" s="1"/>
  <c r="AS37" i="26"/>
  <c r="D30" i="37" s="1"/>
  <c r="AS38" i="26"/>
  <c r="D31" i="37" s="1"/>
  <c r="AS39" i="26"/>
  <c r="D32" i="37" s="1"/>
  <c r="AS40" i="26"/>
  <c r="D33" i="37" s="1"/>
  <c r="AS35" i="26"/>
  <c r="D28" i="37" s="1"/>
  <c r="AS34" i="26"/>
  <c r="AS33" i="26"/>
  <c r="D27" i="37" s="1"/>
  <c r="AS31" i="26"/>
  <c r="D25" i="37" s="1"/>
  <c r="AS32" i="26"/>
  <c r="D26" i="37" s="1"/>
  <c r="AS29" i="26"/>
  <c r="D23" i="37" s="1"/>
  <c r="AS30" i="26"/>
  <c r="D24" i="37" s="1"/>
  <c r="AS27" i="26"/>
  <c r="D21" i="37" s="1"/>
  <c r="AS28" i="26"/>
  <c r="D22" i="37" s="1"/>
  <c r="AS26" i="26"/>
  <c r="D20" i="37" s="1"/>
  <c r="AS25" i="26"/>
  <c r="AS20" i="26"/>
  <c r="D15" i="37" s="1"/>
  <c r="AS21" i="26"/>
  <c r="AS22" i="26"/>
  <c r="D17" i="37" s="1"/>
  <c r="AS23" i="26"/>
  <c r="D18" i="37" s="1"/>
  <c r="AS24" i="26"/>
  <c r="D19" i="37" s="1"/>
  <c r="AS19" i="26"/>
  <c r="D14" i="37" s="1"/>
  <c r="AS18" i="26"/>
  <c r="AS11" i="26"/>
  <c r="D7" i="37" s="1"/>
  <c r="AS12" i="26"/>
  <c r="AS13" i="26"/>
  <c r="AS14" i="26"/>
  <c r="AS15" i="26"/>
  <c r="D11" i="37" s="1"/>
  <c r="AS16" i="26"/>
  <c r="AS17" i="26"/>
  <c r="D13" i="37" s="1"/>
  <c r="AS10" i="26"/>
  <c r="D6" i="37" s="1"/>
  <c r="AS9" i="26"/>
  <c r="AS8" i="26"/>
  <c r="D5" i="37" s="1"/>
  <c r="AS6" i="26"/>
  <c r="D3" i="37" s="1"/>
  <c r="AS7" i="26"/>
  <c r="D4" i="37" s="1"/>
  <c r="AS4" i="26"/>
  <c r="AS5" i="26"/>
  <c r="D2" i="37" s="1"/>
  <c r="BD54" i="26" l="1"/>
  <c r="H45" i="37" s="1"/>
  <c r="BD53" i="26"/>
  <c r="H44" i="37" s="1"/>
  <c r="BD52" i="26"/>
  <c r="H43" i="37" s="1"/>
  <c r="BD51" i="26"/>
  <c r="H42" i="37" s="1"/>
  <c r="BD50" i="26"/>
  <c r="H41" i="37" s="1"/>
  <c r="BD48" i="26"/>
  <c r="H39" i="37" s="1"/>
  <c r="BD49" i="26"/>
  <c r="H40" i="37" s="1"/>
  <c r="BD10" i="26"/>
  <c r="H6" i="37" s="1"/>
  <c r="BD16" i="26"/>
  <c r="H12" i="37" s="1"/>
  <c r="BD13" i="26"/>
  <c r="H9" i="37" s="1"/>
  <c r="BD11" i="26"/>
  <c r="H7" i="37" s="1"/>
  <c r="BD17" i="26"/>
  <c r="H13" i="37" s="1"/>
  <c r="BD15" i="26"/>
  <c r="H11" i="37" s="1"/>
  <c r="BD14" i="26"/>
  <c r="H10" i="37" s="1"/>
  <c r="BD12" i="26"/>
  <c r="H8" i="37" s="1"/>
  <c r="BD19" i="26"/>
  <c r="H14" i="37" s="1"/>
  <c r="BD24" i="26"/>
  <c r="H19" i="37" s="1"/>
  <c r="BD23" i="26"/>
  <c r="H18" i="37" s="1"/>
  <c r="BD22" i="26"/>
  <c r="H17" i="37" s="1"/>
  <c r="BD20" i="26"/>
  <c r="H15" i="37" s="1"/>
  <c r="BD21" i="26"/>
  <c r="H16" i="37" s="1"/>
  <c r="BD37" i="26"/>
  <c r="H30" i="37" s="1"/>
  <c r="BD36" i="26"/>
  <c r="H29" i="37" s="1"/>
  <c r="BD41" i="26"/>
  <c r="H34" i="37" s="1"/>
  <c r="BD43" i="26"/>
  <c r="H36" i="37" s="1"/>
  <c r="BD35" i="26"/>
  <c r="H28" i="37" s="1"/>
  <c r="BD42" i="26"/>
  <c r="H35" i="37" s="1"/>
  <c r="BD40" i="26"/>
  <c r="H33" i="37" s="1"/>
  <c r="BD38" i="26"/>
  <c r="H31" i="37" s="1"/>
  <c r="BD39" i="26"/>
  <c r="H32" i="37" s="1"/>
  <c r="BD28" i="26"/>
  <c r="H22" i="37" s="1"/>
  <c r="BD27" i="26"/>
  <c r="H21" i="37" s="1"/>
  <c r="BD31" i="26"/>
  <c r="H25" i="37" s="1"/>
  <c r="BD26" i="26"/>
  <c r="H20" i="37" s="1"/>
  <c r="BD33" i="26"/>
  <c r="H27" i="37" s="1"/>
  <c r="BD30" i="26"/>
  <c r="H24" i="37" s="1"/>
  <c r="BD29" i="26"/>
  <c r="H23" i="37" s="1"/>
  <c r="BD32" i="26"/>
  <c r="H26" i="37" s="1"/>
  <c r="BD46" i="26"/>
  <c r="H38" i="37" s="1"/>
  <c r="BD45" i="26"/>
  <c r="H37" i="37" s="1"/>
  <c r="BD5" i="26"/>
  <c r="H2" i="37" s="1"/>
  <c r="BD7" i="26"/>
  <c r="H4" i="37" s="1"/>
  <c r="BD8" i="26"/>
  <c r="H5" i="37" s="1"/>
  <c r="BD6" i="26"/>
  <c r="H3" i="37" s="1"/>
  <c r="AX12" i="26"/>
  <c r="AY12" i="26" s="1"/>
  <c r="D8" i="37"/>
  <c r="BC17" i="26"/>
  <c r="I13" i="37" s="1"/>
  <c r="BC13" i="26"/>
  <c r="I9" i="37" s="1"/>
  <c r="BB10" i="26"/>
  <c r="E6" i="37" s="1"/>
  <c r="BB17" i="26"/>
  <c r="E13" i="37" s="1"/>
  <c r="BC16" i="26"/>
  <c r="I12" i="37" s="1"/>
  <c r="BC12" i="26"/>
  <c r="I8" i="37" s="1"/>
  <c r="BB16" i="26"/>
  <c r="E12" i="37" s="1"/>
  <c r="BB15" i="26"/>
  <c r="E11" i="37" s="1"/>
  <c r="BC15" i="26"/>
  <c r="I11" i="37" s="1"/>
  <c r="BC11" i="26"/>
  <c r="I7" i="37" s="1"/>
  <c r="BB14" i="26"/>
  <c r="E10" i="37" s="1"/>
  <c r="BB13" i="26"/>
  <c r="E9" i="37" s="1"/>
  <c r="BC14" i="26"/>
  <c r="I10" i="37" s="1"/>
  <c r="BC10" i="26"/>
  <c r="I6" i="37" s="1"/>
  <c r="BB12" i="26"/>
  <c r="E8" i="37" s="1"/>
  <c r="BB11" i="26"/>
  <c r="E7" i="37" s="1"/>
  <c r="BC31" i="26"/>
  <c r="I25" i="37" s="1"/>
  <c r="BC27" i="26"/>
  <c r="I21" i="37" s="1"/>
  <c r="BB28" i="26"/>
  <c r="E22" i="37" s="1"/>
  <c r="BB27" i="26"/>
  <c r="E21" i="37" s="1"/>
  <c r="BC30" i="26"/>
  <c r="I24" i="37" s="1"/>
  <c r="BC26" i="26"/>
  <c r="I20" i="37" s="1"/>
  <c r="BB26" i="26"/>
  <c r="E20" i="37" s="1"/>
  <c r="BB33" i="26"/>
  <c r="E27" i="37" s="1"/>
  <c r="BC33" i="26"/>
  <c r="I27" i="37" s="1"/>
  <c r="BC29" i="26"/>
  <c r="I23" i="37" s="1"/>
  <c r="BB32" i="26"/>
  <c r="E26" i="37" s="1"/>
  <c r="BB31" i="26"/>
  <c r="E25" i="37" s="1"/>
  <c r="BC32" i="26"/>
  <c r="I26" i="37" s="1"/>
  <c r="BC28" i="26"/>
  <c r="I22" i="37" s="1"/>
  <c r="BB30" i="26"/>
  <c r="E24" i="37" s="1"/>
  <c r="BB29" i="26"/>
  <c r="E23" i="37" s="1"/>
  <c r="BC22" i="26"/>
  <c r="I17" i="37" s="1"/>
  <c r="BB19" i="26"/>
  <c r="E14" i="37" s="1"/>
  <c r="BC21" i="26"/>
  <c r="I16" i="37" s="1"/>
  <c r="BB24" i="26"/>
  <c r="E19" i="37" s="1"/>
  <c r="BC24" i="26"/>
  <c r="I19" i="37" s="1"/>
  <c r="BC20" i="26"/>
  <c r="I15" i="37" s="1"/>
  <c r="BB23" i="26"/>
  <c r="E18" i="37" s="1"/>
  <c r="BB22" i="26"/>
  <c r="E17" i="37" s="1"/>
  <c r="BC23" i="26"/>
  <c r="I18" i="37" s="1"/>
  <c r="BC19" i="26"/>
  <c r="I14" i="37" s="1"/>
  <c r="BB21" i="26"/>
  <c r="E16" i="37" s="1"/>
  <c r="BB20" i="26"/>
  <c r="E15" i="37" s="1"/>
  <c r="BC40" i="26"/>
  <c r="I33" i="37" s="1"/>
  <c r="BC36" i="26"/>
  <c r="I29" i="37" s="1"/>
  <c r="BB37" i="26"/>
  <c r="E30" i="37" s="1"/>
  <c r="BB36" i="26"/>
  <c r="E29" i="37" s="1"/>
  <c r="BC43" i="26"/>
  <c r="I36" i="37" s="1"/>
  <c r="BC39" i="26"/>
  <c r="I32" i="37" s="1"/>
  <c r="BC35" i="26"/>
  <c r="I28" i="37" s="1"/>
  <c r="BB43" i="26"/>
  <c r="E36" i="37" s="1"/>
  <c r="BB35" i="26"/>
  <c r="E28" i="37" s="1"/>
  <c r="BB42" i="26"/>
  <c r="E35" i="37" s="1"/>
  <c r="BC42" i="26"/>
  <c r="I35" i="37" s="1"/>
  <c r="BC38" i="26"/>
  <c r="I31" i="37" s="1"/>
  <c r="BB41" i="26"/>
  <c r="E34" i="37" s="1"/>
  <c r="BB40" i="26"/>
  <c r="E33" i="37" s="1"/>
  <c r="BC41" i="26"/>
  <c r="I34" i="37" s="1"/>
  <c r="BC37" i="26"/>
  <c r="I30" i="37" s="1"/>
  <c r="BB39" i="26"/>
  <c r="E32" i="37" s="1"/>
  <c r="BB38" i="26"/>
  <c r="E31" i="37" s="1"/>
  <c r="BC52" i="26"/>
  <c r="I43" i="37" s="1"/>
  <c r="BC48" i="26"/>
  <c r="I39" i="37" s="1"/>
  <c r="BB49" i="26"/>
  <c r="E40" i="37" s="1"/>
  <c r="BB48" i="26"/>
  <c r="E39" i="37" s="1"/>
  <c r="BC51" i="26"/>
  <c r="I42" i="37" s="1"/>
  <c r="BB54" i="26"/>
  <c r="E45" i="37" s="1"/>
  <c r="BC54" i="26"/>
  <c r="I45" i="37" s="1"/>
  <c r="BC50" i="26"/>
  <c r="I41" i="37" s="1"/>
  <c r="BB53" i="26"/>
  <c r="E44" i="37" s="1"/>
  <c r="BB52" i="26"/>
  <c r="E43" i="37" s="1"/>
  <c r="BC53" i="26"/>
  <c r="I44" i="37" s="1"/>
  <c r="BC49" i="26"/>
  <c r="I40" i="37" s="1"/>
  <c r="BB51" i="26"/>
  <c r="E42" i="37" s="1"/>
  <c r="BB50" i="26"/>
  <c r="E41" i="37" s="1"/>
  <c r="AX21" i="26"/>
  <c r="AY21" i="26" s="1"/>
  <c r="D16" i="37"/>
  <c r="AX16" i="26"/>
  <c r="AY16" i="26" s="1"/>
  <c r="D12" i="37"/>
  <c r="AX13" i="26"/>
  <c r="AY13" i="26" s="1"/>
  <c r="D9" i="37"/>
  <c r="BC8" i="26"/>
  <c r="I5" i="37" s="1"/>
  <c r="BC7" i="26"/>
  <c r="I4" i="37" s="1"/>
  <c r="BB7" i="26"/>
  <c r="E4" i="37" s="1"/>
  <c r="BB8" i="26"/>
  <c r="E5" i="37" s="1"/>
  <c r="BC6" i="26"/>
  <c r="I3" i="37" s="1"/>
  <c r="BB5" i="26"/>
  <c r="E2" i="37" s="1"/>
  <c r="BC5" i="26"/>
  <c r="I2" i="37" s="1"/>
  <c r="BB6" i="26"/>
  <c r="E3" i="37" s="1"/>
  <c r="AX14" i="26"/>
  <c r="AY14" i="26" s="1"/>
  <c r="D10" i="37"/>
  <c r="BB46" i="26"/>
  <c r="E38" i="37" s="1"/>
  <c r="BB45" i="26"/>
  <c r="E37" i="37" s="1"/>
  <c r="BC46" i="26"/>
  <c r="I38" i="37" s="1"/>
  <c r="BC45" i="26"/>
  <c r="I37" i="37" s="1"/>
  <c r="AX17" i="26"/>
  <c r="AY17" i="26" s="1"/>
  <c r="AX15" i="26"/>
  <c r="AY15" i="26" s="1"/>
  <c r="AX20" i="26"/>
  <c r="AY20" i="26" s="1"/>
  <c r="AX19" i="26"/>
  <c r="AY19" i="26" s="1"/>
  <c r="AX23" i="26"/>
  <c r="AY23" i="26" s="1"/>
  <c r="AX22" i="26"/>
  <c r="AY22" i="26" s="1"/>
  <c r="AX31" i="26"/>
  <c r="AY31" i="26" s="1"/>
  <c r="AX10" i="26"/>
  <c r="AY10" i="26" s="1"/>
  <c r="AX45" i="26"/>
  <c r="AY45" i="26" s="1"/>
  <c r="AX29" i="26"/>
  <c r="AY29" i="26" s="1"/>
  <c r="AX36" i="26"/>
  <c r="AY36" i="26" s="1"/>
  <c r="AX48" i="26"/>
  <c r="AY48" i="26" s="1"/>
  <c r="AZ17" i="26"/>
  <c r="AV10" i="26"/>
  <c r="F6" i="37" s="1"/>
  <c r="AZ13" i="26"/>
  <c r="AV14" i="26"/>
  <c r="F10" i="37" s="1"/>
  <c r="AZ14" i="26"/>
  <c r="AZ10" i="26"/>
  <c r="AV11" i="26"/>
  <c r="F7" i="37" s="1"/>
  <c r="AZ12" i="26"/>
  <c r="AV13" i="26"/>
  <c r="F9" i="37" s="1"/>
  <c r="AZ11" i="26"/>
  <c r="AV12" i="26"/>
  <c r="F8" i="37" s="1"/>
  <c r="AZ15" i="26"/>
  <c r="AV16" i="26"/>
  <c r="F12" i="37" s="1"/>
  <c r="AZ16" i="26"/>
  <c r="AV17" i="26"/>
  <c r="F13" i="37" s="1"/>
  <c r="AV15" i="26"/>
  <c r="F11" i="37" s="1"/>
  <c r="AX11" i="26"/>
  <c r="AY11" i="26" s="1"/>
  <c r="AX33" i="26"/>
  <c r="AY33" i="26" s="1"/>
  <c r="AZ31" i="26"/>
  <c r="AV32" i="26"/>
  <c r="F26" i="37" s="1"/>
  <c r="AV27" i="26"/>
  <c r="F21" i="37" s="1"/>
  <c r="AZ28" i="26"/>
  <c r="G22" i="37" s="1"/>
  <c r="AZ32" i="26"/>
  <c r="G26" i="37" s="1"/>
  <c r="AV33" i="26"/>
  <c r="F27" i="37" s="1"/>
  <c r="AZ27" i="26"/>
  <c r="G21" i="37" s="1"/>
  <c r="AV28" i="26"/>
  <c r="F22" i="37" s="1"/>
  <c r="AV29" i="26"/>
  <c r="F23" i="37" s="1"/>
  <c r="AZ33" i="26"/>
  <c r="AV26" i="26"/>
  <c r="F20" i="37" s="1"/>
  <c r="AZ26" i="26"/>
  <c r="G20" i="37" s="1"/>
  <c r="AZ29" i="26"/>
  <c r="AV30" i="26"/>
  <c r="F24" i="37" s="1"/>
  <c r="AZ30" i="26"/>
  <c r="G24" i="37" s="1"/>
  <c r="AV31" i="26"/>
  <c r="F25" i="37" s="1"/>
  <c r="AZ7" i="26"/>
  <c r="G4" i="37" s="1"/>
  <c r="AV8" i="26"/>
  <c r="F5" i="37" s="1"/>
  <c r="AV6" i="26"/>
  <c r="F3" i="37" s="1"/>
  <c r="AZ8" i="26"/>
  <c r="G5" i="37" s="1"/>
  <c r="AV5" i="26"/>
  <c r="F2" i="37" s="1"/>
  <c r="AZ6" i="26"/>
  <c r="G3" i="37" s="1"/>
  <c r="AV7" i="26"/>
  <c r="F4" i="37" s="1"/>
  <c r="AZ5" i="26"/>
  <c r="G2" i="37" s="1"/>
  <c r="AX5" i="26"/>
  <c r="AZ24" i="26"/>
  <c r="AV19" i="26"/>
  <c r="F14" i="37" s="1"/>
  <c r="AZ19" i="26"/>
  <c r="AZ21" i="26"/>
  <c r="AV20" i="26"/>
  <c r="F15" i="37" s="1"/>
  <c r="AZ20" i="26"/>
  <c r="AV21" i="26"/>
  <c r="F16" i="37" s="1"/>
  <c r="AV22" i="26"/>
  <c r="F17" i="37" s="1"/>
  <c r="AZ22" i="26"/>
  <c r="AV23" i="26"/>
  <c r="F18" i="37" s="1"/>
  <c r="AZ23" i="26"/>
  <c r="AV24" i="26"/>
  <c r="F19" i="37" s="1"/>
  <c r="AZ41" i="26"/>
  <c r="AV42" i="26"/>
  <c r="F35" i="37" s="1"/>
  <c r="AZ35" i="26"/>
  <c r="AZ37" i="26"/>
  <c r="G30" i="37" s="1"/>
  <c r="AV38" i="26"/>
  <c r="F31" i="37" s="1"/>
  <c r="AV39" i="26"/>
  <c r="F32" i="37" s="1"/>
  <c r="AZ42" i="26"/>
  <c r="AV43" i="26"/>
  <c r="F36" i="37" s="1"/>
  <c r="AZ36" i="26"/>
  <c r="AV37" i="26"/>
  <c r="F30" i="37" s="1"/>
  <c r="AZ38" i="26"/>
  <c r="G31" i="37" s="1"/>
  <c r="AZ43" i="26"/>
  <c r="G36" i="37" s="1"/>
  <c r="AV36" i="26"/>
  <c r="F29" i="37" s="1"/>
  <c r="AV35" i="26"/>
  <c r="F28" i="37" s="1"/>
  <c r="AZ39" i="26"/>
  <c r="G32" i="37" s="1"/>
  <c r="AV40" i="26"/>
  <c r="F33" i="37" s="1"/>
  <c r="AZ40" i="26"/>
  <c r="AV41" i="26"/>
  <c r="F34" i="37" s="1"/>
  <c r="AX53" i="26"/>
  <c r="AY53" i="26" s="1"/>
  <c r="AX35" i="26"/>
  <c r="AY35" i="26" s="1"/>
  <c r="AX41" i="26"/>
  <c r="AY41" i="26" s="1"/>
  <c r="AX24" i="26"/>
  <c r="AY24" i="26" s="1"/>
  <c r="AX46" i="26"/>
  <c r="AY46" i="26" s="1"/>
  <c r="AV46" i="26"/>
  <c r="F38" i="37" s="1"/>
  <c r="AZ46" i="26"/>
  <c r="AV45" i="26"/>
  <c r="F37" i="37" s="1"/>
  <c r="AZ45" i="26"/>
  <c r="AX54" i="26"/>
  <c r="AY54" i="26" s="1"/>
  <c r="AZ48" i="26"/>
  <c r="AV49" i="26"/>
  <c r="F40" i="37" s="1"/>
  <c r="AZ49" i="26"/>
  <c r="G40" i="37" s="1"/>
  <c r="AV50" i="26"/>
  <c r="F41" i="37" s="1"/>
  <c r="AZ50" i="26"/>
  <c r="G41" i="37" s="1"/>
  <c r="AV51" i="26"/>
  <c r="F42" i="37" s="1"/>
  <c r="AZ51" i="26"/>
  <c r="G42" i="37" s="1"/>
  <c r="AV52" i="26"/>
  <c r="F43" i="37" s="1"/>
  <c r="AZ52" i="26"/>
  <c r="AZ53" i="26"/>
  <c r="AV54" i="26"/>
  <c r="F45" i="37" s="1"/>
  <c r="AZ54" i="26"/>
  <c r="AV48" i="26"/>
  <c r="F39" i="37" s="1"/>
  <c r="AV53" i="26"/>
  <c r="F44" i="37" s="1"/>
  <c r="AX52" i="26"/>
  <c r="AY52" i="26" s="1"/>
  <c r="AX51" i="26"/>
  <c r="AX50" i="26"/>
  <c r="AX49" i="26"/>
  <c r="AX43" i="26"/>
  <c r="AX42" i="26"/>
  <c r="AY42" i="26" s="1"/>
  <c r="AX40" i="26"/>
  <c r="AY40" i="26" s="1"/>
  <c r="AX39" i="26"/>
  <c r="AY39" i="26" s="1"/>
  <c r="AX38" i="26"/>
  <c r="AX37" i="26"/>
  <c r="AX26" i="26"/>
  <c r="AX28" i="26"/>
  <c r="AY28" i="26" s="1"/>
  <c r="AX27" i="26"/>
  <c r="AX30" i="26"/>
  <c r="AX32" i="26"/>
  <c r="AY32" i="26" s="1"/>
  <c r="AX6" i="26"/>
  <c r="AX7" i="26"/>
  <c r="AX8" i="26"/>
  <c r="AT6" i="26"/>
  <c r="AU6" i="26" s="1"/>
  <c r="AT7" i="26"/>
  <c r="AU7" i="26" s="1"/>
  <c r="AT5" i="26"/>
  <c r="AT8" i="26"/>
  <c r="AU8" i="26" s="1"/>
  <c r="AT53" i="26"/>
  <c r="AU53" i="26" s="1"/>
  <c r="AT51" i="26"/>
  <c r="AU51" i="26" s="1"/>
  <c r="AT54" i="26"/>
  <c r="AU54" i="26" s="1"/>
  <c r="AT48" i="26"/>
  <c r="AU48" i="26" s="1"/>
  <c r="AT49" i="26"/>
  <c r="AU49" i="26" s="1"/>
  <c r="AT50" i="26"/>
  <c r="AU50" i="26" s="1"/>
  <c r="AT52" i="26"/>
  <c r="AU52" i="26" s="1"/>
  <c r="AT46" i="26"/>
  <c r="AU46" i="26" s="1"/>
  <c r="AT45" i="26"/>
  <c r="AU45" i="26" s="1"/>
  <c r="AT15" i="26"/>
  <c r="AU15" i="26" s="1"/>
  <c r="AT16" i="26"/>
  <c r="AU16" i="26" s="1"/>
  <c r="AT13" i="26"/>
  <c r="AU13" i="26" s="1"/>
  <c r="AT17" i="26"/>
  <c r="AU17" i="26" s="1"/>
  <c r="AT10" i="26"/>
  <c r="AU10" i="26" s="1"/>
  <c r="AT11" i="26"/>
  <c r="AU11" i="26" s="1"/>
  <c r="AT12" i="26"/>
  <c r="AU12" i="26" s="1"/>
  <c r="AT14" i="26"/>
  <c r="AU14" i="26" s="1"/>
  <c r="AT29" i="26"/>
  <c r="AU29" i="26" s="1"/>
  <c r="AT30" i="26"/>
  <c r="AU30" i="26" s="1"/>
  <c r="AT31" i="26"/>
  <c r="AU31" i="26" s="1"/>
  <c r="AT27" i="26"/>
  <c r="AU27" i="26" s="1"/>
  <c r="AT32" i="26"/>
  <c r="AU32" i="26" s="1"/>
  <c r="AT33" i="26"/>
  <c r="AU33" i="26" s="1"/>
  <c r="AT26" i="26"/>
  <c r="AU26" i="26" s="1"/>
  <c r="AT28" i="26"/>
  <c r="AU28" i="26" s="1"/>
  <c r="AT22" i="26"/>
  <c r="AU22" i="26" s="1"/>
  <c r="AT23" i="26"/>
  <c r="AU23" i="26" s="1"/>
  <c r="AT24" i="26"/>
  <c r="AU24" i="26" s="1"/>
  <c r="AT19" i="26"/>
  <c r="AU19" i="26" s="1"/>
  <c r="AT20" i="26"/>
  <c r="AU20" i="26" s="1"/>
  <c r="AT21" i="26"/>
  <c r="AU21" i="26" s="1"/>
  <c r="AT39" i="26"/>
  <c r="AU39" i="26" s="1"/>
  <c r="AT40" i="26"/>
  <c r="AU40" i="26" s="1"/>
  <c r="AT41" i="26"/>
  <c r="AU41" i="26" s="1"/>
  <c r="AT42" i="26"/>
  <c r="AU42" i="26" s="1"/>
  <c r="AT43" i="26"/>
  <c r="AU43" i="26" s="1"/>
  <c r="AT36" i="26"/>
  <c r="AU36" i="26" s="1"/>
  <c r="AT35" i="26"/>
  <c r="AU35" i="26" s="1"/>
  <c r="AT37" i="26"/>
  <c r="AU37" i="26" s="1"/>
  <c r="AT38" i="26"/>
  <c r="AU38" i="26" s="1"/>
  <c r="S10" i="11"/>
  <c r="BA48" i="26" l="1"/>
  <c r="G39" i="37"/>
  <c r="BA20" i="26"/>
  <c r="G15" i="37"/>
  <c r="BA17" i="26"/>
  <c r="G13" i="37"/>
  <c r="BA46" i="26"/>
  <c r="G38" i="37"/>
  <c r="BA40" i="26"/>
  <c r="G33" i="37"/>
  <c r="BA36" i="26"/>
  <c r="G29" i="37"/>
  <c r="BA41" i="26"/>
  <c r="G34" i="37"/>
  <c r="BA12" i="26"/>
  <c r="G8" i="37"/>
  <c r="BA52" i="26"/>
  <c r="G43" i="37"/>
  <c r="BA54" i="26"/>
  <c r="G45" i="37"/>
  <c r="BA21" i="26"/>
  <c r="G16" i="37"/>
  <c r="BA29" i="26"/>
  <c r="G23" i="37"/>
  <c r="BA42" i="26"/>
  <c r="G35" i="37"/>
  <c r="BA23" i="26"/>
  <c r="G18" i="37"/>
  <c r="BA19" i="26"/>
  <c r="G14" i="37"/>
  <c r="BA16" i="26"/>
  <c r="G12" i="37"/>
  <c r="BA10" i="26"/>
  <c r="G6" i="37"/>
  <c r="BA53" i="26"/>
  <c r="G44" i="37"/>
  <c r="BA14" i="26"/>
  <c r="G10" i="37"/>
  <c r="BA33" i="26"/>
  <c r="G27" i="37"/>
  <c r="BA15" i="26"/>
  <c r="G11" i="37"/>
  <c r="BA22" i="26"/>
  <c r="G17" i="37"/>
  <c r="BA24" i="26"/>
  <c r="G19" i="37"/>
  <c r="BA31" i="26"/>
  <c r="G25" i="37"/>
  <c r="BA13" i="26"/>
  <c r="G9" i="37"/>
  <c r="BA45" i="26"/>
  <c r="G37" i="37"/>
  <c r="BA35" i="26"/>
  <c r="G28" i="37"/>
  <c r="BA11" i="26"/>
  <c r="G7" i="37"/>
  <c r="BA49" i="26"/>
  <c r="BA26" i="26"/>
  <c r="BA50" i="26"/>
  <c r="BA38" i="26"/>
  <c r="BA27" i="26"/>
  <c r="BA51" i="26"/>
  <c r="BA30" i="26"/>
  <c r="BA43" i="26"/>
  <c r="BA37" i="26"/>
  <c r="B4" i="40"/>
  <c r="AY27" i="26"/>
  <c r="AY37" i="26"/>
  <c r="BA39" i="26"/>
  <c r="AY49" i="26"/>
  <c r="BA28" i="26"/>
  <c r="AY43" i="26"/>
  <c r="AY50" i="26"/>
  <c r="AU5" i="26"/>
  <c r="K20" i="11"/>
  <c r="AY51" i="26"/>
  <c r="AY38" i="26"/>
  <c r="AY26" i="26"/>
  <c r="AY30" i="26"/>
  <c r="BA32" i="26"/>
  <c r="K17" i="11"/>
  <c r="K16" i="11"/>
  <c r="BA5" i="26"/>
  <c r="AY5" i="26"/>
  <c r="BA8" i="26"/>
  <c r="AY8" i="26"/>
  <c r="AY7" i="26"/>
  <c r="BA7" i="26"/>
  <c r="AY6" i="26"/>
  <c r="BA6" i="26"/>
  <c r="AW24" i="26"/>
  <c r="AW31" i="26"/>
  <c r="AW13" i="26"/>
  <c r="AW48" i="26"/>
  <c r="AW19" i="26"/>
  <c r="AW42" i="26"/>
  <c r="AW23" i="26"/>
  <c r="AW30" i="26"/>
  <c r="AW16" i="26"/>
  <c r="AW54" i="26"/>
  <c r="AW43" i="26"/>
  <c r="AW41" i="26"/>
  <c r="AW22" i="26"/>
  <c r="AW29" i="26"/>
  <c r="AW15" i="26"/>
  <c r="AW51" i="26"/>
  <c r="AW36" i="26"/>
  <c r="AW40" i="26"/>
  <c r="AW28" i="26"/>
  <c r="AW14" i="26"/>
  <c r="AW45" i="26"/>
  <c r="AW53" i="26"/>
  <c r="AW39" i="26"/>
  <c r="AW26" i="26"/>
  <c r="AW12" i="26"/>
  <c r="AW46" i="26"/>
  <c r="AW8" i="26"/>
  <c r="AW37" i="26"/>
  <c r="AW21" i="26"/>
  <c r="AW33" i="26"/>
  <c r="AW11" i="26"/>
  <c r="AW52" i="26"/>
  <c r="AW35" i="26"/>
  <c r="AW20" i="26"/>
  <c r="AW32" i="26"/>
  <c r="AW10" i="26"/>
  <c r="AW50" i="26"/>
  <c r="AW7" i="26"/>
  <c r="AW38" i="26"/>
  <c r="AW27" i="26"/>
  <c r="AW17" i="26"/>
  <c r="AW49" i="26"/>
  <c r="AW6" i="26"/>
  <c r="Q14" i="29"/>
  <c r="K20" i="29" l="1"/>
  <c r="K17" i="29"/>
  <c r="K16" i="29"/>
  <c r="K21" i="29"/>
  <c r="K19" i="29"/>
  <c r="K18" i="11"/>
  <c r="K21" i="11"/>
  <c r="K18" i="29"/>
  <c r="K19" i="11"/>
  <c r="K15" i="11"/>
  <c r="K15" i="29"/>
  <c r="E15" i="29"/>
  <c r="AW5" i="26"/>
  <c r="G15" i="29" s="1"/>
  <c r="G15" i="11"/>
  <c r="G19" i="11"/>
  <c r="G16" i="11"/>
  <c r="G20" i="11"/>
  <c r="E16" i="29"/>
  <c r="G16" i="29"/>
  <c r="E20" i="29"/>
  <c r="G20" i="29"/>
  <c r="E17" i="29"/>
  <c r="G17" i="29"/>
  <c r="G18" i="11"/>
  <c r="G21" i="11"/>
  <c r="E21" i="29"/>
  <c r="G21" i="29"/>
  <c r="E18" i="29"/>
  <c r="G18" i="29"/>
  <c r="E19" i="29"/>
  <c r="G19" i="29"/>
  <c r="G17" i="11"/>
  <c r="B15" i="40" l="1"/>
  <c r="B13" i="40"/>
  <c r="B7" i="40"/>
  <c r="B9" i="40"/>
  <c r="B6" i="40"/>
  <c r="B11" i="40"/>
  <c r="B16" i="40"/>
  <c r="B8" i="40"/>
  <c r="B12" i="40"/>
  <c r="B24" i="40"/>
  <c r="B5" i="40"/>
  <c r="B14" i="40"/>
  <c r="B17" i="40"/>
  <c r="B18" i="40"/>
  <c r="B19" i="40"/>
  <c r="B23" i="40"/>
  <c r="B10" i="40"/>
  <c r="B21" i="40"/>
  <c r="B22" i="40"/>
  <c r="B20" i="40"/>
  <c r="O41" i="29"/>
  <c r="C30" i="11"/>
  <c r="B20" i="37" s="1"/>
  <c r="U5" i="23" l="1"/>
  <c r="U6" i="23"/>
  <c r="U7" i="23"/>
  <c r="U8" i="23"/>
  <c r="U9" i="23"/>
  <c r="U10" i="23"/>
  <c r="U11" i="23"/>
  <c r="U12" i="23"/>
  <c r="U13" i="23"/>
  <c r="U14" i="23"/>
  <c r="U15" i="23"/>
  <c r="U16" i="23"/>
  <c r="U17" i="23"/>
  <c r="U18" i="23"/>
  <c r="U19" i="23"/>
  <c r="U20" i="23"/>
  <c r="U21" i="23"/>
  <c r="U22" i="23"/>
  <c r="U23" i="23"/>
  <c r="U24" i="23"/>
  <c r="U25" i="23"/>
  <c r="U26" i="23"/>
  <c r="U27" i="23"/>
  <c r="U28" i="23"/>
  <c r="U29" i="23"/>
  <c r="U30" i="23"/>
  <c r="U31" i="23"/>
  <c r="U32" i="23"/>
  <c r="U33" i="23"/>
  <c r="U34" i="23"/>
  <c r="U35" i="23"/>
  <c r="U36" i="23"/>
  <c r="U37" i="23"/>
  <c r="U38" i="23"/>
  <c r="U39" i="23"/>
  <c r="U40" i="23"/>
  <c r="U41" i="23"/>
  <c r="U42" i="23"/>
  <c r="U43" i="23"/>
  <c r="U44" i="23"/>
  <c r="U45" i="23"/>
  <c r="U46" i="23"/>
  <c r="U47" i="23"/>
  <c r="U48" i="23"/>
  <c r="U49" i="23"/>
  <c r="U50" i="23"/>
  <c r="U51" i="23"/>
  <c r="U52" i="23"/>
  <c r="U53" i="23"/>
  <c r="U54" i="23"/>
  <c r="U55" i="23"/>
  <c r="U56" i="23"/>
  <c r="U57" i="23"/>
  <c r="U58" i="23"/>
  <c r="U59" i="23"/>
  <c r="U60" i="23"/>
  <c r="U61" i="23"/>
  <c r="U62" i="23"/>
  <c r="U63" i="23"/>
  <c r="U64" i="23"/>
  <c r="U65" i="23"/>
  <c r="U66" i="23"/>
  <c r="U67" i="23"/>
  <c r="U68" i="23"/>
  <c r="U69" i="23"/>
  <c r="U70" i="23"/>
  <c r="U71" i="23"/>
  <c r="U72" i="23"/>
  <c r="U73" i="23"/>
  <c r="U74" i="23"/>
  <c r="U75" i="23"/>
  <c r="U76" i="23"/>
  <c r="U77" i="23"/>
  <c r="U78" i="23"/>
  <c r="U79" i="23"/>
  <c r="U80" i="23"/>
  <c r="U81" i="23"/>
  <c r="U82" i="23"/>
  <c r="U83" i="23"/>
  <c r="U84" i="23"/>
  <c r="U85" i="23"/>
  <c r="U86" i="23"/>
  <c r="U87" i="23"/>
  <c r="U88" i="23"/>
  <c r="U89" i="23"/>
  <c r="U90" i="23"/>
  <c r="U91" i="23"/>
  <c r="U92" i="23"/>
  <c r="U93" i="23"/>
  <c r="U94" i="23"/>
  <c r="U95" i="23"/>
  <c r="U96" i="23"/>
  <c r="U97" i="23"/>
  <c r="U98" i="23"/>
  <c r="U99" i="23"/>
  <c r="U100" i="23"/>
  <c r="U101" i="23"/>
  <c r="U102" i="23"/>
  <c r="U103" i="23"/>
  <c r="U104" i="23"/>
  <c r="U105" i="23"/>
  <c r="U106" i="23"/>
  <c r="U107" i="23"/>
  <c r="U108" i="23"/>
  <c r="U109" i="23"/>
  <c r="U110" i="23"/>
  <c r="U111" i="23"/>
  <c r="U112" i="23"/>
  <c r="U113" i="23"/>
  <c r="U114" i="23"/>
  <c r="U115" i="23"/>
  <c r="U116" i="23"/>
  <c r="U117" i="23"/>
  <c r="U118" i="23"/>
  <c r="U119" i="23"/>
  <c r="U120" i="23"/>
  <c r="U121" i="23"/>
  <c r="U122" i="23"/>
  <c r="U123" i="23"/>
  <c r="U124" i="23"/>
  <c r="U125" i="23"/>
  <c r="U126" i="23"/>
  <c r="U127" i="23"/>
  <c r="U128" i="23"/>
  <c r="U129" i="23"/>
  <c r="U130" i="23"/>
  <c r="U131" i="23"/>
  <c r="U132" i="23"/>
  <c r="U133" i="23"/>
  <c r="U134" i="23"/>
  <c r="U135" i="23"/>
  <c r="U136" i="23"/>
  <c r="U137" i="23"/>
  <c r="U138" i="23"/>
  <c r="U139" i="23"/>
  <c r="U140" i="23"/>
  <c r="U141" i="23"/>
  <c r="U142" i="23"/>
  <c r="U143" i="23"/>
  <c r="U144" i="23"/>
  <c r="U145" i="23"/>
  <c r="U146" i="23"/>
  <c r="U147" i="23"/>
  <c r="U148" i="23"/>
  <c r="U149" i="23"/>
  <c r="U150" i="23"/>
  <c r="U151" i="23"/>
  <c r="U152" i="23"/>
  <c r="U153" i="23"/>
  <c r="U154" i="23"/>
  <c r="U155" i="23"/>
  <c r="U156" i="23"/>
  <c r="U157" i="23"/>
  <c r="U158" i="23"/>
  <c r="U159" i="23"/>
  <c r="U160" i="23"/>
  <c r="U161" i="23"/>
  <c r="U162" i="23"/>
  <c r="U163" i="23"/>
  <c r="U164" i="23"/>
  <c r="U165" i="23"/>
  <c r="U166" i="23"/>
  <c r="U167" i="23"/>
  <c r="U168" i="23"/>
  <c r="U169" i="23"/>
  <c r="U170" i="23"/>
  <c r="U171" i="23"/>
  <c r="U172" i="23"/>
  <c r="U173" i="23"/>
  <c r="U174" i="23"/>
  <c r="U175" i="23"/>
  <c r="U176" i="23"/>
  <c r="U177" i="23"/>
  <c r="U178" i="23"/>
  <c r="U179" i="23"/>
  <c r="U180" i="23"/>
  <c r="U181" i="23"/>
  <c r="U182" i="23"/>
  <c r="U183" i="23"/>
  <c r="U184" i="23"/>
  <c r="U185" i="23"/>
  <c r="U186" i="23"/>
  <c r="U187" i="23"/>
  <c r="U188" i="23"/>
  <c r="U189" i="23"/>
  <c r="U190" i="23"/>
  <c r="U191" i="23"/>
  <c r="U192" i="23"/>
  <c r="U193" i="23"/>
  <c r="U194" i="23"/>
  <c r="U195" i="23"/>
  <c r="U196" i="23"/>
  <c r="U197" i="23"/>
  <c r="U198" i="23"/>
  <c r="U199" i="23"/>
  <c r="U200" i="23"/>
  <c r="U201" i="23"/>
  <c r="U202" i="23"/>
  <c r="U203" i="23"/>
  <c r="U204" i="23"/>
  <c r="U205" i="23"/>
  <c r="U206" i="23"/>
  <c r="U207" i="23"/>
  <c r="U208" i="23"/>
  <c r="U209" i="23"/>
  <c r="U210" i="23"/>
  <c r="U211" i="23"/>
  <c r="U212" i="23"/>
  <c r="U213" i="23"/>
  <c r="U214" i="23"/>
  <c r="U215" i="23"/>
  <c r="U216" i="23"/>
  <c r="U217" i="23"/>
  <c r="U218" i="23"/>
  <c r="U219" i="23"/>
  <c r="U220" i="23"/>
  <c r="U221" i="23"/>
  <c r="U222" i="23"/>
  <c r="U223" i="23"/>
  <c r="U224" i="23"/>
  <c r="U225" i="23"/>
  <c r="U226" i="23"/>
  <c r="U227" i="23"/>
  <c r="U228" i="23"/>
  <c r="U229" i="23"/>
  <c r="U230" i="23"/>
  <c r="U231" i="23"/>
  <c r="U232" i="23"/>
  <c r="U233" i="23"/>
  <c r="U234" i="23"/>
  <c r="U235" i="23"/>
  <c r="U236" i="23"/>
  <c r="U237" i="23"/>
  <c r="U238" i="23"/>
  <c r="U239" i="23"/>
  <c r="U240" i="23"/>
  <c r="U241" i="23"/>
  <c r="U242" i="23"/>
  <c r="U243" i="23"/>
  <c r="U244" i="23"/>
  <c r="U245" i="23"/>
  <c r="U246" i="23"/>
  <c r="U247" i="23"/>
  <c r="U248" i="23"/>
  <c r="U249" i="23"/>
  <c r="U250" i="23"/>
  <c r="U251" i="23"/>
  <c r="U252" i="23"/>
  <c r="U253" i="23"/>
  <c r="U254" i="23"/>
  <c r="U255" i="23"/>
  <c r="U256" i="23"/>
  <c r="U257" i="23"/>
  <c r="U258" i="23"/>
  <c r="U259" i="23"/>
  <c r="U260" i="23"/>
  <c r="U261" i="23"/>
  <c r="U262" i="23"/>
  <c r="U263" i="23"/>
  <c r="U264" i="23"/>
  <c r="U265" i="23"/>
  <c r="U266" i="23"/>
  <c r="U267" i="23"/>
  <c r="U268" i="23"/>
  <c r="U269" i="23"/>
  <c r="U270" i="23"/>
  <c r="U271" i="23"/>
  <c r="U272" i="23"/>
  <c r="U273" i="23"/>
  <c r="U274" i="23"/>
  <c r="U275" i="23"/>
  <c r="U276" i="23"/>
  <c r="U277" i="23"/>
  <c r="U278" i="23"/>
  <c r="U279" i="23"/>
  <c r="U280" i="23"/>
  <c r="U281" i="23"/>
  <c r="U282" i="23"/>
  <c r="U283" i="23"/>
  <c r="U284" i="23"/>
  <c r="U285" i="23"/>
  <c r="U286" i="23"/>
  <c r="U287" i="23"/>
  <c r="U288" i="23"/>
  <c r="U289" i="23"/>
  <c r="U290" i="23"/>
  <c r="U291" i="23"/>
  <c r="U292" i="23"/>
  <c r="U293" i="23"/>
  <c r="U294" i="23"/>
  <c r="U295" i="23"/>
  <c r="U296" i="23"/>
  <c r="U297" i="23"/>
  <c r="U298" i="23"/>
  <c r="U299" i="23"/>
  <c r="U300" i="23"/>
  <c r="U301" i="23"/>
  <c r="U302" i="23"/>
  <c r="U303" i="23"/>
  <c r="U304" i="23"/>
  <c r="U305" i="23"/>
  <c r="U306" i="23"/>
  <c r="U307" i="23"/>
  <c r="U308" i="23"/>
  <c r="U309" i="23"/>
  <c r="U310" i="23"/>
  <c r="U311" i="23"/>
  <c r="U312" i="23"/>
  <c r="U313" i="23"/>
  <c r="U314" i="23"/>
  <c r="U315" i="23"/>
  <c r="U316" i="23"/>
  <c r="U317" i="23"/>
  <c r="U318" i="23"/>
  <c r="U319" i="23"/>
  <c r="U320" i="23"/>
  <c r="U321" i="23"/>
  <c r="U322" i="23"/>
  <c r="U323" i="23"/>
  <c r="U324" i="23"/>
  <c r="U325" i="23"/>
  <c r="U326" i="23"/>
  <c r="U327" i="23"/>
  <c r="U328" i="23"/>
  <c r="U329" i="23"/>
  <c r="U330" i="23"/>
  <c r="U331" i="23"/>
  <c r="U332" i="23"/>
  <c r="U333" i="23"/>
  <c r="U334" i="23"/>
  <c r="U335" i="23"/>
  <c r="U336" i="23"/>
  <c r="U337" i="23"/>
  <c r="U338" i="23"/>
  <c r="U339" i="23"/>
  <c r="U340" i="23"/>
  <c r="U341" i="23"/>
  <c r="U342" i="23"/>
  <c r="U343" i="23"/>
  <c r="U344" i="23"/>
  <c r="U345" i="23"/>
  <c r="U346" i="23"/>
  <c r="U347" i="23"/>
  <c r="U348" i="23"/>
  <c r="U349" i="23"/>
  <c r="U350" i="23"/>
  <c r="U351" i="23"/>
  <c r="U352" i="23"/>
  <c r="U353" i="23"/>
  <c r="U354" i="23"/>
  <c r="U355" i="23"/>
  <c r="U356" i="23"/>
  <c r="U357" i="23"/>
  <c r="U358" i="23"/>
  <c r="U359" i="23"/>
  <c r="U360" i="23"/>
  <c r="U361" i="23"/>
  <c r="U362" i="23"/>
  <c r="U363" i="23"/>
  <c r="U364" i="23"/>
  <c r="U365" i="23"/>
  <c r="U366" i="23"/>
  <c r="U367" i="23"/>
  <c r="U368" i="23"/>
  <c r="U369" i="23"/>
  <c r="U370" i="23"/>
  <c r="U371" i="23"/>
  <c r="U372" i="23"/>
  <c r="U373" i="23"/>
  <c r="U374" i="23"/>
  <c r="U375" i="23"/>
  <c r="U376" i="23"/>
  <c r="U377" i="23"/>
  <c r="U378" i="23"/>
  <c r="U379" i="23"/>
  <c r="U380" i="23"/>
  <c r="U381" i="23"/>
  <c r="U382" i="23"/>
  <c r="U383" i="23"/>
  <c r="U384" i="23"/>
  <c r="U385" i="23"/>
  <c r="U386" i="23"/>
  <c r="U387" i="23"/>
  <c r="U388" i="23"/>
  <c r="U389" i="23"/>
  <c r="U390" i="23"/>
  <c r="U391" i="23"/>
  <c r="U392" i="23"/>
  <c r="U393" i="23"/>
  <c r="U394" i="23"/>
  <c r="U395" i="23"/>
  <c r="U396" i="23"/>
  <c r="U397" i="23"/>
  <c r="U398" i="23"/>
  <c r="U399" i="23"/>
  <c r="U400" i="23"/>
  <c r="U401" i="23"/>
  <c r="U402" i="23"/>
  <c r="U403" i="23"/>
  <c r="U404" i="23"/>
  <c r="U405" i="23"/>
  <c r="U406" i="23"/>
  <c r="U407" i="23"/>
  <c r="U408" i="23"/>
  <c r="U409" i="23"/>
  <c r="U410" i="23"/>
  <c r="U411" i="23"/>
  <c r="U412" i="23"/>
  <c r="U413" i="23"/>
  <c r="U414" i="23"/>
  <c r="U415" i="23"/>
  <c r="U416" i="23"/>
  <c r="U417" i="23"/>
  <c r="U418" i="23"/>
  <c r="U419" i="23"/>
  <c r="U420" i="23"/>
  <c r="U421" i="23"/>
  <c r="U422" i="23"/>
  <c r="U423" i="23"/>
  <c r="U424" i="23"/>
  <c r="U425" i="23"/>
  <c r="U426" i="23"/>
  <c r="U427" i="23"/>
  <c r="U428" i="23"/>
  <c r="U429" i="23"/>
  <c r="U430" i="23"/>
  <c r="U431" i="23"/>
  <c r="U432" i="23"/>
  <c r="U433" i="23"/>
  <c r="U434" i="23"/>
  <c r="U435" i="23"/>
  <c r="U436" i="23"/>
  <c r="U437" i="23"/>
  <c r="U438" i="23"/>
  <c r="U439" i="23"/>
  <c r="U440" i="23"/>
  <c r="U441" i="23"/>
  <c r="U442" i="23"/>
  <c r="U443" i="23"/>
  <c r="U444" i="23"/>
  <c r="U445" i="23"/>
  <c r="U446" i="23"/>
  <c r="U447" i="23"/>
  <c r="U448" i="23"/>
  <c r="U449" i="23"/>
  <c r="U450" i="23"/>
  <c r="U451" i="23"/>
  <c r="U452" i="23"/>
  <c r="U453" i="23"/>
  <c r="U454" i="23"/>
  <c r="U455" i="23"/>
  <c r="U456" i="23"/>
  <c r="U457" i="23"/>
  <c r="U458" i="23"/>
  <c r="U459" i="23"/>
  <c r="U460" i="23"/>
  <c r="U461" i="23"/>
  <c r="U462" i="23"/>
  <c r="U463" i="23"/>
  <c r="U464" i="23"/>
  <c r="U465" i="23"/>
  <c r="U466" i="23"/>
  <c r="U467" i="23"/>
  <c r="U468" i="23"/>
  <c r="U469" i="23"/>
  <c r="U470" i="23"/>
  <c r="U471" i="23"/>
  <c r="U472" i="23"/>
  <c r="U473" i="23"/>
  <c r="U474" i="23"/>
  <c r="U475" i="23"/>
  <c r="U476" i="23"/>
  <c r="U477" i="23"/>
  <c r="U478" i="23"/>
  <c r="U479" i="23"/>
  <c r="U480" i="23"/>
  <c r="U481" i="23"/>
  <c r="U482" i="23"/>
  <c r="U483" i="23"/>
  <c r="U484" i="23"/>
  <c r="U485" i="23"/>
  <c r="U486" i="23"/>
  <c r="U487" i="23"/>
  <c r="U488" i="23"/>
  <c r="U489" i="23"/>
  <c r="U490" i="23"/>
  <c r="U491" i="23"/>
  <c r="U492" i="23"/>
  <c r="U493" i="23"/>
  <c r="U494" i="23"/>
  <c r="U495" i="23"/>
  <c r="U496" i="23"/>
  <c r="U497" i="23"/>
  <c r="U498" i="23"/>
  <c r="U499" i="23"/>
  <c r="U500" i="23"/>
  <c r="U501" i="23"/>
  <c r="U502" i="23"/>
  <c r="U503" i="23"/>
  <c r="U504" i="23"/>
  <c r="U505" i="23"/>
  <c r="U506" i="23"/>
  <c r="U507" i="23"/>
  <c r="U508" i="23"/>
  <c r="U509" i="23"/>
  <c r="U510" i="23"/>
  <c r="U511" i="23"/>
  <c r="U512" i="23"/>
  <c r="U513" i="23"/>
  <c r="U514" i="23"/>
  <c r="U515" i="23"/>
  <c r="U516" i="23"/>
  <c r="U517" i="23"/>
  <c r="U518" i="23"/>
  <c r="U519" i="23"/>
  <c r="U520" i="23"/>
  <c r="U521" i="23"/>
  <c r="U522" i="23"/>
  <c r="U523" i="23"/>
  <c r="U524" i="23"/>
  <c r="U525" i="23"/>
  <c r="U526" i="23"/>
  <c r="U527" i="23"/>
  <c r="U528" i="23"/>
  <c r="U529" i="23"/>
  <c r="U530" i="23"/>
  <c r="U531" i="23"/>
  <c r="U532" i="23"/>
  <c r="U533" i="23"/>
  <c r="U534" i="23"/>
  <c r="U535" i="23"/>
  <c r="U536" i="23"/>
  <c r="U537" i="23"/>
  <c r="U538" i="23"/>
  <c r="U539" i="23"/>
  <c r="U540" i="23"/>
  <c r="U541" i="23"/>
  <c r="U542" i="23"/>
  <c r="U543" i="23"/>
  <c r="U544" i="23"/>
  <c r="U545" i="23"/>
  <c r="U546" i="23"/>
  <c r="U547" i="23"/>
  <c r="U548" i="23"/>
  <c r="U549" i="23"/>
  <c r="U550" i="23"/>
  <c r="U551" i="23"/>
  <c r="U552" i="23"/>
  <c r="U553" i="23"/>
  <c r="U554" i="23"/>
  <c r="U555" i="23"/>
  <c r="U556" i="23"/>
  <c r="U557" i="23"/>
  <c r="U558" i="23"/>
  <c r="U559" i="23"/>
  <c r="U560" i="23"/>
  <c r="U561" i="23"/>
  <c r="U562" i="23"/>
  <c r="U563" i="23"/>
  <c r="U564" i="23"/>
  <c r="U565" i="23"/>
  <c r="U566" i="23"/>
  <c r="U567" i="23"/>
  <c r="U568" i="23"/>
  <c r="U569" i="23"/>
  <c r="U570" i="23"/>
  <c r="U571" i="23"/>
  <c r="U572" i="23"/>
  <c r="U573" i="23"/>
  <c r="U574" i="23"/>
  <c r="U575" i="23"/>
  <c r="U576" i="23"/>
  <c r="U577" i="23"/>
  <c r="U578" i="23"/>
  <c r="U579" i="23"/>
  <c r="U580" i="23"/>
  <c r="U581" i="23"/>
  <c r="U582" i="23"/>
  <c r="U583" i="23"/>
  <c r="U584" i="23"/>
  <c r="U585" i="23"/>
  <c r="U586" i="23"/>
  <c r="U587" i="23"/>
  <c r="U588" i="23"/>
  <c r="U589" i="23"/>
  <c r="U590" i="23"/>
  <c r="U591" i="23"/>
  <c r="U592" i="23"/>
  <c r="U593" i="23"/>
  <c r="U594" i="23"/>
  <c r="U595" i="23"/>
  <c r="U596" i="23"/>
  <c r="U597" i="23"/>
  <c r="U598" i="23"/>
  <c r="U599" i="23"/>
  <c r="U600" i="23"/>
  <c r="U601" i="23"/>
  <c r="U602" i="23"/>
  <c r="U603" i="23"/>
  <c r="U604" i="23"/>
  <c r="U605" i="23"/>
  <c r="U606" i="23"/>
  <c r="U607" i="23"/>
  <c r="U608" i="23"/>
  <c r="U609" i="23"/>
  <c r="U610" i="23"/>
  <c r="U611" i="23"/>
  <c r="U612" i="23"/>
  <c r="U613" i="23"/>
  <c r="U614" i="23"/>
  <c r="U615" i="23"/>
  <c r="U616" i="23"/>
  <c r="U617" i="23"/>
  <c r="U618" i="23"/>
  <c r="U619" i="23"/>
  <c r="U620" i="23"/>
  <c r="U621" i="23"/>
  <c r="U622" i="23"/>
  <c r="U623" i="23"/>
  <c r="U624" i="23"/>
  <c r="U625" i="23"/>
  <c r="U626" i="23"/>
  <c r="U627" i="23"/>
  <c r="U628" i="23"/>
  <c r="U629" i="23"/>
  <c r="U630" i="23"/>
  <c r="U631" i="23"/>
  <c r="U632" i="23"/>
  <c r="U633" i="23"/>
  <c r="U634" i="23"/>
  <c r="U635" i="23"/>
  <c r="U636" i="23"/>
  <c r="U637" i="23"/>
  <c r="U638" i="23"/>
  <c r="U639" i="23"/>
  <c r="U640" i="23"/>
  <c r="U641" i="23"/>
  <c r="U642" i="23"/>
  <c r="U643" i="23"/>
  <c r="U644" i="23"/>
  <c r="U645" i="23"/>
  <c r="U646" i="23"/>
  <c r="U647" i="23"/>
  <c r="U648" i="23"/>
  <c r="U649" i="23"/>
  <c r="U650" i="23"/>
  <c r="U651" i="23"/>
  <c r="U652" i="23"/>
  <c r="U653" i="23"/>
  <c r="U654" i="23"/>
  <c r="U655" i="23"/>
  <c r="U656" i="23"/>
  <c r="U657" i="23"/>
  <c r="U658" i="23"/>
  <c r="U659" i="23"/>
  <c r="U660" i="23"/>
  <c r="U661" i="23"/>
  <c r="U662" i="23"/>
  <c r="U663" i="23"/>
  <c r="U664" i="23"/>
  <c r="U665" i="23"/>
  <c r="U666" i="23"/>
  <c r="U667" i="23"/>
  <c r="U668" i="23"/>
  <c r="U669" i="23"/>
  <c r="U670" i="23"/>
  <c r="U671" i="23"/>
  <c r="U672" i="23"/>
  <c r="U673" i="23"/>
  <c r="U674" i="23"/>
  <c r="U675" i="23"/>
  <c r="U676" i="23"/>
  <c r="U677" i="23"/>
  <c r="U678" i="23"/>
  <c r="U679" i="23"/>
  <c r="U680" i="23"/>
  <c r="U681" i="23"/>
  <c r="U682" i="23"/>
  <c r="U683" i="23"/>
  <c r="U684" i="23"/>
  <c r="U685" i="23"/>
  <c r="U686" i="23"/>
  <c r="U687" i="23"/>
  <c r="U688" i="23"/>
  <c r="U689" i="23"/>
  <c r="U690" i="23"/>
  <c r="U691" i="23"/>
  <c r="U692" i="23"/>
  <c r="U693" i="23"/>
  <c r="U694" i="23"/>
  <c r="U695" i="23"/>
  <c r="U696" i="23"/>
  <c r="U697" i="23"/>
  <c r="U698" i="23"/>
  <c r="U699" i="23"/>
  <c r="U700" i="23"/>
  <c r="U701" i="23"/>
  <c r="U702" i="23"/>
  <c r="U703" i="23"/>
  <c r="U704" i="23"/>
  <c r="U705" i="23"/>
  <c r="U706" i="23"/>
  <c r="U707" i="23"/>
  <c r="U708" i="23"/>
  <c r="U709" i="23"/>
  <c r="U710" i="23"/>
  <c r="U711" i="23"/>
  <c r="U712" i="23"/>
  <c r="U713" i="23"/>
  <c r="U714" i="23"/>
  <c r="U715" i="23"/>
  <c r="U716" i="23"/>
  <c r="U717" i="23"/>
  <c r="U718" i="23"/>
  <c r="U719" i="23"/>
  <c r="U720" i="23"/>
  <c r="U721" i="23"/>
  <c r="U722" i="23"/>
  <c r="U723" i="23"/>
  <c r="U724" i="23"/>
  <c r="U725" i="23"/>
  <c r="U726" i="23"/>
  <c r="U727" i="23"/>
  <c r="U728" i="23"/>
  <c r="U729" i="23"/>
  <c r="U730" i="23"/>
  <c r="U731" i="23"/>
  <c r="U732" i="23"/>
  <c r="U733" i="23"/>
  <c r="U734" i="23"/>
  <c r="U735" i="23"/>
  <c r="U736" i="23"/>
  <c r="U737" i="23"/>
  <c r="U738" i="23"/>
  <c r="U739" i="23"/>
  <c r="U740" i="23"/>
  <c r="U741" i="23"/>
  <c r="U742" i="23"/>
  <c r="U743" i="23"/>
  <c r="U744" i="23"/>
  <c r="U745" i="23"/>
  <c r="U746" i="23"/>
  <c r="U747" i="23"/>
  <c r="U748" i="23"/>
  <c r="U749" i="23"/>
  <c r="U750" i="23"/>
  <c r="U751" i="23"/>
  <c r="U752" i="23"/>
  <c r="U753" i="23"/>
  <c r="U754" i="23"/>
  <c r="U755" i="23"/>
  <c r="U756" i="23"/>
  <c r="U757" i="23"/>
  <c r="U758" i="23"/>
  <c r="U759" i="23"/>
  <c r="U760" i="23"/>
  <c r="U761" i="23"/>
  <c r="U762" i="23"/>
  <c r="U763" i="23"/>
  <c r="U764" i="23"/>
  <c r="U765" i="23"/>
  <c r="U766" i="23"/>
  <c r="U767" i="23"/>
  <c r="U768" i="23"/>
  <c r="U769" i="23"/>
  <c r="U770" i="23"/>
  <c r="U771" i="23"/>
  <c r="U772" i="23"/>
  <c r="U773" i="23"/>
  <c r="U774" i="23"/>
  <c r="U775" i="23"/>
  <c r="U776" i="23"/>
  <c r="U777" i="23"/>
  <c r="U778" i="23"/>
  <c r="U779" i="23"/>
  <c r="U780" i="23"/>
  <c r="U781" i="23"/>
  <c r="U782" i="23"/>
  <c r="U783" i="23"/>
  <c r="U784" i="23"/>
  <c r="U785" i="23"/>
  <c r="U786" i="23"/>
  <c r="U787" i="23"/>
  <c r="U788" i="23"/>
  <c r="U789" i="23"/>
  <c r="U790" i="23"/>
  <c r="U791" i="23"/>
  <c r="U792" i="23"/>
  <c r="U793" i="23"/>
  <c r="U794" i="23"/>
  <c r="U795" i="23"/>
  <c r="U796" i="23"/>
  <c r="U797" i="23"/>
  <c r="U798" i="23"/>
  <c r="U799" i="23"/>
  <c r="U800" i="23"/>
  <c r="U801" i="23"/>
  <c r="U802" i="23"/>
  <c r="U803" i="23"/>
  <c r="U804" i="23"/>
  <c r="U805" i="23"/>
  <c r="U806" i="23"/>
  <c r="U807" i="23"/>
  <c r="U808" i="23"/>
  <c r="U809" i="23"/>
  <c r="U810" i="23"/>
  <c r="U811" i="23"/>
  <c r="U812" i="23"/>
  <c r="U813" i="23"/>
  <c r="U814" i="23"/>
  <c r="U815" i="23"/>
  <c r="U816" i="23"/>
  <c r="U817" i="23"/>
  <c r="U818" i="23"/>
  <c r="U819" i="23"/>
  <c r="U820" i="23"/>
  <c r="U821" i="23"/>
  <c r="U822" i="23"/>
  <c r="U823" i="23"/>
  <c r="U824" i="23"/>
  <c r="U825" i="23"/>
  <c r="U826" i="23"/>
  <c r="U827" i="23"/>
  <c r="U828" i="23"/>
  <c r="U829" i="23"/>
  <c r="U830" i="23"/>
  <c r="U831" i="23"/>
  <c r="U832" i="23"/>
  <c r="U833" i="23"/>
  <c r="U834" i="23"/>
  <c r="U835" i="23"/>
  <c r="U836" i="23"/>
  <c r="U837" i="23"/>
  <c r="U838" i="23"/>
  <c r="U839" i="23"/>
  <c r="U840" i="23"/>
  <c r="U841" i="23"/>
  <c r="U842" i="23"/>
  <c r="U843" i="23"/>
  <c r="U844" i="23"/>
  <c r="U845" i="23"/>
  <c r="U846" i="23"/>
  <c r="U847" i="23"/>
  <c r="U848" i="23"/>
  <c r="U849" i="23"/>
  <c r="U850" i="23"/>
  <c r="U851" i="23"/>
  <c r="U852" i="23"/>
  <c r="U853" i="23"/>
  <c r="U854" i="23"/>
  <c r="U855" i="23"/>
  <c r="U856" i="23"/>
  <c r="U857" i="23"/>
  <c r="U858" i="23"/>
  <c r="U859" i="23"/>
  <c r="U860" i="23"/>
  <c r="U861" i="23"/>
  <c r="U862" i="23"/>
  <c r="U863" i="23"/>
  <c r="U864" i="23"/>
  <c r="U865" i="23"/>
  <c r="U866" i="23"/>
  <c r="U867" i="23"/>
  <c r="U868" i="23"/>
  <c r="U869" i="23"/>
  <c r="U870" i="23"/>
  <c r="U871" i="23"/>
  <c r="U872" i="23"/>
  <c r="U873" i="23"/>
  <c r="U874" i="23"/>
  <c r="U875" i="23"/>
  <c r="U876" i="23"/>
  <c r="U877" i="23"/>
  <c r="U878" i="23"/>
  <c r="U879" i="23"/>
  <c r="U880" i="23"/>
  <c r="U881" i="23"/>
  <c r="U882" i="23"/>
  <c r="U883" i="23"/>
  <c r="U884" i="23"/>
  <c r="U885" i="23"/>
  <c r="U886" i="23"/>
  <c r="U887" i="23"/>
  <c r="U888" i="23"/>
  <c r="U889" i="23"/>
  <c r="U890" i="23"/>
  <c r="U891" i="23"/>
  <c r="U892" i="23"/>
  <c r="U893" i="23"/>
  <c r="U894" i="23"/>
  <c r="U895" i="23"/>
  <c r="U896" i="23"/>
  <c r="U897" i="23"/>
  <c r="U898" i="23"/>
  <c r="U899" i="23"/>
  <c r="U900" i="23"/>
  <c r="U901" i="23"/>
  <c r="U902" i="23"/>
  <c r="U903" i="23"/>
  <c r="U904" i="23"/>
  <c r="U905" i="23"/>
  <c r="U906" i="23"/>
  <c r="U907" i="23"/>
  <c r="U908" i="23"/>
  <c r="U909" i="23"/>
  <c r="U910" i="23"/>
  <c r="U911" i="23"/>
  <c r="U912" i="23"/>
  <c r="U913" i="23"/>
  <c r="U914" i="23"/>
  <c r="U915" i="23"/>
  <c r="U916" i="23"/>
  <c r="U917" i="23"/>
  <c r="U918" i="23"/>
  <c r="U919" i="23"/>
  <c r="U920" i="23"/>
  <c r="U921" i="23"/>
  <c r="U922" i="23"/>
  <c r="U923" i="23"/>
  <c r="U924" i="23"/>
  <c r="U925" i="23"/>
  <c r="U926" i="23"/>
  <c r="U927" i="23"/>
  <c r="U928" i="23"/>
  <c r="U929" i="23"/>
  <c r="U930" i="23"/>
  <c r="U931" i="23"/>
  <c r="U932" i="23"/>
  <c r="U933" i="23"/>
  <c r="U934" i="23"/>
  <c r="U935" i="23"/>
  <c r="U936" i="23"/>
  <c r="U937" i="23"/>
  <c r="U938" i="23"/>
  <c r="U939" i="23"/>
  <c r="U940" i="23"/>
  <c r="U941" i="23"/>
  <c r="U942" i="23"/>
  <c r="U943" i="23"/>
  <c r="U944" i="23"/>
  <c r="U945" i="23"/>
  <c r="U946" i="23"/>
  <c r="U947" i="23"/>
  <c r="U948" i="23"/>
  <c r="U949" i="23"/>
  <c r="U950" i="23"/>
  <c r="U951" i="23"/>
  <c r="U952" i="23"/>
  <c r="U953" i="23"/>
  <c r="U954" i="23"/>
  <c r="U955" i="23"/>
  <c r="U956" i="23"/>
  <c r="U957" i="23"/>
  <c r="U958" i="23"/>
  <c r="U959" i="23"/>
  <c r="U960" i="23"/>
  <c r="U961" i="23"/>
  <c r="U962" i="23"/>
  <c r="U963" i="23"/>
  <c r="U964" i="23"/>
  <c r="U965" i="23"/>
  <c r="U966" i="23"/>
  <c r="U967" i="23"/>
  <c r="U968" i="23"/>
  <c r="U969" i="23"/>
  <c r="U970" i="23"/>
  <c r="U971" i="23"/>
  <c r="U972" i="23"/>
  <c r="U973" i="23"/>
  <c r="U974" i="23"/>
  <c r="U975" i="23"/>
  <c r="U976" i="23"/>
  <c r="U977" i="23"/>
  <c r="U978" i="23"/>
  <c r="U979" i="23"/>
  <c r="U980" i="23"/>
  <c r="U981" i="23"/>
  <c r="U982" i="23"/>
  <c r="U983" i="23"/>
  <c r="U984" i="23"/>
  <c r="U985" i="23"/>
  <c r="U986" i="23"/>
  <c r="U987" i="23"/>
  <c r="U988" i="23"/>
  <c r="U989" i="23"/>
  <c r="U990" i="23"/>
  <c r="U991" i="23"/>
  <c r="U992" i="23"/>
  <c r="U993" i="23"/>
  <c r="U994" i="23"/>
  <c r="U995" i="23"/>
  <c r="U996" i="23"/>
  <c r="U997" i="23"/>
  <c r="U998" i="23"/>
  <c r="U999" i="23"/>
  <c r="U1000" i="23"/>
  <c r="U1001" i="23"/>
  <c r="U1002" i="23"/>
  <c r="U1003" i="23"/>
  <c r="U1004" i="23"/>
  <c r="U1005" i="23"/>
  <c r="U1006" i="23"/>
  <c r="U1007" i="23"/>
  <c r="U1008" i="23"/>
  <c r="U1009" i="23"/>
  <c r="U1010" i="23"/>
  <c r="U1011" i="23"/>
  <c r="U1012" i="23"/>
  <c r="U1013" i="23"/>
  <c r="U1014" i="23"/>
  <c r="U1015" i="23"/>
  <c r="U1016" i="23"/>
  <c r="U1017" i="23"/>
  <c r="U1018" i="23"/>
  <c r="U1019" i="23"/>
  <c r="U1020" i="23"/>
  <c r="U1021" i="23"/>
  <c r="U1022" i="23"/>
  <c r="U1023" i="23"/>
  <c r="U1024" i="23"/>
  <c r="U1025" i="23"/>
  <c r="U1026" i="23"/>
  <c r="U1027" i="23"/>
  <c r="U1028" i="23"/>
  <c r="U1029" i="23"/>
  <c r="U1030" i="23"/>
  <c r="U1031" i="23"/>
  <c r="U1032" i="23"/>
  <c r="U1033" i="23"/>
  <c r="U1034" i="23"/>
  <c r="U1035" i="23"/>
  <c r="U1036" i="23"/>
  <c r="U1037" i="23"/>
  <c r="U1038" i="23"/>
  <c r="U1039" i="23"/>
  <c r="U1040" i="23"/>
  <c r="U1041" i="23"/>
  <c r="U1042" i="23"/>
  <c r="U1043" i="23"/>
  <c r="U1044" i="23"/>
  <c r="U1045" i="23"/>
  <c r="U1046" i="23"/>
  <c r="U1047" i="23"/>
  <c r="U1048" i="23"/>
  <c r="U1049" i="23"/>
  <c r="U1050" i="23"/>
  <c r="U1051" i="23"/>
  <c r="U1052" i="23"/>
  <c r="U1053" i="23"/>
  <c r="U1054" i="23"/>
  <c r="U1055" i="23"/>
  <c r="U1056" i="23"/>
  <c r="U1057" i="23"/>
  <c r="U1058" i="23"/>
  <c r="U1059" i="23"/>
  <c r="U1060" i="23"/>
  <c r="U1061" i="23"/>
  <c r="U1062" i="23"/>
  <c r="U1063" i="23"/>
  <c r="U1064" i="23"/>
  <c r="U1065" i="23"/>
  <c r="U1066" i="23"/>
  <c r="U1067" i="23"/>
  <c r="U1068" i="23"/>
  <c r="U1069" i="23"/>
  <c r="U1070" i="23"/>
  <c r="U1071" i="23"/>
  <c r="U1072" i="23"/>
  <c r="U1073" i="23"/>
  <c r="U1074" i="23"/>
  <c r="U1075" i="23"/>
  <c r="U1076" i="23"/>
  <c r="U1077" i="23"/>
  <c r="U1078" i="23"/>
  <c r="U1079" i="23"/>
  <c r="U1080" i="23"/>
  <c r="U1081" i="23"/>
  <c r="U1082" i="23"/>
  <c r="U1083" i="23"/>
  <c r="U1084" i="23"/>
  <c r="U1085" i="23"/>
  <c r="U1086" i="23"/>
  <c r="U1087" i="23"/>
  <c r="U1088" i="23"/>
  <c r="U1089" i="23"/>
  <c r="U1090" i="23"/>
  <c r="U1091" i="23"/>
  <c r="U1092" i="23"/>
  <c r="U1093" i="23"/>
  <c r="U1094" i="23"/>
  <c r="U1095" i="23"/>
  <c r="U1096" i="23"/>
  <c r="U1097" i="23"/>
  <c r="U1098" i="23"/>
  <c r="U1099" i="23"/>
  <c r="U1100" i="23"/>
  <c r="U1101" i="23"/>
  <c r="U1102" i="23"/>
  <c r="U1103" i="23"/>
  <c r="U1104" i="23"/>
  <c r="U1105" i="23"/>
  <c r="U1106" i="23"/>
  <c r="U1107" i="23"/>
  <c r="U1108" i="23"/>
  <c r="U1109" i="23"/>
  <c r="U1110" i="23"/>
  <c r="U1111" i="23"/>
  <c r="U1112" i="23"/>
  <c r="U1113" i="23"/>
  <c r="U1114" i="23"/>
  <c r="U1115" i="23"/>
  <c r="U1116" i="23"/>
  <c r="U1117" i="23"/>
  <c r="U1118" i="23"/>
  <c r="U1119" i="23"/>
  <c r="U1120" i="23"/>
  <c r="U1121" i="23"/>
  <c r="U1122" i="23"/>
  <c r="U1123" i="23"/>
  <c r="U1124" i="23"/>
  <c r="U1125" i="23"/>
  <c r="U1126" i="23"/>
  <c r="U1127" i="23"/>
  <c r="U1128" i="23"/>
  <c r="U1129" i="23"/>
  <c r="U1130" i="23"/>
  <c r="U1131" i="23"/>
  <c r="U1132" i="23"/>
  <c r="U1133" i="23"/>
  <c r="U1134" i="23"/>
  <c r="U1135" i="23"/>
  <c r="U1136" i="23"/>
  <c r="U1137" i="23"/>
  <c r="U1138" i="23"/>
  <c r="U1139" i="23"/>
  <c r="U1140" i="23"/>
  <c r="U1141" i="23"/>
  <c r="U1142" i="23"/>
  <c r="U1143" i="23"/>
  <c r="U1144" i="23"/>
  <c r="U1145" i="23"/>
  <c r="U1146" i="23"/>
  <c r="U1147" i="23"/>
  <c r="U1148" i="23"/>
  <c r="U1149" i="23"/>
  <c r="U1150" i="23"/>
  <c r="U1151" i="23"/>
  <c r="U1152" i="23"/>
  <c r="U1153" i="23"/>
  <c r="U1154" i="23"/>
  <c r="U1155" i="23"/>
  <c r="U1156" i="23"/>
  <c r="U1157" i="23"/>
  <c r="U1158" i="23"/>
  <c r="U1159" i="23"/>
  <c r="U1160" i="23"/>
  <c r="U1161" i="23"/>
  <c r="U1162" i="23"/>
  <c r="U1163" i="23"/>
  <c r="U1164" i="23"/>
  <c r="U1165" i="23"/>
  <c r="U1166" i="23"/>
  <c r="U1167" i="23"/>
  <c r="U1168" i="23"/>
  <c r="U1169" i="23"/>
  <c r="U1170" i="23"/>
  <c r="U1171" i="23"/>
  <c r="U1172" i="23"/>
  <c r="U1173" i="23"/>
  <c r="U1174" i="23"/>
  <c r="U1175" i="23"/>
  <c r="U1176" i="23"/>
  <c r="U1177" i="23"/>
  <c r="U1178" i="23"/>
  <c r="U1179" i="23"/>
  <c r="U1180" i="23"/>
  <c r="U1181" i="23"/>
  <c r="U1182" i="23"/>
  <c r="U1183" i="23"/>
  <c r="U1184" i="23"/>
  <c r="U1185" i="23"/>
  <c r="U1186" i="23"/>
  <c r="U1187" i="23"/>
  <c r="U1188" i="23"/>
  <c r="U1189" i="23"/>
  <c r="U1190" i="23"/>
  <c r="U1191" i="23"/>
  <c r="U1192" i="23"/>
  <c r="U1193" i="23"/>
  <c r="U1194" i="23"/>
  <c r="U1195" i="23"/>
  <c r="U1196" i="23"/>
  <c r="U1197" i="23"/>
  <c r="U1198" i="23"/>
  <c r="U1199" i="23"/>
  <c r="U1200" i="23"/>
  <c r="U1201" i="23"/>
  <c r="U1202" i="23"/>
  <c r="U1203" i="23"/>
  <c r="U1204" i="23"/>
  <c r="U1205" i="23"/>
  <c r="U1206" i="23"/>
  <c r="U1207" i="23"/>
  <c r="U1208" i="23"/>
  <c r="U1209" i="23"/>
  <c r="U1210" i="23"/>
  <c r="U1211" i="23"/>
  <c r="U1212" i="23"/>
  <c r="U1213" i="23"/>
  <c r="U1214" i="23"/>
  <c r="U1215" i="23"/>
  <c r="U1216" i="23"/>
  <c r="U1217" i="23"/>
  <c r="U1218" i="23"/>
  <c r="U1219" i="23"/>
  <c r="U1220" i="23"/>
  <c r="U1221" i="23"/>
  <c r="U1222" i="23"/>
  <c r="U1223" i="23"/>
  <c r="U1224" i="23"/>
  <c r="U1225" i="23"/>
  <c r="U1226" i="23"/>
  <c r="U1227" i="23"/>
  <c r="U1228" i="23"/>
  <c r="U1229" i="23"/>
  <c r="U1230" i="23"/>
  <c r="U1231" i="23"/>
  <c r="U1232" i="23"/>
  <c r="U1233" i="23"/>
  <c r="U1234" i="23"/>
  <c r="U1235" i="23"/>
  <c r="U1236" i="23"/>
  <c r="U1237" i="23"/>
  <c r="U1238" i="23"/>
  <c r="U1239" i="23"/>
  <c r="U1240" i="23"/>
  <c r="U1241" i="23"/>
  <c r="U1242" i="23"/>
  <c r="U1243" i="23"/>
  <c r="U1244" i="23"/>
  <c r="U1245" i="23"/>
  <c r="U1246" i="23"/>
  <c r="U1247" i="23"/>
  <c r="U1248" i="23"/>
  <c r="U1249" i="23"/>
  <c r="U1250" i="23"/>
  <c r="U1251" i="23"/>
  <c r="U1252" i="23"/>
  <c r="U1253" i="23"/>
  <c r="U1254" i="23"/>
  <c r="U1255" i="23"/>
  <c r="U1256" i="23"/>
  <c r="U1257" i="23"/>
  <c r="U1258" i="23"/>
  <c r="U1259" i="23"/>
  <c r="U1260" i="23"/>
  <c r="U1261" i="23"/>
  <c r="U1262" i="23"/>
  <c r="U1263" i="23"/>
  <c r="U1264" i="23"/>
  <c r="U1265" i="23"/>
  <c r="U1266" i="23"/>
  <c r="U1267" i="23"/>
  <c r="U1268" i="23"/>
  <c r="U1269" i="23"/>
  <c r="U1270" i="23"/>
  <c r="U1271" i="23"/>
  <c r="U1272" i="23"/>
  <c r="U1273" i="23"/>
  <c r="U1274" i="23"/>
  <c r="U1275" i="23"/>
  <c r="U1276" i="23"/>
  <c r="U1277" i="23"/>
  <c r="U1278" i="23"/>
  <c r="U1279" i="23"/>
  <c r="U1280" i="23"/>
  <c r="U1281" i="23"/>
  <c r="U1282" i="23"/>
  <c r="U1283" i="23"/>
  <c r="U1284" i="23"/>
  <c r="U1285" i="23"/>
  <c r="U1286" i="23"/>
  <c r="U1287" i="23"/>
  <c r="U1288" i="23"/>
  <c r="U1289" i="23"/>
  <c r="U1290" i="23"/>
  <c r="U1291" i="23"/>
  <c r="U1292" i="23"/>
  <c r="U1293" i="23"/>
  <c r="U1294" i="23"/>
  <c r="U1295" i="23"/>
  <c r="U1296" i="23"/>
  <c r="U1297" i="23"/>
  <c r="U1298" i="23"/>
  <c r="U1299" i="23"/>
  <c r="U1300" i="23"/>
  <c r="U1301" i="23"/>
  <c r="U1302" i="23"/>
  <c r="U1303" i="23"/>
  <c r="U1304" i="23"/>
  <c r="U1305" i="23"/>
  <c r="U1306" i="23"/>
  <c r="U1307" i="23"/>
  <c r="U1308" i="23"/>
  <c r="U1309" i="23"/>
  <c r="U1310" i="23"/>
  <c r="U1311" i="23"/>
  <c r="U1312" i="23"/>
  <c r="U1313" i="23"/>
  <c r="U1314" i="23"/>
  <c r="U1315" i="23"/>
  <c r="U1316" i="23"/>
  <c r="U1317" i="23"/>
  <c r="U1318" i="23"/>
  <c r="U1319" i="23"/>
  <c r="U1320" i="23"/>
  <c r="U1321" i="23"/>
  <c r="U1322" i="23"/>
  <c r="U1323" i="23"/>
  <c r="U1324" i="23"/>
  <c r="U1325" i="23"/>
  <c r="U1326" i="23"/>
  <c r="U1327" i="23"/>
  <c r="U1328" i="23"/>
  <c r="U1329" i="23"/>
  <c r="U1330" i="23"/>
  <c r="U1331" i="23"/>
  <c r="U1332" i="23"/>
  <c r="U1333" i="23"/>
  <c r="U1334" i="23"/>
  <c r="U1335" i="23"/>
  <c r="U1336" i="23"/>
  <c r="U1337" i="23"/>
  <c r="U1338" i="23"/>
  <c r="U1339" i="23"/>
  <c r="U1340" i="23"/>
  <c r="U1341" i="23"/>
  <c r="U1342" i="23"/>
  <c r="U1343" i="23"/>
  <c r="U1344" i="23"/>
  <c r="U1345" i="23"/>
  <c r="U1346" i="23"/>
  <c r="U1347" i="23"/>
  <c r="U1348" i="23"/>
  <c r="U1349" i="23"/>
  <c r="U1350" i="23"/>
  <c r="U1351" i="23"/>
  <c r="U1352" i="23"/>
  <c r="U1353" i="23"/>
  <c r="U1354" i="23"/>
  <c r="U1355" i="23"/>
  <c r="U1356" i="23"/>
  <c r="U1357" i="23"/>
  <c r="U1358" i="23"/>
  <c r="U1359" i="23"/>
  <c r="U1360" i="23"/>
  <c r="U1361" i="23"/>
  <c r="U1362" i="23"/>
  <c r="U1363" i="23"/>
  <c r="U1364" i="23"/>
  <c r="U1365" i="23"/>
  <c r="U1366" i="23"/>
  <c r="U1367" i="23"/>
  <c r="U1368" i="23"/>
  <c r="U1369" i="23"/>
  <c r="U1370" i="23"/>
  <c r="U1371" i="23"/>
  <c r="U1372" i="23"/>
  <c r="U1373" i="23"/>
  <c r="U1374" i="23"/>
  <c r="U1375" i="23"/>
  <c r="U1376" i="23"/>
  <c r="U1377" i="23"/>
  <c r="U1378" i="23"/>
  <c r="U1379" i="23"/>
  <c r="U1380" i="23"/>
  <c r="U1381" i="23"/>
  <c r="U1382" i="23"/>
  <c r="U1383" i="23"/>
  <c r="U1384" i="23"/>
  <c r="U1385" i="23"/>
  <c r="U1386" i="23"/>
  <c r="U1387" i="23"/>
  <c r="U1388" i="23"/>
  <c r="U1389" i="23"/>
  <c r="U1390" i="23"/>
  <c r="U1391" i="23"/>
  <c r="U1392" i="23"/>
  <c r="U1393" i="23"/>
  <c r="U1394" i="23"/>
  <c r="U1395" i="23"/>
  <c r="U1396" i="23"/>
  <c r="U1397" i="23"/>
  <c r="U1398" i="23"/>
  <c r="U1399" i="23"/>
  <c r="U1400" i="23"/>
  <c r="U1401" i="23"/>
  <c r="U1402" i="23"/>
  <c r="U1403" i="23"/>
  <c r="U1404" i="23"/>
  <c r="U1405" i="23"/>
  <c r="U1406" i="23"/>
  <c r="U1407" i="23"/>
  <c r="U1408" i="23"/>
  <c r="U1409" i="23"/>
  <c r="U1410" i="23"/>
  <c r="U1411" i="23"/>
  <c r="U1412" i="23"/>
  <c r="U1413" i="23"/>
  <c r="U1414" i="23"/>
  <c r="U1415" i="23"/>
  <c r="U1416" i="23"/>
  <c r="U1417" i="23"/>
  <c r="U1418" i="23"/>
  <c r="U1419" i="23"/>
  <c r="U1420" i="23"/>
  <c r="U1421" i="23"/>
  <c r="U1422" i="23"/>
  <c r="U1423" i="23"/>
  <c r="U1424" i="23"/>
  <c r="U1425" i="23"/>
  <c r="U1426" i="23"/>
  <c r="U1427" i="23"/>
  <c r="U1428" i="23"/>
  <c r="U1429" i="23"/>
  <c r="U1430" i="23"/>
  <c r="U1431" i="23"/>
  <c r="U1432" i="23"/>
  <c r="U1433" i="23"/>
  <c r="U1434" i="23"/>
  <c r="U1435" i="23"/>
  <c r="U1436" i="23"/>
  <c r="U1437" i="23"/>
  <c r="U1438" i="23"/>
  <c r="U1439" i="23"/>
  <c r="U1440" i="23"/>
  <c r="U1441" i="23"/>
  <c r="U1442" i="23"/>
  <c r="U1443" i="23"/>
  <c r="U1444" i="23"/>
  <c r="U1445" i="23"/>
  <c r="U1446" i="23"/>
  <c r="U1447" i="23"/>
  <c r="U1448" i="23"/>
  <c r="U1449" i="23"/>
  <c r="U1450" i="23"/>
  <c r="U1451" i="23"/>
  <c r="U1452" i="23"/>
  <c r="U1453" i="23"/>
  <c r="U1454" i="23"/>
  <c r="U1455" i="23"/>
  <c r="U1456" i="23"/>
  <c r="U1457" i="23"/>
  <c r="U1458" i="23"/>
  <c r="U1459" i="23"/>
  <c r="U1460" i="23"/>
  <c r="U1461" i="23"/>
  <c r="U1462" i="23"/>
  <c r="U1463" i="23"/>
  <c r="U1464" i="23"/>
  <c r="U1465" i="23"/>
  <c r="U1466" i="23"/>
  <c r="U1467" i="23"/>
  <c r="U1468" i="23"/>
  <c r="U1469" i="23"/>
  <c r="U1470" i="23"/>
  <c r="U1471" i="23"/>
  <c r="U1472" i="23"/>
  <c r="U1473" i="23"/>
  <c r="U1474" i="23"/>
  <c r="U1475" i="23"/>
  <c r="U1476" i="23"/>
  <c r="U1477" i="23"/>
  <c r="U1478" i="23"/>
  <c r="U1479" i="23"/>
  <c r="U1480" i="23"/>
  <c r="U1481" i="23"/>
  <c r="U1482" i="23"/>
  <c r="U1483" i="23"/>
  <c r="U1484" i="23"/>
  <c r="U1485" i="23"/>
  <c r="U1486" i="23"/>
  <c r="U1487" i="23"/>
  <c r="U1488" i="23"/>
  <c r="U1489" i="23"/>
  <c r="U1490" i="23"/>
  <c r="U1491" i="23"/>
  <c r="U1492" i="23"/>
  <c r="U1493" i="23"/>
  <c r="U1494" i="23"/>
  <c r="U1495" i="23"/>
  <c r="U1496" i="23"/>
  <c r="U1497" i="23"/>
  <c r="U1498" i="23"/>
  <c r="U1499" i="23"/>
  <c r="U1500" i="23"/>
  <c r="U1501" i="23"/>
  <c r="U1502" i="23"/>
  <c r="U1503" i="23"/>
  <c r="U1504" i="23"/>
  <c r="U1505" i="23"/>
  <c r="U1506" i="23"/>
  <c r="U1507" i="23"/>
  <c r="U1508" i="23"/>
  <c r="U1509" i="23"/>
  <c r="U1510" i="23"/>
  <c r="U1511" i="23"/>
  <c r="U1512" i="23"/>
  <c r="U1513" i="23"/>
  <c r="U1514" i="23"/>
  <c r="U1515" i="23"/>
  <c r="U1516" i="23"/>
  <c r="U1517" i="23"/>
  <c r="U1518" i="23"/>
  <c r="U1519" i="23"/>
  <c r="U1520" i="23"/>
  <c r="U1521" i="23"/>
  <c r="U1522" i="23"/>
  <c r="U1523" i="23"/>
  <c r="U1524" i="23"/>
  <c r="U1525" i="23"/>
  <c r="U1526" i="23"/>
  <c r="U1527" i="23"/>
  <c r="U1528" i="23"/>
  <c r="U1529" i="23"/>
  <c r="U1530" i="23"/>
  <c r="U1531" i="23"/>
  <c r="U1532" i="23"/>
  <c r="U1533" i="23"/>
  <c r="U1534" i="23"/>
  <c r="U1535" i="23"/>
  <c r="U1536" i="23"/>
  <c r="U1537" i="23"/>
  <c r="U1538" i="23"/>
  <c r="U1539" i="23"/>
  <c r="U1540" i="23"/>
  <c r="U1541" i="23"/>
  <c r="U1542" i="23"/>
  <c r="U1543" i="23"/>
  <c r="U1544" i="23"/>
  <c r="U1545" i="23"/>
  <c r="U1546" i="23"/>
  <c r="U1547" i="23"/>
  <c r="U1548" i="23"/>
  <c r="U1549" i="23"/>
  <c r="U1550" i="23"/>
  <c r="U1551" i="23"/>
  <c r="U1552" i="23"/>
  <c r="U1553" i="23"/>
  <c r="U1554" i="23"/>
  <c r="U1555" i="23"/>
  <c r="U1556" i="23"/>
  <c r="U1557" i="23"/>
  <c r="U1558" i="23"/>
  <c r="U1559" i="23"/>
  <c r="U1560" i="23"/>
  <c r="U1561" i="23"/>
  <c r="U1562" i="23"/>
  <c r="U1563" i="23"/>
  <c r="U1564" i="23"/>
  <c r="U1565" i="23"/>
  <c r="U1566" i="23"/>
  <c r="U1567" i="23"/>
  <c r="U1568" i="23"/>
  <c r="U1569" i="23"/>
  <c r="U1570" i="23"/>
  <c r="U1571" i="23"/>
  <c r="U1572" i="23"/>
  <c r="U1573" i="23"/>
  <c r="U1574" i="23"/>
  <c r="U1575" i="23"/>
  <c r="U1576" i="23"/>
  <c r="U1577" i="23"/>
  <c r="U1578" i="23"/>
  <c r="U1579" i="23"/>
  <c r="U1580" i="23"/>
  <c r="U1581" i="23"/>
  <c r="U1582" i="23"/>
  <c r="U1583" i="23"/>
  <c r="U1584" i="23"/>
  <c r="U1585" i="23"/>
  <c r="U1586" i="23"/>
  <c r="U1587" i="23"/>
  <c r="U1588" i="23"/>
  <c r="U1589" i="23"/>
  <c r="U1590" i="23"/>
  <c r="U1591" i="23"/>
  <c r="U1592" i="23"/>
  <c r="U1593" i="23"/>
  <c r="U1594" i="23"/>
  <c r="U1595" i="23"/>
  <c r="U1596" i="23"/>
  <c r="U1597" i="23"/>
  <c r="U1598" i="23"/>
  <c r="U1599" i="23"/>
  <c r="U1600" i="23"/>
  <c r="U1601" i="23"/>
  <c r="U1602" i="23"/>
  <c r="U1603" i="23"/>
  <c r="U1604" i="23"/>
  <c r="U1605" i="23"/>
  <c r="U1606" i="23"/>
  <c r="U1607" i="23"/>
  <c r="U1608" i="23"/>
  <c r="U1609" i="23"/>
  <c r="U1610" i="23"/>
  <c r="U1611" i="23"/>
  <c r="U1612" i="23"/>
  <c r="U1613" i="23"/>
  <c r="U1614" i="23"/>
  <c r="U1615" i="23"/>
  <c r="U1616" i="23"/>
  <c r="U1617" i="23"/>
  <c r="U1618" i="23"/>
  <c r="U1619" i="23"/>
  <c r="U1620" i="23"/>
  <c r="U1621" i="23"/>
  <c r="U1622" i="23"/>
  <c r="U1623" i="23"/>
  <c r="U1624" i="23"/>
  <c r="U1625" i="23"/>
  <c r="U1626" i="23"/>
  <c r="U1627" i="23"/>
  <c r="U1628" i="23"/>
  <c r="U1629" i="23"/>
  <c r="U1630" i="23"/>
  <c r="U1631" i="23"/>
  <c r="U1632" i="23"/>
  <c r="U1633" i="23"/>
  <c r="U1634" i="23"/>
  <c r="U1635" i="23"/>
  <c r="U1636" i="23"/>
  <c r="U1637" i="23"/>
  <c r="U1638" i="23"/>
  <c r="U1639" i="23"/>
  <c r="U1640" i="23"/>
  <c r="U1641" i="23"/>
  <c r="U1642" i="23"/>
  <c r="U1643" i="23"/>
  <c r="U1644" i="23"/>
  <c r="U1645" i="23"/>
  <c r="U1646" i="23"/>
  <c r="U1647" i="23"/>
  <c r="U1648" i="23"/>
  <c r="U1649" i="23"/>
  <c r="U1650" i="23"/>
  <c r="U1651" i="23"/>
  <c r="U1652" i="23"/>
  <c r="U1653" i="23"/>
  <c r="U1654" i="23"/>
  <c r="U1655" i="23"/>
  <c r="U1656" i="23"/>
  <c r="U1657" i="23"/>
  <c r="U1658" i="23"/>
  <c r="U1659" i="23"/>
  <c r="U1660" i="23"/>
  <c r="U1661" i="23"/>
  <c r="U1662" i="23"/>
  <c r="U1663" i="23"/>
  <c r="U1664" i="23"/>
  <c r="U1665" i="23"/>
  <c r="U1666" i="23"/>
  <c r="U1667" i="23"/>
  <c r="U1668" i="23"/>
  <c r="U1669" i="23"/>
  <c r="U1670" i="23"/>
  <c r="U1671" i="23"/>
  <c r="U1672" i="23"/>
  <c r="U1673" i="23"/>
  <c r="U1674" i="23"/>
  <c r="U1675" i="23"/>
  <c r="U1676" i="23"/>
  <c r="U1677" i="23"/>
  <c r="U1678" i="23"/>
  <c r="U1679" i="23"/>
  <c r="U1680" i="23"/>
  <c r="U1681" i="23"/>
  <c r="U1682" i="23"/>
  <c r="U1683" i="23"/>
  <c r="U1684" i="23"/>
  <c r="U1685" i="23"/>
  <c r="U1686" i="23"/>
  <c r="U1687" i="23"/>
  <c r="U1688" i="23"/>
  <c r="U1689" i="23"/>
  <c r="U1690" i="23"/>
  <c r="U1691" i="23"/>
  <c r="U1692" i="23"/>
  <c r="U1693" i="23"/>
  <c r="U1694" i="23"/>
  <c r="U1695" i="23"/>
  <c r="U1696" i="23"/>
  <c r="U1697" i="23"/>
  <c r="U1698" i="23"/>
  <c r="U1699" i="23"/>
  <c r="U1700" i="23"/>
  <c r="U1701" i="23"/>
  <c r="U1702" i="23"/>
  <c r="U1703" i="23"/>
  <c r="U1704" i="23"/>
  <c r="U1705" i="23"/>
  <c r="U1706" i="23"/>
  <c r="U1707" i="23"/>
  <c r="U1708" i="23"/>
  <c r="U1709" i="23"/>
  <c r="U1710" i="23"/>
  <c r="U1711" i="23"/>
  <c r="U1712" i="23"/>
  <c r="U1713" i="23"/>
  <c r="U1714" i="23"/>
  <c r="U1715" i="23"/>
  <c r="U1716" i="23"/>
  <c r="U1717" i="23"/>
  <c r="U1718" i="23"/>
  <c r="U1719" i="23"/>
  <c r="U1720" i="23"/>
  <c r="U1721" i="23"/>
  <c r="U1722" i="23"/>
  <c r="U1723" i="23"/>
  <c r="U1724" i="23"/>
  <c r="U1725" i="23"/>
  <c r="U1726" i="23"/>
  <c r="U1727" i="23"/>
  <c r="U1728" i="23"/>
  <c r="U1729" i="23"/>
  <c r="U1730" i="23"/>
  <c r="U1731" i="23"/>
  <c r="U1732" i="23"/>
  <c r="U1733" i="23"/>
  <c r="U1734" i="23"/>
  <c r="U1735" i="23"/>
  <c r="U1736" i="23"/>
  <c r="U1737" i="23"/>
  <c r="U1738" i="23"/>
  <c r="U1739" i="23"/>
  <c r="U1740" i="23"/>
  <c r="U1741" i="23"/>
  <c r="U1742" i="23"/>
  <c r="U1743" i="23"/>
  <c r="U1744" i="23"/>
  <c r="U1745" i="23"/>
  <c r="U1746" i="23"/>
  <c r="U1747" i="23"/>
  <c r="U1748" i="23"/>
  <c r="U1749" i="23"/>
  <c r="U1750" i="23"/>
  <c r="U1751" i="23"/>
  <c r="U1752" i="23"/>
  <c r="U1753" i="23"/>
  <c r="U1754" i="23"/>
  <c r="U1755" i="23"/>
  <c r="U1756" i="23"/>
  <c r="U1757" i="23"/>
  <c r="U1758" i="23"/>
  <c r="U1759" i="23"/>
  <c r="U1760" i="23"/>
  <c r="U1761" i="23"/>
  <c r="U1762" i="23"/>
  <c r="U1763" i="23"/>
  <c r="U1764" i="23"/>
  <c r="U1765" i="23"/>
  <c r="U1766" i="23"/>
  <c r="U1767" i="23"/>
  <c r="U1768" i="23"/>
  <c r="U1769" i="23"/>
  <c r="U1770" i="23"/>
  <c r="U1771" i="23"/>
  <c r="U1772" i="23"/>
  <c r="U1773" i="23"/>
  <c r="U1774" i="23"/>
  <c r="U1775" i="23"/>
  <c r="U1776" i="23"/>
  <c r="U1777" i="23"/>
  <c r="U1778" i="23"/>
  <c r="U1779" i="23"/>
  <c r="U1780" i="23"/>
  <c r="U1781" i="23"/>
  <c r="U1782" i="23"/>
  <c r="U1783" i="23"/>
  <c r="U1784" i="23"/>
  <c r="U1785" i="23"/>
  <c r="U1786" i="23"/>
  <c r="U1787" i="23"/>
  <c r="U1788" i="23"/>
  <c r="U1789" i="23"/>
  <c r="U1790" i="23"/>
  <c r="U1791" i="23"/>
  <c r="U1792" i="23"/>
  <c r="U1793" i="23"/>
  <c r="U1794" i="23"/>
  <c r="U1795" i="23"/>
  <c r="U1796" i="23"/>
  <c r="U1797" i="23"/>
  <c r="U1798" i="23"/>
  <c r="U1799" i="23"/>
  <c r="U1800" i="23"/>
  <c r="U1801" i="23"/>
  <c r="U1802" i="23"/>
  <c r="U1803" i="23"/>
  <c r="U1804" i="23"/>
  <c r="U1805" i="23"/>
  <c r="U1806" i="23"/>
  <c r="U1807" i="23"/>
  <c r="U1808" i="23"/>
  <c r="U1809" i="23"/>
  <c r="U1810" i="23"/>
  <c r="U1811" i="23"/>
  <c r="U1812" i="23"/>
  <c r="U1813" i="23"/>
  <c r="U1814" i="23"/>
  <c r="U1815" i="23"/>
  <c r="U1816" i="23"/>
  <c r="U1817" i="23"/>
  <c r="U1818" i="23"/>
  <c r="U1819" i="23"/>
  <c r="U1820" i="23"/>
  <c r="U1821" i="23"/>
  <c r="U1822" i="23"/>
  <c r="U1823" i="23"/>
  <c r="U1824" i="23"/>
  <c r="U1825" i="23"/>
  <c r="U1826" i="23"/>
  <c r="U1827" i="23"/>
  <c r="U1828" i="23"/>
  <c r="U1829" i="23"/>
  <c r="U1830" i="23"/>
  <c r="U1831" i="23"/>
  <c r="U1832" i="23"/>
  <c r="U1833" i="23"/>
  <c r="U1834" i="23"/>
  <c r="U1835" i="23"/>
  <c r="U1836" i="23"/>
  <c r="U1837" i="23"/>
  <c r="U1838" i="23"/>
  <c r="U1839" i="23"/>
  <c r="U1840" i="23"/>
  <c r="U1841" i="23"/>
  <c r="U1842" i="23"/>
  <c r="U1843" i="23"/>
  <c r="U1844" i="23"/>
  <c r="U1845" i="23"/>
  <c r="U1846" i="23"/>
  <c r="U1847" i="23"/>
  <c r="U1848" i="23"/>
  <c r="U1849" i="23"/>
  <c r="U1850" i="23"/>
  <c r="U1851" i="23"/>
  <c r="U1852" i="23"/>
  <c r="U1853" i="23"/>
  <c r="U1854" i="23"/>
  <c r="U1855" i="23"/>
  <c r="U1856" i="23"/>
  <c r="U1857" i="23"/>
  <c r="U1858" i="23"/>
  <c r="U1859" i="23"/>
  <c r="U1860" i="23"/>
  <c r="U1861" i="23"/>
  <c r="U1862" i="23"/>
  <c r="U1863" i="23"/>
  <c r="U1864" i="23"/>
  <c r="U1865" i="23"/>
  <c r="U1866" i="23"/>
  <c r="U1867" i="23"/>
  <c r="U1868" i="23"/>
  <c r="U1869" i="23"/>
  <c r="U1870" i="23"/>
  <c r="U1871" i="23"/>
  <c r="U1872" i="23"/>
  <c r="U1873" i="23"/>
  <c r="U1874" i="23"/>
  <c r="U1875" i="23"/>
  <c r="U1876" i="23"/>
  <c r="U1877" i="23"/>
  <c r="U1878" i="23"/>
  <c r="U1879" i="23"/>
  <c r="U1880" i="23"/>
  <c r="U1881" i="23"/>
  <c r="U1882" i="23"/>
  <c r="U1883" i="23"/>
  <c r="U1884" i="23"/>
  <c r="U1885" i="23"/>
  <c r="U1886" i="23"/>
  <c r="U1887" i="23"/>
  <c r="U1888" i="23"/>
  <c r="U1889" i="23"/>
  <c r="U1890" i="23"/>
  <c r="U1891" i="23"/>
  <c r="U1892" i="23"/>
  <c r="U1893" i="23"/>
  <c r="U1894" i="23"/>
  <c r="U1895" i="23"/>
  <c r="U1896" i="23"/>
  <c r="U1897" i="23"/>
  <c r="U1898" i="23"/>
  <c r="U1899" i="23"/>
  <c r="U1900" i="23"/>
  <c r="U1901" i="23"/>
  <c r="U1902" i="23"/>
  <c r="U1903" i="23"/>
  <c r="U1904" i="23"/>
  <c r="U1905" i="23"/>
  <c r="U1906" i="23"/>
  <c r="U1907" i="23"/>
  <c r="U1908" i="23"/>
  <c r="U1909" i="23"/>
  <c r="U1910" i="23"/>
  <c r="U1911" i="23"/>
  <c r="U1912" i="23"/>
  <c r="U1913" i="23"/>
  <c r="U1914" i="23"/>
  <c r="U1915" i="23"/>
  <c r="U1916" i="23"/>
  <c r="U1917" i="23"/>
  <c r="U1918" i="23"/>
  <c r="U1919" i="23"/>
  <c r="U1920" i="23"/>
  <c r="U1921" i="23"/>
  <c r="U1922" i="23"/>
  <c r="U1923" i="23"/>
  <c r="U1924" i="23"/>
  <c r="U1925" i="23"/>
  <c r="U1926" i="23"/>
  <c r="U1927" i="23"/>
  <c r="U1928" i="23"/>
  <c r="U1929" i="23"/>
  <c r="U1930" i="23"/>
  <c r="U1931" i="23"/>
  <c r="U1932" i="23"/>
  <c r="U1933" i="23"/>
  <c r="U1934" i="23"/>
  <c r="U1935" i="23"/>
  <c r="U1936" i="23"/>
  <c r="U1937" i="23"/>
  <c r="U1938" i="23"/>
  <c r="U1939" i="23"/>
  <c r="U1940" i="23"/>
  <c r="U1941" i="23"/>
  <c r="U1942" i="23"/>
  <c r="U1943" i="23"/>
  <c r="U1944" i="23"/>
  <c r="U1945" i="23"/>
  <c r="U1946" i="23"/>
  <c r="U1947" i="23"/>
  <c r="U1948" i="23"/>
  <c r="U1949" i="23"/>
  <c r="U1950" i="23"/>
  <c r="U1951" i="23"/>
  <c r="U1952" i="23"/>
  <c r="U1953" i="23"/>
  <c r="U1954" i="23"/>
  <c r="U1955" i="23"/>
  <c r="U1956" i="23"/>
  <c r="U1957" i="23"/>
  <c r="U1958" i="23"/>
  <c r="U1959" i="23"/>
  <c r="U1960" i="23"/>
  <c r="U1961" i="23"/>
  <c r="U1962" i="23"/>
  <c r="U1963" i="23"/>
  <c r="U1964" i="23"/>
  <c r="U1965" i="23"/>
  <c r="U1966" i="23"/>
  <c r="U1967" i="23"/>
  <c r="U1968" i="23"/>
  <c r="U1969" i="23"/>
  <c r="U1970" i="23"/>
  <c r="U1971" i="23"/>
  <c r="U1972" i="23"/>
  <c r="U1973" i="23"/>
  <c r="U1974" i="23"/>
  <c r="U1975" i="23"/>
  <c r="U1976" i="23"/>
  <c r="U1977" i="23"/>
  <c r="U1978" i="23"/>
  <c r="U1979" i="23"/>
  <c r="U1980" i="23"/>
  <c r="U1981" i="23"/>
  <c r="U1982" i="23"/>
  <c r="U1983" i="23"/>
  <c r="U1984" i="23"/>
  <c r="U1985" i="23"/>
  <c r="U1986" i="23"/>
  <c r="U1987" i="23"/>
  <c r="U1988" i="23"/>
  <c r="U1989" i="23"/>
  <c r="U1990" i="23"/>
  <c r="U1991" i="23"/>
  <c r="U1992" i="23"/>
  <c r="U1993" i="23"/>
  <c r="U1994" i="23"/>
  <c r="U1995" i="23"/>
  <c r="U1996" i="23"/>
  <c r="U1997" i="23"/>
  <c r="U1998" i="23"/>
  <c r="U1999" i="23"/>
  <c r="U2000" i="23"/>
  <c r="U4" i="23"/>
  <c r="T5" i="23"/>
  <c r="T6" i="23"/>
  <c r="T7" i="23"/>
  <c r="T8" i="23"/>
  <c r="T9" i="23"/>
  <c r="T10" i="23"/>
  <c r="T11" i="23"/>
  <c r="T12" i="23"/>
  <c r="T13" i="23"/>
  <c r="T14" i="23"/>
  <c r="T15" i="23"/>
  <c r="T16" i="23"/>
  <c r="T17" i="23"/>
  <c r="T18" i="23"/>
  <c r="T19" i="23"/>
  <c r="T20" i="23"/>
  <c r="T21" i="23"/>
  <c r="T22" i="23"/>
  <c r="T23" i="23"/>
  <c r="T24" i="23"/>
  <c r="T25" i="23"/>
  <c r="T26" i="23"/>
  <c r="T27" i="23"/>
  <c r="T28" i="23"/>
  <c r="T29" i="23"/>
  <c r="T30" i="23"/>
  <c r="T31" i="23"/>
  <c r="T32" i="23"/>
  <c r="T33" i="23"/>
  <c r="T34" i="23"/>
  <c r="T35" i="23"/>
  <c r="T36" i="23"/>
  <c r="T37" i="23"/>
  <c r="T38" i="23"/>
  <c r="T39" i="23"/>
  <c r="T40" i="23"/>
  <c r="T41" i="23"/>
  <c r="T42" i="23"/>
  <c r="T43" i="23"/>
  <c r="T44" i="23"/>
  <c r="T45" i="23"/>
  <c r="T46" i="23"/>
  <c r="T47" i="23"/>
  <c r="T48" i="23"/>
  <c r="T49" i="23"/>
  <c r="T50" i="23"/>
  <c r="T51" i="23"/>
  <c r="T52" i="23"/>
  <c r="T53" i="23"/>
  <c r="T54" i="23"/>
  <c r="T55" i="23"/>
  <c r="T56" i="23"/>
  <c r="T57" i="23"/>
  <c r="T58" i="23"/>
  <c r="T59" i="23"/>
  <c r="T60" i="23"/>
  <c r="T61" i="23"/>
  <c r="T62" i="23"/>
  <c r="T63" i="23"/>
  <c r="T64" i="23"/>
  <c r="T65" i="23"/>
  <c r="T66" i="23"/>
  <c r="T67" i="23"/>
  <c r="T68" i="23"/>
  <c r="T69" i="23"/>
  <c r="T70" i="23"/>
  <c r="T71" i="23"/>
  <c r="T72" i="23"/>
  <c r="T73" i="23"/>
  <c r="T74" i="23"/>
  <c r="T75" i="23"/>
  <c r="T76" i="23"/>
  <c r="T77" i="23"/>
  <c r="T78" i="23"/>
  <c r="T79" i="23"/>
  <c r="T80" i="23"/>
  <c r="T81" i="23"/>
  <c r="T82" i="23"/>
  <c r="T83" i="23"/>
  <c r="T84" i="23"/>
  <c r="T85" i="23"/>
  <c r="T86" i="23"/>
  <c r="T87" i="23"/>
  <c r="T88" i="23"/>
  <c r="T89" i="23"/>
  <c r="T90" i="23"/>
  <c r="T91" i="23"/>
  <c r="T92" i="23"/>
  <c r="T93" i="23"/>
  <c r="T94" i="23"/>
  <c r="T95" i="23"/>
  <c r="T96" i="23"/>
  <c r="T97" i="23"/>
  <c r="T98" i="23"/>
  <c r="T99" i="23"/>
  <c r="T100" i="23"/>
  <c r="T101" i="23"/>
  <c r="T102" i="23"/>
  <c r="T103" i="23"/>
  <c r="T104" i="23"/>
  <c r="T105" i="23"/>
  <c r="T106" i="23"/>
  <c r="T107" i="23"/>
  <c r="T108" i="23"/>
  <c r="T109" i="23"/>
  <c r="T110" i="23"/>
  <c r="T111" i="23"/>
  <c r="T112" i="23"/>
  <c r="T113" i="23"/>
  <c r="T114" i="23"/>
  <c r="T115" i="23"/>
  <c r="T116" i="23"/>
  <c r="T117" i="23"/>
  <c r="T118" i="23"/>
  <c r="T119" i="23"/>
  <c r="T120" i="23"/>
  <c r="T121" i="23"/>
  <c r="T122" i="23"/>
  <c r="T123" i="23"/>
  <c r="T124" i="23"/>
  <c r="T125" i="23"/>
  <c r="T126" i="23"/>
  <c r="T127" i="23"/>
  <c r="T128" i="23"/>
  <c r="T129" i="23"/>
  <c r="T130" i="23"/>
  <c r="T131" i="23"/>
  <c r="T132" i="23"/>
  <c r="T133" i="23"/>
  <c r="T134" i="23"/>
  <c r="T135" i="23"/>
  <c r="T136" i="23"/>
  <c r="T137" i="23"/>
  <c r="T138" i="23"/>
  <c r="T139" i="23"/>
  <c r="T140" i="23"/>
  <c r="T141" i="23"/>
  <c r="T142" i="23"/>
  <c r="T143" i="23"/>
  <c r="T144" i="23"/>
  <c r="T145" i="23"/>
  <c r="T146" i="23"/>
  <c r="T147" i="23"/>
  <c r="T148" i="23"/>
  <c r="T149" i="23"/>
  <c r="T150" i="23"/>
  <c r="T151" i="23"/>
  <c r="T152" i="23"/>
  <c r="T153" i="23"/>
  <c r="T154" i="23"/>
  <c r="T155" i="23"/>
  <c r="T156" i="23"/>
  <c r="T157" i="23"/>
  <c r="T158" i="23"/>
  <c r="T159" i="23"/>
  <c r="T160" i="23"/>
  <c r="T161" i="23"/>
  <c r="T162" i="23"/>
  <c r="T163" i="23"/>
  <c r="T164" i="23"/>
  <c r="T165" i="23"/>
  <c r="T166" i="23"/>
  <c r="T167" i="23"/>
  <c r="T168" i="23"/>
  <c r="T169" i="23"/>
  <c r="T170" i="23"/>
  <c r="T171" i="23"/>
  <c r="T172" i="23"/>
  <c r="T173" i="23"/>
  <c r="T174" i="23"/>
  <c r="T175" i="23"/>
  <c r="T176" i="23"/>
  <c r="T177" i="23"/>
  <c r="T178" i="23"/>
  <c r="T179" i="23"/>
  <c r="T180" i="23"/>
  <c r="T181" i="23"/>
  <c r="T182" i="23"/>
  <c r="T183" i="23"/>
  <c r="T184" i="23"/>
  <c r="T185" i="23"/>
  <c r="T186" i="23"/>
  <c r="T187" i="23"/>
  <c r="T188" i="23"/>
  <c r="T189" i="23"/>
  <c r="T190" i="23"/>
  <c r="T191" i="23"/>
  <c r="T192" i="23"/>
  <c r="T193" i="23"/>
  <c r="T194" i="23"/>
  <c r="T195" i="23"/>
  <c r="T196" i="23"/>
  <c r="T197" i="23"/>
  <c r="T198" i="23"/>
  <c r="T199" i="23"/>
  <c r="T200" i="23"/>
  <c r="T201" i="23"/>
  <c r="T202" i="23"/>
  <c r="T203" i="23"/>
  <c r="T204" i="23"/>
  <c r="T205" i="23"/>
  <c r="T206" i="23"/>
  <c r="T207" i="23"/>
  <c r="T208" i="23"/>
  <c r="T209" i="23"/>
  <c r="T210" i="23"/>
  <c r="T211" i="23"/>
  <c r="T212" i="23"/>
  <c r="T213" i="23"/>
  <c r="T214" i="23"/>
  <c r="T215" i="23"/>
  <c r="T216" i="23"/>
  <c r="T217" i="23"/>
  <c r="T218" i="23"/>
  <c r="T219" i="23"/>
  <c r="T220" i="23"/>
  <c r="T221" i="23"/>
  <c r="T222" i="23"/>
  <c r="T223" i="23"/>
  <c r="T224" i="23"/>
  <c r="T225" i="23"/>
  <c r="T226" i="23"/>
  <c r="T227" i="23"/>
  <c r="T228" i="23"/>
  <c r="T229" i="23"/>
  <c r="T230" i="23"/>
  <c r="T231" i="23"/>
  <c r="T232" i="23"/>
  <c r="T233" i="23"/>
  <c r="T234" i="23"/>
  <c r="T235" i="23"/>
  <c r="T236" i="23"/>
  <c r="T237" i="23"/>
  <c r="T238" i="23"/>
  <c r="T239" i="23"/>
  <c r="T240" i="23"/>
  <c r="T241" i="23"/>
  <c r="T242" i="23"/>
  <c r="T243" i="23"/>
  <c r="T244" i="23"/>
  <c r="T245" i="23"/>
  <c r="T246" i="23"/>
  <c r="T247" i="23"/>
  <c r="T248" i="23"/>
  <c r="T249" i="23"/>
  <c r="T250" i="23"/>
  <c r="T251" i="23"/>
  <c r="T252" i="23"/>
  <c r="T253" i="23"/>
  <c r="T254" i="23"/>
  <c r="T255" i="23"/>
  <c r="T256" i="23"/>
  <c r="T257" i="23"/>
  <c r="T258" i="23"/>
  <c r="T259" i="23"/>
  <c r="T260" i="23"/>
  <c r="T261" i="23"/>
  <c r="T262" i="23"/>
  <c r="T263" i="23"/>
  <c r="T264" i="23"/>
  <c r="T265" i="23"/>
  <c r="T266" i="23"/>
  <c r="T267" i="23"/>
  <c r="T268" i="23"/>
  <c r="T269" i="23"/>
  <c r="T270" i="23"/>
  <c r="T271" i="23"/>
  <c r="T272" i="23"/>
  <c r="T273" i="23"/>
  <c r="T274" i="23"/>
  <c r="T275" i="23"/>
  <c r="T276" i="23"/>
  <c r="T277" i="23"/>
  <c r="T278" i="23"/>
  <c r="T279" i="23"/>
  <c r="T280" i="23"/>
  <c r="T281" i="23"/>
  <c r="T282" i="23"/>
  <c r="T283" i="23"/>
  <c r="T284" i="23"/>
  <c r="T285" i="23"/>
  <c r="T286" i="23"/>
  <c r="T287" i="23"/>
  <c r="T288" i="23"/>
  <c r="T289" i="23"/>
  <c r="T290" i="23"/>
  <c r="T291" i="23"/>
  <c r="T292" i="23"/>
  <c r="T293" i="23"/>
  <c r="T294" i="23"/>
  <c r="T295" i="23"/>
  <c r="T296" i="23"/>
  <c r="T297" i="23"/>
  <c r="T298" i="23"/>
  <c r="T299" i="23"/>
  <c r="T300" i="23"/>
  <c r="T301" i="23"/>
  <c r="T302" i="23"/>
  <c r="T303" i="23"/>
  <c r="T304" i="23"/>
  <c r="T305" i="23"/>
  <c r="T306" i="23"/>
  <c r="T307" i="23"/>
  <c r="T308" i="23"/>
  <c r="T309" i="23"/>
  <c r="T310" i="23"/>
  <c r="T311" i="23"/>
  <c r="T312" i="23"/>
  <c r="T313" i="23"/>
  <c r="T314" i="23"/>
  <c r="T315" i="23"/>
  <c r="T316" i="23"/>
  <c r="T317" i="23"/>
  <c r="T318" i="23"/>
  <c r="T319" i="23"/>
  <c r="T320" i="23"/>
  <c r="T321" i="23"/>
  <c r="T322" i="23"/>
  <c r="T323" i="23"/>
  <c r="T324" i="23"/>
  <c r="T325" i="23"/>
  <c r="T326" i="23"/>
  <c r="T327" i="23"/>
  <c r="T328" i="23"/>
  <c r="T329" i="23"/>
  <c r="T330" i="23"/>
  <c r="T331" i="23"/>
  <c r="T332" i="23"/>
  <c r="T333" i="23"/>
  <c r="T334" i="23"/>
  <c r="T335" i="23"/>
  <c r="T336" i="23"/>
  <c r="T337" i="23"/>
  <c r="T338" i="23"/>
  <c r="T339" i="23"/>
  <c r="T340" i="23"/>
  <c r="T341" i="23"/>
  <c r="T342" i="23"/>
  <c r="T343" i="23"/>
  <c r="T344" i="23"/>
  <c r="T345" i="23"/>
  <c r="T346" i="23"/>
  <c r="T347" i="23"/>
  <c r="T348" i="23"/>
  <c r="T349" i="23"/>
  <c r="T350" i="23"/>
  <c r="T351" i="23"/>
  <c r="T352" i="23"/>
  <c r="T353" i="23"/>
  <c r="T354" i="23"/>
  <c r="T355" i="23"/>
  <c r="T356" i="23"/>
  <c r="T357" i="23"/>
  <c r="T358" i="23"/>
  <c r="T359" i="23"/>
  <c r="T360" i="23"/>
  <c r="T361" i="23"/>
  <c r="T362" i="23"/>
  <c r="T363" i="23"/>
  <c r="T364" i="23"/>
  <c r="T365" i="23"/>
  <c r="T366" i="23"/>
  <c r="T367" i="23"/>
  <c r="T368" i="23"/>
  <c r="T369" i="23"/>
  <c r="T370" i="23"/>
  <c r="T371" i="23"/>
  <c r="T372" i="23"/>
  <c r="T373" i="23"/>
  <c r="T374" i="23"/>
  <c r="T375" i="23"/>
  <c r="T376" i="23"/>
  <c r="T377" i="23"/>
  <c r="T378" i="23"/>
  <c r="T379" i="23"/>
  <c r="T380" i="23"/>
  <c r="T381" i="23"/>
  <c r="T382" i="23"/>
  <c r="T383" i="23"/>
  <c r="T384" i="23"/>
  <c r="T385" i="23"/>
  <c r="T386" i="23"/>
  <c r="T387" i="23"/>
  <c r="T388" i="23"/>
  <c r="T389" i="23"/>
  <c r="T390" i="23"/>
  <c r="T391" i="23"/>
  <c r="T392" i="23"/>
  <c r="T393" i="23"/>
  <c r="T394" i="23"/>
  <c r="T395" i="23"/>
  <c r="T396" i="23"/>
  <c r="T397" i="23"/>
  <c r="T398" i="23"/>
  <c r="T399" i="23"/>
  <c r="T400" i="23"/>
  <c r="T401" i="23"/>
  <c r="T402" i="23"/>
  <c r="T403" i="23"/>
  <c r="T404" i="23"/>
  <c r="T405" i="23"/>
  <c r="T406" i="23"/>
  <c r="T407" i="23"/>
  <c r="T408" i="23"/>
  <c r="T409" i="23"/>
  <c r="T410" i="23"/>
  <c r="T411" i="23"/>
  <c r="T412" i="23"/>
  <c r="T413" i="23"/>
  <c r="T414" i="23"/>
  <c r="T415" i="23"/>
  <c r="T416" i="23"/>
  <c r="T417" i="23"/>
  <c r="T418" i="23"/>
  <c r="T419" i="23"/>
  <c r="T420" i="23"/>
  <c r="T421" i="23"/>
  <c r="T422" i="23"/>
  <c r="T423" i="23"/>
  <c r="T424" i="23"/>
  <c r="T425" i="23"/>
  <c r="T426" i="23"/>
  <c r="T427" i="23"/>
  <c r="T428" i="23"/>
  <c r="T429" i="23"/>
  <c r="T430" i="23"/>
  <c r="T431" i="23"/>
  <c r="T432" i="23"/>
  <c r="T433" i="23"/>
  <c r="T434" i="23"/>
  <c r="T435" i="23"/>
  <c r="T436" i="23"/>
  <c r="T437" i="23"/>
  <c r="T438" i="23"/>
  <c r="T439" i="23"/>
  <c r="T440" i="23"/>
  <c r="T441" i="23"/>
  <c r="T442" i="23"/>
  <c r="T443" i="23"/>
  <c r="T444" i="23"/>
  <c r="T445" i="23"/>
  <c r="T446" i="23"/>
  <c r="T447" i="23"/>
  <c r="T448" i="23"/>
  <c r="T449" i="23"/>
  <c r="T450" i="23"/>
  <c r="T451" i="23"/>
  <c r="T452" i="23"/>
  <c r="T453" i="23"/>
  <c r="T454" i="23"/>
  <c r="T455" i="23"/>
  <c r="T456" i="23"/>
  <c r="T457" i="23"/>
  <c r="T458" i="23"/>
  <c r="T459" i="23"/>
  <c r="T460" i="23"/>
  <c r="T461" i="23"/>
  <c r="T462" i="23"/>
  <c r="T463" i="23"/>
  <c r="T464" i="23"/>
  <c r="T465" i="23"/>
  <c r="T466" i="23"/>
  <c r="T467" i="23"/>
  <c r="T468" i="23"/>
  <c r="T469" i="23"/>
  <c r="T470" i="23"/>
  <c r="T471" i="23"/>
  <c r="T472" i="23"/>
  <c r="T473" i="23"/>
  <c r="T474" i="23"/>
  <c r="T475" i="23"/>
  <c r="T476" i="23"/>
  <c r="T477" i="23"/>
  <c r="T478" i="23"/>
  <c r="T479" i="23"/>
  <c r="T480" i="23"/>
  <c r="T481" i="23"/>
  <c r="T482" i="23"/>
  <c r="T483" i="23"/>
  <c r="T484" i="23"/>
  <c r="T485" i="23"/>
  <c r="T486" i="23"/>
  <c r="T487" i="23"/>
  <c r="T488" i="23"/>
  <c r="T489" i="23"/>
  <c r="T490" i="23"/>
  <c r="T491" i="23"/>
  <c r="T492" i="23"/>
  <c r="T493" i="23"/>
  <c r="T494" i="23"/>
  <c r="T495" i="23"/>
  <c r="T496" i="23"/>
  <c r="T497" i="23"/>
  <c r="T498" i="23"/>
  <c r="T499" i="23"/>
  <c r="T500" i="23"/>
  <c r="T501" i="23"/>
  <c r="T502" i="23"/>
  <c r="T503" i="23"/>
  <c r="T504" i="23"/>
  <c r="T505" i="23"/>
  <c r="T506" i="23"/>
  <c r="T507" i="23"/>
  <c r="T508" i="23"/>
  <c r="T509" i="23"/>
  <c r="T510" i="23"/>
  <c r="T511" i="23"/>
  <c r="T512" i="23"/>
  <c r="T513" i="23"/>
  <c r="T514" i="23"/>
  <c r="T515" i="23"/>
  <c r="T516" i="23"/>
  <c r="T517" i="23"/>
  <c r="T518" i="23"/>
  <c r="T519" i="23"/>
  <c r="T520" i="23"/>
  <c r="T521" i="23"/>
  <c r="T522" i="23"/>
  <c r="T523" i="23"/>
  <c r="T524" i="23"/>
  <c r="T525" i="23"/>
  <c r="T526" i="23"/>
  <c r="T527" i="23"/>
  <c r="T528" i="23"/>
  <c r="T529" i="23"/>
  <c r="T530" i="23"/>
  <c r="T531" i="23"/>
  <c r="T532" i="23"/>
  <c r="T533" i="23"/>
  <c r="T534" i="23"/>
  <c r="T535" i="23"/>
  <c r="T536" i="23"/>
  <c r="T537" i="23"/>
  <c r="T538" i="23"/>
  <c r="T539" i="23"/>
  <c r="T540" i="23"/>
  <c r="T541" i="23"/>
  <c r="T542" i="23"/>
  <c r="T543" i="23"/>
  <c r="T544" i="23"/>
  <c r="T545" i="23"/>
  <c r="T546" i="23"/>
  <c r="T547" i="23"/>
  <c r="T548" i="23"/>
  <c r="T549" i="23"/>
  <c r="T550" i="23"/>
  <c r="T551" i="23"/>
  <c r="T552" i="23"/>
  <c r="T553" i="23"/>
  <c r="T554" i="23"/>
  <c r="T555" i="23"/>
  <c r="T556" i="23"/>
  <c r="T557" i="23"/>
  <c r="T558" i="23"/>
  <c r="T559" i="23"/>
  <c r="T560" i="23"/>
  <c r="T561" i="23"/>
  <c r="T562" i="23"/>
  <c r="T563" i="23"/>
  <c r="T564" i="23"/>
  <c r="T565" i="23"/>
  <c r="T566" i="23"/>
  <c r="T567" i="23"/>
  <c r="T568" i="23"/>
  <c r="T569" i="23"/>
  <c r="T570" i="23"/>
  <c r="T571" i="23"/>
  <c r="T572" i="23"/>
  <c r="T573" i="23"/>
  <c r="T574" i="23"/>
  <c r="T575" i="23"/>
  <c r="T576" i="23"/>
  <c r="T577" i="23"/>
  <c r="T578" i="23"/>
  <c r="T579" i="23"/>
  <c r="T580" i="23"/>
  <c r="T581" i="23"/>
  <c r="T582" i="23"/>
  <c r="T583" i="23"/>
  <c r="T584" i="23"/>
  <c r="T585" i="23"/>
  <c r="T586" i="23"/>
  <c r="T587" i="23"/>
  <c r="T588" i="23"/>
  <c r="T589" i="23"/>
  <c r="T590" i="23"/>
  <c r="T591" i="23"/>
  <c r="T592" i="23"/>
  <c r="T593" i="23"/>
  <c r="T594" i="23"/>
  <c r="T595" i="23"/>
  <c r="T596" i="23"/>
  <c r="T597" i="23"/>
  <c r="T598" i="23"/>
  <c r="T599" i="23"/>
  <c r="T600" i="23"/>
  <c r="T601" i="23"/>
  <c r="T602" i="23"/>
  <c r="T603" i="23"/>
  <c r="T604" i="23"/>
  <c r="T605" i="23"/>
  <c r="T606" i="23"/>
  <c r="T607" i="23"/>
  <c r="T608" i="23"/>
  <c r="T609" i="23"/>
  <c r="T610" i="23"/>
  <c r="T611" i="23"/>
  <c r="T612" i="23"/>
  <c r="T613" i="23"/>
  <c r="T614" i="23"/>
  <c r="T615" i="23"/>
  <c r="T616" i="23"/>
  <c r="T617" i="23"/>
  <c r="T618" i="23"/>
  <c r="T619" i="23"/>
  <c r="T620" i="23"/>
  <c r="T621" i="23"/>
  <c r="T622" i="23"/>
  <c r="T623" i="23"/>
  <c r="T624" i="23"/>
  <c r="T625" i="23"/>
  <c r="T626" i="23"/>
  <c r="T627" i="23"/>
  <c r="T628" i="23"/>
  <c r="T629" i="23"/>
  <c r="T630" i="23"/>
  <c r="T631" i="23"/>
  <c r="T632" i="23"/>
  <c r="T633" i="23"/>
  <c r="T634" i="23"/>
  <c r="T635" i="23"/>
  <c r="T636" i="23"/>
  <c r="T637" i="23"/>
  <c r="T638" i="23"/>
  <c r="T639" i="23"/>
  <c r="T640" i="23"/>
  <c r="T641" i="23"/>
  <c r="T642" i="23"/>
  <c r="T643" i="23"/>
  <c r="T644" i="23"/>
  <c r="T645" i="23"/>
  <c r="T646" i="23"/>
  <c r="T647" i="23"/>
  <c r="T648" i="23"/>
  <c r="T649" i="23"/>
  <c r="T650" i="23"/>
  <c r="T651" i="23"/>
  <c r="T652" i="23"/>
  <c r="T653" i="23"/>
  <c r="T654" i="23"/>
  <c r="T655" i="23"/>
  <c r="T656" i="23"/>
  <c r="T657" i="23"/>
  <c r="T658" i="23"/>
  <c r="T659" i="23"/>
  <c r="T660" i="23"/>
  <c r="T661" i="23"/>
  <c r="T662" i="23"/>
  <c r="T663" i="23"/>
  <c r="T664" i="23"/>
  <c r="T665" i="23"/>
  <c r="T666" i="23"/>
  <c r="T667" i="23"/>
  <c r="T668" i="23"/>
  <c r="T669" i="23"/>
  <c r="T670" i="23"/>
  <c r="T671" i="23"/>
  <c r="T672" i="23"/>
  <c r="T673" i="23"/>
  <c r="T674" i="23"/>
  <c r="T675" i="23"/>
  <c r="T676" i="23"/>
  <c r="T677" i="23"/>
  <c r="T678" i="23"/>
  <c r="T679" i="23"/>
  <c r="T680" i="23"/>
  <c r="T681" i="23"/>
  <c r="T682" i="23"/>
  <c r="T683" i="23"/>
  <c r="T684" i="23"/>
  <c r="T685" i="23"/>
  <c r="T686" i="23"/>
  <c r="T687" i="23"/>
  <c r="T688" i="23"/>
  <c r="T689" i="23"/>
  <c r="T690" i="23"/>
  <c r="T691" i="23"/>
  <c r="T692" i="23"/>
  <c r="T693" i="23"/>
  <c r="T694" i="23"/>
  <c r="T695" i="23"/>
  <c r="T696" i="23"/>
  <c r="T697" i="23"/>
  <c r="T698" i="23"/>
  <c r="T699" i="23"/>
  <c r="T700" i="23"/>
  <c r="T701" i="23"/>
  <c r="T702" i="23"/>
  <c r="T703" i="23"/>
  <c r="T704" i="23"/>
  <c r="T705" i="23"/>
  <c r="T706" i="23"/>
  <c r="T707" i="23"/>
  <c r="T708" i="23"/>
  <c r="T709" i="23"/>
  <c r="T710" i="23"/>
  <c r="T711" i="23"/>
  <c r="T712" i="23"/>
  <c r="T713" i="23"/>
  <c r="T714" i="23"/>
  <c r="T715" i="23"/>
  <c r="T716" i="23"/>
  <c r="T717" i="23"/>
  <c r="T718" i="23"/>
  <c r="T719" i="23"/>
  <c r="T720" i="23"/>
  <c r="T721" i="23"/>
  <c r="T722" i="23"/>
  <c r="T723" i="23"/>
  <c r="T724" i="23"/>
  <c r="T725" i="23"/>
  <c r="T726" i="23"/>
  <c r="T727" i="23"/>
  <c r="T728" i="23"/>
  <c r="T729" i="23"/>
  <c r="T730" i="23"/>
  <c r="T731" i="23"/>
  <c r="T732" i="23"/>
  <c r="T733" i="23"/>
  <c r="T734" i="23"/>
  <c r="T735" i="23"/>
  <c r="T736" i="23"/>
  <c r="T737" i="23"/>
  <c r="T738" i="23"/>
  <c r="T739" i="23"/>
  <c r="T740" i="23"/>
  <c r="T741" i="23"/>
  <c r="T742" i="23"/>
  <c r="T743" i="23"/>
  <c r="T744" i="23"/>
  <c r="T745" i="23"/>
  <c r="T746" i="23"/>
  <c r="T747" i="23"/>
  <c r="T748" i="23"/>
  <c r="T749" i="23"/>
  <c r="T750" i="23"/>
  <c r="T751" i="23"/>
  <c r="T752" i="23"/>
  <c r="T753" i="23"/>
  <c r="T754" i="23"/>
  <c r="T755" i="23"/>
  <c r="T756" i="23"/>
  <c r="T757" i="23"/>
  <c r="T758" i="23"/>
  <c r="T759" i="23"/>
  <c r="T760" i="23"/>
  <c r="T761" i="23"/>
  <c r="T762" i="23"/>
  <c r="T763" i="23"/>
  <c r="T764" i="23"/>
  <c r="T765" i="23"/>
  <c r="T766" i="23"/>
  <c r="T767" i="23"/>
  <c r="T768" i="23"/>
  <c r="T769" i="23"/>
  <c r="T770" i="23"/>
  <c r="T771" i="23"/>
  <c r="T772" i="23"/>
  <c r="T773" i="23"/>
  <c r="T774" i="23"/>
  <c r="T775" i="23"/>
  <c r="T776" i="23"/>
  <c r="T777" i="23"/>
  <c r="T778" i="23"/>
  <c r="T779" i="23"/>
  <c r="T780" i="23"/>
  <c r="T781" i="23"/>
  <c r="T782" i="23"/>
  <c r="T783" i="23"/>
  <c r="T784" i="23"/>
  <c r="T785" i="23"/>
  <c r="T786" i="23"/>
  <c r="T787" i="23"/>
  <c r="T788" i="23"/>
  <c r="T789" i="23"/>
  <c r="T790" i="23"/>
  <c r="T791" i="23"/>
  <c r="T792" i="23"/>
  <c r="T793" i="23"/>
  <c r="T794" i="23"/>
  <c r="T795" i="23"/>
  <c r="T796" i="23"/>
  <c r="T797" i="23"/>
  <c r="T798" i="23"/>
  <c r="T799" i="23"/>
  <c r="T800" i="23"/>
  <c r="T801" i="23"/>
  <c r="T802" i="23"/>
  <c r="T803" i="23"/>
  <c r="T804" i="23"/>
  <c r="T805" i="23"/>
  <c r="T806" i="23"/>
  <c r="T807" i="23"/>
  <c r="T808" i="23"/>
  <c r="T809" i="23"/>
  <c r="T810" i="23"/>
  <c r="T811" i="23"/>
  <c r="T812" i="23"/>
  <c r="T813" i="23"/>
  <c r="T814" i="23"/>
  <c r="T815" i="23"/>
  <c r="T816" i="23"/>
  <c r="T817" i="23"/>
  <c r="T818" i="23"/>
  <c r="T819" i="23"/>
  <c r="T820" i="23"/>
  <c r="T821" i="23"/>
  <c r="T822" i="23"/>
  <c r="T823" i="23"/>
  <c r="T824" i="23"/>
  <c r="T825" i="23"/>
  <c r="T826" i="23"/>
  <c r="T827" i="23"/>
  <c r="T828" i="23"/>
  <c r="T829" i="23"/>
  <c r="T830" i="23"/>
  <c r="T831" i="23"/>
  <c r="T832" i="23"/>
  <c r="T833" i="23"/>
  <c r="T834" i="23"/>
  <c r="T835" i="23"/>
  <c r="T836" i="23"/>
  <c r="T837" i="23"/>
  <c r="T838" i="23"/>
  <c r="T839" i="23"/>
  <c r="T840" i="23"/>
  <c r="T841" i="23"/>
  <c r="T842" i="23"/>
  <c r="T843" i="23"/>
  <c r="T844" i="23"/>
  <c r="T845" i="23"/>
  <c r="T846" i="23"/>
  <c r="T847" i="23"/>
  <c r="T848" i="23"/>
  <c r="T849" i="23"/>
  <c r="T850" i="23"/>
  <c r="T851" i="23"/>
  <c r="T852" i="23"/>
  <c r="T853" i="23"/>
  <c r="T854" i="23"/>
  <c r="T855" i="23"/>
  <c r="T856" i="23"/>
  <c r="T857" i="23"/>
  <c r="T858" i="23"/>
  <c r="T859" i="23"/>
  <c r="T860" i="23"/>
  <c r="T861" i="23"/>
  <c r="T862" i="23"/>
  <c r="T863" i="23"/>
  <c r="T864" i="23"/>
  <c r="T865" i="23"/>
  <c r="T866" i="23"/>
  <c r="T867" i="23"/>
  <c r="T868" i="23"/>
  <c r="T869" i="23"/>
  <c r="T870" i="23"/>
  <c r="T871" i="23"/>
  <c r="T872" i="23"/>
  <c r="T873" i="23"/>
  <c r="T874" i="23"/>
  <c r="T875" i="23"/>
  <c r="T876" i="23"/>
  <c r="T877" i="23"/>
  <c r="T878" i="23"/>
  <c r="T879" i="23"/>
  <c r="T880" i="23"/>
  <c r="T881" i="23"/>
  <c r="T882" i="23"/>
  <c r="T883" i="23"/>
  <c r="T884" i="23"/>
  <c r="T885" i="23"/>
  <c r="T886" i="23"/>
  <c r="T887" i="23"/>
  <c r="T888" i="23"/>
  <c r="T889" i="23"/>
  <c r="T890" i="23"/>
  <c r="T891" i="23"/>
  <c r="T892" i="23"/>
  <c r="T893" i="23"/>
  <c r="T894" i="23"/>
  <c r="T895" i="23"/>
  <c r="T896" i="23"/>
  <c r="T897" i="23"/>
  <c r="T898" i="23"/>
  <c r="T899" i="23"/>
  <c r="T900" i="23"/>
  <c r="T901" i="23"/>
  <c r="T902" i="23"/>
  <c r="T903" i="23"/>
  <c r="T904" i="23"/>
  <c r="T905" i="23"/>
  <c r="T906" i="23"/>
  <c r="T907" i="23"/>
  <c r="T908" i="23"/>
  <c r="T909" i="23"/>
  <c r="T910" i="23"/>
  <c r="T911" i="23"/>
  <c r="T912" i="23"/>
  <c r="T913" i="23"/>
  <c r="T914" i="23"/>
  <c r="T915" i="23"/>
  <c r="T916" i="23"/>
  <c r="T917" i="23"/>
  <c r="T918" i="23"/>
  <c r="T919" i="23"/>
  <c r="T920" i="23"/>
  <c r="T921" i="23"/>
  <c r="T922" i="23"/>
  <c r="T923" i="23"/>
  <c r="T924" i="23"/>
  <c r="T925" i="23"/>
  <c r="T926" i="23"/>
  <c r="T927" i="23"/>
  <c r="T928" i="23"/>
  <c r="T929" i="23"/>
  <c r="T930" i="23"/>
  <c r="T931" i="23"/>
  <c r="T932" i="23"/>
  <c r="T933" i="23"/>
  <c r="T934" i="23"/>
  <c r="T935" i="23"/>
  <c r="T936" i="23"/>
  <c r="T937" i="23"/>
  <c r="T938" i="23"/>
  <c r="T939" i="23"/>
  <c r="T940" i="23"/>
  <c r="T941" i="23"/>
  <c r="T942" i="23"/>
  <c r="T943" i="23"/>
  <c r="T944" i="23"/>
  <c r="T945" i="23"/>
  <c r="T946" i="23"/>
  <c r="T947" i="23"/>
  <c r="T948" i="23"/>
  <c r="T949" i="23"/>
  <c r="T950" i="23"/>
  <c r="T951" i="23"/>
  <c r="T952" i="23"/>
  <c r="T953" i="23"/>
  <c r="T954" i="23"/>
  <c r="T955" i="23"/>
  <c r="T956" i="23"/>
  <c r="T957" i="23"/>
  <c r="T958" i="23"/>
  <c r="T959" i="23"/>
  <c r="T960" i="23"/>
  <c r="T961" i="23"/>
  <c r="T962" i="23"/>
  <c r="T963" i="23"/>
  <c r="T964" i="23"/>
  <c r="T965" i="23"/>
  <c r="T966" i="23"/>
  <c r="T967" i="23"/>
  <c r="T968" i="23"/>
  <c r="T969" i="23"/>
  <c r="T970" i="23"/>
  <c r="T971" i="23"/>
  <c r="T972" i="23"/>
  <c r="T973" i="23"/>
  <c r="T974" i="23"/>
  <c r="T975" i="23"/>
  <c r="T976" i="23"/>
  <c r="T977" i="23"/>
  <c r="T978" i="23"/>
  <c r="T979" i="23"/>
  <c r="T980" i="23"/>
  <c r="T981" i="23"/>
  <c r="T982" i="23"/>
  <c r="T983" i="23"/>
  <c r="T984" i="23"/>
  <c r="T985" i="23"/>
  <c r="T986" i="23"/>
  <c r="T987" i="23"/>
  <c r="T988" i="23"/>
  <c r="T989" i="23"/>
  <c r="T990" i="23"/>
  <c r="T991" i="23"/>
  <c r="T992" i="23"/>
  <c r="T993" i="23"/>
  <c r="T994" i="23"/>
  <c r="T995" i="23"/>
  <c r="T996" i="23"/>
  <c r="T997" i="23"/>
  <c r="T998" i="23"/>
  <c r="T999" i="23"/>
  <c r="T1000" i="23"/>
  <c r="T1001" i="23"/>
  <c r="T1002" i="23"/>
  <c r="T1003" i="23"/>
  <c r="T1004" i="23"/>
  <c r="T1005" i="23"/>
  <c r="T1006" i="23"/>
  <c r="T1007" i="23"/>
  <c r="T1008" i="23"/>
  <c r="T1009" i="23"/>
  <c r="T1010" i="23"/>
  <c r="T1011" i="23"/>
  <c r="T1012" i="23"/>
  <c r="T1013" i="23"/>
  <c r="T1014" i="23"/>
  <c r="T1015" i="23"/>
  <c r="T1016" i="23"/>
  <c r="T1017" i="23"/>
  <c r="T1018" i="23"/>
  <c r="T1019" i="23"/>
  <c r="T1020" i="23"/>
  <c r="T1021" i="23"/>
  <c r="T1022" i="23"/>
  <c r="T1023" i="23"/>
  <c r="T1024" i="23"/>
  <c r="T1025" i="23"/>
  <c r="T1026" i="23"/>
  <c r="T1027" i="23"/>
  <c r="T1028" i="23"/>
  <c r="T1029" i="23"/>
  <c r="T1030" i="23"/>
  <c r="T1031" i="23"/>
  <c r="T1032" i="23"/>
  <c r="T1033" i="23"/>
  <c r="T1034" i="23"/>
  <c r="T1035" i="23"/>
  <c r="T1036" i="23"/>
  <c r="T1037" i="23"/>
  <c r="T1038" i="23"/>
  <c r="T1039" i="23"/>
  <c r="T1040" i="23"/>
  <c r="T1041" i="23"/>
  <c r="T1042" i="23"/>
  <c r="T1043" i="23"/>
  <c r="T1044" i="23"/>
  <c r="T1045" i="23"/>
  <c r="T1046" i="23"/>
  <c r="T1047" i="23"/>
  <c r="T1048" i="23"/>
  <c r="T1049" i="23"/>
  <c r="T1050" i="23"/>
  <c r="T1051" i="23"/>
  <c r="T1052" i="23"/>
  <c r="T1053" i="23"/>
  <c r="T1054" i="23"/>
  <c r="T1055" i="23"/>
  <c r="T1056" i="23"/>
  <c r="T1057" i="23"/>
  <c r="T1058" i="23"/>
  <c r="T1059" i="23"/>
  <c r="T1060" i="23"/>
  <c r="T1061" i="23"/>
  <c r="T1062" i="23"/>
  <c r="T1063" i="23"/>
  <c r="T1064" i="23"/>
  <c r="T1065" i="23"/>
  <c r="T1066" i="23"/>
  <c r="T1067" i="23"/>
  <c r="T1068" i="23"/>
  <c r="T1069" i="23"/>
  <c r="T1070" i="23"/>
  <c r="T1071" i="23"/>
  <c r="T1072" i="23"/>
  <c r="T1073" i="23"/>
  <c r="T1074" i="23"/>
  <c r="T1075" i="23"/>
  <c r="T1076" i="23"/>
  <c r="T1077" i="23"/>
  <c r="T1078" i="23"/>
  <c r="T1079" i="23"/>
  <c r="T1080" i="23"/>
  <c r="T1081" i="23"/>
  <c r="T1082" i="23"/>
  <c r="T1083" i="23"/>
  <c r="T1084" i="23"/>
  <c r="T1085" i="23"/>
  <c r="T1086" i="23"/>
  <c r="T1087" i="23"/>
  <c r="T1088" i="23"/>
  <c r="T1089" i="23"/>
  <c r="T1090" i="23"/>
  <c r="T1091" i="23"/>
  <c r="T1092" i="23"/>
  <c r="T1093" i="23"/>
  <c r="T1094" i="23"/>
  <c r="T1095" i="23"/>
  <c r="T1096" i="23"/>
  <c r="T1097" i="23"/>
  <c r="T1098" i="23"/>
  <c r="T1099" i="23"/>
  <c r="T1100" i="23"/>
  <c r="T1101" i="23"/>
  <c r="T1102" i="23"/>
  <c r="T1103" i="23"/>
  <c r="T1104" i="23"/>
  <c r="T1105" i="23"/>
  <c r="T1106" i="23"/>
  <c r="T1107" i="23"/>
  <c r="T1108" i="23"/>
  <c r="T1109" i="23"/>
  <c r="T1110" i="23"/>
  <c r="T1111" i="23"/>
  <c r="T1112" i="23"/>
  <c r="T1113" i="23"/>
  <c r="T1114" i="23"/>
  <c r="T1115" i="23"/>
  <c r="T1116" i="23"/>
  <c r="T1117" i="23"/>
  <c r="T1118" i="23"/>
  <c r="T1119" i="23"/>
  <c r="T1120" i="23"/>
  <c r="T1121" i="23"/>
  <c r="T1122" i="23"/>
  <c r="T1123" i="23"/>
  <c r="T1124" i="23"/>
  <c r="T1125" i="23"/>
  <c r="T1126" i="23"/>
  <c r="T1127" i="23"/>
  <c r="T1128" i="23"/>
  <c r="T1129" i="23"/>
  <c r="T1130" i="23"/>
  <c r="T1131" i="23"/>
  <c r="T1132" i="23"/>
  <c r="T1133" i="23"/>
  <c r="T1134" i="23"/>
  <c r="T1135" i="23"/>
  <c r="T1136" i="23"/>
  <c r="T1137" i="23"/>
  <c r="T1138" i="23"/>
  <c r="T1139" i="23"/>
  <c r="T1140" i="23"/>
  <c r="T1141" i="23"/>
  <c r="T1142" i="23"/>
  <c r="T1143" i="23"/>
  <c r="T1144" i="23"/>
  <c r="T1145" i="23"/>
  <c r="T1146" i="23"/>
  <c r="T1147" i="23"/>
  <c r="T1148" i="23"/>
  <c r="T1149" i="23"/>
  <c r="T1150" i="23"/>
  <c r="T1151" i="23"/>
  <c r="T1152" i="23"/>
  <c r="T1153" i="23"/>
  <c r="T1154" i="23"/>
  <c r="T1155" i="23"/>
  <c r="T1156" i="23"/>
  <c r="T1157" i="23"/>
  <c r="T1158" i="23"/>
  <c r="T1159" i="23"/>
  <c r="T1160" i="23"/>
  <c r="T1161" i="23"/>
  <c r="T1162" i="23"/>
  <c r="T1163" i="23"/>
  <c r="T1164" i="23"/>
  <c r="T1165" i="23"/>
  <c r="T1166" i="23"/>
  <c r="T1167" i="23"/>
  <c r="T1168" i="23"/>
  <c r="T1169" i="23"/>
  <c r="T1170" i="23"/>
  <c r="T1171" i="23"/>
  <c r="T1172" i="23"/>
  <c r="T1173" i="23"/>
  <c r="T1174" i="23"/>
  <c r="T1175" i="23"/>
  <c r="T1176" i="23"/>
  <c r="T1177" i="23"/>
  <c r="T1178" i="23"/>
  <c r="T1179" i="23"/>
  <c r="T1180" i="23"/>
  <c r="T1181" i="23"/>
  <c r="T1182" i="23"/>
  <c r="T1183" i="23"/>
  <c r="T1184" i="23"/>
  <c r="T1185" i="23"/>
  <c r="T1186" i="23"/>
  <c r="T1187" i="23"/>
  <c r="T1188" i="23"/>
  <c r="T1189" i="23"/>
  <c r="T1190" i="23"/>
  <c r="T1191" i="23"/>
  <c r="T1192" i="23"/>
  <c r="T1193" i="23"/>
  <c r="T1194" i="23"/>
  <c r="T1195" i="23"/>
  <c r="T1196" i="23"/>
  <c r="T1197" i="23"/>
  <c r="T1198" i="23"/>
  <c r="T1199" i="23"/>
  <c r="T1200" i="23"/>
  <c r="T1201" i="23"/>
  <c r="T1202" i="23"/>
  <c r="T1203" i="23"/>
  <c r="T1204" i="23"/>
  <c r="T1205" i="23"/>
  <c r="T1206" i="23"/>
  <c r="T1207" i="23"/>
  <c r="T1208" i="23"/>
  <c r="T1209" i="23"/>
  <c r="T1210" i="23"/>
  <c r="T1211" i="23"/>
  <c r="T1212" i="23"/>
  <c r="T1213" i="23"/>
  <c r="T1214" i="23"/>
  <c r="T1215" i="23"/>
  <c r="T1216" i="23"/>
  <c r="T1217" i="23"/>
  <c r="T1218" i="23"/>
  <c r="T1219" i="23"/>
  <c r="T1220" i="23"/>
  <c r="T1221" i="23"/>
  <c r="T1222" i="23"/>
  <c r="T1223" i="23"/>
  <c r="T1224" i="23"/>
  <c r="T1225" i="23"/>
  <c r="T1226" i="23"/>
  <c r="T1227" i="23"/>
  <c r="T1228" i="23"/>
  <c r="T1229" i="23"/>
  <c r="T1230" i="23"/>
  <c r="T1231" i="23"/>
  <c r="T1232" i="23"/>
  <c r="T1233" i="23"/>
  <c r="T1234" i="23"/>
  <c r="T1235" i="23"/>
  <c r="T1236" i="23"/>
  <c r="T1237" i="23"/>
  <c r="T1238" i="23"/>
  <c r="T1239" i="23"/>
  <c r="T1240" i="23"/>
  <c r="T1241" i="23"/>
  <c r="T1242" i="23"/>
  <c r="T1243" i="23"/>
  <c r="T1244" i="23"/>
  <c r="T1245" i="23"/>
  <c r="T1246" i="23"/>
  <c r="T1247" i="23"/>
  <c r="T1248" i="23"/>
  <c r="T1249" i="23"/>
  <c r="T1250" i="23"/>
  <c r="T1251" i="23"/>
  <c r="T1252" i="23"/>
  <c r="T1253" i="23"/>
  <c r="T1254" i="23"/>
  <c r="T1255" i="23"/>
  <c r="T1256" i="23"/>
  <c r="T1257" i="23"/>
  <c r="T1258" i="23"/>
  <c r="T1259" i="23"/>
  <c r="T1260" i="23"/>
  <c r="T1261" i="23"/>
  <c r="T1262" i="23"/>
  <c r="T1263" i="23"/>
  <c r="T1264" i="23"/>
  <c r="T1265" i="23"/>
  <c r="T1266" i="23"/>
  <c r="T1267" i="23"/>
  <c r="T1268" i="23"/>
  <c r="T1269" i="23"/>
  <c r="T1270" i="23"/>
  <c r="T1271" i="23"/>
  <c r="T1272" i="23"/>
  <c r="T1273" i="23"/>
  <c r="T1274" i="23"/>
  <c r="T1275" i="23"/>
  <c r="T1276" i="23"/>
  <c r="T1277" i="23"/>
  <c r="T1278" i="23"/>
  <c r="T1279" i="23"/>
  <c r="T1280" i="23"/>
  <c r="T1281" i="23"/>
  <c r="T1282" i="23"/>
  <c r="T1283" i="23"/>
  <c r="T1284" i="23"/>
  <c r="T1285" i="23"/>
  <c r="T1286" i="23"/>
  <c r="T1287" i="23"/>
  <c r="T1288" i="23"/>
  <c r="T1289" i="23"/>
  <c r="T1290" i="23"/>
  <c r="T1291" i="23"/>
  <c r="T1292" i="23"/>
  <c r="T1293" i="23"/>
  <c r="T1294" i="23"/>
  <c r="T1295" i="23"/>
  <c r="T1296" i="23"/>
  <c r="T1297" i="23"/>
  <c r="T1298" i="23"/>
  <c r="T1299" i="23"/>
  <c r="T1300" i="23"/>
  <c r="T1301" i="23"/>
  <c r="T1302" i="23"/>
  <c r="T1303" i="23"/>
  <c r="T1304" i="23"/>
  <c r="T1305" i="23"/>
  <c r="T1306" i="23"/>
  <c r="T1307" i="23"/>
  <c r="T1308" i="23"/>
  <c r="T1309" i="23"/>
  <c r="T1310" i="23"/>
  <c r="T1311" i="23"/>
  <c r="T1312" i="23"/>
  <c r="T1313" i="23"/>
  <c r="T1314" i="23"/>
  <c r="T1315" i="23"/>
  <c r="T1316" i="23"/>
  <c r="T1317" i="23"/>
  <c r="T1318" i="23"/>
  <c r="T1319" i="23"/>
  <c r="T1320" i="23"/>
  <c r="T1321" i="23"/>
  <c r="T1322" i="23"/>
  <c r="T1323" i="23"/>
  <c r="T1324" i="23"/>
  <c r="T1325" i="23"/>
  <c r="T1326" i="23"/>
  <c r="T1327" i="23"/>
  <c r="T1328" i="23"/>
  <c r="T1329" i="23"/>
  <c r="T1330" i="23"/>
  <c r="T1331" i="23"/>
  <c r="T1332" i="23"/>
  <c r="T1333" i="23"/>
  <c r="T1334" i="23"/>
  <c r="T1335" i="23"/>
  <c r="T1336" i="23"/>
  <c r="T1337" i="23"/>
  <c r="T1338" i="23"/>
  <c r="T1339" i="23"/>
  <c r="T1340" i="23"/>
  <c r="T1341" i="23"/>
  <c r="T1342" i="23"/>
  <c r="T1343" i="23"/>
  <c r="T1344" i="23"/>
  <c r="T1345" i="23"/>
  <c r="T1346" i="23"/>
  <c r="T1347" i="23"/>
  <c r="T1348" i="23"/>
  <c r="T1349" i="23"/>
  <c r="T1350" i="23"/>
  <c r="T1351" i="23"/>
  <c r="T1352" i="23"/>
  <c r="T1353" i="23"/>
  <c r="T1354" i="23"/>
  <c r="T1355" i="23"/>
  <c r="T1356" i="23"/>
  <c r="T1357" i="23"/>
  <c r="T1358" i="23"/>
  <c r="T1359" i="23"/>
  <c r="T1360" i="23"/>
  <c r="T1361" i="23"/>
  <c r="T1362" i="23"/>
  <c r="T1363" i="23"/>
  <c r="T1364" i="23"/>
  <c r="T1365" i="23"/>
  <c r="T1366" i="23"/>
  <c r="T1367" i="23"/>
  <c r="T1368" i="23"/>
  <c r="T1369" i="23"/>
  <c r="T1370" i="23"/>
  <c r="T1371" i="23"/>
  <c r="T1372" i="23"/>
  <c r="T1373" i="23"/>
  <c r="T1374" i="23"/>
  <c r="T1375" i="23"/>
  <c r="T1376" i="23"/>
  <c r="T1377" i="23"/>
  <c r="T1378" i="23"/>
  <c r="T1379" i="23"/>
  <c r="T1380" i="23"/>
  <c r="T1381" i="23"/>
  <c r="T1382" i="23"/>
  <c r="T1383" i="23"/>
  <c r="T1384" i="23"/>
  <c r="T1385" i="23"/>
  <c r="T1386" i="23"/>
  <c r="T1387" i="23"/>
  <c r="T1388" i="23"/>
  <c r="T1389" i="23"/>
  <c r="T1390" i="23"/>
  <c r="T1391" i="23"/>
  <c r="T1392" i="23"/>
  <c r="T1393" i="23"/>
  <c r="T1394" i="23"/>
  <c r="T1395" i="23"/>
  <c r="T1396" i="23"/>
  <c r="T1397" i="23"/>
  <c r="T1398" i="23"/>
  <c r="T1399" i="23"/>
  <c r="T1400" i="23"/>
  <c r="T1401" i="23"/>
  <c r="T1402" i="23"/>
  <c r="T1403" i="23"/>
  <c r="T1404" i="23"/>
  <c r="T1405" i="23"/>
  <c r="T1406" i="23"/>
  <c r="T1407" i="23"/>
  <c r="T1408" i="23"/>
  <c r="T1409" i="23"/>
  <c r="T1410" i="23"/>
  <c r="T1411" i="23"/>
  <c r="T1412" i="23"/>
  <c r="T1413" i="23"/>
  <c r="T1414" i="23"/>
  <c r="T1415" i="23"/>
  <c r="T1416" i="23"/>
  <c r="T1417" i="23"/>
  <c r="T1418" i="23"/>
  <c r="T1419" i="23"/>
  <c r="T1420" i="23"/>
  <c r="T1421" i="23"/>
  <c r="T1422" i="23"/>
  <c r="T1423" i="23"/>
  <c r="T1424" i="23"/>
  <c r="T1425" i="23"/>
  <c r="T1426" i="23"/>
  <c r="T1427" i="23"/>
  <c r="T1428" i="23"/>
  <c r="T1429" i="23"/>
  <c r="T1430" i="23"/>
  <c r="T1431" i="23"/>
  <c r="T1432" i="23"/>
  <c r="T1433" i="23"/>
  <c r="T1434" i="23"/>
  <c r="T1435" i="23"/>
  <c r="T1436" i="23"/>
  <c r="T1437" i="23"/>
  <c r="T1438" i="23"/>
  <c r="T1439" i="23"/>
  <c r="T1440" i="23"/>
  <c r="T1441" i="23"/>
  <c r="T1442" i="23"/>
  <c r="T1443" i="23"/>
  <c r="T1444" i="23"/>
  <c r="T1445" i="23"/>
  <c r="T1446" i="23"/>
  <c r="T1447" i="23"/>
  <c r="T1448" i="23"/>
  <c r="T1449" i="23"/>
  <c r="T1450" i="23"/>
  <c r="T1451" i="23"/>
  <c r="T1452" i="23"/>
  <c r="T1453" i="23"/>
  <c r="T1454" i="23"/>
  <c r="T1455" i="23"/>
  <c r="T1456" i="23"/>
  <c r="T1457" i="23"/>
  <c r="T1458" i="23"/>
  <c r="T1459" i="23"/>
  <c r="T1460" i="23"/>
  <c r="T1461" i="23"/>
  <c r="T1462" i="23"/>
  <c r="T1463" i="23"/>
  <c r="T1464" i="23"/>
  <c r="T1465" i="23"/>
  <c r="T1466" i="23"/>
  <c r="T1467" i="23"/>
  <c r="T1468" i="23"/>
  <c r="T1469" i="23"/>
  <c r="T1470" i="23"/>
  <c r="T1471" i="23"/>
  <c r="T1472" i="23"/>
  <c r="T1473" i="23"/>
  <c r="T1474" i="23"/>
  <c r="T1475" i="23"/>
  <c r="T1476" i="23"/>
  <c r="T1477" i="23"/>
  <c r="T1478" i="23"/>
  <c r="T1479" i="23"/>
  <c r="T1480" i="23"/>
  <c r="T1481" i="23"/>
  <c r="T1482" i="23"/>
  <c r="T1483" i="23"/>
  <c r="T1484" i="23"/>
  <c r="T1485" i="23"/>
  <c r="T1486" i="23"/>
  <c r="T1487" i="23"/>
  <c r="T1488" i="23"/>
  <c r="T1489" i="23"/>
  <c r="T1490" i="23"/>
  <c r="T1491" i="23"/>
  <c r="T1492" i="23"/>
  <c r="T1493" i="23"/>
  <c r="T1494" i="23"/>
  <c r="T1495" i="23"/>
  <c r="T1496" i="23"/>
  <c r="T1497" i="23"/>
  <c r="T1498" i="23"/>
  <c r="T1499" i="23"/>
  <c r="T1500" i="23"/>
  <c r="T1501" i="23"/>
  <c r="T1502" i="23"/>
  <c r="T1503" i="23"/>
  <c r="T1504" i="23"/>
  <c r="T1505" i="23"/>
  <c r="T1506" i="23"/>
  <c r="T1507" i="23"/>
  <c r="T1508" i="23"/>
  <c r="T1509" i="23"/>
  <c r="T1510" i="23"/>
  <c r="T1511" i="23"/>
  <c r="T1512" i="23"/>
  <c r="T1513" i="23"/>
  <c r="T1514" i="23"/>
  <c r="T1515" i="23"/>
  <c r="T1516" i="23"/>
  <c r="T1517" i="23"/>
  <c r="T1518" i="23"/>
  <c r="T1519" i="23"/>
  <c r="T1520" i="23"/>
  <c r="T1521" i="23"/>
  <c r="T1522" i="23"/>
  <c r="T1523" i="23"/>
  <c r="T1524" i="23"/>
  <c r="T1525" i="23"/>
  <c r="T1526" i="23"/>
  <c r="T1527" i="23"/>
  <c r="T1528" i="23"/>
  <c r="T1529" i="23"/>
  <c r="T1530" i="23"/>
  <c r="T1531" i="23"/>
  <c r="T1532" i="23"/>
  <c r="T1533" i="23"/>
  <c r="T1534" i="23"/>
  <c r="T1535" i="23"/>
  <c r="T1536" i="23"/>
  <c r="T1537" i="23"/>
  <c r="T1538" i="23"/>
  <c r="T1539" i="23"/>
  <c r="T1540" i="23"/>
  <c r="T1541" i="23"/>
  <c r="T1542" i="23"/>
  <c r="T1543" i="23"/>
  <c r="T1544" i="23"/>
  <c r="T1545" i="23"/>
  <c r="T1546" i="23"/>
  <c r="T1547" i="23"/>
  <c r="T1548" i="23"/>
  <c r="T1549" i="23"/>
  <c r="T1550" i="23"/>
  <c r="T1551" i="23"/>
  <c r="T1552" i="23"/>
  <c r="T1553" i="23"/>
  <c r="T1554" i="23"/>
  <c r="T1555" i="23"/>
  <c r="T1556" i="23"/>
  <c r="T1557" i="23"/>
  <c r="T1558" i="23"/>
  <c r="T1559" i="23"/>
  <c r="T1560" i="23"/>
  <c r="T1561" i="23"/>
  <c r="T1562" i="23"/>
  <c r="T1563" i="23"/>
  <c r="T1564" i="23"/>
  <c r="T1565" i="23"/>
  <c r="T1566" i="23"/>
  <c r="T1567" i="23"/>
  <c r="T1568" i="23"/>
  <c r="T1569" i="23"/>
  <c r="T1570" i="23"/>
  <c r="T1571" i="23"/>
  <c r="T1572" i="23"/>
  <c r="T1573" i="23"/>
  <c r="T1574" i="23"/>
  <c r="T1575" i="23"/>
  <c r="T1576" i="23"/>
  <c r="T1577" i="23"/>
  <c r="T1578" i="23"/>
  <c r="T1579" i="23"/>
  <c r="T1580" i="23"/>
  <c r="T1581" i="23"/>
  <c r="T1582" i="23"/>
  <c r="T1583" i="23"/>
  <c r="T1584" i="23"/>
  <c r="T1585" i="23"/>
  <c r="T1586" i="23"/>
  <c r="T1587" i="23"/>
  <c r="T1588" i="23"/>
  <c r="T1589" i="23"/>
  <c r="T1590" i="23"/>
  <c r="T1591" i="23"/>
  <c r="T1592" i="23"/>
  <c r="T1593" i="23"/>
  <c r="T1594" i="23"/>
  <c r="T1595" i="23"/>
  <c r="T1596" i="23"/>
  <c r="T1597" i="23"/>
  <c r="T1598" i="23"/>
  <c r="T1599" i="23"/>
  <c r="T1600" i="23"/>
  <c r="T1601" i="23"/>
  <c r="T1602" i="23"/>
  <c r="T1603" i="23"/>
  <c r="T1604" i="23"/>
  <c r="T1605" i="23"/>
  <c r="T1606" i="23"/>
  <c r="T1607" i="23"/>
  <c r="T1608" i="23"/>
  <c r="T1609" i="23"/>
  <c r="T1610" i="23"/>
  <c r="T1611" i="23"/>
  <c r="T1612" i="23"/>
  <c r="T1613" i="23"/>
  <c r="T1614" i="23"/>
  <c r="T1615" i="23"/>
  <c r="T1616" i="23"/>
  <c r="T1617" i="23"/>
  <c r="T1618" i="23"/>
  <c r="T1619" i="23"/>
  <c r="T1620" i="23"/>
  <c r="T1621" i="23"/>
  <c r="T1622" i="23"/>
  <c r="T1623" i="23"/>
  <c r="T1624" i="23"/>
  <c r="T1625" i="23"/>
  <c r="T1626" i="23"/>
  <c r="T1627" i="23"/>
  <c r="T1628" i="23"/>
  <c r="T1629" i="23"/>
  <c r="T1630" i="23"/>
  <c r="T1631" i="23"/>
  <c r="T1632" i="23"/>
  <c r="T1633" i="23"/>
  <c r="T1634" i="23"/>
  <c r="T1635" i="23"/>
  <c r="T1636" i="23"/>
  <c r="T1637" i="23"/>
  <c r="T1638" i="23"/>
  <c r="T1639" i="23"/>
  <c r="T1640" i="23"/>
  <c r="T1641" i="23"/>
  <c r="T1642" i="23"/>
  <c r="T1643" i="23"/>
  <c r="T1644" i="23"/>
  <c r="T1645" i="23"/>
  <c r="T1646" i="23"/>
  <c r="T1647" i="23"/>
  <c r="T1648" i="23"/>
  <c r="T1649" i="23"/>
  <c r="T1650" i="23"/>
  <c r="T1651" i="23"/>
  <c r="T1652" i="23"/>
  <c r="T1653" i="23"/>
  <c r="T1654" i="23"/>
  <c r="T1655" i="23"/>
  <c r="T1656" i="23"/>
  <c r="T1657" i="23"/>
  <c r="T1658" i="23"/>
  <c r="T1659" i="23"/>
  <c r="T1660" i="23"/>
  <c r="T1661" i="23"/>
  <c r="T1662" i="23"/>
  <c r="T1663" i="23"/>
  <c r="T1664" i="23"/>
  <c r="T1665" i="23"/>
  <c r="T1666" i="23"/>
  <c r="T1667" i="23"/>
  <c r="T1668" i="23"/>
  <c r="T1669" i="23"/>
  <c r="T1670" i="23"/>
  <c r="T1671" i="23"/>
  <c r="T1672" i="23"/>
  <c r="T1673" i="23"/>
  <c r="T1674" i="23"/>
  <c r="T1675" i="23"/>
  <c r="T1676" i="23"/>
  <c r="T1677" i="23"/>
  <c r="T1678" i="23"/>
  <c r="T1679" i="23"/>
  <c r="T1680" i="23"/>
  <c r="T1681" i="23"/>
  <c r="T1682" i="23"/>
  <c r="T1683" i="23"/>
  <c r="T1684" i="23"/>
  <c r="T1685" i="23"/>
  <c r="T1686" i="23"/>
  <c r="T1687" i="23"/>
  <c r="T1688" i="23"/>
  <c r="T1689" i="23"/>
  <c r="T1690" i="23"/>
  <c r="T1691" i="23"/>
  <c r="T1692" i="23"/>
  <c r="T1693" i="23"/>
  <c r="T1694" i="23"/>
  <c r="T1695" i="23"/>
  <c r="T1696" i="23"/>
  <c r="T1697" i="23"/>
  <c r="T1698" i="23"/>
  <c r="T1699" i="23"/>
  <c r="T1700" i="23"/>
  <c r="T1701" i="23"/>
  <c r="T1702" i="23"/>
  <c r="T1703" i="23"/>
  <c r="T1704" i="23"/>
  <c r="T1705" i="23"/>
  <c r="T1706" i="23"/>
  <c r="T1707" i="23"/>
  <c r="T1708" i="23"/>
  <c r="T1709" i="23"/>
  <c r="T1710" i="23"/>
  <c r="T1711" i="23"/>
  <c r="T1712" i="23"/>
  <c r="T1713" i="23"/>
  <c r="T1714" i="23"/>
  <c r="T1715" i="23"/>
  <c r="T1716" i="23"/>
  <c r="T1717" i="23"/>
  <c r="T1718" i="23"/>
  <c r="T1719" i="23"/>
  <c r="T1720" i="23"/>
  <c r="T1721" i="23"/>
  <c r="T1722" i="23"/>
  <c r="T1723" i="23"/>
  <c r="T1724" i="23"/>
  <c r="T1725" i="23"/>
  <c r="T1726" i="23"/>
  <c r="T1727" i="23"/>
  <c r="T1728" i="23"/>
  <c r="T1729" i="23"/>
  <c r="T1730" i="23"/>
  <c r="T1731" i="23"/>
  <c r="T1732" i="23"/>
  <c r="T1733" i="23"/>
  <c r="T1734" i="23"/>
  <c r="T1735" i="23"/>
  <c r="T1736" i="23"/>
  <c r="T1737" i="23"/>
  <c r="T1738" i="23"/>
  <c r="T1739" i="23"/>
  <c r="T1740" i="23"/>
  <c r="T1741" i="23"/>
  <c r="T1742" i="23"/>
  <c r="T1743" i="23"/>
  <c r="T1744" i="23"/>
  <c r="T1745" i="23"/>
  <c r="T1746" i="23"/>
  <c r="T1747" i="23"/>
  <c r="T1748" i="23"/>
  <c r="T1749" i="23"/>
  <c r="T1750" i="23"/>
  <c r="T1751" i="23"/>
  <c r="T1752" i="23"/>
  <c r="T1753" i="23"/>
  <c r="T1754" i="23"/>
  <c r="T1755" i="23"/>
  <c r="T1756" i="23"/>
  <c r="T1757" i="23"/>
  <c r="T1758" i="23"/>
  <c r="T1759" i="23"/>
  <c r="T1760" i="23"/>
  <c r="T1761" i="23"/>
  <c r="T1762" i="23"/>
  <c r="T1763" i="23"/>
  <c r="T1764" i="23"/>
  <c r="T1765" i="23"/>
  <c r="T1766" i="23"/>
  <c r="T1767" i="23"/>
  <c r="T1768" i="23"/>
  <c r="T1769" i="23"/>
  <c r="T1770" i="23"/>
  <c r="T1771" i="23"/>
  <c r="T1772" i="23"/>
  <c r="T1773" i="23"/>
  <c r="T1774" i="23"/>
  <c r="T1775" i="23"/>
  <c r="T1776" i="23"/>
  <c r="T1777" i="23"/>
  <c r="T1778" i="23"/>
  <c r="T1779" i="23"/>
  <c r="T1780" i="23"/>
  <c r="T1781" i="23"/>
  <c r="T1782" i="23"/>
  <c r="T1783" i="23"/>
  <c r="T1784" i="23"/>
  <c r="T1785" i="23"/>
  <c r="T1786" i="23"/>
  <c r="T1787" i="23"/>
  <c r="T1788" i="23"/>
  <c r="T1789" i="23"/>
  <c r="T1790" i="23"/>
  <c r="T1791" i="23"/>
  <c r="T1792" i="23"/>
  <c r="T1793" i="23"/>
  <c r="T1794" i="23"/>
  <c r="T1795" i="23"/>
  <c r="T1796" i="23"/>
  <c r="T1797" i="23"/>
  <c r="T1798" i="23"/>
  <c r="T1799" i="23"/>
  <c r="T1800" i="23"/>
  <c r="T1801" i="23"/>
  <c r="T1802" i="23"/>
  <c r="T1803" i="23"/>
  <c r="T1804" i="23"/>
  <c r="T1805" i="23"/>
  <c r="T1806" i="23"/>
  <c r="T1807" i="23"/>
  <c r="T1808" i="23"/>
  <c r="T1809" i="23"/>
  <c r="T1810" i="23"/>
  <c r="T1811" i="23"/>
  <c r="T1812" i="23"/>
  <c r="T1813" i="23"/>
  <c r="T1814" i="23"/>
  <c r="T1815" i="23"/>
  <c r="T1816" i="23"/>
  <c r="T1817" i="23"/>
  <c r="T1818" i="23"/>
  <c r="T1819" i="23"/>
  <c r="T1820" i="23"/>
  <c r="T1821" i="23"/>
  <c r="T1822" i="23"/>
  <c r="T1823" i="23"/>
  <c r="T1824" i="23"/>
  <c r="T1825" i="23"/>
  <c r="T1826" i="23"/>
  <c r="T1827" i="23"/>
  <c r="T1828" i="23"/>
  <c r="T1829" i="23"/>
  <c r="T1830" i="23"/>
  <c r="T1831" i="23"/>
  <c r="T1832" i="23"/>
  <c r="T1833" i="23"/>
  <c r="T1834" i="23"/>
  <c r="T1835" i="23"/>
  <c r="T1836" i="23"/>
  <c r="T1837" i="23"/>
  <c r="T1838" i="23"/>
  <c r="T1839" i="23"/>
  <c r="T1840" i="23"/>
  <c r="T1841" i="23"/>
  <c r="T1842" i="23"/>
  <c r="T1843" i="23"/>
  <c r="T1844" i="23"/>
  <c r="T1845" i="23"/>
  <c r="T1846" i="23"/>
  <c r="T1847" i="23"/>
  <c r="T1848" i="23"/>
  <c r="T1849" i="23"/>
  <c r="T1850" i="23"/>
  <c r="T1851" i="23"/>
  <c r="T1852" i="23"/>
  <c r="T1853" i="23"/>
  <c r="T1854" i="23"/>
  <c r="T1855" i="23"/>
  <c r="T1856" i="23"/>
  <c r="T1857" i="23"/>
  <c r="T1858" i="23"/>
  <c r="T1859" i="23"/>
  <c r="T1860" i="23"/>
  <c r="T1861" i="23"/>
  <c r="T1862" i="23"/>
  <c r="T1863" i="23"/>
  <c r="T1864" i="23"/>
  <c r="T1865" i="23"/>
  <c r="T1866" i="23"/>
  <c r="T1867" i="23"/>
  <c r="T1868" i="23"/>
  <c r="T1869" i="23"/>
  <c r="T1870" i="23"/>
  <c r="T1871" i="23"/>
  <c r="T1872" i="23"/>
  <c r="T1873" i="23"/>
  <c r="T1874" i="23"/>
  <c r="T1875" i="23"/>
  <c r="T1876" i="23"/>
  <c r="T1877" i="23"/>
  <c r="T1878" i="23"/>
  <c r="T1879" i="23"/>
  <c r="T1880" i="23"/>
  <c r="T1881" i="23"/>
  <c r="T1882" i="23"/>
  <c r="T1883" i="23"/>
  <c r="T1884" i="23"/>
  <c r="T1885" i="23"/>
  <c r="T1886" i="23"/>
  <c r="T1887" i="23"/>
  <c r="T1888" i="23"/>
  <c r="T1889" i="23"/>
  <c r="T1890" i="23"/>
  <c r="T1891" i="23"/>
  <c r="T1892" i="23"/>
  <c r="T1893" i="23"/>
  <c r="T1894" i="23"/>
  <c r="T1895" i="23"/>
  <c r="T1896" i="23"/>
  <c r="T1897" i="23"/>
  <c r="T1898" i="23"/>
  <c r="T1899" i="23"/>
  <c r="T1900" i="23"/>
  <c r="T1901" i="23"/>
  <c r="T1902" i="23"/>
  <c r="T1903" i="23"/>
  <c r="T1904" i="23"/>
  <c r="T1905" i="23"/>
  <c r="T1906" i="23"/>
  <c r="T1907" i="23"/>
  <c r="T1908" i="23"/>
  <c r="T1909" i="23"/>
  <c r="T1910" i="23"/>
  <c r="T1911" i="23"/>
  <c r="T1912" i="23"/>
  <c r="T1913" i="23"/>
  <c r="T1914" i="23"/>
  <c r="T1915" i="23"/>
  <c r="T1916" i="23"/>
  <c r="T1917" i="23"/>
  <c r="T1918" i="23"/>
  <c r="T1919" i="23"/>
  <c r="T1920" i="23"/>
  <c r="T1921" i="23"/>
  <c r="T1922" i="23"/>
  <c r="T1923" i="23"/>
  <c r="T1924" i="23"/>
  <c r="T1925" i="23"/>
  <c r="T1926" i="23"/>
  <c r="T1927" i="23"/>
  <c r="T1928" i="23"/>
  <c r="T1929" i="23"/>
  <c r="T1930" i="23"/>
  <c r="T1931" i="23"/>
  <c r="T1932" i="23"/>
  <c r="T1933" i="23"/>
  <c r="T1934" i="23"/>
  <c r="T1935" i="23"/>
  <c r="T1936" i="23"/>
  <c r="T1937" i="23"/>
  <c r="T1938" i="23"/>
  <c r="T1939" i="23"/>
  <c r="T1940" i="23"/>
  <c r="T1941" i="23"/>
  <c r="T1942" i="23"/>
  <c r="T1943" i="23"/>
  <c r="T1944" i="23"/>
  <c r="T1945" i="23"/>
  <c r="T1946" i="23"/>
  <c r="T1947" i="23"/>
  <c r="T1948" i="23"/>
  <c r="T1949" i="23"/>
  <c r="T1950" i="23"/>
  <c r="T1951" i="23"/>
  <c r="T1952" i="23"/>
  <c r="T1953" i="23"/>
  <c r="T1954" i="23"/>
  <c r="T1955" i="23"/>
  <c r="T1956" i="23"/>
  <c r="T1957" i="23"/>
  <c r="T1958" i="23"/>
  <c r="T1959" i="23"/>
  <c r="T1960" i="23"/>
  <c r="T1961" i="23"/>
  <c r="T1962" i="23"/>
  <c r="T1963" i="23"/>
  <c r="T1964" i="23"/>
  <c r="T1965" i="23"/>
  <c r="T1966" i="23"/>
  <c r="T1967" i="23"/>
  <c r="T1968" i="23"/>
  <c r="T1969" i="23"/>
  <c r="T1970" i="23"/>
  <c r="T1971" i="23"/>
  <c r="T1972" i="23"/>
  <c r="T1973" i="23"/>
  <c r="T1974" i="23"/>
  <c r="T1975" i="23"/>
  <c r="T1976" i="23"/>
  <c r="T1977" i="23"/>
  <c r="T1978" i="23"/>
  <c r="T1979" i="23"/>
  <c r="T1980" i="23"/>
  <c r="T1981" i="23"/>
  <c r="T1982" i="23"/>
  <c r="T1983" i="23"/>
  <c r="T1984" i="23"/>
  <c r="T1985" i="23"/>
  <c r="T1986" i="23"/>
  <c r="T1987" i="23"/>
  <c r="T1988" i="23"/>
  <c r="T1989" i="23"/>
  <c r="T1990" i="23"/>
  <c r="T1991" i="23"/>
  <c r="T1992" i="23"/>
  <c r="T1993" i="23"/>
  <c r="T1994" i="23"/>
  <c r="T1995" i="23"/>
  <c r="T1996" i="23"/>
  <c r="T1997" i="23"/>
  <c r="T1998" i="23"/>
  <c r="T1999" i="23"/>
  <c r="T2000" i="23"/>
  <c r="T4" i="23"/>
  <c r="N24" i="11"/>
  <c r="G24" i="11"/>
  <c r="M21" i="11" l="1"/>
  <c r="O21" i="11" s="1"/>
  <c r="I21" i="11"/>
  <c r="B22" i="29"/>
  <c r="B21" i="29"/>
  <c r="B20" i="29"/>
  <c r="B19" i="29"/>
  <c r="B18" i="29"/>
  <c r="B17" i="29"/>
  <c r="B16" i="29"/>
  <c r="B15" i="29"/>
  <c r="B22" i="11"/>
  <c r="B21" i="11"/>
  <c r="B20" i="11"/>
  <c r="B19" i="11"/>
  <c r="B18" i="11"/>
  <c r="B17" i="11"/>
  <c r="B16" i="11"/>
  <c r="B15" i="11"/>
  <c r="C21" i="11" l="1"/>
  <c r="C21" i="29" s="1"/>
  <c r="E21" i="11"/>
  <c r="C20" i="11"/>
  <c r="C20" i="29" s="1"/>
  <c r="E20" i="11"/>
  <c r="C22" i="11"/>
  <c r="C22" i="29" s="1"/>
  <c r="E22" i="11"/>
  <c r="C16" i="11"/>
  <c r="C16" i="29" s="1"/>
  <c r="E16" i="11"/>
  <c r="C15" i="11"/>
  <c r="C15" i="29" s="1"/>
  <c r="E15" i="11"/>
  <c r="C17" i="11"/>
  <c r="C17" i="29" s="1"/>
  <c r="E17" i="11"/>
  <c r="C18" i="11"/>
  <c r="C18" i="29" s="1"/>
  <c r="E18" i="11"/>
  <c r="C19" i="11"/>
  <c r="C19" i="29" s="1"/>
  <c r="E19" i="11"/>
  <c r="I21" i="29"/>
  <c r="M21" i="29"/>
  <c r="O21" i="29" s="1"/>
  <c r="Q21" i="11" l="1"/>
  <c r="M15" i="11" l="1"/>
  <c r="O15" i="11" l="1"/>
  <c r="M10" i="29"/>
  <c r="M9" i="29"/>
  <c r="M8" i="29"/>
  <c r="M7" i="29"/>
  <c r="M6" i="29"/>
  <c r="M4" i="29"/>
  <c r="M5" i="29"/>
  <c r="C12" i="29"/>
  <c r="C11" i="29"/>
  <c r="C9" i="29"/>
  <c r="C8" i="29"/>
  <c r="C7" i="29"/>
  <c r="C4" i="29"/>
  <c r="V30" i="29" l="1"/>
  <c r="B32" i="37" s="1"/>
  <c r="C30" i="29"/>
  <c r="V29" i="29"/>
  <c r="B31" i="37" s="1"/>
  <c r="V28" i="29"/>
  <c r="B30" i="37" s="1"/>
  <c r="M15" i="29"/>
  <c r="M12" i="29"/>
  <c r="M22" i="11"/>
  <c r="I22" i="11"/>
  <c r="M20" i="11"/>
  <c r="O20" i="11" s="1"/>
  <c r="I20" i="11"/>
  <c r="M19" i="11"/>
  <c r="O19" i="11" s="1"/>
  <c r="I19" i="11"/>
  <c r="M18" i="11"/>
  <c r="O18" i="11" s="1"/>
  <c r="I18" i="11"/>
  <c r="M17" i="11"/>
  <c r="O17" i="11" s="1"/>
  <c r="I17" i="11"/>
  <c r="M16" i="11"/>
  <c r="I16" i="11"/>
  <c r="I15" i="11"/>
  <c r="J30" i="11" l="1"/>
  <c r="B23" i="37" s="1"/>
  <c r="W32" i="29"/>
  <c r="B33" i="37" s="1"/>
  <c r="O16" i="11"/>
  <c r="J36" i="11"/>
  <c r="O15" i="29"/>
  <c r="M17" i="29"/>
  <c r="O17" i="29" s="1"/>
  <c r="M20" i="29"/>
  <c r="O20" i="29" s="1"/>
  <c r="M18" i="29"/>
  <c r="O18" i="29" s="1"/>
  <c r="Q18" i="11"/>
  <c r="Q19" i="11"/>
  <c r="I17" i="29"/>
  <c r="N24" i="29"/>
  <c r="G24" i="29"/>
  <c r="M22" i="29"/>
  <c r="M19" i="29"/>
  <c r="O19" i="29" s="1"/>
  <c r="M16" i="29"/>
  <c r="O16" i="29" s="1"/>
  <c r="I15" i="29"/>
  <c r="I19" i="29"/>
  <c r="I22" i="29"/>
  <c r="I20" i="29"/>
  <c r="I16" i="29"/>
  <c r="M23" i="11"/>
  <c r="I18" i="29"/>
  <c r="J30" i="29" l="1"/>
  <c r="J36" i="29"/>
  <c r="Q21" i="29"/>
  <c r="Q16" i="11"/>
  <c r="Q22" i="11"/>
  <c r="Q20" i="11"/>
  <c r="M23" i="29"/>
  <c r="Q15" i="11"/>
  <c r="Q17" i="11"/>
  <c r="Q18" i="29" l="1"/>
  <c r="Q17" i="29"/>
  <c r="F30" i="11"/>
  <c r="J32" i="11" s="1"/>
  <c r="B24" i="37" s="1"/>
  <c r="Q15" i="29"/>
  <c r="Q20" i="29"/>
  <c r="Q19" i="29"/>
  <c r="Q16" i="29"/>
  <c r="Q22" i="29"/>
  <c r="T19" i="29" l="1"/>
  <c r="B28" i="37" s="1"/>
  <c r="T24" i="29"/>
  <c r="B29" i="37" s="1"/>
  <c r="F30" i="29"/>
  <c r="J32" i="29" s="1"/>
  <c r="B25" i="37" s="1"/>
  <c r="M32" i="11" l="1"/>
  <c r="B22" i="37" s="1"/>
  <c r="M32" i="29"/>
  <c r="J35" i="11"/>
  <c r="J35" i="2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Joanna Wroniecka</author>
  </authors>
  <commentList>
    <comment ref="C7" authorId="0" shapeId="0" xr:uid="{00000000-0006-0000-0000-000002000000}">
      <text>
        <r>
          <rPr>
            <sz val="8"/>
            <color indexed="81"/>
            <rFont val="Tahoma"/>
            <family val="2"/>
          </rPr>
          <t xml:space="preserve">Please enter the applicable Job ID for the evaluated sample (for example, it could be a Helix Job ID or an IPS alphanumeric Job ID).
It is possible to enter multiple Job IDs if necessary.
</t>
        </r>
      </text>
    </comment>
    <comment ref="C8" authorId="0" shapeId="0" xr:uid="{00000000-0006-0000-0000-000003000000}">
      <text>
        <r>
          <rPr>
            <sz val="8"/>
            <color indexed="81"/>
            <rFont val="Tahoma"/>
            <family val="2"/>
          </rPr>
          <t xml:space="preserve">Please make sure to enter only </t>
        </r>
        <r>
          <rPr>
            <b/>
            <sz val="8"/>
            <color indexed="81"/>
            <rFont val="Tahoma"/>
            <family val="2"/>
          </rPr>
          <t>1</t>
        </r>
        <r>
          <rPr>
            <sz val="8"/>
            <color indexed="81"/>
            <rFont val="Tahoma"/>
            <family val="2"/>
          </rPr>
          <t xml:space="preserve"> </t>
        </r>
        <r>
          <rPr>
            <b/>
            <sz val="8"/>
            <color indexed="81"/>
            <rFont val="Tahoma"/>
            <family val="2"/>
          </rPr>
          <t>Project Name</t>
        </r>
        <r>
          <rPr>
            <sz val="8"/>
            <color indexed="81"/>
            <rFont val="Tahoma"/>
            <family val="2"/>
          </rPr>
          <t>, as multiple names cannot be collected by our system.</t>
        </r>
      </text>
    </comment>
    <comment ref="M8" authorId="0" shapeId="0" xr:uid="{00000000-0006-0000-0000-000004000000}">
      <text>
        <r>
          <rPr>
            <sz val="8"/>
            <color indexed="81"/>
            <rFont val="Tahoma"/>
            <family val="2"/>
          </rPr>
          <t xml:space="preserve">Select either </t>
        </r>
        <r>
          <rPr>
            <b/>
            <sz val="8"/>
            <color indexed="81"/>
            <rFont val="Tahoma"/>
            <family val="2"/>
          </rPr>
          <t xml:space="preserve">'Conventional' </t>
        </r>
        <r>
          <rPr>
            <sz val="8"/>
            <color indexed="81"/>
            <rFont val="Tahoma"/>
            <family val="2"/>
          </rPr>
          <t xml:space="preserve">for standard 'human translation' or </t>
        </r>
        <r>
          <rPr>
            <b/>
            <sz val="8"/>
            <color indexed="81"/>
            <rFont val="Tahoma"/>
            <family val="2"/>
          </rPr>
          <t>'MT post-edit'</t>
        </r>
        <r>
          <rPr>
            <sz val="8"/>
            <color indexed="81"/>
            <rFont val="Tahoma"/>
            <family val="2"/>
          </rPr>
          <t xml:space="preserve"> if the translation was produced as post-editing Machine Translation output.</t>
        </r>
      </text>
    </comment>
    <comment ref="M9" authorId="0" shapeId="0" xr:uid="{00000000-0006-0000-0000-000005000000}">
      <text>
        <r>
          <rPr>
            <b/>
            <sz val="8"/>
            <color indexed="81"/>
            <rFont val="Tahoma"/>
            <family val="2"/>
          </rPr>
          <t>'Standard'</t>
        </r>
        <r>
          <rPr>
            <sz val="8"/>
            <color indexed="81"/>
            <rFont val="Tahoma"/>
            <family val="2"/>
          </rPr>
          <t xml:space="preserve"> option was set by default here, as TQA plugin automatically generates TQA in reports generated by the app. </t>
        </r>
      </text>
    </comment>
    <comment ref="C10" authorId="0" shapeId="0" xr:uid="{00000000-0006-0000-0000-000006000000}">
      <text>
        <r>
          <rPr>
            <sz val="8"/>
            <color indexed="81"/>
            <rFont val="Tahoma"/>
            <family val="2"/>
          </rPr>
          <t xml:space="preserve">Only dates with the </t>
        </r>
        <r>
          <rPr>
            <b/>
            <u/>
            <sz val="8"/>
            <color indexed="81"/>
            <rFont val="Tahoma"/>
            <family val="2"/>
          </rPr>
          <t>current month</t>
        </r>
        <r>
          <rPr>
            <sz val="8"/>
            <color indexed="81"/>
            <rFont val="Tahoma"/>
            <family val="2"/>
          </rPr>
          <t xml:space="preserve"> are accepted. Any future or past dates are automatically rejected by the system.  
We recommend using keyboard shortcut:
 (</t>
        </r>
        <r>
          <rPr>
            <b/>
            <sz val="8"/>
            <color indexed="81"/>
            <rFont val="Tahoma"/>
            <family val="2"/>
            <charset val="238"/>
          </rPr>
          <t xml:space="preserve">CTRL </t>
        </r>
        <r>
          <rPr>
            <sz val="8"/>
            <color indexed="81"/>
            <rFont val="Tahoma"/>
            <family val="2"/>
          </rPr>
          <t xml:space="preserve">+ </t>
        </r>
        <r>
          <rPr>
            <b/>
            <sz val="8"/>
            <color indexed="81"/>
            <rFont val="Tahoma"/>
            <family val="2"/>
            <charset val="238"/>
          </rPr>
          <t>;</t>
        </r>
        <r>
          <rPr>
            <sz val="8"/>
            <color indexed="81"/>
            <rFont val="Tahoma"/>
            <family val="2"/>
          </rPr>
          <t>) to insert current date automatically.</t>
        </r>
      </text>
    </comment>
    <comment ref="M10" authorId="0" shapeId="0" xr:uid="{00000000-0006-0000-0000-000007000000}">
      <text>
        <r>
          <rPr>
            <sz val="8"/>
            <color indexed="81"/>
            <rFont val="Tahoma"/>
            <family val="2"/>
          </rPr>
          <t xml:space="preserve">Enter the number of evaluated words. Word count from </t>
        </r>
        <r>
          <rPr>
            <b/>
            <sz val="8"/>
            <color indexed="81"/>
            <rFont val="Tahoma"/>
            <family val="2"/>
            <charset val="238"/>
          </rPr>
          <t>Source Text</t>
        </r>
        <r>
          <rPr>
            <sz val="8"/>
            <color indexed="81"/>
            <rFont val="Tahoma"/>
            <family val="2"/>
          </rPr>
          <t xml:space="preserve"> should be used.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<sst xmlns="http://schemas.openxmlformats.org/spreadsheetml/2006/main" count="875" uniqueCount="630">
  <si>
    <t>Client name</t>
  </si>
  <si>
    <t>Date</t>
  </si>
  <si>
    <t>Quality Scoring Matrix</t>
  </si>
  <si>
    <t>Style</t>
  </si>
  <si>
    <t>Punctuation</t>
  </si>
  <si>
    <t>Below standard</t>
  </si>
  <si>
    <t>Above standard</t>
  </si>
  <si>
    <t>Source text</t>
  </si>
  <si>
    <t>Final decision</t>
  </si>
  <si>
    <t>Target language</t>
  </si>
  <si>
    <t>Source language</t>
  </si>
  <si>
    <t>Severity</t>
  </si>
  <si>
    <t>File name</t>
  </si>
  <si>
    <t>Original translation</t>
  </si>
  <si>
    <t>Revised translation</t>
  </si>
  <si>
    <t>Response to revision</t>
  </si>
  <si>
    <t>Comments</t>
  </si>
  <si>
    <t>Error category</t>
  </si>
  <si>
    <t>Segment / line</t>
  </si>
  <si>
    <t>Enter file name</t>
  </si>
  <si>
    <t>Enter segment number or line number for reference</t>
  </si>
  <si>
    <t>Paste in source text</t>
  </si>
  <si>
    <t>Paste in original translation</t>
  </si>
  <si>
    <t>Use the dropdown list in each cell to select the appropriate category of error</t>
  </si>
  <si>
    <t>Use the dropdown list in each cell to select the appropriate level of error severity</t>
  </si>
  <si>
    <t>Reason if not accepted</t>
  </si>
  <si>
    <t>Leave this column blank for the Quality Manager to complete</t>
  </si>
  <si>
    <t>Omission</t>
  </si>
  <si>
    <t>Minor Error</t>
  </si>
  <si>
    <t>Error Category</t>
  </si>
  <si>
    <t>Weighted
Error Points</t>
  </si>
  <si>
    <t>Amharic</t>
  </si>
  <si>
    <t>Assamese</t>
  </si>
  <si>
    <t>Basque</t>
  </si>
  <si>
    <t>Bengali</t>
  </si>
  <si>
    <t>Bosnian</t>
  </si>
  <si>
    <t>Bulgarian</t>
  </si>
  <si>
    <t>Burmese</t>
  </si>
  <si>
    <t>Catalan</t>
  </si>
  <si>
    <t>Chinese - Traditional</t>
  </si>
  <si>
    <t>Croatian</t>
  </si>
  <si>
    <t>Czech</t>
  </si>
  <si>
    <t>Danish</t>
  </si>
  <si>
    <t>Dutch - Netherlands</t>
  </si>
  <si>
    <t>English - UK</t>
  </si>
  <si>
    <t>English - US</t>
  </si>
  <si>
    <t>Estonian</t>
  </si>
  <si>
    <t>Farsi</t>
  </si>
  <si>
    <t>Finnish</t>
  </si>
  <si>
    <t>French - France</t>
  </si>
  <si>
    <t>Gaelic Irish</t>
  </si>
  <si>
    <t>Galician</t>
  </si>
  <si>
    <t>Georgian</t>
  </si>
  <si>
    <t>Greek</t>
  </si>
  <si>
    <t>Gujarati</t>
  </si>
  <si>
    <t>Hebrew</t>
  </si>
  <si>
    <t>Hindi</t>
  </si>
  <si>
    <t>Hungarian</t>
  </si>
  <si>
    <t>Icelandic</t>
  </si>
  <si>
    <t>Indonesian</t>
  </si>
  <si>
    <t>Japanese</t>
  </si>
  <si>
    <t>Kannada</t>
  </si>
  <si>
    <t>Kazakh</t>
  </si>
  <si>
    <t>Khmer</t>
  </si>
  <si>
    <t>Korean</t>
  </si>
  <si>
    <t>Lao</t>
  </si>
  <si>
    <t>Latvian</t>
  </si>
  <si>
    <t>Lithuanian</t>
  </si>
  <si>
    <t>Macedonian</t>
  </si>
  <si>
    <t>Malay</t>
  </si>
  <si>
    <t>Malayalam</t>
  </si>
  <si>
    <t>Maltese</t>
  </si>
  <si>
    <t>Marathi</t>
  </si>
  <si>
    <t>Nepali</t>
  </si>
  <si>
    <t>Norwegian</t>
  </si>
  <si>
    <t>Oriya</t>
  </si>
  <si>
    <t>Polish</t>
  </si>
  <si>
    <t>Romanian</t>
  </si>
  <si>
    <t>Serbian - Cyrillic</t>
  </si>
  <si>
    <t>Serbian - Latin</t>
  </si>
  <si>
    <t>Sinhala</t>
  </si>
  <si>
    <t>Slovak</t>
  </si>
  <si>
    <t>Slovenian</t>
  </si>
  <si>
    <t>Somali</t>
  </si>
  <si>
    <t>Spanish - International</t>
  </si>
  <si>
    <t>Spanish - Latin American</t>
  </si>
  <si>
    <t>Spanish - Spain</t>
  </si>
  <si>
    <t>Tagalog</t>
  </si>
  <si>
    <t>Telugu</t>
  </si>
  <si>
    <t>Thai</t>
  </si>
  <si>
    <t>Turkish</t>
  </si>
  <si>
    <t>Ukrainian</t>
  </si>
  <si>
    <t>Urdu</t>
  </si>
  <si>
    <t>Vietnamese</t>
  </si>
  <si>
    <t>Afrikaans</t>
  </si>
  <si>
    <t>Albanian</t>
  </si>
  <si>
    <t>Armenian</t>
  </si>
  <si>
    <t>Azerbaijani</t>
  </si>
  <si>
    <t>Belarusian</t>
  </si>
  <si>
    <t>Cebuano</t>
  </si>
  <si>
    <t>Creole - Haitian</t>
  </si>
  <si>
    <t>Dari</t>
  </si>
  <si>
    <t>Filipino</t>
  </si>
  <si>
    <t>Hausa</t>
  </si>
  <si>
    <t>Hmong</t>
  </si>
  <si>
    <t>Inuktitut</t>
  </si>
  <si>
    <t>Javanese</t>
  </si>
  <si>
    <t>Kurdish - Kurmanji</t>
  </si>
  <si>
    <t>Kurdish - Sorani</t>
  </si>
  <si>
    <t>Latin</t>
  </si>
  <si>
    <t>Maori</t>
  </si>
  <si>
    <t>Moldovian</t>
  </si>
  <si>
    <t>Mongolian</t>
  </si>
  <si>
    <t>Papiamentu</t>
  </si>
  <si>
    <t>Pashto</t>
  </si>
  <si>
    <t>Portuguese - Portugal</t>
  </si>
  <si>
    <t>Sesotho</t>
  </si>
  <si>
    <t>Swahili</t>
  </si>
  <si>
    <t>Uzbek</t>
  </si>
  <si>
    <t>Welsh</t>
  </si>
  <si>
    <t>Xhosa</t>
  </si>
  <si>
    <t>Yoruba</t>
  </si>
  <si>
    <t>Zulu</t>
  </si>
  <si>
    <t>Spanish - Puerto Rico</t>
  </si>
  <si>
    <t>English - Canada</t>
  </si>
  <si>
    <t>French - Belgium</t>
  </si>
  <si>
    <t>Conventional</t>
  </si>
  <si>
    <r>
      <t xml:space="preserve">Original translator should enter whether the </t>
    </r>
    <r>
      <rPr>
        <b/>
        <sz val="9"/>
        <rFont val="Arial"/>
        <family val="2"/>
      </rPr>
      <t xml:space="preserve">error or its classification and severity </t>
    </r>
    <r>
      <rPr>
        <sz val="9"/>
        <rFont val="Arial"/>
        <family val="2"/>
      </rPr>
      <t>are accepted or not</t>
    </r>
  </si>
  <si>
    <r>
      <t xml:space="preserve">If the </t>
    </r>
    <r>
      <rPr>
        <b/>
        <sz val="9"/>
        <rFont val="Arial"/>
        <family val="2"/>
      </rPr>
      <t>error or its classification and severity are NOT accepted</t>
    </r>
    <r>
      <rPr>
        <sz val="9"/>
        <rFont val="Arial"/>
        <family val="2"/>
      </rPr>
      <t>, provide reasons and all necessary details</t>
    </r>
  </si>
  <si>
    <t>Reason for decision</t>
  </si>
  <si>
    <t>External Vendor</t>
  </si>
  <si>
    <t>Acholi</t>
  </si>
  <si>
    <t>Akan</t>
  </si>
  <si>
    <t>Bemba</t>
  </si>
  <si>
    <t>Bengali - Bangladesh</t>
  </si>
  <si>
    <t>Chewa</t>
  </si>
  <si>
    <t>Chinese - HongKong</t>
  </si>
  <si>
    <t>Dutch - Belgian</t>
  </si>
  <si>
    <t>Ebira</t>
  </si>
  <si>
    <t>English - Australian</t>
  </si>
  <si>
    <t>English - International</t>
  </si>
  <si>
    <t>English - New Zealand</t>
  </si>
  <si>
    <t>English - South Africa</t>
  </si>
  <si>
    <t>French - Luxembourg</t>
  </si>
  <si>
    <t>French - Swiss</t>
  </si>
  <si>
    <t>Gaelic Scots</t>
  </si>
  <si>
    <t>German - Austrian</t>
  </si>
  <si>
    <t>German - Swiss</t>
  </si>
  <si>
    <t>Guarani</t>
  </si>
  <si>
    <t>Ibanag</t>
  </si>
  <si>
    <t>Igbo</t>
  </si>
  <si>
    <t>Ilocano</t>
  </si>
  <si>
    <t>Italian - Switzerland</t>
  </si>
  <si>
    <t>Kirghiz</t>
  </si>
  <si>
    <t>Kituba</t>
  </si>
  <si>
    <t>Konkani</t>
  </si>
  <si>
    <t>Lingala</t>
  </si>
  <si>
    <t>Luxembourgish</t>
  </si>
  <si>
    <t>Malagasy</t>
  </si>
  <si>
    <t>Norwegian - Nynorsk</t>
  </si>
  <si>
    <t>Oromo</t>
  </si>
  <si>
    <t>Punjabi - Indian</t>
  </si>
  <si>
    <t>Punjabi - Pakistani</t>
  </si>
  <si>
    <t>Samoan</t>
  </si>
  <si>
    <t>Shona</t>
  </si>
  <si>
    <t>Spanish - Bolivia</t>
  </si>
  <si>
    <t>Spanish - Chilean</t>
  </si>
  <si>
    <t>Spanish - Colombian</t>
  </si>
  <si>
    <t>Spanish - Cuban</t>
  </si>
  <si>
    <t>Spanish - Mexican</t>
  </si>
  <si>
    <t>Spanish - Nicaragua</t>
  </si>
  <si>
    <t>Spanish - Uruguayan</t>
  </si>
  <si>
    <t>Sundanese</t>
  </si>
  <si>
    <t>Tajik</t>
  </si>
  <si>
    <t>Tatar</t>
  </si>
  <si>
    <t>Tigrinya</t>
  </si>
  <si>
    <t>Tswana</t>
  </si>
  <si>
    <t>Turkmen</t>
  </si>
  <si>
    <t>Uighur</t>
  </si>
  <si>
    <t>Uzbek (Latin)</t>
  </si>
  <si>
    <t>Valencian</t>
  </si>
  <si>
    <t>Final result</t>
  </si>
  <si>
    <t>Chechen</t>
  </si>
  <si>
    <t>German - Germany</t>
  </si>
  <si>
    <t>Montenegrin</t>
  </si>
  <si>
    <t>Nigerian Pidgin</t>
  </si>
  <si>
    <t>Minor</t>
  </si>
  <si>
    <t>Weighting</t>
  </si>
  <si>
    <t>THRESHOLD</t>
  </si>
  <si>
    <t>Evaluator’s counter-feedback</t>
  </si>
  <si>
    <t>Not accepted</t>
  </si>
  <si>
    <t>Implementation stage</t>
  </si>
  <si>
    <t>Sign-off</t>
  </si>
  <si>
    <t>Implemented</t>
  </si>
  <si>
    <t>Not implemented</t>
  </si>
  <si>
    <t>Sign-off Stage - Implementation Rate</t>
  </si>
  <si>
    <t>Arbitration - Final Error Statistics</t>
  </si>
  <si>
    <t>Invalid</t>
  </si>
  <si>
    <t>Repeated</t>
  </si>
  <si>
    <t>100% matches</t>
  </si>
  <si>
    <t>If the correction is not implemented.</t>
  </si>
  <si>
    <t>Not Implemented</t>
  </si>
  <si>
    <t>Reason if not implemented</t>
  </si>
  <si>
    <t>Not in compliance with client's instructions</t>
  </si>
  <si>
    <t xml:space="preserve">Inconsistent with previous translations </t>
  </si>
  <si>
    <t>Files &amp; TMs not available / owned by client</t>
  </si>
  <si>
    <t>Pass threshold</t>
  </si>
  <si>
    <t>Evaluation type</t>
  </si>
  <si>
    <t>3rd Party Evaluation (QE team)</t>
  </si>
  <si>
    <t>Follow up evaluation (QE team)</t>
  </si>
  <si>
    <t xml:space="preserve">Evaluation method </t>
  </si>
  <si>
    <t>Standard</t>
  </si>
  <si>
    <t>Different type (none of above applicable)</t>
  </si>
  <si>
    <t>Critical</t>
  </si>
  <si>
    <t>Critical Error</t>
  </si>
  <si>
    <t>SEVERITIES - DEFINITIONS</t>
  </si>
  <si>
    <t>Repeated Error</t>
  </si>
  <si>
    <t>Back &gt;</t>
  </si>
  <si>
    <t>Precision Ratio (100% max)</t>
  </si>
  <si>
    <t>Percentage of correct words 
in relation to total word count</t>
  </si>
  <si>
    <t>Translation Type</t>
  </si>
  <si>
    <t>Pass/NoPass</t>
  </si>
  <si>
    <t>Y|N Review 100% Matches</t>
  </si>
  <si>
    <t>File Name</t>
  </si>
  <si>
    <t>Job ID</t>
  </si>
  <si>
    <t>Re-Evaluation</t>
  </si>
  <si>
    <t>CTT Evaluation</t>
  </si>
  <si>
    <t>Out of Scope</t>
  </si>
  <si>
    <t>Leave this column blank for the Quality Manager to complete
Show:</t>
  </si>
  <si>
    <t>MT post-edit</t>
  </si>
  <si>
    <t>Afar</t>
  </si>
  <si>
    <t>Bariba</t>
  </si>
  <si>
    <t>Bodo</t>
  </si>
  <si>
    <t>Breton</t>
  </si>
  <si>
    <t>Chinese - Simplified - PRC</t>
  </si>
  <si>
    <t>Chinese - Simplified - Singapore</t>
  </si>
  <si>
    <t>Chinese (Traditional, United States)</t>
  </si>
  <si>
    <t>Creole (Mauritius)</t>
  </si>
  <si>
    <t>Dogri</t>
  </si>
  <si>
    <t>Ewe</t>
  </si>
  <si>
    <t>French - Canadian</t>
  </si>
  <si>
    <t>Karen</t>
  </si>
  <si>
    <t>Kashmiri - India</t>
  </si>
  <si>
    <t>Kinyarwanda</t>
  </si>
  <si>
    <t xml:space="preserve">Kirundi  </t>
  </si>
  <si>
    <t>Lozi</t>
  </si>
  <si>
    <t>Maithili</t>
  </si>
  <si>
    <t>Manipuri</t>
  </si>
  <si>
    <t>Portuguese - Brazilian</t>
  </si>
  <si>
    <t>Portuguese (Mozambique)</t>
  </si>
  <si>
    <t>Pulaar</t>
  </si>
  <si>
    <t>Pular</t>
  </si>
  <si>
    <t>Quechua - Peru</t>
  </si>
  <si>
    <t>Runyankole</t>
  </si>
  <si>
    <t>Russian (Russia)</t>
  </si>
  <si>
    <t>Sanskrit</t>
  </si>
  <si>
    <t>Santhali</t>
  </si>
  <si>
    <t>Sindhi - Pakistan</t>
  </si>
  <si>
    <t>Sotho</t>
  </si>
  <si>
    <t>Swedish (Sweden)</t>
  </si>
  <si>
    <t>Tamil - India</t>
  </si>
  <si>
    <t>Tamil - Singapore</t>
  </si>
  <si>
    <t>Tatar (Cyrillic, Russia)</t>
  </si>
  <si>
    <t>Tonga (Tonga Islands)</t>
  </si>
  <si>
    <t>Urdu - Pakistan</t>
  </si>
  <si>
    <t>Italian - Italy</t>
  </si>
  <si>
    <t>English - Belize</t>
  </si>
  <si>
    <t>Spanish - Argentinian</t>
  </si>
  <si>
    <t>Arabic - Saudi Arabia</t>
  </si>
  <si>
    <t>English (Singapore)</t>
  </si>
  <si>
    <t>English - India</t>
  </si>
  <si>
    <t>Fon</t>
  </si>
  <si>
    <t>Russian (Ukraine)</t>
  </si>
  <si>
    <t>Spanish (United States)</t>
  </si>
  <si>
    <t>Swedish (Finland)</t>
  </si>
  <si>
    <t>Arabic - Egypt</t>
  </si>
  <si>
    <t>English - Philippines</t>
  </si>
  <si>
    <t>Soussou</t>
  </si>
  <si>
    <t>Malay (Singapore)</t>
  </si>
  <si>
    <t>Arabic - U.A.E.</t>
  </si>
  <si>
    <t>Arabic - Lebanon</t>
  </si>
  <si>
    <t>Vai</t>
  </si>
  <si>
    <t>RWS Quality Indicator</t>
  </si>
  <si>
    <r>
      <t xml:space="preserve">Enter any necessary error corrections or revisions in the original translation
Where possible, </t>
    </r>
    <r>
      <rPr>
        <u/>
        <sz val="9"/>
        <color rgb="FFE16E73"/>
        <rFont val="Arial"/>
        <family val="2"/>
      </rPr>
      <t>highlight</t>
    </r>
    <r>
      <rPr>
        <sz val="9"/>
        <color rgb="FFE16E73"/>
        <rFont val="Arial"/>
        <family val="2"/>
      </rPr>
      <t xml:space="preserve"> changes for easy identification (for example, in bold or a different colour).</t>
    </r>
  </si>
  <si>
    <r>
      <t xml:space="preserve">Enter comments to explain error corrections or revisions </t>
    </r>
    <r>
      <rPr>
        <b/>
        <sz val="9"/>
        <color rgb="FFE16E73"/>
        <rFont val="Arial"/>
        <family val="2"/>
      </rPr>
      <t>(OBLIGATORY)</t>
    </r>
  </si>
  <si>
    <t>RWS Language Office</t>
  </si>
  <si>
    <t>RWS cost code</t>
  </si>
  <si>
    <t>Arabic</t>
  </si>
  <si>
    <t>Major Error</t>
  </si>
  <si>
    <t>Major</t>
  </si>
  <si>
    <t>Accuracy</t>
  </si>
  <si>
    <t>Terminology</t>
  </si>
  <si>
    <r>
      <t xml:space="preserve">RWS Quality Indicator Scale </t>
    </r>
    <r>
      <rPr>
        <b/>
        <sz val="9"/>
        <color rgb="FF009EA9"/>
        <rFont val="Arial"/>
        <family val="2"/>
      </rPr>
      <t>[0-100]</t>
    </r>
  </si>
  <si>
    <r>
      <rPr>
        <b/>
        <sz val="8"/>
        <rFont val="Calibri"/>
        <family val="2"/>
      </rPr>
      <t>≤</t>
    </r>
    <r>
      <rPr>
        <b/>
        <sz val="8"/>
        <rFont val="Arial"/>
        <family val="2"/>
      </rPr>
      <t xml:space="preserve"> 89</t>
    </r>
  </si>
  <si>
    <t>Max 100</t>
  </si>
  <si>
    <t>Subcategory</t>
  </si>
  <si>
    <t>Addition</t>
  </si>
  <si>
    <t>Mistranslation</t>
  </si>
  <si>
    <t>Untranslated</t>
  </si>
  <si>
    <t>Shortcut key</t>
  </si>
  <si>
    <t>Telephone format</t>
  </si>
  <si>
    <t>Missing text</t>
  </si>
  <si>
    <t>Truncation/text expansion</t>
  </si>
  <si>
    <t>Character encoding</t>
  </si>
  <si>
    <t>Grammar</t>
  </si>
  <si>
    <t>Link/cross-reference</t>
  </si>
  <si>
    <t>Spelling</t>
  </si>
  <si>
    <t>Inconsistent use of terminology</t>
  </si>
  <si>
    <t>CATEGORIES &amp; SUBCATEGORIES – DEFINITIONS &amp; EXAMPLES</t>
  </si>
  <si>
    <t xml:space="preserve">Address format </t>
  </si>
  <si>
    <t xml:space="preserve">Currency format </t>
  </si>
  <si>
    <t xml:space="preserve">Date format </t>
  </si>
  <si>
    <t xml:space="preserve">Measurement format </t>
  </si>
  <si>
    <t>Unidiomatic style</t>
  </si>
  <si>
    <t>Third-party style</t>
  </si>
  <si>
    <t>Inconsistent style</t>
  </si>
  <si>
    <t>Other</t>
  </si>
  <si>
    <t>Legacy data</t>
  </si>
  <si>
    <t>Source text data</t>
  </si>
  <si>
    <t>Linguistic conventions</t>
  </si>
  <si>
    <t>Locale conventions</t>
  </si>
  <si>
    <t>Audience appropriateness</t>
  </si>
  <si>
    <t>Design and markup</t>
  </si>
  <si>
    <t>Total Recorded Error Points</t>
  </si>
  <si>
    <t>Legacy Data</t>
  </si>
  <si>
    <t>Source Text Data</t>
  </si>
  <si>
    <t>Error Points Threshold</t>
  </si>
  <si>
    <t>Premium</t>
  </si>
  <si>
    <t>Neutral</t>
  </si>
  <si>
    <t>Premium Plus</t>
  </si>
  <si>
    <t>Creative Plus</t>
  </si>
  <si>
    <t>Languages</t>
  </si>
  <si>
    <t>Error Severities</t>
  </si>
  <si>
    <t>Value</t>
  </si>
  <si>
    <t>Economy</t>
  </si>
  <si>
    <t>Error Categories</t>
  </si>
  <si>
    <t>Quality Level:</t>
  </si>
  <si>
    <t>Severity Weighting</t>
  </si>
  <si>
    <t>Quality Levels - Overview</t>
  </si>
  <si>
    <t>Selected Quality Level:</t>
  </si>
  <si>
    <t>Weighting Calculation - Initial - Final</t>
  </si>
  <si>
    <t>Final Result</t>
  </si>
  <si>
    <t>Recorded 
Error Points</t>
  </si>
  <si>
    <t>36 error points /1000 words</t>
  </si>
  <si>
    <t>9 error points /1000 words</t>
  </si>
  <si>
    <t>18 error points /1000 words</t>
  </si>
  <si>
    <t>This tab contains the detailed information &amp; guidelines on error categories and weightings assigned to specific errors according to MQM quality framework. Select a category or subcategory from the list below to see definitions with examples.</t>
  </si>
  <si>
    <t>OVERALL IMPRESSION &amp; COMMENTS</t>
  </si>
  <si>
    <t>Initial Result</t>
  </si>
  <si>
    <t>Weighting Calculation</t>
  </si>
  <si>
    <t>General</t>
  </si>
  <si>
    <t>Accepted or Not accepted by Translator</t>
  </si>
  <si>
    <t>Accepted</t>
  </si>
  <si>
    <t>Initial acceptance rate %</t>
  </si>
  <si>
    <t>Quality Manager decision (Not accepted errors only)</t>
  </si>
  <si>
    <t>Agree with Translator</t>
  </si>
  <si>
    <t>Disagree with Translator</t>
  </si>
  <si>
    <t>Final acceptance rate % (incl Initial Accepted)</t>
  </si>
  <si>
    <t xml:space="preserve">      Select grade for Overall Impression &gt;&gt;&gt;</t>
  </si>
  <si>
    <t>Inconsistent with terminology resource</t>
  </si>
  <si>
    <t>Wrong term</t>
  </si>
  <si>
    <t>Over-translation</t>
  </si>
  <si>
    <t>Under-translation</t>
  </si>
  <si>
    <t>Do not translate (DNT)</t>
  </si>
  <si>
    <t>Unintelligible</t>
  </si>
  <si>
    <t>Organizational style</t>
  </si>
  <si>
    <t>Inconsistent with external reference</t>
  </si>
  <si>
    <t>Register</t>
  </si>
  <si>
    <t>Awkward style</t>
  </si>
  <si>
    <t>Number format</t>
  </si>
  <si>
    <t>Currency format</t>
  </si>
  <si>
    <t>Measurement format</t>
  </si>
  <si>
    <t>Time format</t>
  </si>
  <si>
    <t>Date format</t>
  </si>
  <si>
    <t>Address format</t>
  </si>
  <si>
    <t>Culture-specific reference</t>
  </si>
  <si>
    <t>Character formatting</t>
  </si>
  <si>
    <t>Layout</t>
  </si>
  <si>
    <t>Markup tag</t>
  </si>
  <si>
    <t>Errors arising when a term does not conform to normative domain or organizational terminology standards or when a term in the target text is not the correct, normative equivalent of the corresponding term in the source text.</t>
  </si>
  <si>
    <t xml:space="preserve">Inconsistent with terminology resource </t>
  </si>
  <si>
    <t>Use of a term that differs from term usage required by a specified termbase or other resource.</t>
  </si>
  <si>
    <r>
      <rPr>
        <b/>
        <sz val="10"/>
        <color rgb="FFFF0000"/>
        <rFont val="Arial"/>
        <family val="2"/>
        <charset val="238"/>
      </rPr>
      <t>Example:</t>
    </r>
    <r>
      <rPr>
        <sz val="10"/>
        <rFont val="Arial"/>
        <family val="2"/>
      </rPr>
      <t xml:space="preserve"> A termbase specifies that the term 'USB memory stick' should be used, but the text uses 'USB flash drive'.
A French text translates English 'e-mail' as 'e-mail' but terminology guidelines mandated that 'courriel' be used.
The English musicological term 'dog' is translated (literally) into German as 'Hund' instead of as 'Schnarre', as specified in a terminology database.</t>
    </r>
  </si>
  <si>
    <t xml:space="preserve">Inconsistent use of terminology </t>
  </si>
  <si>
    <t>Use of multiple terms for the same concept in cases where consistency is desirable.</t>
  </si>
  <si>
    <r>
      <rPr>
        <b/>
        <sz val="10"/>
        <color rgb="FFFF0000"/>
        <rFont val="Arial"/>
        <family val="2"/>
        <charset val="238"/>
      </rPr>
      <t>Example:</t>
    </r>
    <r>
      <rPr>
        <sz val="10"/>
        <rFont val="Arial"/>
        <family val="2"/>
      </rPr>
      <t xml:space="preserve"> The text refers to a component as the 'brake release lever', 'brake disengagement lever', 'manual brake release', and 'manual disengagement release'.</t>
    </r>
  </si>
  <si>
    <t xml:space="preserve">Wrong term </t>
  </si>
  <si>
    <t>Use of term that it is not the term a domain expert would use or because it gives rise to a conceptual mismatch.</t>
  </si>
  <si>
    <r>
      <rPr>
        <b/>
        <sz val="10"/>
        <color rgb="FFFF0000"/>
        <rFont val="Arial"/>
        <family val="2"/>
        <charset val="238"/>
      </rPr>
      <t>Example:</t>
    </r>
    <r>
      <rPr>
        <sz val="10"/>
        <rFont val="Arial"/>
        <family val="2"/>
      </rPr>
      <t xml:space="preserve"> The word 'river' in an English source text is translated into French as 'rivière'. But the river in question flows into the sea, not into a lake or another river, so the correct French translation should have been 'fleuve'.</t>
    </r>
  </si>
  <si>
    <t>Any other issues related to 'Terminology' that cannot be classified with the defined subcategories above.</t>
  </si>
  <si>
    <t>Errors occurring when the target text does not accurately correspond to the propositional content of the source text, introduced by distorting, omitting, or adding to the message.</t>
  </si>
  <si>
    <t xml:space="preserve">Mistranslation </t>
  </si>
  <si>
    <t>Target content that does not accurately represent the source content.</t>
  </si>
  <si>
    <r>
      <rPr>
        <b/>
        <sz val="10"/>
        <color rgb="FFFF0000"/>
        <rFont val="Arial"/>
        <family val="2"/>
        <charset val="238"/>
      </rPr>
      <t>Example:</t>
    </r>
    <r>
      <rPr>
        <sz val="10"/>
        <rFont val="Arial"/>
        <family val="2"/>
      </rPr>
      <t xml:space="preserve"> A source text states that a medicine should not be administered in doses greater than 200 mg, but the translation states that it should be administered in doses greater than 200 mg (i.e., negation has been omitted).</t>
    </r>
  </si>
  <si>
    <t xml:space="preserve">Over-translation </t>
  </si>
  <si>
    <t>Target text that is inappropriately more specific than the source text.</t>
  </si>
  <si>
    <r>
      <rPr>
        <b/>
        <sz val="10"/>
        <color rgb="FFFF0000"/>
        <rFont val="Arial"/>
        <family val="2"/>
        <charset val="238"/>
      </rPr>
      <t>Example:</t>
    </r>
    <r>
      <rPr>
        <sz val="10"/>
        <rFont val="Arial"/>
        <family val="2"/>
      </rPr>
      <t xml:space="preserve"> The source text refers to a boy, but is translated with a word that applies only to young boys rather than the more general term.</t>
    </r>
  </si>
  <si>
    <t xml:space="preserve">Under-translation </t>
  </si>
  <si>
    <t>Target text that is inappropriately less specific than the source text.</t>
  </si>
  <si>
    <r>
      <rPr>
        <b/>
        <sz val="10"/>
        <color rgb="FFFF0000"/>
        <rFont val="Arial"/>
        <family val="2"/>
        <charset val="238"/>
      </rPr>
      <t>Example:</t>
    </r>
    <r>
      <rPr>
        <sz val="10"/>
        <rFont val="Arial"/>
        <family val="2"/>
      </rPr>
      <t xml:space="preserve"> The source text uses words that refer to a specific type of military officer, but the target text refers to military officers in general.</t>
    </r>
  </si>
  <si>
    <t xml:space="preserve">Addition </t>
  </si>
  <si>
    <t>Target content that includes content not present in the source.</t>
  </si>
  <si>
    <r>
      <rPr>
        <b/>
        <sz val="10"/>
        <color rgb="FFFF0000"/>
        <rFont val="Arial"/>
        <family val="2"/>
        <charset val="238"/>
      </rPr>
      <t>Example:</t>
    </r>
    <r>
      <rPr>
        <sz val="10"/>
        <rFont val="Arial"/>
        <family val="2"/>
      </rPr>
      <t xml:space="preserve"> A translation includes portions of another translation that were inadvertently pasted into the document.</t>
    </r>
  </si>
  <si>
    <t xml:space="preserve">Omission </t>
  </si>
  <si>
    <t>Errors where content is missing from the translation that is present in the source.</t>
  </si>
  <si>
    <r>
      <rPr>
        <b/>
        <sz val="10"/>
        <color rgb="FFFF0000"/>
        <rFont val="Arial"/>
        <family val="2"/>
        <charset val="238"/>
      </rPr>
      <t>Example:</t>
    </r>
    <r>
      <rPr>
        <sz val="10"/>
        <rFont val="Arial"/>
        <family val="2"/>
      </rPr>
      <t xml:space="preserve"> A paragraph present in the source is missing in the translation.</t>
    </r>
  </si>
  <si>
    <t xml:space="preserve">Do not translate (DNT) </t>
  </si>
  <si>
    <t>Errors occurring when a text segment or even a whole section of a text marked in the specifications as “Do not translate!” is translated in the target text.</t>
  </si>
  <si>
    <r>
      <rPr>
        <b/>
        <sz val="10"/>
        <color rgb="FFFF0000"/>
        <rFont val="Arial"/>
        <family val="2"/>
        <charset val="238"/>
      </rPr>
      <t>Example:</t>
    </r>
    <r>
      <rPr>
        <sz val="10"/>
        <rFont val="Arial"/>
        <family val="2"/>
      </rPr>
      <t xml:space="preserve"> A marketing slogan for worldwide use is intended to remain in English.</t>
    </r>
  </si>
  <si>
    <t xml:space="preserve">Untranslated </t>
  </si>
  <si>
    <t>Errors occurring when a text segment that was intended for translation is left untranslated in the target content.</t>
  </si>
  <si>
    <r>
      <rPr>
        <b/>
        <sz val="10"/>
        <color rgb="FFFF0000"/>
        <rFont val="Arial"/>
        <family val="2"/>
        <charset val="238"/>
      </rPr>
      <t>Example:</t>
    </r>
    <r>
      <rPr>
        <sz val="10"/>
        <rFont val="Arial"/>
        <family val="2"/>
      </rPr>
      <t xml:space="preserve"> A sentence in a Japanese document translated into English is inappropriately left in Japanese</t>
    </r>
  </si>
  <si>
    <t>Any other issues related to 'Accuracy' that cannot be classified with the defined subcategories above</t>
  </si>
  <si>
    <t>Errors related to the linguistic well-formedness of the text, including problems with, for instance, grammaticality and mechanical correctness.</t>
  </si>
  <si>
    <t xml:space="preserve">Grammar </t>
  </si>
  <si>
    <t>Error that occurs when a text string (sentence, phrase, other) in the translation violates the grammatical rules of the target language.</t>
  </si>
  <si>
    <r>
      <rPr>
        <b/>
        <sz val="10"/>
        <color rgb="FFFF0000"/>
        <rFont val="Arial"/>
        <family val="2"/>
        <charset val="238"/>
      </rPr>
      <t>Example:</t>
    </r>
    <r>
      <rPr>
        <sz val="10"/>
        <rFont val="Arial"/>
        <family val="2"/>
      </rPr>
      <t xml:space="preserve"> An English text reads: The mother was playing with 'the her child'.</t>
    </r>
  </si>
  <si>
    <t xml:space="preserve">Punctuation </t>
  </si>
  <si>
    <t>Punctuation incorrect for the locale or style.</t>
  </si>
  <si>
    <r>
      <rPr>
        <b/>
        <sz val="10"/>
        <color rgb="FFFF0000"/>
        <rFont val="Arial"/>
        <family val="2"/>
        <charset val="238"/>
      </rPr>
      <t>Example:</t>
    </r>
    <r>
      <rPr>
        <sz val="10"/>
        <rFont val="Arial"/>
        <family val="2"/>
      </rPr>
      <t xml:space="preserve"> An English text uses a semicolon where a comma should be used.</t>
    </r>
  </si>
  <si>
    <t xml:space="preserve">Spelling </t>
  </si>
  <si>
    <t>Error occurring when the letters in a word in an alphabetic language are not arranged in the normally specified order.</t>
  </si>
  <si>
    <r>
      <rPr>
        <b/>
        <sz val="10"/>
        <color rgb="FFFF0000"/>
        <rFont val="Arial"/>
        <family val="2"/>
        <charset val="238"/>
      </rPr>
      <t>Example:</t>
    </r>
    <r>
      <rPr>
        <sz val="10"/>
        <rFont val="Arial"/>
        <family val="2"/>
      </rPr>
      <t xml:space="preserve"> The German word 'Zustellung' is spelled 'Zustetlugn'.</t>
    </r>
  </si>
  <si>
    <t xml:space="preserve">Unintelligible </t>
  </si>
  <si>
    <t>Text garbled or incomprehensible, perhaps due to conversion or other processing error</t>
  </si>
  <si>
    <r>
      <rPr>
        <b/>
        <sz val="10"/>
        <color rgb="FFFF0000"/>
        <rFont val="Arial"/>
        <family val="2"/>
        <charset val="238"/>
      </rPr>
      <t>Example:</t>
    </r>
    <r>
      <rPr>
        <sz val="10"/>
        <rFont val="Arial"/>
        <family val="2"/>
      </rPr>
      <t xml:space="preserve"> The following text appears in an English translation of a German automotive manual: “The brake from whe this કુતારો િસ S149235 part numbr,,.”</t>
    </r>
  </si>
  <si>
    <t xml:space="preserve">Character encoding </t>
  </si>
  <si>
    <t>Error occurring when characters garbled due to incorrect application of an encoding.</t>
  </si>
  <si>
    <r>
      <rPr>
        <b/>
        <sz val="10"/>
        <color rgb="FFFF0000"/>
        <rFont val="Arial"/>
        <family val="2"/>
        <charset val="238"/>
      </rPr>
      <t>Example:</t>
    </r>
    <r>
      <rPr>
        <sz val="10"/>
        <rFont val="Arial"/>
        <family val="2"/>
      </rPr>
      <t xml:space="preserve"> A text document in UTF-8 encoding is opened as ISO Latin-1, resulting in all upper ASCII characters being garbled.</t>
    </r>
  </si>
  <si>
    <t>Any other issues related to 'Linguistic conventions' that cannot be classified with the defined subcategories above.</t>
  </si>
  <si>
    <t>Errors occurring in a text that can be grammatical but are inappropriate because they deviate from organizational style guides or exhibit inappropriate language style.</t>
  </si>
  <si>
    <t xml:space="preserve">Organizational style </t>
  </si>
  <si>
    <t>Errors occurring where the text violates company/organization-specific style guidelines.</t>
  </si>
  <si>
    <r>
      <rPr>
        <b/>
        <sz val="10"/>
        <color rgb="FFFF0000"/>
        <rFont val="Arial"/>
        <family val="2"/>
        <charset val="238"/>
      </rPr>
      <t>Example:</t>
    </r>
    <r>
      <rPr>
        <sz val="10"/>
        <rFont val="Arial"/>
        <family val="2"/>
      </rPr>
      <t xml:space="preserve"> Company style states that passive sentences may not be used, but the text uses passive sentences.</t>
    </r>
  </si>
  <si>
    <t xml:space="preserve">Third-party style </t>
  </si>
  <si>
    <t>Errors occurring when the text violates a third-party style guide.</t>
  </si>
  <si>
    <r>
      <rPr>
        <b/>
        <sz val="10"/>
        <color rgb="FFFF0000"/>
        <rFont val="Arial"/>
        <family val="2"/>
        <charset val="238"/>
      </rPr>
      <t>Example:</t>
    </r>
    <r>
      <rPr>
        <sz val="10"/>
        <rFont val="Arial"/>
        <family val="2"/>
      </rPr>
      <t xml:space="preserve"> Specifications stated that English text was to be formatted according to the Chicago Manual of Style, but the text delivered followed the American Psychological Association style guide.</t>
    </r>
  </si>
  <si>
    <t xml:space="preserve">Inconsistent with external reference </t>
  </si>
  <si>
    <t>Errors occurring when text fails to conform to an external resource.</t>
  </si>
  <si>
    <t xml:space="preserve">Register </t>
  </si>
  <si>
    <t>Errors occurring when a text uses a level of formality higher or lower than required by the specifications or by common language conventions.</t>
  </si>
  <si>
    <r>
      <rPr>
        <b/>
        <sz val="10"/>
        <color rgb="FFFF0000"/>
        <rFont val="Arial"/>
        <family val="2"/>
        <charset val="238"/>
      </rPr>
      <t>Example:</t>
    </r>
    <r>
      <rPr>
        <sz val="10"/>
        <rFont val="Arial"/>
        <family val="2"/>
      </rPr>
      <t xml:space="preserve"> A formal letter uses contractions, colloquialisms and expressions characteristic of spoken rather than written language, and thus makes a less serious impression than intended.</t>
    </r>
  </si>
  <si>
    <t xml:space="preserve">Awkward style </t>
  </si>
  <si>
    <t>Style involving excessive wordiness or overly embedded clauses, often due to inappropriate retention of source text style in the target text.</t>
  </si>
  <si>
    <r>
      <rPr>
        <b/>
        <sz val="10"/>
        <color rgb="FFFF0000"/>
        <rFont val="Arial"/>
        <family val="2"/>
        <charset val="238"/>
      </rPr>
      <t>Example:</t>
    </r>
    <r>
      <rPr>
        <sz val="10"/>
        <rFont val="Arial"/>
        <family val="2"/>
      </rPr>
      <t xml:space="preserve"> A text is written with many embedded clauses and an excessively wordy style. While the meaning can be understood, the text is unnatural and difficult to follow.</t>
    </r>
  </si>
  <si>
    <t xml:space="preserve">Unidiomatic style </t>
  </si>
  <si>
    <t>Style that is grammatical, but unnatural, often due to interference from the source language.</t>
  </si>
  <si>
    <r>
      <rPr>
        <b/>
        <sz val="10"/>
        <color rgb="FFFF0000"/>
        <rFont val="Arial"/>
        <family val="2"/>
        <charset val="238"/>
      </rPr>
      <t>Example:</t>
    </r>
    <r>
      <rPr>
        <sz val="10"/>
        <rFont val="Arial"/>
        <family val="2"/>
      </rPr>
      <t xml:space="preserve"> The following text appears in an English translation of a German letter: “We thanked him with heart” where “with heart” is an understandable, but non-idiomatic rendering, better stated as “heartily”.</t>
    </r>
  </si>
  <si>
    <t xml:space="preserve">Inconsistent style </t>
  </si>
  <si>
    <t>Style that varies inconsistently throughout the text, often due to multiple translators contributing to the target text.</t>
  </si>
  <si>
    <r>
      <rPr>
        <b/>
        <sz val="10"/>
        <color rgb="FFFF0000"/>
        <rFont val="Arial"/>
        <family val="2"/>
        <charset val="238"/>
      </rPr>
      <t>Example:</t>
    </r>
    <r>
      <rPr>
        <sz val="10"/>
        <rFont val="Arial"/>
        <family val="2"/>
      </rPr>
      <t xml:space="preserve"> One part of a text is written in a light and terse style while other sections are written in a more wordy style.</t>
    </r>
  </si>
  <si>
    <t>Any other issues related to 'Style' that cannot be classified with the defined subcategories above.</t>
  </si>
  <si>
    <t>Errors occurring when the translation product violates locale-specific content or formatting requirements for data elements.</t>
  </si>
  <si>
    <t xml:space="preserve">Number format </t>
  </si>
  <si>
    <t>Inappropriate number format for its locale.</t>
  </si>
  <si>
    <r>
      <rPr>
        <b/>
        <sz val="10"/>
        <color rgb="FFFF0000"/>
        <rFont val="Arial"/>
        <family val="2"/>
        <charset val="238"/>
      </rPr>
      <t>Example:</t>
    </r>
    <r>
      <rPr>
        <sz val="10"/>
        <rFont val="Arial"/>
        <family val="2"/>
      </rPr>
      <t xml:space="preserve"> US-English target text retains German-style use of full stops and commas.</t>
    </r>
  </si>
  <si>
    <t>Incorrect currency format for its locale.</t>
  </si>
  <si>
    <r>
      <rPr>
        <b/>
        <sz val="10"/>
        <color rgb="FFFF0000"/>
        <rFont val="Arial"/>
        <family val="2"/>
        <charset val="238"/>
      </rPr>
      <t>Example:</t>
    </r>
    <r>
      <rPr>
        <sz val="10"/>
        <rFont val="Arial"/>
        <family val="2"/>
      </rPr>
      <t xml:space="preserve"> A text dealing with business transactions from English into Hindi assumes that all currencies will be expressed in simple units, while the convention in India is to give such prices in lakh rupees (100,000 rupees).</t>
    </r>
  </si>
  <si>
    <t>Inappropriate measurement format for its locale.</t>
  </si>
  <si>
    <r>
      <rPr>
        <b/>
        <sz val="10"/>
        <color rgb="FFFF0000"/>
        <rFont val="Arial"/>
        <family val="2"/>
        <charset val="238"/>
      </rPr>
      <t>Example:</t>
    </r>
    <r>
      <rPr>
        <sz val="10"/>
        <rFont val="Arial"/>
        <family val="2"/>
      </rPr>
      <t xml:space="preserve"> A text created for use in France uses feet and inches and Fahrenheit temperatures.</t>
    </r>
  </si>
  <si>
    <t xml:space="preserve">Time format </t>
  </si>
  <si>
    <t>Inappropriate time format for its locale.</t>
  </si>
  <si>
    <r>
      <rPr>
        <b/>
        <sz val="10"/>
        <color rgb="FFFF0000"/>
        <rFont val="Arial"/>
        <family val="2"/>
        <charset val="238"/>
      </rPr>
      <t>Example:</t>
    </r>
    <r>
      <rPr>
        <sz val="10"/>
        <rFont val="Arial"/>
        <family val="2"/>
      </rPr>
      <t xml:space="preserve"> Unless specified as using a 24 hour clock, US time formats report time after noon using 12-hour notation (for instance, '7:54:12 pm' instead of '19:54:12' used in many other countries.</t>
    </r>
  </si>
  <si>
    <t>Inappropriate date format for its locale.</t>
  </si>
  <si>
    <r>
      <rPr>
        <b/>
        <sz val="10"/>
        <color rgb="FFFF0000"/>
        <rFont val="Arial"/>
        <family val="2"/>
        <charset val="238"/>
      </rPr>
      <t>Example:</t>
    </r>
    <r>
      <rPr>
        <sz val="10"/>
        <rFont val="Arial"/>
        <family val="2"/>
      </rPr>
      <t xml:space="preserve"> A German text has '06/07/2012' for '7 June 2012' instead of '07.06.2012'.</t>
    </r>
  </si>
  <si>
    <t>Inappropriate address format for its locale.</t>
  </si>
  <si>
    <r>
      <rPr>
        <b/>
        <sz val="10"/>
        <color rgb="FFFF0000"/>
        <rFont val="Arial"/>
        <family val="2"/>
        <charset val="238"/>
      </rPr>
      <t>Example:</t>
    </r>
    <r>
      <rPr>
        <sz val="10"/>
        <rFont val="Arial"/>
        <family val="2"/>
      </rPr>
      <t xml:space="preserve"> An online form translated from English to Hindi requires a house number even though many addresses in India do not include a house number, or the postal code is in the wrong position for a given locale.</t>
    </r>
  </si>
  <si>
    <t xml:space="preserve">Telephone format </t>
  </si>
  <si>
    <t>Inappropriate telephone form for telephone numbers for its locale.</t>
  </si>
  <si>
    <r>
      <rPr>
        <b/>
        <sz val="10"/>
        <color rgb="FFFF0000"/>
        <rFont val="Arial"/>
        <family val="2"/>
        <charset val="238"/>
      </rPr>
      <t>Example:</t>
    </r>
    <r>
      <rPr>
        <sz val="10"/>
        <rFont val="Arial"/>
        <family val="2"/>
      </rPr>
      <t xml:space="preserve"> A German text presents a telephone number in the format (xxx) xxx - xxxx instead of the expected 0xx followed by a group of digits separated into groups by spaces.</t>
    </r>
  </si>
  <si>
    <t xml:space="preserve">Shortcut key </t>
  </si>
  <si>
    <t>Shortcuts in translated software product that do not conform to locale expectations or make no sense for the locale.</t>
  </si>
  <si>
    <r>
      <rPr>
        <b/>
        <sz val="10"/>
        <color rgb="FFFF0000"/>
        <rFont val="Arial"/>
        <family val="2"/>
        <charset val="238"/>
      </rPr>
      <t>Example:</t>
    </r>
    <r>
      <rPr>
        <sz val="10"/>
        <rFont val="Arial"/>
        <family val="2"/>
      </rPr>
      <t xml:space="preserve"> A software product uses 'CTRL-S' to save a file in Hungarian, rather than the appropriate 'CTRL-M' (for menteni).</t>
    </r>
  </si>
  <si>
    <t>Any other issues related to 'Locale conventions' that cannot be classified with the defined subcategories above.</t>
  </si>
  <si>
    <t>Errors arising from the use of content in the translation product that is invalid or inappropriate for the target locale or target audience.</t>
  </si>
  <si>
    <t xml:space="preserve">Culture-specific reference </t>
  </si>
  <si>
    <t>Errors where content inappropriately uses a culture-specific reference that will not be understandable to the intended audience.</t>
  </si>
  <si>
    <r>
      <rPr>
        <b/>
        <sz val="10"/>
        <color rgb="FFFF0000"/>
        <rFont val="Arial"/>
        <family val="2"/>
        <charset val="238"/>
      </rPr>
      <t>Example:</t>
    </r>
    <r>
      <rPr>
        <sz val="10"/>
        <rFont val="Arial"/>
        <family val="2"/>
      </rPr>
      <t xml:space="preserve"> An English text refers to steps in a process as 'First base', 'Second base', and 'Third base', and to successful completion as a 'Home run' and uses other metaphors from baseball. These prove difficult to translate and confuse the target audience in Germany.</t>
    </r>
  </si>
  <si>
    <t>Any other issues related to 'Audience appropriateness' that cannot be classified with the defined subcategories above.</t>
  </si>
  <si>
    <t>Errors related to the physical design or presentation of a translation product, including character, paragraph, and UI element formatting and markup, integration of text with graphical elements, and overall page or window layout.</t>
  </si>
  <si>
    <t xml:space="preserve">Character formatting </t>
  </si>
  <si>
    <t>Inappropriate application of any glyph variation that is applied to a character or string of characters, such as font, font style, font color, or font size.</t>
  </si>
  <si>
    <r>
      <rPr>
        <b/>
        <sz val="10"/>
        <color rgb="FFFF0000"/>
        <rFont val="Arial"/>
        <family val="2"/>
        <charset val="238"/>
      </rPr>
      <t>Example:</t>
    </r>
    <r>
      <rPr>
        <sz val="10"/>
        <rFont val="Arial"/>
        <family val="2"/>
      </rPr>
      <t xml:space="preserve"> A corporate style guide specifies that body text in technical publications should be set in a serif font, but body text in advertising and public reports should be set in a sans serif font. The body text for an annual report was incorrectly set using the serif font specified for technical publications.</t>
    </r>
  </si>
  <si>
    <t>Inappropriate presentation format of paragraphs, headings, graphical elements, and user interface elements and their arrangement on a form, page, website, or application screen.</t>
  </si>
  <si>
    <r>
      <rPr>
        <b/>
        <sz val="10"/>
        <color rgb="FFFF0000"/>
        <rFont val="Arial"/>
        <family val="2"/>
        <charset val="238"/>
      </rPr>
      <t>Example:</t>
    </r>
    <r>
      <rPr>
        <sz val="10"/>
        <rFont val="Arial"/>
        <family val="2"/>
      </rPr>
      <t xml:space="preserve"> A fully justified paragraph was copied from one document and pasted into another where surrounding paragraphs were flush left, ragged right, creating a visual mismatch.</t>
    </r>
  </si>
  <si>
    <t xml:space="preserve">Markup tag </t>
  </si>
  <si>
    <t>Incorrect markup tag or tag component.</t>
  </si>
  <si>
    <r>
      <rPr>
        <b/>
        <sz val="10"/>
        <color rgb="FFFF0000"/>
        <rFont val="Arial"/>
        <family val="2"/>
        <charset val="238"/>
      </rPr>
      <t>Example:</t>
    </r>
    <r>
      <rPr>
        <sz val="10"/>
        <rFont val="Arial"/>
        <family val="2"/>
      </rPr>
      <t xml:space="preserve"> Markup is used incorrectly, resulting in incorrect formatting.</t>
    </r>
  </si>
  <si>
    <t>Target text that is longer or shorter than allowed or where there is a significant and inappropriate discrepancy between the source and the target text lengths.</t>
  </si>
  <si>
    <r>
      <rPr>
        <b/>
        <sz val="10"/>
        <color rgb="FFFF0000"/>
        <rFont val="Arial"/>
        <family val="2"/>
        <charset val="238"/>
      </rPr>
      <t>Example:</t>
    </r>
    <r>
      <rPr>
        <sz val="10"/>
        <rFont val="Arial"/>
        <family val="2"/>
      </rPr>
      <t xml:space="preserve"> The German translation of an English string in a user interface runs off the edge of a dialogue box and cannot be read.
An English sentence is 51 characters long, but its German translation is 253 characters long and does not fit in the available space.
A source text is 300 character long but the translation is 15 characters, indicating a likely problem.</t>
    </r>
  </si>
  <si>
    <t xml:space="preserve">Missing text </t>
  </si>
  <si>
    <t>Existing text missing in the final laid-out version.</t>
  </si>
  <si>
    <r>
      <rPr>
        <b/>
        <sz val="10"/>
        <color rgb="FFFF0000"/>
        <rFont val="Arial"/>
        <family val="2"/>
        <charset val="238"/>
      </rPr>
      <t>Example:</t>
    </r>
    <r>
      <rPr>
        <sz val="10"/>
        <rFont val="Arial"/>
        <family val="2"/>
      </rPr>
      <t xml:space="preserve"> A translation is complete, but during DTP a text box was inadvertently moved off the page and so the translated text does not appear in a rendered PDF version.</t>
    </r>
  </si>
  <si>
    <t xml:space="preserve">Link/cross-reference </t>
  </si>
  <si>
    <t>Incorrect or invalid (no longer active) link or URI.</t>
  </si>
  <si>
    <r>
      <rPr>
        <b/>
        <sz val="10"/>
        <color rgb="FFFF0000"/>
        <rFont val="Arial"/>
        <family val="2"/>
        <charset val="238"/>
      </rPr>
      <t>Example:</t>
    </r>
    <r>
      <rPr>
        <sz val="10"/>
        <rFont val="Arial"/>
        <family val="2"/>
      </rPr>
      <t xml:space="preserve"> An HTML file contains numerous links to other HTML files; some have been updated to reflect the appropriate language version while some point to the source language version.</t>
    </r>
  </si>
  <si>
    <t>Any other issues related to 'Design and markup' that cannot be classified with the defined subcategories above.</t>
  </si>
  <si>
    <t>Applicable when an error in the target language can be clearly attributed to an error in associated legacy data (translation memories, glossaries, guidelines, etc.).</t>
  </si>
  <si>
    <t xml:space="preserve">Applicable when there is an error in the source text (which may or may not lead to an error in the target text). </t>
  </si>
  <si>
    <t>Any other issues that cannot be classified with the defined categories above and also cannot be classified with the defined subcategories above.</t>
  </si>
  <si>
    <t>Overall Impression Grade</t>
  </si>
  <si>
    <t>Overall Impression Comment</t>
  </si>
  <si>
    <r>
      <rPr>
        <b/>
        <sz val="10"/>
        <color theme="0"/>
        <rFont val="Arial"/>
        <family val="2"/>
      </rPr>
      <t>Instructions:</t>
    </r>
    <r>
      <rPr>
        <sz val="10"/>
        <color theme="0"/>
        <rFont val="Arial"/>
        <family val="2"/>
      </rPr>
      <t xml:space="preserve">
</t>
    </r>
    <r>
      <rPr>
        <b/>
        <sz val="10"/>
        <color theme="0"/>
        <rFont val="Arial"/>
        <family val="2"/>
      </rPr>
      <t>Enter error details in this sheet ('Evaluation details_input'), following the instructions in the cells in Row 2.
See 'Errors &amp; Weighting Definitions' sheet for explanation of error categories.</t>
    </r>
    <r>
      <rPr>
        <sz val="10"/>
        <color theme="0"/>
        <rFont val="Arial"/>
        <family val="2"/>
      </rPr>
      <t xml:space="preserve">
- If the same identical error recurs, record the 2nd occurrence onwards as 'Repeated' in the Severity column.
       </t>
    </r>
    <r>
      <rPr>
        <i/>
        <sz val="10"/>
        <color theme="0"/>
        <rFont val="Arial"/>
        <family val="2"/>
      </rPr>
      <t>Note</t>
    </r>
    <r>
      <rPr>
        <sz val="10"/>
        <color theme="0"/>
        <rFont val="Arial"/>
        <family val="2"/>
      </rPr>
      <t xml:space="preserve">: Repeated errors are applicable only if the error is </t>
    </r>
    <r>
      <rPr>
        <b/>
        <sz val="10"/>
        <color theme="0"/>
        <rFont val="Arial"/>
        <family val="2"/>
      </rPr>
      <t>exactly identical</t>
    </r>
    <r>
      <rPr>
        <sz val="10"/>
        <color theme="0"/>
        <rFont val="Arial"/>
        <family val="2"/>
      </rPr>
      <t xml:space="preserve"> to 1st occurrence of the error.
- Legacy data errors should be recorded, but are not counted as errors in the scoring system.
- Neutral changes should be recorded, but are not counted as errors in the scoring system.
</t>
    </r>
    <r>
      <rPr>
        <b/>
        <sz val="10"/>
        <color theme="0"/>
        <rFont val="Arial"/>
        <family val="2"/>
      </rPr>
      <t xml:space="preserve">Each distinct error should be logged as a separate item (including multiple errors in the same segment).
Should there be a need to register a Critical Error, it is mandatory for the evaluator to provide detailed explanation
and supporting evidence to fully justify the usage of this severest error type.  
</t>
    </r>
  </si>
  <si>
    <t>Use the dropdown list in each cell to select the appropriate subcategory of error</t>
  </si>
  <si>
    <t>Neutral change (preferential)</t>
  </si>
  <si>
    <t>Select grade for overall Impression &gt;&gt;&gt;</t>
  </si>
  <si>
    <r>
      <t xml:space="preserve">Minor errors are issues that </t>
    </r>
    <r>
      <rPr>
        <b/>
        <sz val="10"/>
        <color rgb="FFFF0000"/>
        <rFont val="Arial"/>
        <family val="2"/>
        <charset val="238"/>
      </rPr>
      <t>do not impact usability or understandability</t>
    </r>
    <r>
      <rPr>
        <sz val="10"/>
        <rFont val="Arial"/>
        <family val="2"/>
        <charset val="238"/>
      </rPr>
      <t xml:space="preserve"> of the content. If the typical reader/user is able to correct the error reliably and it does not impact the usability of the content, it should be classified as Minor. </t>
    </r>
  </si>
  <si>
    <r>
      <t xml:space="preserve">Critical error is the severest category type available, weighing above Major error in its extreme severity.  
Use of Critical error is strictly limited to only the most extreme severity of error (the kind of extreme error that can also be described as a 'show-stopper' in a negative sense).   
The key differentiators for a Critical error over a Major error are:  
1. The error renders the entire content unfit for use.  
2. The validated presence of a Critical error results in an immediate Fail of the entire translation under evaluation.
A Critical error is an error that may have the following attributes:  
• has extremely serious safety, legal or financial implications or consequences   
• damages the reputation of the company or organisation on whose behalf the translation has been performed
• violates strict geopolitical rules   
• modifies/misrepresents the functionality of a product or service in a severely negative way
• results in a potentially offensive statement  
• causes a product recall or reprinting  
</t>
    </r>
    <r>
      <rPr>
        <b/>
        <sz val="10"/>
        <color rgb="FFFF0000"/>
        <rFont val="Arial"/>
        <family val="2"/>
        <charset val="238"/>
      </rPr>
      <t>Should there be a need to register a Critical error, it is mandatory for the evaluator to provide detailed explanation and supporting evidence to fully justify the usage of this severest category type.</t>
    </r>
  </si>
  <si>
    <r>
      <t xml:space="preserve">Major errors are issues that </t>
    </r>
    <r>
      <rPr>
        <b/>
        <sz val="10"/>
        <color rgb="FFFF0000"/>
        <rFont val="Arial"/>
        <family val="2"/>
        <charset val="238"/>
      </rPr>
      <t>impact usability or understandability</t>
    </r>
    <r>
      <rPr>
        <sz val="10"/>
        <rFont val="Arial"/>
        <family val="2"/>
        <charset val="238"/>
      </rPr>
      <t xml:space="preserve"> of the content but which do not render it unusable. If an error cannot be reliably corrected by the typical reader/user (for example, the intended meaning is not clear) but it does not render the content unfit for purpose, it should be classified as Major. 
A Major error is one that changes the core meaning significantly, and may relate to attributes such as: functionality; misdirection of user; severe negative impact or impression; high profile position; cultural / geopolitical issues; important instruction ignored.</t>
    </r>
    <r>
      <rPr>
        <b/>
        <u/>
        <sz val="10"/>
        <rFont val="Arial"/>
        <family val="2"/>
        <charset val="238"/>
      </rPr>
      <t/>
    </r>
  </si>
  <si>
    <r>
      <t xml:space="preserve">Neutral is the severity level used for edits that are not error corrections, but such changes reflect </t>
    </r>
    <r>
      <rPr>
        <b/>
        <sz val="10"/>
        <color rgb="FFFF0000"/>
        <rFont val="Arial"/>
        <family val="2"/>
        <charset val="238"/>
      </rPr>
      <t>an evaluator's</t>
    </r>
    <r>
      <rPr>
        <sz val="10"/>
        <rFont val="Arial"/>
        <family val="2"/>
        <charset val="238"/>
      </rPr>
      <t xml:space="preserve"> </t>
    </r>
    <r>
      <rPr>
        <b/>
        <sz val="10"/>
        <color rgb="FFFF0000"/>
        <rFont val="Arial"/>
        <family val="2"/>
        <charset val="238"/>
      </rPr>
      <t>choice or preferences</t>
    </r>
    <r>
      <rPr>
        <sz val="10"/>
        <rFont val="Arial"/>
        <family val="2"/>
        <charset val="238"/>
      </rPr>
      <t xml:space="preserve"> (i.e., edits for items that are not wrong, per se, but where the evaluator would like to see a different solution). Please note that errors marked as Neutral are NOT counted to the final result regardless of the selected category.</t>
    </r>
  </si>
  <si>
    <t>(click on the error name below to see details)</t>
  </si>
  <si>
    <t>(click on the severity name below to see details)</t>
  </si>
  <si>
    <r>
      <t xml:space="preserve">A Repeated severity can only be selected for the </t>
    </r>
    <r>
      <rPr>
        <b/>
        <sz val="10"/>
        <color rgb="FFFF0000"/>
        <rFont val="Arial"/>
        <family val="2"/>
        <charset val="238"/>
      </rPr>
      <t>2nd and subsequent occurrences of an identical error</t>
    </r>
    <r>
      <rPr>
        <sz val="10"/>
        <rFont val="Arial"/>
        <family val="2"/>
        <charset val="238"/>
      </rPr>
      <t xml:space="preserve">. This could be at the level of identical term or phrase or at the level of identical segment. In such cases, it is necessary to mark the first instance of the error with a concrete severity such as Minor. Please note that the Repeated severity cannot be used when terms, phrases and segments are merely similar to each other and the same kind of linguistic convention has been applied to them.    
Also, note that the errors marked as Repeated are NOT counted to the final result regardless of the selected category. 
The examples below show the correct and incorrect use of this severity. 
     </t>
    </r>
    <r>
      <rPr>
        <b/>
        <sz val="10"/>
        <color rgb="FF00B050"/>
        <rFont val="Arial"/>
        <family val="2"/>
        <charset val="238"/>
      </rPr>
      <t>Example 1: CORRECT</t>
    </r>
    <r>
      <rPr>
        <sz val="10"/>
        <rFont val="Arial"/>
        <family val="2"/>
        <charset val="238"/>
      </rPr>
      <t xml:space="preserve">
     [Identical incorrect term or phrase in identical segments]
     Terminology (Minor): We contacted the palliative care unit </t>
    </r>
    <r>
      <rPr>
        <strike/>
        <sz val="10"/>
        <rFont val="Arial"/>
        <family val="2"/>
        <charset val="238"/>
      </rPr>
      <t>Palliative Care Unit</t>
    </r>
    <r>
      <rPr>
        <sz val="10"/>
        <rFont val="Arial"/>
        <family val="2"/>
        <charset val="238"/>
      </rPr>
      <t xml:space="preserve"> to organize at-home care. 
     </t>
    </r>
    <r>
      <rPr>
        <sz val="10"/>
        <color rgb="FF00B050"/>
        <rFont val="Arial"/>
        <family val="2"/>
        <charset val="238"/>
      </rPr>
      <t>Terminology (Repeated)</t>
    </r>
    <r>
      <rPr>
        <sz val="10"/>
        <rFont val="Arial"/>
        <family val="2"/>
        <charset val="238"/>
      </rPr>
      <t xml:space="preserve">: We contacted the palliative care unit </t>
    </r>
    <r>
      <rPr>
        <strike/>
        <sz val="10"/>
        <rFont val="Arial"/>
        <family val="2"/>
        <charset val="238"/>
      </rPr>
      <t>Palliative Care Unit</t>
    </r>
    <r>
      <rPr>
        <sz val="10"/>
        <rFont val="Arial"/>
        <family val="2"/>
        <charset val="238"/>
      </rPr>
      <t xml:space="preserve"> to organize at-home care.
     </t>
    </r>
    <r>
      <rPr>
        <b/>
        <sz val="10"/>
        <color rgb="FF00B050"/>
        <rFont val="Arial"/>
        <family val="2"/>
        <charset val="238"/>
      </rPr>
      <t>Example 2: CORRECT</t>
    </r>
    <r>
      <rPr>
        <sz val="10"/>
        <rFont val="Arial"/>
        <family val="2"/>
        <charset val="238"/>
      </rPr>
      <t xml:space="preserve">
     [Identical incorrect term or phrase in non-identical segments]       
     Terminology (Minor): We contacted the palliative care unit </t>
    </r>
    <r>
      <rPr>
        <strike/>
        <sz val="10"/>
        <rFont val="Arial"/>
        <family val="2"/>
        <charset val="238"/>
      </rPr>
      <t>Palliative Care Unit</t>
    </r>
    <r>
      <rPr>
        <sz val="10"/>
        <rFont val="Arial"/>
        <family val="2"/>
        <charset val="238"/>
      </rPr>
      <t xml:space="preserve"> to organize at-home care.
     </t>
    </r>
    <r>
      <rPr>
        <sz val="10"/>
        <color rgb="FF00B050"/>
        <rFont val="Arial"/>
        <family val="2"/>
        <charset val="238"/>
      </rPr>
      <t>Terminology (Repeated)</t>
    </r>
    <r>
      <rPr>
        <sz val="10"/>
        <rFont val="Arial"/>
        <family val="2"/>
        <charset val="238"/>
      </rPr>
      <t xml:space="preserve">: He will be assessed by the palliative care unit </t>
    </r>
    <r>
      <rPr>
        <strike/>
        <sz val="10"/>
        <rFont val="Arial"/>
        <family val="2"/>
        <charset val="238"/>
      </rPr>
      <t>Palliative Care Unit</t>
    </r>
    <r>
      <rPr>
        <sz val="10"/>
        <rFont val="Arial"/>
        <family val="2"/>
        <charset val="238"/>
      </rPr>
      <t xml:space="preserve"> prior to discharge.
     </t>
    </r>
    <r>
      <rPr>
        <b/>
        <sz val="10"/>
        <color rgb="FFFF0000"/>
        <rFont val="Arial"/>
        <family val="2"/>
        <charset val="238"/>
      </rPr>
      <t>Example 3: INCORRECT</t>
    </r>
    <r>
      <rPr>
        <sz val="10"/>
        <rFont val="Arial"/>
        <family val="2"/>
        <charset val="238"/>
      </rPr>
      <t xml:space="preserve">
     [Non-identical term or phrase in near-identical segments]
     Terminology (Minor): We contacted the palliative care unit </t>
    </r>
    <r>
      <rPr>
        <strike/>
        <sz val="10"/>
        <rFont val="Arial"/>
        <family val="2"/>
        <charset val="238"/>
      </rPr>
      <t>Palliative Care Unit</t>
    </r>
    <r>
      <rPr>
        <sz val="10"/>
        <rFont val="Arial"/>
        <family val="2"/>
        <charset val="238"/>
      </rPr>
      <t xml:space="preserve"> to organize at-home care.
     </t>
    </r>
    <r>
      <rPr>
        <strike/>
        <sz val="10"/>
        <color rgb="FFFF0000"/>
        <rFont val="Arial"/>
        <family val="2"/>
        <charset val="238"/>
      </rPr>
      <t>Terminology (Repeated)</t>
    </r>
    <r>
      <rPr>
        <sz val="10"/>
        <rFont val="Arial"/>
        <family val="2"/>
        <charset val="238"/>
      </rPr>
      <t xml:space="preserve"> &gt; Terminology (Minor): We contacted the palliative care doctor </t>
    </r>
    <r>
      <rPr>
        <strike/>
        <sz val="10"/>
        <rFont val="Arial"/>
        <family val="2"/>
        <charset val="238"/>
      </rPr>
      <t>Palliative Care Doctor</t>
    </r>
    <r>
      <rPr>
        <sz val="10"/>
        <rFont val="Arial"/>
        <family val="2"/>
        <charset val="238"/>
      </rPr>
      <t xml:space="preserve"> to organize at-home care. 
     </t>
    </r>
    <r>
      <rPr>
        <b/>
        <sz val="10"/>
        <color rgb="FFFF0000"/>
        <rFont val="Arial"/>
        <family val="2"/>
        <charset val="238"/>
      </rPr>
      <t>Example 4: INCORRECT</t>
    </r>
    <r>
      <rPr>
        <sz val="10"/>
        <rFont val="Arial"/>
        <family val="2"/>
        <charset val="238"/>
      </rPr>
      <t xml:space="preserve">
     [Non-identical incorrect term or phrase in non-identical segments]
     Terminology (Minor): We contacted the palliative care unit </t>
    </r>
    <r>
      <rPr>
        <strike/>
        <sz val="10"/>
        <rFont val="Arial"/>
        <family val="2"/>
        <charset val="238"/>
      </rPr>
      <t>Palliative Care Unit</t>
    </r>
    <r>
      <rPr>
        <sz val="10"/>
        <rFont val="Arial"/>
        <family val="2"/>
        <charset val="238"/>
      </rPr>
      <t xml:space="preserve"> to organize at-home care.
     </t>
    </r>
    <r>
      <rPr>
        <strike/>
        <sz val="10"/>
        <color rgb="FFFF0000"/>
        <rFont val="Arial"/>
        <family val="2"/>
        <charset val="238"/>
      </rPr>
      <t>Terminology (Repeated)</t>
    </r>
    <r>
      <rPr>
        <sz val="10"/>
        <rFont val="Arial"/>
        <family val="2"/>
        <charset val="238"/>
      </rPr>
      <t xml:space="preserve"> &gt; Terminology (Minor): He will be assessed by the palliative care doctor </t>
    </r>
    <r>
      <rPr>
        <strike/>
        <sz val="10"/>
        <rFont val="Arial"/>
        <family val="2"/>
        <charset val="238"/>
      </rPr>
      <t>Palliative Care Doctor</t>
    </r>
    <r>
      <rPr>
        <sz val="10"/>
        <rFont val="Arial"/>
        <family val="2"/>
        <charset val="238"/>
      </rPr>
      <t xml:space="preserve"> prior to discharge.</t>
    </r>
  </si>
  <si>
    <t>RWS MQM Quality Evaluation Report</t>
  </si>
  <si>
    <t>RWS MQM Quality Evaluation Report Errors &amp; Weighting Definitions</t>
  </si>
  <si>
    <r>
      <rPr>
        <b/>
        <sz val="10"/>
        <color rgb="FFFF0000"/>
        <rFont val="Arial"/>
        <family val="2"/>
        <charset val="238"/>
      </rPr>
      <t>Example:</t>
    </r>
    <r>
      <rPr>
        <sz val="10"/>
        <rFont val="Arial"/>
        <family val="2"/>
      </rPr>
      <t xml:space="preserve"> A translation refers to a court decision but does not accurately reflect the language of the decision.
</t>
    </r>
  </si>
  <si>
    <t>Implementation rate (%)</t>
  </si>
  <si>
    <t>Project name</t>
  </si>
  <si>
    <t>Translation type</t>
  </si>
  <si>
    <t>Word count</t>
  </si>
  <si>
    <t>Quality level</t>
  </si>
  <si>
    <t>Translator’s final reply</t>
  </si>
  <si>
    <t>Brazil LD</t>
  </si>
  <si>
    <t>RWS Language Delivery</t>
  </si>
  <si>
    <t>Chile LD</t>
  </si>
  <si>
    <t>China LD</t>
  </si>
  <si>
    <t>Croatia LD</t>
  </si>
  <si>
    <t>Czech LD</t>
  </si>
  <si>
    <t>Denmark LD</t>
  </si>
  <si>
    <t>Finland LD</t>
  </si>
  <si>
    <t>France LD</t>
  </si>
  <si>
    <t>Greece LD</t>
  </si>
  <si>
    <t>Hungary LD</t>
  </si>
  <si>
    <t>India LD</t>
  </si>
  <si>
    <t>Italy LD</t>
  </si>
  <si>
    <t>Japan LD</t>
  </si>
  <si>
    <t>Lebanon LD</t>
  </si>
  <si>
    <t>Canada LD</t>
  </si>
  <si>
    <t>Netherlands LD</t>
  </si>
  <si>
    <t>Norway LD</t>
  </si>
  <si>
    <t>Poland LD</t>
  </si>
  <si>
    <t>Portugal LD</t>
  </si>
  <si>
    <t>Romania LD</t>
  </si>
  <si>
    <t>Russia LD</t>
  </si>
  <si>
    <t>Singapore LD</t>
  </si>
  <si>
    <t>Slovenia LD</t>
  </si>
  <si>
    <t>Spain LD</t>
  </si>
  <si>
    <t>Sweden LD</t>
  </si>
  <si>
    <t>Taiwan LD</t>
  </si>
  <si>
    <t>Thailand LD</t>
  </si>
  <si>
    <t>Vietnam LD</t>
  </si>
  <si>
    <t>3rd Party Evaluation (LD)</t>
  </si>
  <si>
    <t>Follow up evaluation (LD)</t>
  </si>
  <si>
    <t>England LD</t>
  </si>
  <si>
    <t>Germany LD</t>
  </si>
  <si>
    <t>GDT</t>
  </si>
  <si>
    <t>Version History</t>
  </si>
  <si>
    <t>Version</t>
  </si>
  <si>
    <t>Effectiveness Date</t>
  </si>
  <si>
    <t>Author</t>
  </si>
  <si>
    <t>Summary of changes</t>
  </si>
  <si>
    <t>Process Owner</t>
  </si>
  <si>
    <t>Approved by</t>
  </si>
  <si>
    <t>Approval Date</t>
  </si>
  <si>
    <t>Chris Burkimsher, Director of Translation</t>
  </si>
  <si>
    <t>New document</t>
  </si>
  <si>
    <t>Sofia Patrocinio, Quality Manager</t>
  </si>
  <si>
    <t>Do NOT review</t>
  </si>
  <si>
    <t>Check5</t>
  </si>
  <si>
    <t>ON</t>
  </si>
  <si>
    <t>Check4</t>
  </si>
  <si>
    <t>Check2</t>
  </si>
  <si>
    <t>Reason if not accepted missing.</t>
  </si>
  <si>
    <t>Check3</t>
  </si>
  <si>
    <t>Overall Impression - Grade</t>
  </si>
  <si>
    <t>Overall Impression - Comment</t>
  </si>
  <si>
    <t>Check1</t>
  </si>
  <si>
    <t>Error category, subcategory or severity missing in review section.</t>
  </si>
  <si>
    <t>Message</t>
  </si>
  <si>
    <t>Count</t>
  </si>
  <si>
    <t>Par5</t>
  </si>
  <si>
    <t>Par4</t>
  </si>
  <si>
    <t>Par3</t>
  </si>
  <si>
    <t>Par2</t>
  </si>
  <si>
    <t>Par1</t>
  </si>
  <si>
    <t>Result</t>
  </si>
  <si>
    <t>DisplayNum</t>
  </si>
  <si>
    <t>Display</t>
  </si>
  <si>
    <t>Label</t>
  </si>
  <si>
    <t>Name</t>
  </si>
  <si>
    <t>Switch</t>
  </si>
  <si>
    <t>ID</t>
  </si>
  <si>
    <t>Check 4</t>
  </si>
  <si>
    <t>Korea LD</t>
  </si>
  <si>
    <t>Word count missing</t>
  </si>
  <si>
    <t>IPS</t>
  </si>
  <si>
    <t>3rd Party Evaluation (IPS)</t>
  </si>
  <si>
    <t>Follow up evaluation (IPS)</t>
  </si>
  <si>
    <t>Translator ID</t>
  </si>
  <si>
    <t>Reviewer ID</t>
  </si>
  <si>
    <t>Evaluator ID</t>
  </si>
  <si>
    <t>3rd Party Evaluation (CS)</t>
  </si>
  <si>
    <t>Number</t>
  </si>
  <si>
    <t>Screenshot</t>
  </si>
  <si>
    <t>Initial Quality Indicator</t>
  </si>
  <si>
    <t>Final Quality Indicator</t>
  </si>
  <si>
    <t>Word count is missing! ('Evaluation Report_Initial' sheet)</t>
  </si>
  <si>
    <t>Date is missing! ('Evaluation Report_Initial' sheet)</t>
  </si>
  <si>
    <t>Client name is missing. ('Evaluation Report_Initial' sheet)</t>
  </si>
  <si>
    <t>Evaluator task: Comment in the 'Overall Impression' section is missing.</t>
  </si>
  <si>
    <t>Evaluator task: Grade in the 'Overall Impression' section is missing.</t>
  </si>
  <si>
    <t>Error comments</t>
  </si>
  <si>
    <t>Check6</t>
  </si>
  <si>
    <t>Africa LD</t>
  </si>
  <si>
    <t>Check7</t>
  </si>
  <si>
    <t>Final Decision</t>
  </si>
  <si>
    <t>Check8</t>
  </si>
  <si>
    <t>Cost Code</t>
  </si>
  <si>
    <t>Check9</t>
  </si>
  <si>
    <t>Error subcategory matches category</t>
  </si>
  <si>
    <t>Türkiye LD</t>
  </si>
  <si>
    <t>Final acceptance rate %</t>
  </si>
  <si>
    <t>Implementation rate %</t>
  </si>
  <si>
    <r>
      <rPr>
        <b/>
        <sz val="12"/>
        <color theme="1"/>
        <rFont val="Arial"/>
        <family val="2"/>
        <charset val="238"/>
      </rPr>
      <t>Instructions</t>
    </r>
    <r>
      <rPr>
        <sz val="12"/>
        <color theme="1"/>
        <rFont val="Arial"/>
        <family val="2"/>
        <charset val="238"/>
      </rPr>
      <t xml:space="preserve">
Please use this sheet if you need to add any screenshots as further justification and evidence for a revision you have entered in the 'Evaluation details_input' sheet.
In the 'Evaluation details_input' sheet, in the applicable ‘Comments’ cell (in Column I), please write something like: 'See screenshot #1'; 'See screenshot #2', etc., as reference for the screenshot you entered in this 'Screenshots' sheet.</t>
    </r>
  </si>
  <si>
    <t>Project name is missing. Enter if applicable or specified. ('Evaluation Report_Initial' sheet)</t>
  </si>
  <si>
    <r>
      <t xml:space="preserve">Job ID is missing. Enter if applicable or specified. ('Evaluation Report_Initial' sheet) </t>
    </r>
    <r>
      <rPr>
        <i/>
        <sz val="10"/>
        <color theme="1"/>
        <rFont val="Arial"/>
        <family val="2"/>
        <charset val="238"/>
      </rPr>
      <t xml:space="preserve">[Note: this field </t>
    </r>
    <r>
      <rPr>
        <i/>
        <u/>
        <sz val="10"/>
        <color theme="1"/>
        <rFont val="Arial"/>
        <family val="2"/>
        <charset val="238"/>
      </rPr>
      <t>is required</t>
    </r>
    <r>
      <rPr>
        <i/>
        <sz val="10"/>
        <color theme="1"/>
        <rFont val="Arial"/>
        <family val="2"/>
        <charset val="238"/>
      </rPr>
      <t xml:space="preserve"> for evaluations by IPS]</t>
    </r>
  </si>
  <si>
    <r>
      <t xml:space="preserve">RWS cost code is missing! ('Evaluation Report_Initial' sheet) </t>
    </r>
    <r>
      <rPr>
        <i/>
        <sz val="10"/>
        <color theme="1"/>
        <rFont val="Arial"/>
        <family val="2"/>
        <charset val="238"/>
      </rPr>
      <t>[Note: this field is not required for evaluations by IPS]</t>
    </r>
  </si>
  <si>
    <t>Summary of changes:
1.	Extension of smart conditional formatting to prompt users to enter information correctly.
2.	Three new sheets added (one for pasting screenshots as reference; two for Administrator to customise checks, drop-down fields and scoring metrics).
3.	Very similar structure and look-and-feel for users in comparison with previous version.</t>
  </si>
  <si>
    <t>Sofia Patrocinio, Group Quality Director</t>
  </si>
  <si>
    <t>Version number removed from banner heading in sheets ‘Evaluation Report_Initial’ and ‘Evaluation Report_Final Result’.
Version History sheet made visible to all users.
Minor protection bug in form corrected.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</si>
</sst>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
    <numFmt numFmtId="167" formatCode="[$-409]d\-mmm\-yy;@"/>
  </numFmts>
  <fonts count="109">
    <font>
      <sz val="10"/>
      <name val="Arial"/>
    </font>
    <font>
      <sz val="11"/>
      <color theme="1"/>
      <name val="Calibri"/>
      <family val="2"/>
      <scheme val="minor"/>
    </font>
    <font>
      <sz val="10"/>
      <name val="Arial"/>
      <family val="2"/>
    </font>
    <font>
      <sz val="10"/>
      <name val="Arial"/>
      <family val="2"/>
    </font>
    <font>
      <b/>
      <sz val="10"/>
      <name val="Arial"/>
      <family val="2"/>
    </font>
    <font>
      <b/>
      <sz val="14"/>
      <name val="Arial"/>
      <family val="2"/>
    </font>
    <font>
      <sz val="8"/>
      <color indexed="81"/>
      <name val="Tahoma"/>
      <family val="2"/>
    </font>
    <font>
      <sz val="11"/>
      <name val="Arial"/>
      <family val="2"/>
    </font>
    <font>
      <b/>
      <sz val="11"/>
      <name val="Arial"/>
      <family val="2"/>
    </font>
    <font>
      <b/>
      <sz val="10"/>
      <color indexed="9"/>
      <name val="Arial"/>
      <family val="2"/>
    </font>
    <font>
      <i/>
      <sz val="9"/>
      <name val="Arial"/>
      <family val="2"/>
    </font>
    <font>
      <b/>
      <i/>
      <sz val="10"/>
      <color indexed="8"/>
      <name val="Arial"/>
      <family val="2"/>
    </font>
    <font>
      <i/>
      <sz val="9"/>
      <color indexed="10"/>
      <name val="Arial"/>
      <family val="2"/>
    </font>
    <font>
      <b/>
      <sz val="10"/>
      <color indexed="10"/>
      <name val="Arial"/>
      <family val="2"/>
    </font>
    <font>
      <b/>
      <sz val="9"/>
      <name val="Arial"/>
      <family val="2"/>
    </font>
    <font>
      <sz val="9"/>
      <name val="Arial"/>
      <family val="2"/>
    </font>
    <font>
      <sz val="8"/>
      <name val="Arial"/>
      <family val="2"/>
    </font>
    <font>
      <b/>
      <sz val="9"/>
      <color indexed="9"/>
      <name val="Arial"/>
      <family val="2"/>
    </font>
    <font>
      <b/>
      <sz val="8"/>
      <name val="Arial"/>
      <family val="2"/>
    </font>
    <font>
      <b/>
      <sz val="8"/>
      <color indexed="9"/>
      <name val="Arial"/>
      <family val="2"/>
    </font>
    <font>
      <sz val="10"/>
      <color indexed="10"/>
      <name val="Arial"/>
      <family val="2"/>
    </font>
    <font>
      <b/>
      <sz val="12"/>
      <name val="Arial"/>
      <family val="2"/>
    </font>
    <font>
      <sz val="9"/>
      <color theme="0" tint="-0.499984740745262"/>
      <name val="Arial"/>
      <family val="2"/>
    </font>
    <font>
      <sz val="7"/>
      <color rgb="FF4C4C4C"/>
      <name val="Verdana"/>
      <family val="2"/>
    </font>
    <font>
      <sz val="8"/>
      <color theme="1"/>
      <name val="Calibri"/>
      <family val="2"/>
      <scheme val="minor"/>
    </font>
    <font>
      <sz val="8"/>
      <name val="Calibri"/>
      <family val="2"/>
      <scheme val="minor"/>
    </font>
    <font>
      <sz val="10"/>
      <color theme="0"/>
      <name val="Arial"/>
      <family val="2"/>
    </font>
    <font>
      <sz val="9"/>
      <color indexed="23"/>
      <name val="Arial"/>
      <family val="2"/>
    </font>
    <font>
      <b/>
      <sz val="9"/>
      <color theme="0"/>
      <name val="Arial"/>
      <family val="2"/>
    </font>
    <font>
      <sz val="9"/>
      <color theme="0"/>
      <name val="Arial"/>
      <family val="2"/>
    </font>
    <font>
      <sz val="10"/>
      <name val="Arial"/>
      <family val="2"/>
      <charset val="238"/>
    </font>
    <font>
      <b/>
      <sz val="20"/>
      <color theme="0"/>
      <name val="Arial"/>
      <family val="2"/>
    </font>
    <font>
      <b/>
      <sz val="10"/>
      <name val="Arial"/>
      <family val="2"/>
      <charset val="238"/>
    </font>
    <font>
      <b/>
      <sz val="11"/>
      <color rgb="FFFF0000"/>
      <name val="Arial"/>
      <family val="2"/>
    </font>
    <font>
      <sz val="10"/>
      <name val="Arial"/>
      <family val="2"/>
      <charset val="238"/>
    </font>
    <font>
      <b/>
      <sz val="11"/>
      <name val="Arial"/>
      <family val="2"/>
      <charset val="238"/>
    </font>
    <font>
      <b/>
      <sz val="10"/>
      <color theme="0"/>
      <name val="Arial"/>
      <family val="2"/>
      <charset val="238"/>
    </font>
    <font>
      <b/>
      <sz val="12"/>
      <color theme="0"/>
      <name val="Arial"/>
      <family val="2"/>
      <charset val="238"/>
    </font>
    <font>
      <sz val="9"/>
      <color theme="1"/>
      <name val="Arial"/>
      <family val="2"/>
    </font>
    <font>
      <b/>
      <sz val="9"/>
      <color theme="1"/>
      <name val="Arial"/>
      <family val="2"/>
    </font>
    <font>
      <b/>
      <sz val="12"/>
      <name val="Arial"/>
      <family val="2"/>
      <charset val="238"/>
    </font>
    <font>
      <b/>
      <sz val="10"/>
      <color rgb="FFFF0000"/>
      <name val="Arial"/>
      <family val="2"/>
      <charset val="238"/>
    </font>
    <font>
      <b/>
      <i/>
      <sz val="10"/>
      <color rgb="FF25BD59"/>
      <name val="Arial"/>
      <family val="2"/>
    </font>
    <font>
      <b/>
      <sz val="8"/>
      <name val="Calibri"/>
      <family val="2"/>
    </font>
    <font>
      <sz val="10"/>
      <color rgb="FFFF0000"/>
      <name val="Arial"/>
      <family val="2"/>
      <charset val="238"/>
    </font>
    <font>
      <sz val="12"/>
      <color rgb="FFFF0000"/>
      <name val="Arial"/>
      <family val="2"/>
      <charset val="238"/>
    </font>
    <font>
      <b/>
      <sz val="10"/>
      <color rgb="FFFF0000"/>
      <name val="Calibri"/>
      <family val="2"/>
      <scheme val="minor"/>
    </font>
    <font>
      <b/>
      <sz val="10.5"/>
      <color indexed="9"/>
      <name val="Arial"/>
      <family val="2"/>
    </font>
    <font>
      <b/>
      <sz val="6"/>
      <name val="Arial"/>
      <family val="2"/>
      <charset val="238"/>
    </font>
    <font>
      <b/>
      <sz val="19"/>
      <color indexed="9"/>
      <name val="Arial"/>
      <family val="2"/>
    </font>
    <font>
      <sz val="19"/>
      <name val="Arial"/>
      <family val="2"/>
    </font>
    <font>
      <i/>
      <sz val="10"/>
      <name val="Arial"/>
      <family val="2"/>
      <charset val="238"/>
    </font>
    <font>
      <sz val="12"/>
      <name val="Arial"/>
      <family val="2"/>
    </font>
    <font>
      <u/>
      <sz val="10"/>
      <color indexed="12"/>
      <name val="Arial"/>
      <family val="2"/>
    </font>
    <font>
      <sz val="8"/>
      <color theme="0" tint="-0.499984740745262"/>
      <name val="Arial"/>
      <family val="2"/>
    </font>
    <font>
      <b/>
      <sz val="10"/>
      <color indexed="9"/>
      <name val="Arial"/>
      <family val="2"/>
      <charset val="238"/>
    </font>
    <font>
      <b/>
      <u/>
      <sz val="10"/>
      <name val="Arial"/>
      <family val="2"/>
      <charset val="238"/>
    </font>
    <font>
      <b/>
      <sz val="8"/>
      <color indexed="81"/>
      <name val="Tahoma"/>
      <family val="2"/>
    </font>
    <font>
      <i/>
      <u/>
      <sz val="10"/>
      <name val="Arial"/>
      <family val="2"/>
    </font>
    <font>
      <b/>
      <u/>
      <sz val="8"/>
      <color indexed="81"/>
      <name val="Tahoma"/>
      <family val="2"/>
    </font>
    <font>
      <b/>
      <i/>
      <sz val="10"/>
      <color rgb="FF00A89F"/>
      <name val="Arial"/>
      <family val="2"/>
    </font>
    <font>
      <sz val="11"/>
      <color rgb="FFE16E73"/>
      <name val="Arial"/>
      <family val="2"/>
    </font>
    <font>
      <b/>
      <sz val="11"/>
      <color rgb="FFE16E73"/>
      <name val="Arial"/>
      <family val="2"/>
    </font>
    <font>
      <sz val="9"/>
      <color rgb="FFE16E73"/>
      <name val="Arial"/>
      <family val="2"/>
    </font>
    <font>
      <u/>
      <sz val="9"/>
      <color rgb="FFE16E73"/>
      <name val="Arial"/>
      <family val="2"/>
    </font>
    <font>
      <b/>
      <sz val="9"/>
      <color rgb="FFE16E73"/>
      <name val="Arial"/>
      <family val="2"/>
    </font>
    <font>
      <b/>
      <sz val="12"/>
      <color rgb="FF003C7F"/>
      <name val="Arial"/>
      <family val="2"/>
    </font>
    <font>
      <sz val="11"/>
      <color rgb="FF003C7F"/>
      <name val="Arial"/>
      <family val="2"/>
    </font>
    <font>
      <b/>
      <sz val="11"/>
      <color rgb="FF003C7F"/>
      <name val="Arial"/>
      <family val="2"/>
      <charset val="238"/>
    </font>
    <font>
      <b/>
      <sz val="14"/>
      <color theme="0"/>
      <name val="Arial"/>
      <family val="2"/>
      <charset val="238"/>
    </font>
    <font>
      <b/>
      <sz val="10"/>
      <color rgb="FFE16E73"/>
      <name val="Calibri"/>
      <family val="2"/>
      <scheme val="minor"/>
    </font>
    <font>
      <b/>
      <i/>
      <sz val="10"/>
      <color rgb="FFE16E73"/>
      <name val="Arial"/>
      <family val="2"/>
    </font>
    <font>
      <b/>
      <sz val="19"/>
      <color theme="0"/>
      <name val="Arial"/>
      <family val="2"/>
      <charset val="238"/>
    </font>
    <font>
      <b/>
      <i/>
      <sz val="9"/>
      <color rgb="FF009EA9"/>
      <name val="Arial"/>
      <family val="2"/>
    </font>
    <font>
      <b/>
      <sz val="9"/>
      <color rgb="FF009EA9"/>
      <name val="Arial"/>
      <family val="2"/>
    </font>
    <font>
      <b/>
      <sz val="11"/>
      <color rgb="FF003C7F"/>
      <name val="Arial"/>
      <family val="2"/>
    </font>
    <font>
      <sz val="11"/>
      <color theme="0"/>
      <name val="Arial"/>
      <family val="2"/>
    </font>
    <font>
      <b/>
      <sz val="7"/>
      <name val="Arial"/>
      <family val="2"/>
    </font>
    <font>
      <b/>
      <sz val="11"/>
      <color rgb="FFFF6E73"/>
      <name val="Arial"/>
      <family val="2"/>
      <charset val="238"/>
    </font>
    <font>
      <b/>
      <sz val="8"/>
      <color theme="1"/>
      <name val="Calibri"/>
      <family val="2"/>
      <charset val="238"/>
      <scheme val="minor"/>
    </font>
    <font>
      <b/>
      <sz val="12"/>
      <color rgb="FFFF0000"/>
      <name val="Arial"/>
      <family val="2"/>
      <charset val="238"/>
    </font>
    <font>
      <sz val="8"/>
      <color rgb="FFFF0000"/>
      <name val="Arial"/>
      <family val="2"/>
      <charset val="238"/>
    </font>
    <font>
      <b/>
      <sz val="8"/>
      <color rgb="FFFF0000"/>
      <name val="Arial"/>
      <family val="2"/>
      <charset val="238"/>
    </font>
    <font>
      <b/>
      <sz val="11"/>
      <color theme="1"/>
      <name val="Calibri"/>
      <family val="2"/>
      <charset val="238"/>
      <scheme val="minor"/>
    </font>
    <font>
      <b/>
      <sz val="11"/>
      <color rgb="FFFF0000"/>
      <name val="Arial"/>
      <family val="2"/>
      <charset val="238"/>
    </font>
    <font>
      <b/>
      <sz val="10"/>
      <color theme="1"/>
      <name val="Calibri"/>
      <family val="2"/>
      <charset val="238"/>
      <scheme val="minor"/>
    </font>
    <font>
      <b/>
      <sz val="8"/>
      <color indexed="81"/>
      <name val="Tahoma"/>
      <family val="2"/>
      <charset val="238"/>
    </font>
    <font>
      <b/>
      <sz val="10"/>
      <color theme="0"/>
      <name val="Arial"/>
      <family val="2"/>
    </font>
    <font>
      <i/>
      <sz val="10"/>
      <color theme="0"/>
      <name val="Arial"/>
      <family val="2"/>
    </font>
    <font>
      <strike/>
      <sz val="10"/>
      <name val="Arial"/>
      <family val="2"/>
      <charset val="238"/>
    </font>
    <font>
      <sz val="10"/>
      <color rgb="FF00B050"/>
      <name val="Arial"/>
      <family val="2"/>
      <charset val="238"/>
    </font>
    <font>
      <strike/>
      <sz val="10"/>
      <color rgb="FFFF0000"/>
      <name val="Arial"/>
      <family val="2"/>
      <charset val="238"/>
    </font>
    <font>
      <b/>
      <sz val="10"/>
      <color rgb="FF00B050"/>
      <name val="Arial"/>
      <family val="2"/>
      <charset val="238"/>
    </font>
    <font>
      <sz val="10"/>
      <name val="Noto Sans"/>
      <family val="2"/>
      <charset val="1"/>
    </font>
    <font>
      <b/>
      <sz val="16"/>
      <color theme="0"/>
      <name val="Noto Sans"/>
      <family val="2"/>
      <charset val="1"/>
    </font>
    <font>
      <b/>
      <sz val="12"/>
      <color theme="0"/>
      <name val="Noto Sans"/>
      <family val="2"/>
      <charset val="1"/>
    </font>
    <font>
      <b/>
      <sz val="11"/>
      <color theme="0"/>
      <name val="Noto Sans"/>
      <family val="2"/>
      <charset val="1"/>
    </font>
    <font>
      <sz val="11"/>
      <name val="Noto Sans"/>
      <family val="2"/>
      <charset val="1"/>
    </font>
    <font>
      <sz val="9"/>
      <name val="Noto Sans Light"/>
      <family val="2"/>
      <charset val="1"/>
    </font>
    <font>
      <sz val="10"/>
      <color rgb="FF000000"/>
      <name val="Arial"/>
      <family val="2"/>
      <charset val="238"/>
    </font>
    <font>
      <sz val="10"/>
      <color theme="1"/>
      <name val="Arial"/>
      <family val="2"/>
    </font>
    <font>
      <b/>
      <sz val="12"/>
      <color theme="0"/>
      <name val="Arial"/>
      <family val="2"/>
    </font>
    <font>
      <sz val="16"/>
      <name val="Arial"/>
      <family val="2"/>
    </font>
    <font>
      <sz val="9"/>
      <name val="Arial"/>
      <family val="2"/>
      <charset val="238"/>
    </font>
    <font>
      <b/>
      <sz val="12"/>
      <color theme="1"/>
      <name val="Arial"/>
      <family val="2"/>
    </font>
    <font>
      <sz val="12"/>
      <color theme="1"/>
      <name val="Arial"/>
      <family val="2"/>
      <charset val="238"/>
    </font>
    <font>
      <b/>
      <sz val="12"/>
      <color theme="1"/>
      <name val="Arial"/>
      <family val="2"/>
      <charset val="238"/>
    </font>
    <font>
      <i/>
      <sz val="10"/>
      <color theme="1"/>
      <name val="Arial"/>
      <family val="2"/>
      <charset val="238"/>
    </font>
    <font>
      <i/>
      <u/>
      <sz val="10"/>
      <color theme="1"/>
      <name val="Arial"/>
      <family val="2"/>
      <charset val="238"/>
    </font>
  </fonts>
  <fills count="23">
    <fill>
      <patternFill patternType="none"/>
    </fill>
    <fill>
      <patternFill patternType="gray125"/>
    </fill>
    <fill>
      <patternFill patternType="solid">
        <fgColor indexed="9"/>
        <bgColor indexed="64"/>
      </patternFill>
    </fill>
    <fill>
      <patternFill patternType="solid">
        <fgColor theme="2"/>
        <bgColor indexed="64"/>
      </patternFill>
    </fill>
    <fill>
      <patternFill patternType="solid">
        <fgColor theme="0"/>
        <bgColor indexed="64"/>
      </patternFill>
    </fill>
    <fill>
      <patternFill patternType="solid">
        <fgColor rgb="FFDBDCDE"/>
        <bgColor indexed="64"/>
      </patternFill>
    </fill>
    <fill>
      <patternFill patternType="solid">
        <fgColor theme="1"/>
        <bgColor indexed="64"/>
      </patternFill>
    </fill>
    <fill>
      <patternFill patternType="solid">
        <fgColor rgb="FF00A89F"/>
        <bgColor indexed="64"/>
      </patternFill>
    </fill>
    <fill>
      <patternFill patternType="solid">
        <fgColor rgb="FF003C7F"/>
        <bgColor indexed="64"/>
      </patternFill>
    </fill>
    <fill>
      <patternFill patternType="solid">
        <fgColor rgb="FFBDED0A"/>
        <bgColor indexed="64"/>
      </patternFill>
    </fill>
    <fill>
      <gradientFill>
        <stop position="0">
          <color rgb="FFE16E73"/>
        </stop>
        <stop position="1">
          <color rgb="FFBDED0A"/>
        </stop>
      </gradientFill>
    </fill>
    <fill>
      <patternFill patternType="solid">
        <fgColor rgb="FFE16E73"/>
        <bgColor indexed="64"/>
      </patternFill>
    </fill>
    <fill>
      <patternFill patternType="solid">
        <fgColor rgb="FFCBD4DD"/>
        <bgColor indexed="64"/>
      </patternFill>
    </fill>
    <fill>
      <patternFill patternType="solid">
        <fgColor rgb="FF008080"/>
        <bgColor indexed="64"/>
      </patternFill>
    </fill>
    <fill>
      <patternFill patternType="solid">
        <fgColor theme="0" tint="-0.34998626667073579"/>
        <bgColor indexed="64"/>
      </patternFill>
    </fill>
    <fill>
      <gradientFill>
        <stop position="0">
          <color rgb="FFBDED0A"/>
        </stop>
        <stop position="1">
          <color rgb="FF008080"/>
        </stop>
      </gradientFill>
    </fill>
    <fill>
      <patternFill patternType="solid">
        <fgColor rgb="FFFF6E73"/>
        <bgColor indexed="64"/>
      </patternFill>
    </fill>
    <fill>
      <patternFill patternType="solid">
        <fgColor rgb="FF5ABE7B"/>
        <bgColor indexed="64"/>
      </patternFill>
    </fill>
    <fill>
      <patternFill patternType="solid">
        <fgColor rgb="FFFF7128"/>
        <bgColor indexed="64"/>
      </patternFill>
    </fill>
    <fill>
      <patternFill patternType="solid">
        <fgColor rgb="FF003D7F"/>
        <bgColor indexed="64"/>
      </patternFill>
    </fill>
    <fill>
      <patternFill patternType="solid">
        <fgColor theme="4" tint="0.59999389629810485"/>
        <bgColor theme="4" tint="0.59999389629810485"/>
      </patternFill>
    </fill>
    <fill>
      <patternFill patternType="solid">
        <fgColor theme="4"/>
        <bgColor theme="4"/>
      </patternFill>
    </fill>
    <fill>
      <patternFill patternType="solid">
        <fgColor theme="0" tint="-0.499984740745262"/>
        <bgColor theme="4"/>
      </patternFill>
    </fill>
  </fills>
  <borders count="16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thin">
        <color indexed="64"/>
      </left>
      <right/>
      <top/>
      <bottom/>
      <diagonal/>
    </border>
    <border>
      <left/>
      <right style="thin">
        <color indexed="64"/>
      </right>
      <top/>
      <bottom/>
      <diagonal/>
    </border>
    <border>
      <left style="thick">
        <color rgb="FF25BD59"/>
      </left>
      <right/>
      <top/>
      <bottom/>
      <diagonal/>
    </border>
    <border>
      <left/>
      <right/>
      <top style="thin">
        <color rgb="FF25BD59"/>
      </top>
      <bottom style="thin">
        <color rgb="FF25BD59"/>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rgb="FFFFFFFF"/>
      </left>
      <right style="medium">
        <color rgb="FFFFFFFF"/>
      </right>
      <top/>
      <bottom style="medium">
        <color rgb="FFFFFFFF"/>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rgb="FFFFFFFF"/>
      </right>
      <top style="medium">
        <color rgb="FFFFFFFF"/>
      </top>
      <bottom/>
      <diagonal/>
    </border>
    <border>
      <left style="medium">
        <color indexed="64"/>
      </left>
      <right style="medium">
        <color rgb="FFFFFFFF"/>
      </right>
      <top/>
      <bottom style="medium">
        <color rgb="FFFFFFFF"/>
      </bottom>
      <diagonal/>
    </border>
    <border>
      <left style="medium">
        <color indexed="64"/>
      </left>
      <right style="thin">
        <color indexed="64"/>
      </right>
      <top style="thin">
        <color indexed="64"/>
      </top>
      <bottom style="thin">
        <color indexed="64"/>
      </bottom>
      <diagonal/>
    </border>
    <border>
      <left/>
      <right/>
      <top style="thin">
        <color rgb="FF00A89F"/>
      </top>
      <bottom/>
      <diagonal/>
    </border>
    <border>
      <left/>
      <right/>
      <top style="thick">
        <color rgb="FF00A89F"/>
      </top>
      <bottom/>
      <diagonal/>
    </border>
    <border>
      <left/>
      <right/>
      <top style="thick">
        <color rgb="FF00A89F"/>
      </top>
      <bottom style="thin">
        <color rgb="FF25BD59"/>
      </bottom>
      <diagonal/>
    </border>
    <border>
      <left/>
      <right/>
      <top style="thick">
        <color rgb="FF00A89F"/>
      </top>
      <bottom style="thick">
        <color rgb="FF00A89F"/>
      </bottom>
      <diagonal/>
    </border>
    <border>
      <left/>
      <right style="thin">
        <color rgb="FF25BD59"/>
      </right>
      <top style="thick">
        <color rgb="FF00A89F"/>
      </top>
      <bottom style="thick">
        <color rgb="FF00A89F"/>
      </bottom>
      <diagonal/>
    </border>
    <border>
      <left style="thin">
        <color rgb="FF25BD59"/>
      </left>
      <right/>
      <top style="thick">
        <color rgb="FF00A89F"/>
      </top>
      <bottom style="thick">
        <color rgb="FF00A89F"/>
      </bottom>
      <diagonal/>
    </border>
    <border>
      <left/>
      <right style="thick">
        <color rgb="FF00A89F"/>
      </right>
      <top style="thick">
        <color rgb="FF00A89F"/>
      </top>
      <bottom style="thick">
        <color rgb="FF00A89F"/>
      </bottom>
      <diagonal/>
    </border>
    <border>
      <left/>
      <right style="thick">
        <color rgb="FF00A89F"/>
      </right>
      <top/>
      <bottom/>
      <diagonal/>
    </border>
    <border>
      <left style="thick">
        <color rgb="FF00A89F"/>
      </left>
      <right style="thick">
        <color rgb="FF00A89F"/>
      </right>
      <top style="thick">
        <color rgb="FF00A89F"/>
      </top>
      <bottom style="thick">
        <color rgb="FF00A89F"/>
      </bottom>
      <diagonal/>
    </border>
    <border>
      <left style="thick">
        <color rgb="FF00A89F"/>
      </left>
      <right/>
      <top style="thick">
        <color rgb="FF00A89F"/>
      </top>
      <bottom style="thick">
        <color rgb="FF00A89F"/>
      </bottom>
      <diagonal/>
    </border>
    <border>
      <left/>
      <right style="medium">
        <color theme="0"/>
      </right>
      <top style="thick">
        <color rgb="FF00A89F"/>
      </top>
      <bottom style="thick">
        <color rgb="FF00A89F"/>
      </bottom>
      <diagonal/>
    </border>
    <border>
      <left style="medium">
        <color theme="0"/>
      </left>
      <right/>
      <top style="thick">
        <color rgb="FF00A89F"/>
      </top>
      <bottom style="thick">
        <color rgb="FF00A89F"/>
      </bottom>
      <diagonal/>
    </border>
    <border>
      <left style="thick">
        <color rgb="FF00A89F"/>
      </left>
      <right/>
      <top style="thick">
        <color rgb="FF00A89F"/>
      </top>
      <bottom/>
      <diagonal/>
    </border>
    <border>
      <left/>
      <right style="thick">
        <color rgb="FF00A89F"/>
      </right>
      <top style="thick">
        <color rgb="FF00A89F"/>
      </top>
      <bottom/>
      <diagonal/>
    </border>
    <border>
      <left style="thick">
        <color rgb="FF00A89F"/>
      </left>
      <right/>
      <top/>
      <bottom/>
      <diagonal/>
    </border>
    <border>
      <left style="thick">
        <color rgb="FF00A89F"/>
      </left>
      <right/>
      <top/>
      <bottom style="thick">
        <color rgb="FF00A89F"/>
      </bottom>
      <diagonal/>
    </border>
    <border>
      <left/>
      <right/>
      <top/>
      <bottom style="thick">
        <color rgb="FF00A89F"/>
      </bottom>
      <diagonal/>
    </border>
    <border>
      <left/>
      <right style="thick">
        <color rgb="FF00A89F"/>
      </right>
      <top/>
      <bottom style="thick">
        <color rgb="FF00A89F"/>
      </bottom>
      <diagonal/>
    </border>
    <border>
      <left style="thin">
        <color rgb="FF25BD59"/>
      </left>
      <right/>
      <top style="thick">
        <color rgb="FF00A89F"/>
      </top>
      <bottom style="thin">
        <color rgb="FF00A89F"/>
      </bottom>
      <diagonal/>
    </border>
    <border>
      <left/>
      <right/>
      <top style="thick">
        <color rgb="FF00A89F"/>
      </top>
      <bottom style="thin">
        <color rgb="FF00A89F"/>
      </bottom>
      <diagonal/>
    </border>
    <border>
      <left/>
      <right style="thick">
        <color rgb="FF00A89F"/>
      </right>
      <top style="thick">
        <color rgb="FF00A89F"/>
      </top>
      <bottom style="thin">
        <color rgb="FF00A89F"/>
      </bottom>
      <diagonal/>
    </border>
    <border>
      <left style="thin">
        <color rgb="FF25BD59"/>
      </left>
      <right/>
      <top style="thin">
        <color rgb="FF00A89F"/>
      </top>
      <bottom style="thin">
        <color rgb="FF00A89F"/>
      </bottom>
      <diagonal/>
    </border>
    <border>
      <left/>
      <right/>
      <top style="thin">
        <color rgb="FF00A89F"/>
      </top>
      <bottom style="thin">
        <color rgb="FF00A89F"/>
      </bottom>
      <diagonal/>
    </border>
    <border>
      <left/>
      <right style="thick">
        <color rgb="FF00A89F"/>
      </right>
      <top style="thin">
        <color rgb="FF00A89F"/>
      </top>
      <bottom style="thin">
        <color rgb="FF00A89F"/>
      </bottom>
      <diagonal/>
    </border>
    <border>
      <left/>
      <right style="thick">
        <color rgb="FF00A89F"/>
      </right>
      <top style="thin">
        <color rgb="FF00A89F"/>
      </top>
      <bottom/>
      <diagonal/>
    </border>
    <border>
      <left/>
      <right/>
      <top/>
      <bottom style="thin">
        <color rgb="FF00A89F"/>
      </bottom>
      <diagonal/>
    </border>
    <border>
      <left/>
      <right style="thick">
        <color rgb="FF00A89F"/>
      </right>
      <top/>
      <bottom style="thin">
        <color rgb="FF00A89F"/>
      </bottom>
      <diagonal/>
    </border>
    <border>
      <left/>
      <right style="thin">
        <color rgb="FF25BD59"/>
      </right>
      <top/>
      <bottom style="thin">
        <color rgb="FF00A89F"/>
      </bottom>
      <diagonal/>
    </border>
    <border>
      <left style="thin">
        <color rgb="FF25BD59"/>
      </left>
      <right/>
      <top/>
      <bottom style="thin">
        <color rgb="FF00A89F"/>
      </bottom>
      <diagonal/>
    </border>
    <border>
      <left/>
      <right style="thin">
        <color rgb="FF25BD59"/>
      </right>
      <top style="thin">
        <color rgb="FF00A89F"/>
      </top>
      <bottom style="thin">
        <color rgb="FF00A89F"/>
      </bottom>
      <diagonal/>
    </border>
    <border>
      <left/>
      <right style="thin">
        <color rgb="FF00A89F"/>
      </right>
      <top/>
      <bottom/>
      <diagonal/>
    </border>
    <border>
      <left/>
      <right style="thin">
        <color rgb="FF00A89F"/>
      </right>
      <top/>
      <bottom style="thin">
        <color rgb="FF00A89F"/>
      </bottom>
      <diagonal/>
    </border>
    <border>
      <left/>
      <right style="thin">
        <color rgb="FF00A89F"/>
      </right>
      <top style="thin">
        <color rgb="FF00A89F"/>
      </top>
      <bottom style="thin">
        <color rgb="FF00A89F"/>
      </bottom>
      <diagonal/>
    </border>
    <border>
      <left style="thick">
        <color rgb="FF00A89F"/>
      </left>
      <right style="thin">
        <color rgb="FF00A89F"/>
      </right>
      <top style="thick">
        <color rgb="FF00A89F"/>
      </top>
      <bottom/>
      <diagonal/>
    </border>
    <border>
      <left style="thick">
        <color rgb="FF00A89F"/>
      </left>
      <right style="thin">
        <color rgb="FF00A89F"/>
      </right>
      <top style="thin">
        <color rgb="FF00A89F"/>
      </top>
      <bottom style="thin">
        <color rgb="FF00A89F"/>
      </bottom>
      <diagonal/>
    </border>
    <border>
      <left style="thick">
        <color rgb="FF00A89F"/>
      </left>
      <right style="thin">
        <color rgb="FF00A89F"/>
      </right>
      <top/>
      <bottom/>
      <diagonal/>
    </border>
    <border>
      <left style="thick">
        <color rgb="FF00A89F"/>
      </left>
      <right style="thin">
        <color rgb="FF00A89F"/>
      </right>
      <top/>
      <bottom style="thin">
        <color rgb="FF00A89F"/>
      </bottom>
      <diagonal/>
    </border>
    <border>
      <left style="thick">
        <color rgb="FF00A89F"/>
      </left>
      <right style="thin">
        <color rgb="FF00A89F"/>
      </right>
      <top style="thin">
        <color rgb="FF00A89F"/>
      </top>
      <bottom style="thick">
        <color rgb="FF00A89F"/>
      </bottom>
      <diagonal/>
    </border>
    <border>
      <left style="thick">
        <color rgb="FF00A89F"/>
      </left>
      <right style="thin">
        <color rgb="FF00A89F"/>
      </right>
      <top style="thin">
        <color rgb="FF00A89F"/>
      </top>
      <bottom/>
      <diagonal/>
    </border>
    <border>
      <left style="thin">
        <color rgb="FF00A89F"/>
      </left>
      <right/>
      <top style="thin">
        <color rgb="FF00A89F"/>
      </top>
      <bottom style="thin">
        <color rgb="FF00A89F"/>
      </bottom>
      <diagonal/>
    </border>
    <border>
      <left style="thin">
        <color rgb="FF25BD59"/>
      </left>
      <right style="thin">
        <color rgb="FF00A89F"/>
      </right>
      <top/>
      <bottom style="thin">
        <color rgb="FF00A89F"/>
      </bottom>
      <diagonal/>
    </border>
    <border>
      <left style="thin">
        <color rgb="FF00A89F"/>
      </left>
      <right style="thin">
        <color rgb="FF25BD59"/>
      </right>
      <top/>
      <bottom style="thin">
        <color rgb="FF00A89F"/>
      </bottom>
      <diagonal/>
    </border>
    <border>
      <left style="thin">
        <color rgb="FF25BD59"/>
      </left>
      <right style="thin">
        <color rgb="FF00A89F"/>
      </right>
      <top style="thin">
        <color rgb="FF00A89F"/>
      </top>
      <bottom style="thin">
        <color rgb="FF00A89F"/>
      </bottom>
      <diagonal/>
    </border>
    <border>
      <left style="thin">
        <color rgb="FF00A89F"/>
      </left>
      <right style="thin">
        <color rgb="FF25BD59"/>
      </right>
      <top style="thin">
        <color rgb="FF00A89F"/>
      </top>
      <bottom style="thin">
        <color rgb="FF00A89F"/>
      </bottom>
      <diagonal/>
    </border>
    <border>
      <left/>
      <right style="thin">
        <color rgb="FF00A89F"/>
      </right>
      <top style="thick">
        <color rgb="FF00A89F"/>
      </top>
      <bottom style="thin">
        <color rgb="FF00A89F"/>
      </bottom>
      <diagonal/>
    </border>
    <border>
      <left/>
      <right style="thin">
        <color rgb="FF25BD59"/>
      </right>
      <top style="thick">
        <color rgb="FF00A89F"/>
      </top>
      <bottom style="thin">
        <color rgb="FF00A89F"/>
      </bottom>
      <diagonal/>
    </border>
    <border>
      <left style="thin">
        <color rgb="FF25BD59"/>
      </left>
      <right style="thin">
        <color rgb="FF00A89F"/>
      </right>
      <top style="thick">
        <color rgb="FF00A89F"/>
      </top>
      <bottom style="thin">
        <color rgb="FF00A89F"/>
      </bottom>
      <diagonal/>
    </border>
    <border>
      <left style="thin">
        <color rgb="FF00A89F"/>
      </left>
      <right style="thin">
        <color rgb="FF25BD59"/>
      </right>
      <top style="thick">
        <color rgb="FF00A89F"/>
      </top>
      <bottom style="thin">
        <color rgb="FF00A89F"/>
      </bottom>
      <diagonal/>
    </border>
    <border>
      <left style="thick">
        <color rgb="FF00A89F"/>
      </left>
      <right style="thin">
        <color rgb="FF00A89F"/>
      </right>
      <top style="thick">
        <color rgb="FF00A89F"/>
      </top>
      <bottom style="thin">
        <color rgb="FF00A89F"/>
      </bottom>
      <diagonal/>
    </border>
    <border>
      <left style="thin">
        <color rgb="FF00A89F"/>
      </left>
      <right/>
      <top/>
      <bottom style="thick">
        <color rgb="FF00A89F"/>
      </bottom>
      <diagonal/>
    </border>
    <border>
      <left style="thin">
        <color rgb="FF00A89F"/>
      </left>
      <right/>
      <top style="thin">
        <color rgb="FF00A89F"/>
      </top>
      <bottom style="thick">
        <color rgb="FF00A89F"/>
      </bottom>
      <diagonal/>
    </border>
    <border>
      <left/>
      <right/>
      <top style="thin">
        <color rgb="FF00A89F"/>
      </top>
      <bottom style="thick">
        <color rgb="FF00A89F"/>
      </bottom>
      <diagonal/>
    </border>
    <border>
      <left style="thin">
        <color rgb="FF00A89F"/>
      </left>
      <right/>
      <top/>
      <bottom/>
      <diagonal/>
    </border>
    <border>
      <left style="thin">
        <color rgb="FF00A89F"/>
      </left>
      <right/>
      <top/>
      <bottom style="thin">
        <color rgb="FF00A89F"/>
      </bottom>
      <diagonal/>
    </border>
    <border>
      <left style="thin">
        <color rgb="FF00A89F"/>
      </left>
      <right/>
      <top style="thin">
        <color rgb="FF00A89F"/>
      </top>
      <bottom/>
      <diagonal/>
    </border>
    <border>
      <left/>
      <right style="thin">
        <color rgb="FF00A89F"/>
      </right>
      <top style="thick">
        <color rgb="FF00A89F"/>
      </top>
      <bottom style="thick">
        <color rgb="FF00A89F"/>
      </bottom>
      <diagonal/>
    </border>
    <border>
      <left style="thick">
        <color rgb="FF00A89F"/>
      </left>
      <right/>
      <top style="thick">
        <color rgb="FF00A89F"/>
      </top>
      <bottom style="thin">
        <color rgb="FF00A89F"/>
      </bottom>
      <diagonal/>
    </border>
    <border>
      <left style="thick">
        <color rgb="FF00A89F"/>
      </left>
      <right style="medium">
        <color theme="0"/>
      </right>
      <top style="thick">
        <color rgb="FF00A89F"/>
      </top>
      <bottom style="thin">
        <color rgb="FF00A89F"/>
      </bottom>
      <diagonal/>
    </border>
    <border>
      <left style="thick">
        <color rgb="FF00A89F"/>
      </left>
      <right style="thick">
        <color theme="0"/>
      </right>
      <top style="thick">
        <color rgb="FF00A89F"/>
      </top>
      <bottom style="thick">
        <color rgb="FF00A89F"/>
      </bottom>
      <diagonal/>
    </border>
    <border>
      <left style="thick">
        <color rgb="FF00A89F"/>
      </left>
      <right style="thick">
        <color rgb="FF00A89F"/>
      </right>
      <top style="thick">
        <color rgb="FF00A89F"/>
      </top>
      <bottom/>
      <diagonal/>
    </border>
    <border>
      <left style="thick">
        <color rgb="FF00A89F"/>
      </left>
      <right style="thick">
        <color rgb="FF00A89F"/>
      </right>
      <top/>
      <bottom style="thick">
        <color rgb="FF00A89F"/>
      </bottom>
      <diagonal/>
    </border>
    <border>
      <left style="thin">
        <color rgb="FF008080"/>
      </left>
      <right style="thin">
        <color rgb="FF25BD59"/>
      </right>
      <top style="thick">
        <color rgb="FF00A89F"/>
      </top>
      <bottom style="thin">
        <color rgb="FF00A89F"/>
      </bottom>
      <diagonal/>
    </border>
    <border>
      <left style="thin">
        <color rgb="FF008080"/>
      </left>
      <right style="thin">
        <color rgb="FF25BD59"/>
      </right>
      <top style="thin">
        <color rgb="FF00A89F"/>
      </top>
      <bottom style="thin">
        <color rgb="FF00A89F"/>
      </bottom>
      <diagonal/>
    </border>
    <border>
      <left style="thin">
        <color rgb="FF008080"/>
      </left>
      <right style="thin">
        <color rgb="FF25BD59"/>
      </right>
      <top/>
      <bottom style="thin">
        <color rgb="FF00A89F"/>
      </bottom>
      <diagonal/>
    </border>
    <border>
      <left style="thin">
        <color rgb="FF25BD59"/>
      </left>
      <right style="thin">
        <color rgb="FF008080"/>
      </right>
      <top style="thick">
        <color rgb="FF00A89F"/>
      </top>
      <bottom style="thin">
        <color rgb="FF00A89F"/>
      </bottom>
      <diagonal/>
    </border>
    <border>
      <left style="thin">
        <color rgb="FF25BD59"/>
      </left>
      <right style="thin">
        <color rgb="FF008080"/>
      </right>
      <top style="thin">
        <color rgb="FF00A89F"/>
      </top>
      <bottom style="thin">
        <color rgb="FF00A89F"/>
      </bottom>
      <diagonal/>
    </border>
    <border>
      <left style="thin">
        <color rgb="FF25BD59"/>
      </left>
      <right style="thin">
        <color rgb="FF008080"/>
      </right>
      <top/>
      <bottom style="thin">
        <color rgb="FF00A89F"/>
      </bottom>
      <diagonal/>
    </border>
    <border>
      <left/>
      <right style="thick">
        <color rgb="FF00A89F"/>
      </right>
      <top style="thin">
        <color rgb="FF00A89F"/>
      </top>
      <bottom style="thick">
        <color rgb="FF00A89F"/>
      </bottom>
      <diagonal/>
    </border>
    <border>
      <left style="thin">
        <color rgb="FF008080"/>
      </left>
      <right/>
      <top style="thick">
        <color rgb="FF00A89F"/>
      </top>
      <bottom style="thin">
        <color rgb="FF00A89F"/>
      </bottom>
      <diagonal/>
    </border>
    <border>
      <left style="thin">
        <color rgb="FF008080"/>
      </left>
      <right/>
      <top style="thin">
        <color rgb="FF00A89F"/>
      </top>
      <bottom style="thin">
        <color rgb="FF00A89F"/>
      </bottom>
      <diagonal/>
    </border>
    <border>
      <left style="thin">
        <color rgb="FF008080"/>
      </left>
      <right/>
      <top/>
      <bottom/>
      <diagonal/>
    </border>
    <border>
      <left style="thin">
        <color rgb="FF008080"/>
      </left>
      <right/>
      <top/>
      <bottom style="thin">
        <color rgb="FF00A89F"/>
      </bottom>
      <diagonal/>
    </border>
    <border>
      <left style="thick">
        <color rgb="FF25BD59"/>
      </left>
      <right/>
      <top style="thin">
        <color rgb="FF25BD59"/>
      </top>
      <bottom style="thin">
        <color rgb="FF25BD59"/>
      </bottom>
      <diagonal/>
    </border>
    <border>
      <left/>
      <right style="thin">
        <color rgb="FF25BD59"/>
      </right>
      <top style="thin">
        <color rgb="FF25BD59"/>
      </top>
      <bottom style="thin">
        <color rgb="FF25BD59"/>
      </bottom>
      <diagonal/>
    </border>
    <border>
      <left style="thick">
        <color rgb="FF00A89F"/>
      </left>
      <right/>
      <top style="thin">
        <color rgb="FF25BD59"/>
      </top>
      <bottom style="thin">
        <color rgb="FF00A89F"/>
      </bottom>
      <diagonal/>
    </border>
    <border>
      <left/>
      <right style="thin">
        <color rgb="FF00A89F"/>
      </right>
      <top style="thin">
        <color rgb="FF00A89F"/>
      </top>
      <bottom style="thick">
        <color rgb="FF00A89F"/>
      </bottom>
      <diagonal/>
    </border>
    <border>
      <left style="thin">
        <color rgb="FF00A89F"/>
      </left>
      <right style="thin">
        <color rgb="FF25BD59"/>
      </right>
      <top style="thin">
        <color rgb="FF00A89F"/>
      </top>
      <bottom style="thick">
        <color rgb="FF00A89F"/>
      </bottom>
      <diagonal/>
    </border>
    <border>
      <left style="thin">
        <color rgb="FF25BD59"/>
      </left>
      <right style="thin">
        <color rgb="FF00A89F"/>
      </right>
      <top style="thin">
        <color rgb="FF00A89F"/>
      </top>
      <bottom style="thick">
        <color rgb="FF00A89F"/>
      </bottom>
      <diagonal/>
    </border>
    <border>
      <left/>
      <right style="thin">
        <color rgb="FF25BD59"/>
      </right>
      <top style="thin">
        <color rgb="FF00A89F"/>
      </top>
      <bottom style="thick">
        <color rgb="FF00A89F"/>
      </bottom>
      <diagonal/>
    </border>
    <border>
      <left style="thin">
        <color rgb="FF25BD59"/>
      </left>
      <right/>
      <top style="thin">
        <color rgb="FF00A89F"/>
      </top>
      <bottom style="thick">
        <color rgb="FF00A89F"/>
      </bottom>
      <diagonal/>
    </border>
    <border>
      <left style="thin">
        <color rgb="FF008080"/>
      </left>
      <right/>
      <top style="thin">
        <color rgb="FF00A89F"/>
      </top>
      <bottom style="thick">
        <color rgb="FF00A89F"/>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bottom style="medium">
        <color rgb="FFFFFFFF"/>
      </bottom>
      <diagonal/>
    </border>
    <border>
      <left/>
      <right/>
      <top/>
      <bottom style="medium">
        <color rgb="FFFFFFFF"/>
      </bottom>
      <diagonal/>
    </border>
    <border>
      <left/>
      <right style="medium">
        <color indexed="64"/>
      </right>
      <top/>
      <bottom style="medium">
        <color rgb="FFFFFFFF"/>
      </bottom>
      <diagonal/>
    </border>
    <border>
      <left style="medium">
        <color rgb="FFFFFFFF"/>
      </left>
      <right/>
      <top style="medium">
        <color rgb="FFFFFFFF"/>
      </top>
      <bottom style="thin">
        <color indexed="64"/>
      </bottom>
      <diagonal/>
    </border>
    <border>
      <left/>
      <right/>
      <top style="medium">
        <color rgb="FFFFFFFF"/>
      </top>
      <bottom style="thin">
        <color indexed="64"/>
      </bottom>
      <diagonal/>
    </border>
    <border>
      <left/>
      <right style="medium">
        <color indexed="64"/>
      </right>
      <top style="medium">
        <color rgb="FFFFFFFF"/>
      </top>
      <bottom style="thin">
        <color indexed="64"/>
      </bottom>
      <diagonal/>
    </border>
    <border>
      <left style="medium">
        <color indexed="64"/>
      </left>
      <right style="medium">
        <color indexed="64"/>
      </right>
      <top style="medium">
        <color indexed="64"/>
      </top>
      <bottom style="medium">
        <color indexed="64"/>
      </bottom>
      <diagonal/>
    </border>
    <border>
      <left style="thin">
        <color rgb="FF00A89F"/>
      </left>
      <right/>
      <top style="thick">
        <color rgb="FF00A89F"/>
      </top>
      <bottom style="thin">
        <color rgb="FF00A89F"/>
      </bottom>
      <diagonal/>
    </border>
    <border>
      <left/>
      <right style="medium">
        <color auto="1"/>
      </right>
      <top style="medium">
        <color rgb="FFFFFFFF"/>
      </top>
      <bottom style="medium">
        <color rgb="FFFFFFFF"/>
      </bottom>
      <diagonal/>
    </border>
    <border>
      <left style="medium">
        <color rgb="FFFFFFFF"/>
      </left>
      <right/>
      <top style="medium">
        <color rgb="FFFFFFFF"/>
      </top>
      <bottom style="medium">
        <color rgb="FFFFFFFF"/>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theme="0"/>
      </left>
      <right/>
      <top style="thick">
        <color theme="0"/>
      </top>
      <bottom/>
      <diagonal/>
    </border>
    <border>
      <left/>
      <right/>
      <top style="thick">
        <color theme="0"/>
      </top>
      <bottom/>
      <diagonal/>
    </border>
    <border>
      <left style="thin">
        <color theme="0"/>
      </left>
      <right/>
      <top/>
      <bottom/>
      <diagonal/>
    </border>
    <border>
      <left/>
      <right style="dotted">
        <color rgb="FFFF0000"/>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indexed="64"/>
      </left>
      <right style="thick">
        <color rgb="FF00A89F"/>
      </right>
      <top style="thick">
        <color rgb="FF00A89F"/>
      </top>
      <bottom style="thick">
        <color rgb="FF00A89F"/>
      </bottom>
      <diagonal/>
    </border>
    <border>
      <left style="thin">
        <color indexed="64"/>
      </left>
      <right style="thick">
        <color rgb="FF00A89F"/>
      </right>
      <top/>
      <bottom style="thick">
        <color rgb="FF00A89F"/>
      </bottom>
      <diagonal/>
    </border>
    <border>
      <left style="thin">
        <color theme="0"/>
      </left>
      <right style="thin">
        <color theme="0"/>
      </right>
      <top/>
      <bottom style="thin">
        <color theme="0"/>
      </bottom>
      <diagonal/>
    </border>
    <border>
      <left/>
      <right/>
      <top/>
      <bottom style="thin">
        <color theme="0"/>
      </bottom>
      <diagonal/>
    </border>
    <border>
      <left style="thick">
        <color theme="0"/>
      </left>
      <right style="thick">
        <color rgb="FF00A89F"/>
      </right>
      <top style="thin">
        <color indexed="64"/>
      </top>
      <bottom style="thick">
        <color rgb="FF00A89F"/>
      </bottom>
      <diagonal/>
    </border>
    <border>
      <left/>
      <right style="thin">
        <color theme="0"/>
      </right>
      <top/>
      <bottom/>
      <diagonal/>
    </border>
    <border>
      <left style="thick">
        <color rgb="FF00A89F"/>
      </left>
      <right/>
      <top/>
      <bottom style="thin">
        <color theme="0"/>
      </bottom>
      <diagonal/>
    </border>
    <border>
      <left/>
      <right style="thin">
        <color theme="0"/>
      </right>
      <top/>
      <bottom style="thin">
        <color theme="0"/>
      </bottom>
      <diagonal/>
    </border>
    <border>
      <left style="thin">
        <color theme="0"/>
      </left>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7">
    <xf numFmtId="0" fontId="0" fillId="0" borderId="0"/>
    <xf numFmtId="0" fontId="2" fillId="0" borderId="0"/>
    <xf numFmtId="0" fontId="2" fillId="0" borderId="0"/>
    <xf numFmtId="0" fontId="1" fillId="0" borderId="0"/>
    <xf numFmtId="9" fontId="34" fillId="0" borderId="0" applyFont="0" applyFill="0" applyBorder="0" applyAlignment="0" applyProtection="0"/>
    <xf numFmtId="0" fontId="30" fillId="0" borderId="0"/>
    <xf numFmtId="0" fontId="53" fillId="0" borderId="0" applyNumberFormat="0" applyFill="0" applyBorder="0" applyAlignment="0" applyProtection="0">
      <alignment vertical="top"/>
      <protection locked="0"/>
    </xf>
  </cellStyleXfs>
  <cellXfs count="605">
    <xf numFmtId="0" fontId="0" fillId="0" borderId="0" xfId="0"/>
    <xf numFmtId="0" fontId="7" fillId="0" borderId="0" xfId="0" applyFont="1" applyProtection="1">
      <protection hidden="1"/>
    </xf>
    <xf numFmtId="0" fontId="4" fillId="0" borderId="0" xfId="0" applyFont="1" applyProtection="1">
      <protection hidden="1"/>
    </xf>
    <xf numFmtId="0" fontId="4" fillId="0" borderId="0" xfId="0" applyFont="1" applyAlignment="1" applyProtection="1">
      <alignment horizontal="center"/>
      <protection hidden="1"/>
    </xf>
    <xf numFmtId="0" fontId="8" fillId="0" borderId="0" xfId="0" applyFont="1" applyAlignment="1" applyProtection="1">
      <alignment horizontal="center"/>
      <protection hidden="1"/>
    </xf>
    <xf numFmtId="0" fontId="13" fillId="0" borderId="0" xfId="0" applyFont="1" applyAlignment="1" applyProtection="1">
      <alignment horizontal="center"/>
      <protection hidden="1"/>
    </xf>
    <xf numFmtId="0" fontId="14" fillId="0" borderId="0" xfId="0" applyFont="1" applyAlignment="1" applyProtection="1">
      <alignment horizontal="left" indent="7"/>
      <protection hidden="1"/>
    </xf>
    <xf numFmtId="0" fontId="15" fillId="0" borderId="0" xfId="0" applyFont="1" applyProtection="1">
      <protection hidden="1"/>
    </xf>
    <xf numFmtId="0" fontId="16" fillId="0" borderId="0" xfId="0" applyFont="1" applyProtection="1">
      <protection hidden="1"/>
    </xf>
    <xf numFmtId="0" fontId="12" fillId="0" borderId="0" xfId="0" applyFont="1" applyProtection="1">
      <protection hidden="1"/>
    </xf>
    <xf numFmtId="0" fontId="10" fillId="0" borderId="0" xfId="0" applyFont="1" applyProtection="1">
      <protection hidden="1"/>
    </xf>
    <xf numFmtId="0" fontId="15" fillId="0" borderId="0" xfId="0" applyFont="1" applyAlignment="1">
      <alignment wrapText="1"/>
    </xf>
    <xf numFmtId="0" fontId="15" fillId="0" borderId="0" xfId="0" applyFont="1" applyAlignment="1">
      <alignment vertical="center"/>
    </xf>
    <xf numFmtId="0" fontId="15" fillId="0" borderId="0" xfId="0" applyFont="1"/>
    <xf numFmtId="0" fontId="15" fillId="0" borderId="0" xfId="0" applyFont="1" applyAlignment="1">
      <alignment horizontal="center" vertical="center" wrapText="1"/>
    </xf>
    <xf numFmtId="164" fontId="2" fillId="0" borderId="0" xfId="0" applyNumberFormat="1" applyFont="1" applyAlignment="1" applyProtection="1">
      <alignment horizontal="left"/>
      <protection hidden="1"/>
    </xf>
    <xf numFmtId="0" fontId="2" fillId="0" borderId="0" xfId="0" applyFont="1" applyProtection="1">
      <protection hidden="1"/>
    </xf>
    <xf numFmtId="0" fontId="2" fillId="0" borderId="0" xfId="0" applyFont="1" applyAlignment="1" applyProtection="1">
      <alignment horizontal="center"/>
      <protection hidden="1"/>
    </xf>
    <xf numFmtId="0" fontId="3" fillId="0" borderId="0" xfId="0" applyFont="1" applyAlignment="1" applyProtection="1">
      <alignment horizontal="center"/>
      <protection hidden="1"/>
    </xf>
    <xf numFmtId="165" fontId="15" fillId="0" borderId="0" xfId="0" applyNumberFormat="1" applyFont="1" applyAlignment="1" applyProtection="1">
      <alignment horizontal="center"/>
      <protection hidden="1"/>
    </xf>
    <xf numFmtId="0" fontId="4" fillId="0" borderId="0" xfId="0" applyFont="1" applyAlignment="1" applyProtection="1">
      <alignment horizontal="left"/>
      <protection hidden="1"/>
    </xf>
    <xf numFmtId="0" fontId="18" fillId="0" borderId="0" xfId="0" applyFont="1" applyAlignment="1" applyProtection="1">
      <alignment horizontal="left"/>
      <protection hidden="1"/>
    </xf>
    <xf numFmtId="0" fontId="18" fillId="0" borderId="0" xfId="0" applyFont="1" applyAlignment="1" applyProtection="1">
      <alignment horizontal="right"/>
      <protection hidden="1"/>
    </xf>
    <xf numFmtId="0" fontId="23" fillId="0" borderId="0" xfId="0" applyFont="1"/>
    <xf numFmtId="165" fontId="4" fillId="0" borderId="0" xfId="0" applyNumberFormat="1" applyFont="1" applyAlignment="1" applyProtection="1">
      <alignment vertical="center"/>
      <protection hidden="1"/>
    </xf>
    <xf numFmtId="0" fontId="2" fillId="2" borderId="0" xfId="1" applyFill="1"/>
    <xf numFmtId="0" fontId="2" fillId="0" borderId="0" xfId="1"/>
    <xf numFmtId="164" fontId="4" fillId="0" borderId="0" xfId="0" applyNumberFormat="1" applyFont="1" applyAlignment="1" applyProtection="1">
      <alignment horizontal="center"/>
      <protection hidden="1"/>
    </xf>
    <xf numFmtId="0" fontId="24" fillId="0" borderId="0" xfId="0" applyFont="1"/>
    <xf numFmtId="0" fontId="25" fillId="0" borderId="0" xfId="2" applyFont="1"/>
    <xf numFmtId="0" fontId="27" fillId="0" borderId="0" xfId="0" applyFont="1" applyAlignment="1" applyProtection="1">
      <alignment horizontal="center" vertical="center" wrapText="1"/>
      <protection hidden="1"/>
    </xf>
    <xf numFmtId="0" fontId="15" fillId="0" borderId="1" xfId="0" applyFont="1" applyBorder="1" applyAlignment="1" applyProtection="1">
      <alignment horizontal="center" vertical="center" wrapText="1"/>
      <protection locked="0"/>
    </xf>
    <xf numFmtId="0" fontId="2" fillId="0" borderId="0" xfId="0" applyFont="1" applyAlignment="1" applyProtection="1">
      <alignment horizontal="left" indent="4"/>
      <protection hidden="1"/>
    </xf>
    <xf numFmtId="0" fontId="33" fillId="0" borderId="0" xfId="0" applyFont="1" applyProtection="1">
      <protection hidden="1"/>
    </xf>
    <xf numFmtId="0" fontId="7" fillId="0" borderId="0" xfId="0" applyFont="1" applyAlignment="1" applyProtection="1">
      <alignment horizontal="center"/>
      <protection hidden="1"/>
    </xf>
    <xf numFmtId="0" fontId="5" fillId="0" borderId="0" xfId="0" applyFont="1" applyAlignment="1" applyProtection="1">
      <alignment horizontal="center"/>
      <protection hidden="1"/>
    </xf>
    <xf numFmtId="0" fontId="8" fillId="0" borderId="0" xfId="0" applyFont="1" applyAlignment="1" applyProtection="1">
      <alignment horizontal="right"/>
      <protection hidden="1"/>
    </xf>
    <xf numFmtId="0" fontId="4" fillId="0" borderId="0" xfId="0" applyFont="1" applyAlignment="1" applyProtection="1">
      <alignment horizontal="right"/>
      <protection hidden="1"/>
    </xf>
    <xf numFmtId="0" fontId="4" fillId="0" borderId="0" xfId="0" applyFont="1" applyAlignment="1" applyProtection="1">
      <alignment horizontal="right" indent="1"/>
      <protection hidden="1"/>
    </xf>
    <xf numFmtId="10" fontId="4" fillId="0" borderId="0" xfId="0" applyNumberFormat="1" applyFont="1" applyAlignment="1" applyProtection="1">
      <alignment horizontal="center"/>
      <protection hidden="1"/>
    </xf>
    <xf numFmtId="164" fontId="21" fillId="4" borderId="0" xfId="0" applyNumberFormat="1" applyFont="1" applyFill="1" applyAlignment="1" applyProtection="1">
      <alignment horizontal="center" vertical="center"/>
      <protection hidden="1"/>
    </xf>
    <xf numFmtId="0" fontId="18" fillId="0" borderId="0" xfId="0" applyFont="1" applyAlignment="1" applyProtection="1">
      <alignment horizontal="center" vertical="center"/>
      <protection hidden="1"/>
    </xf>
    <xf numFmtId="0" fontId="42" fillId="0" borderId="0" xfId="0" applyFont="1" applyAlignment="1" applyProtection="1">
      <alignment horizontal="center"/>
      <protection hidden="1"/>
    </xf>
    <xf numFmtId="0" fontId="18" fillId="0" borderId="0" xfId="0" applyFont="1" applyAlignment="1" applyProtection="1">
      <alignment horizontal="center"/>
      <protection hidden="1"/>
    </xf>
    <xf numFmtId="0" fontId="7" fillId="0" borderId="0" xfId="4" applyNumberFormat="1" applyFont="1" applyBorder="1" applyAlignment="1" applyProtection="1">
      <alignment vertical="center"/>
      <protection hidden="1"/>
    </xf>
    <xf numFmtId="0" fontId="7" fillId="0" borderId="0" xfId="0" applyFont="1" applyAlignment="1" applyProtection="1">
      <alignment vertical="center"/>
      <protection hidden="1"/>
    </xf>
    <xf numFmtId="0" fontId="15" fillId="0" borderId="0" xfId="0" applyFont="1" applyAlignment="1">
      <alignment vertical="center" wrapText="1"/>
    </xf>
    <xf numFmtId="0" fontId="15" fillId="0" borderId="1" xfId="0" applyFont="1" applyBorder="1" applyAlignment="1" applyProtection="1">
      <alignment vertical="center" wrapText="1"/>
      <protection locked="0"/>
    </xf>
    <xf numFmtId="0" fontId="15" fillId="0" borderId="1" xfId="0" applyFont="1" applyBorder="1" applyAlignment="1" applyProtection="1">
      <alignment horizontal="left" vertical="center" wrapText="1"/>
      <protection locked="0"/>
    </xf>
    <xf numFmtId="0" fontId="2" fillId="2" borderId="0" xfId="1" applyFill="1" applyAlignment="1">
      <alignment vertical="center"/>
    </xf>
    <xf numFmtId="0" fontId="21" fillId="0" borderId="0" xfId="1" applyFont="1" applyAlignment="1">
      <alignment horizontal="left"/>
    </xf>
    <xf numFmtId="0" fontId="4" fillId="0" borderId="0" xfId="1" applyFont="1" applyAlignment="1">
      <alignment wrapText="1"/>
    </xf>
    <xf numFmtId="0" fontId="4" fillId="0" borderId="0" xfId="1" applyFont="1" applyAlignment="1">
      <alignment horizontal="left" vertical="top" wrapText="1" indent="2"/>
    </xf>
    <xf numFmtId="0" fontId="51" fillId="0" borderId="0" xfId="1" applyFont="1"/>
    <xf numFmtId="0" fontId="30" fillId="0" borderId="0" xfId="1" applyFont="1"/>
    <xf numFmtId="0" fontId="30" fillId="0" borderId="0" xfId="1" applyFont="1" applyAlignment="1">
      <alignment wrapText="1"/>
    </xf>
    <xf numFmtId="0" fontId="30" fillId="0" borderId="0" xfId="1" applyFont="1" applyAlignment="1">
      <alignment horizontal="left" vertical="top" indent="2"/>
    </xf>
    <xf numFmtId="0" fontId="30" fillId="0" borderId="0" xfId="1" applyFont="1" applyAlignment="1">
      <alignment vertical="top"/>
    </xf>
    <xf numFmtId="0" fontId="2" fillId="2" borderId="0" xfId="1" applyFill="1" applyAlignment="1">
      <alignment vertical="top"/>
    </xf>
    <xf numFmtId="0" fontId="30" fillId="0" borderId="0" xfId="1" applyFont="1" applyAlignment="1">
      <alignment vertical="center"/>
    </xf>
    <xf numFmtId="0" fontId="2" fillId="0" borderId="0" xfId="1" applyAlignment="1">
      <alignment vertical="center"/>
    </xf>
    <xf numFmtId="0" fontId="2" fillId="2" borderId="0" xfId="1" applyFill="1" applyAlignment="1">
      <alignment wrapText="1"/>
    </xf>
    <xf numFmtId="0" fontId="51" fillId="0" borderId="0" xfId="1" applyFont="1" applyAlignment="1">
      <alignment horizontal="left"/>
    </xf>
    <xf numFmtId="0" fontId="15" fillId="0" borderId="0" xfId="0" applyFont="1" applyAlignment="1">
      <alignment horizontal="center" vertical="center"/>
    </xf>
    <xf numFmtId="0" fontId="2" fillId="0" borderId="0" xfId="1" applyAlignment="1">
      <alignment horizontal="left" vertical="top" indent="2"/>
    </xf>
    <xf numFmtId="0" fontId="21" fillId="0" borderId="0" xfId="1" applyFont="1" applyAlignment="1">
      <alignment horizontal="left" vertical="center"/>
    </xf>
    <xf numFmtId="0" fontId="45" fillId="0" borderId="35" xfId="5" applyFont="1" applyBorder="1" applyAlignment="1">
      <alignment horizontal="center" wrapText="1" readingOrder="1"/>
    </xf>
    <xf numFmtId="0" fontId="45" fillId="6" borderId="37" xfId="5" applyFont="1" applyFill="1" applyBorder="1" applyAlignment="1">
      <alignment horizontal="center" wrapText="1" readingOrder="1"/>
    </xf>
    <xf numFmtId="0" fontId="22" fillId="0" borderId="0" xfId="0" applyFont="1" applyAlignment="1">
      <alignment horizontal="center" vertical="top" wrapText="1"/>
    </xf>
    <xf numFmtId="0" fontId="51" fillId="0" borderId="0" xfId="1" applyFont="1" applyAlignment="1">
      <alignment horizontal="left" indent="3"/>
    </xf>
    <xf numFmtId="0" fontId="58" fillId="0" borderId="0" xfId="1" applyFont="1" applyAlignment="1">
      <alignment horizontal="left"/>
    </xf>
    <xf numFmtId="0" fontId="7" fillId="0" borderId="41" xfId="0" applyFont="1" applyBorder="1" applyProtection="1">
      <protection hidden="1"/>
    </xf>
    <xf numFmtId="0" fontId="8" fillId="0" borderId="52" xfId="0" applyFont="1" applyBorder="1" applyAlignment="1" applyProtection="1">
      <alignment horizontal="right"/>
      <protection hidden="1"/>
    </xf>
    <xf numFmtId="0" fontId="7" fillId="0" borderId="45" xfId="0" applyFont="1" applyBorder="1" applyProtection="1">
      <protection hidden="1"/>
    </xf>
    <xf numFmtId="0" fontId="4" fillId="0" borderId="52" xfId="0" applyFont="1" applyBorder="1" applyAlignment="1" applyProtection="1">
      <alignment horizontal="right"/>
      <protection hidden="1"/>
    </xf>
    <xf numFmtId="0" fontId="2" fillId="0" borderId="52" xfId="0" applyFont="1" applyBorder="1" applyProtection="1">
      <protection hidden="1"/>
    </xf>
    <xf numFmtId="0" fontId="4" fillId="0" borderId="52" xfId="0" applyFont="1" applyBorder="1" applyAlignment="1" applyProtection="1">
      <alignment horizontal="right" indent="1"/>
      <protection hidden="1"/>
    </xf>
    <xf numFmtId="0" fontId="2" fillId="0" borderId="45" xfId="0" applyFont="1" applyBorder="1" applyProtection="1">
      <protection hidden="1"/>
    </xf>
    <xf numFmtId="0" fontId="11" fillId="0" borderId="45" xfId="0" applyFont="1" applyBorder="1" applyProtection="1">
      <protection hidden="1"/>
    </xf>
    <xf numFmtId="0" fontId="7" fillId="0" borderId="53" xfId="0" applyFont="1" applyBorder="1" applyProtection="1">
      <protection hidden="1"/>
    </xf>
    <xf numFmtId="0" fontId="7" fillId="0" borderId="54" xfId="0" applyFont="1" applyBorder="1" applyProtection="1">
      <protection hidden="1"/>
    </xf>
    <xf numFmtId="0" fontId="7" fillId="0" borderId="55" xfId="0" applyFont="1" applyBorder="1" applyProtection="1">
      <protection hidden="1"/>
    </xf>
    <xf numFmtId="0" fontId="2" fillId="3" borderId="46" xfId="0" applyFont="1" applyFill="1" applyBorder="1" applyAlignment="1" applyProtection="1">
      <alignment horizontal="center"/>
      <protection hidden="1"/>
    </xf>
    <xf numFmtId="0" fontId="2" fillId="0" borderId="71" xfId="0" applyFont="1" applyBorder="1" applyAlignment="1" applyProtection="1">
      <alignment horizontal="left" vertical="center" indent="1"/>
      <protection hidden="1"/>
    </xf>
    <xf numFmtId="0" fontId="2" fillId="0" borderId="72" xfId="0" applyFont="1" applyBorder="1" applyAlignment="1" applyProtection="1">
      <alignment horizontal="left" vertical="center" indent="1"/>
      <protection hidden="1"/>
    </xf>
    <xf numFmtId="0" fontId="2" fillId="0" borderId="73" xfId="0" applyFont="1" applyBorder="1" applyAlignment="1" applyProtection="1">
      <alignment horizontal="left" vertical="center" indent="1"/>
      <protection hidden="1"/>
    </xf>
    <xf numFmtId="0" fontId="2" fillId="0" borderId="74" xfId="0" applyFont="1" applyBorder="1" applyAlignment="1" applyProtection="1">
      <alignment horizontal="left" vertical="center" indent="1"/>
      <protection hidden="1"/>
    </xf>
    <xf numFmtId="0" fontId="2" fillId="0" borderId="76" xfId="0" applyFont="1" applyBorder="1" applyAlignment="1" applyProtection="1">
      <alignment horizontal="left" vertical="center" indent="1"/>
      <protection hidden="1"/>
    </xf>
    <xf numFmtId="0" fontId="7" fillId="0" borderId="52" xfId="0" applyFont="1" applyBorder="1" applyProtection="1">
      <protection hidden="1"/>
    </xf>
    <xf numFmtId="0" fontId="2" fillId="0" borderId="75" xfId="0" applyFont="1" applyBorder="1" applyAlignment="1" applyProtection="1">
      <alignment horizontal="left" vertical="center" indent="1"/>
      <protection hidden="1"/>
    </xf>
    <xf numFmtId="0" fontId="7" fillId="0" borderId="45" xfId="0" applyFont="1" applyBorder="1" applyAlignment="1" applyProtection="1">
      <alignment vertical="center"/>
      <protection hidden="1"/>
    </xf>
    <xf numFmtId="0" fontId="2" fillId="0" borderId="86" xfId="0" applyFont="1" applyBorder="1" applyAlignment="1" applyProtection="1">
      <alignment horizontal="left" vertical="center" indent="1"/>
      <protection hidden="1"/>
    </xf>
    <xf numFmtId="0" fontId="19" fillId="7" borderId="95" xfId="0" applyFont="1" applyFill="1" applyBorder="1" applyAlignment="1">
      <alignment horizontal="center" vertical="center" wrapText="1"/>
    </xf>
    <xf numFmtId="0" fontId="17" fillId="7" borderId="1" xfId="0" applyFont="1" applyFill="1" applyBorder="1" applyAlignment="1">
      <alignment horizontal="center" vertical="center"/>
    </xf>
    <xf numFmtId="0" fontId="19" fillId="7" borderId="96" xfId="0" applyFont="1" applyFill="1" applyBorder="1" applyAlignment="1" applyProtection="1">
      <alignment horizontal="center" vertical="center" wrapText="1"/>
      <protection hidden="1"/>
    </xf>
    <xf numFmtId="0" fontId="18" fillId="11" borderId="29" xfId="0" applyFont="1" applyFill="1" applyBorder="1" applyAlignment="1" applyProtection="1">
      <alignment horizontal="left" vertical="center"/>
      <protection hidden="1"/>
    </xf>
    <xf numFmtId="0" fontId="28" fillId="11" borderId="1" xfId="0" applyFont="1" applyFill="1" applyBorder="1" applyAlignment="1" applyProtection="1">
      <alignment horizontal="center" vertical="center"/>
      <protection hidden="1"/>
    </xf>
    <xf numFmtId="0" fontId="17" fillId="13" borderId="1" xfId="0" applyFont="1" applyFill="1" applyBorder="1" applyAlignment="1">
      <alignment horizontal="center" vertical="center"/>
    </xf>
    <xf numFmtId="0" fontId="28" fillId="14" borderId="1" xfId="0" applyFont="1" applyFill="1" applyBorder="1" applyAlignment="1" applyProtection="1">
      <alignment horizontal="center" vertical="center"/>
      <protection hidden="1"/>
    </xf>
    <xf numFmtId="0" fontId="15" fillId="14" borderId="0" xfId="0" applyFont="1" applyFill="1" applyAlignment="1">
      <alignment vertical="center"/>
    </xf>
    <xf numFmtId="0" fontId="29" fillId="14" borderId="0" xfId="0" applyFont="1" applyFill="1" applyAlignment="1">
      <alignment vertical="center" wrapText="1"/>
    </xf>
    <xf numFmtId="2" fontId="18" fillId="13" borderId="31" xfId="0" applyNumberFormat="1" applyFont="1" applyFill="1" applyBorder="1" applyAlignment="1" applyProtection="1">
      <alignment horizontal="right" vertical="center"/>
      <protection hidden="1"/>
    </xf>
    <xf numFmtId="9" fontId="18" fillId="15" borderId="30" xfId="0" applyNumberFormat="1" applyFont="1" applyFill="1" applyBorder="1" applyAlignment="1" applyProtection="1">
      <alignment vertical="center"/>
      <protection hidden="1"/>
    </xf>
    <xf numFmtId="0" fontId="61" fillId="0" borderId="0" xfId="0" applyFont="1" applyProtection="1">
      <protection hidden="1"/>
    </xf>
    <xf numFmtId="0" fontId="62" fillId="0" borderId="0" xfId="0" applyFont="1" applyAlignment="1" applyProtection="1">
      <alignment vertical="top"/>
      <protection hidden="1"/>
    </xf>
    <xf numFmtId="0" fontId="62" fillId="0" borderId="0" xfId="0" applyFont="1" applyProtection="1">
      <protection hidden="1"/>
    </xf>
    <xf numFmtId="0" fontId="63" fillId="0" borderId="0" xfId="0" applyFont="1" applyAlignment="1">
      <alignment horizontal="center" vertical="center" wrapText="1"/>
    </xf>
    <xf numFmtId="0" fontId="35" fillId="12" borderId="52" xfId="0" applyFont="1" applyFill="1" applyBorder="1" applyAlignment="1" applyProtection="1">
      <alignment horizontal="left"/>
      <protection hidden="1"/>
    </xf>
    <xf numFmtId="0" fontId="35" fillId="12" borderId="0" xfId="0" applyFont="1" applyFill="1" applyAlignment="1" applyProtection="1">
      <alignment horizontal="left"/>
      <protection hidden="1"/>
    </xf>
    <xf numFmtId="0" fontId="4" fillId="0" borderId="53" xfId="0" applyFont="1" applyBorder="1" applyAlignment="1" applyProtection="1">
      <alignment horizontal="right" indent="1"/>
      <protection hidden="1"/>
    </xf>
    <xf numFmtId="0" fontId="18" fillId="0" borderId="54" xfId="0" applyFont="1" applyBorder="1" applyAlignment="1" applyProtection="1">
      <alignment horizontal="center"/>
      <protection hidden="1"/>
    </xf>
    <xf numFmtId="0" fontId="18" fillId="0" borderId="54" xfId="0" applyFont="1" applyBorder="1" applyAlignment="1" applyProtection="1">
      <alignment horizontal="center" vertical="center"/>
      <protection hidden="1"/>
    </xf>
    <xf numFmtId="0" fontId="46" fillId="0" borderId="54" xfId="0" applyFont="1" applyBorder="1" applyAlignment="1" applyProtection="1">
      <alignment horizontal="left"/>
      <protection hidden="1"/>
    </xf>
    <xf numFmtId="0" fontId="42" fillId="0" borderId="54" xfId="0" applyFont="1" applyBorder="1" applyAlignment="1" applyProtection="1">
      <alignment horizontal="center"/>
      <protection hidden="1"/>
    </xf>
    <xf numFmtId="0" fontId="11" fillId="0" borderId="55" xfId="0" applyFont="1" applyBorder="1" applyProtection="1">
      <protection hidden="1"/>
    </xf>
    <xf numFmtId="0" fontId="18" fillId="0" borderId="54" xfId="0" applyFont="1" applyBorder="1" applyAlignment="1" applyProtection="1">
      <alignment horizontal="left"/>
      <protection hidden="1"/>
    </xf>
    <xf numFmtId="0" fontId="2" fillId="0" borderId="54" xfId="0" applyFont="1" applyBorder="1" applyProtection="1">
      <protection hidden="1"/>
    </xf>
    <xf numFmtId="0" fontId="16" fillId="0" borderId="54" xfId="0" applyFont="1" applyBorder="1" applyProtection="1">
      <protection hidden="1"/>
    </xf>
    <xf numFmtId="0" fontId="18" fillId="0" borderId="54" xfId="0" applyFont="1" applyBorder="1" applyAlignment="1" applyProtection="1">
      <alignment horizontal="right"/>
      <protection hidden="1"/>
    </xf>
    <xf numFmtId="0" fontId="2" fillId="0" borderId="45" xfId="1" applyBorder="1"/>
    <xf numFmtId="0" fontId="39" fillId="9" borderId="1" xfId="0" applyFont="1" applyFill="1" applyBorder="1" applyAlignment="1">
      <alignment horizontal="center" vertical="center"/>
    </xf>
    <xf numFmtId="0" fontId="70" fillId="0" borderId="0" xfId="0" applyFont="1" applyAlignment="1" applyProtection="1">
      <alignment horizontal="left"/>
      <protection hidden="1"/>
    </xf>
    <xf numFmtId="0" fontId="71" fillId="0" borderId="0" xfId="0" applyFont="1" applyAlignment="1" applyProtection="1">
      <alignment horizontal="center"/>
      <protection hidden="1"/>
    </xf>
    <xf numFmtId="0" fontId="70" fillId="0" borderId="54" xfId="0" applyFont="1" applyBorder="1" applyAlignment="1" applyProtection="1">
      <alignment horizontal="left"/>
      <protection hidden="1"/>
    </xf>
    <xf numFmtId="0" fontId="61" fillId="0" borderId="54" xfId="0" applyFont="1" applyBorder="1" applyProtection="1">
      <protection hidden="1"/>
    </xf>
    <xf numFmtId="0" fontId="71" fillId="0" borderId="54" xfId="0" applyFont="1" applyBorder="1" applyAlignment="1" applyProtection="1">
      <alignment horizontal="center"/>
      <protection hidden="1"/>
    </xf>
    <xf numFmtId="0" fontId="2" fillId="0" borderId="60" xfId="0" applyFont="1" applyBorder="1" applyAlignment="1" applyProtection="1">
      <alignment vertical="center"/>
      <protection hidden="1"/>
    </xf>
    <xf numFmtId="0" fontId="2" fillId="0" borderId="70" xfId="0" applyFont="1" applyBorder="1" applyAlignment="1" applyProtection="1">
      <alignment vertical="center"/>
      <protection hidden="1"/>
    </xf>
    <xf numFmtId="0" fontId="2" fillId="0" borderId="110" xfId="0" applyFont="1" applyBorder="1" applyAlignment="1" applyProtection="1">
      <alignment horizontal="left" vertical="center" indent="1"/>
      <protection hidden="1"/>
    </xf>
    <xf numFmtId="0" fontId="2" fillId="0" borderId="23" xfId="0" applyFont="1" applyBorder="1" applyAlignment="1" applyProtection="1">
      <alignment horizontal="left" vertical="center" indent="1"/>
      <protection hidden="1"/>
    </xf>
    <xf numFmtId="0" fontId="2" fillId="0" borderId="111" xfId="0" applyFont="1" applyBorder="1" applyAlignment="1" applyProtection="1">
      <alignment horizontal="left" vertical="center" indent="1"/>
      <protection hidden="1"/>
    </xf>
    <xf numFmtId="0" fontId="2" fillId="0" borderId="112" xfId="0" applyFont="1" applyBorder="1" applyAlignment="1" applyProtection="1">
      <alignment horizontal="left" vertical="center" indent="1"/>
      <protection hidden="1"/>
    </xf>
    <xf numFmtId="0" fontId="67" fillId="0" borderId="0" xfId="6" applyFont="1" applyFill="1" applyAlignment="1" applyProtection="1">
      <alignment horizontal="left"/>
    </xf>
    <xf numFmtId="0" fontId="40" fillId="0" borderId="0" xfId="6" applyFont="1" applyFill="1" applyAlignment="1" applyProtection="1">
      <alignment horizontal="left"/>
    </xf>
    <xf numFmtId="0" fontId="2" fillId="0" borderId="0" xfId="1" applyAlignment="1">
      <alignment horizontal="left" vertical="top" wrapText="1" indent="2"/>
    </xf>
    <xf numFmtId="0" fontId="68" fillId="0" borderId="0" xfId="6" applyFont="1" applyFill="1" applyAlignment="1" applyProtection="1">
      <alignment horizontal="right"/>
    </xf>
    <xf numFmtId="0" fontId="75" fillId="0" borderId="0" xfId="6" applyFont="1" applyFill="1" applyAlignment="1" applyProtection="1">
      <alignment horizontal="left"/>
    </xf>
    <xf numFmtId="0" fontId="21" fillId="0" borderId="0" xfId="1" applyFont="1" applyAlignment="1">
      <alignment horizontal="left" wrapText="1"/>
    </xf>
    <xf numFmtId="0" fontId="76" fillId="0" borderId="0" xfId="0" applyFont="1" applyProtection="1">
      <protection hidden="1"/>
    </xf>
    <xf numFmtId="0" fontId="18" fillId="12" borderId="86" xfId="0" applyFont="1" applyFill="1" applyBorder="1" applyAlignment="1" applyProtection="1">
      <alignment vertical="center"/>
      <protection hidden="1"/>
    </xf>
    <xf numFmtId="0" fontId="18" fillId="12" borderId="72" xfId="0" applyFont="1" applyFill="1" applyBorder="1" applyAlignment="1" applyProtection="1">
      <alignment vertical="center"/>
      <protection hidden="1"/>
    </xf>
    <xf numFmtId="0" fontId="18" fillId="12" borderId="74" xfId="0" applyFont="1" applyFill="1" applyBorder="1" applyAlignment="1" applyProtection="1">
      <alignment vertical="center"/>
      <protection hidden="1"/>
    </xf>
    <xf numFmtId="0" fontId="18" fillId="12" borderId="73" xfId="0" applyFont="1" applyFill="1" applyBorder="1" applyAlignment="1" applyProtection="1">
      <alignment vertical="center"/>
      <protection hidden="1"/>
    </xf>
    <xf numFmtId="0" fontId="18" fillId="12" borderId="75" xfId="0" applyFont="1" applyFill="1" applyBorder="1" applyAlignment="1" applyProtection="1">
      <alignment vertical="center"/>
      <protection hidden="1"/>
    </xf>
    <xf numFmtId="0" fontId="18" fillId="12" borderId="86" xfId="0" applyFont="1" applyFill="1" applyBorder="1" applyAlignment="1" applyProtection="1">
      <alignment horizontal="left" vertical="center"/>
      <protection hidden="1"/>
    </xf>
    <xf numFmtId="0" fontId="18" fillId="12" borderId="72" xfId="0" applyFont="1" applyFill="1" applyBorder="1" applyAlignment="1" applyProtection="1">
      <alignment horizontal="left" vertical="center"/>
      <protection hidden="1"/>
    </xf>
    <xf numFmtId="0" fontId="18" fillId="12" borderId="74" xfId="0" applyFont="1" applyFill="1" applyBorder="1" applyAlignment="1" applyProtection="1">
      <alignment horizontal="left" vertical="center"/>
      <protection hidden="1"/>
    </xf>
    <xf numFmtId="0" fontId="18" fillId="12" borderId="73" xfId="0" applyFont="1" applyFill="1" applyBorder="1" applyAlignment="1" applyProtection="1">
      <alignment horizontal="left" vertical="center"/>
      <protection hidden="1"/>
    </xf>
    <xf numFmtId="0" fontId="18" fillId="12" borderId="75" xfId="0" applyFont="1" applyFill="1" applyBorder="1" applyAlignment="1" applyProtection="1">
      <alignment horizontal="left" vertical="center"/>
      <protection hidden="1"/>
    </xf>
    <xf numFmtId="0" fontId="77" fillId="12" borderId="74" xfId="0" applyFont="1" applyFill="1" applyBorder="1" applyAlignment="1" applyProtection="1">
      <alignment horizontal="left" vertical="center"/>
      <protection hidden="1"/>
    </xf>
    <xf numFmtId="0" fontId="77" fillId="12" borderId="74" xfId="0" applyFont="1" applyFill="1" applyBorder="1" applyAlignment="1" applyProtection="1">
      <alignment vertical="center"/>
      <protection hidden="1"/>
    </xf>
    <xf numFmtId="0" fontId="78" fillId="0" borderId="0" xfId="0" applyFont="1" applyProtection="1">
      <protection hidden="1"/>
    </xf>
    <xf numFmtId="0" fontId="79" fillId="16" borderId="122" xfId="0" applyFont="1" applyFill="1" applyBorder="1" applyAlignment="1">
      <alignment horizontal="center" vertical="center"/>
    </xf>
    <xf numFmtId="0" fontId="24" fillId="0" borderId="123" xfId="0" applyFont="1" applyBorder="1"/>
    <xf numFmtId="0" fontId="24" fillId="0" borderId="124" xfId="0" applyFont="1" applyBorder="1"/>
    <xf numFmtId="0" fontId="24" fillId="0" borderId="18" xfId="0" applyFont="1" applyBorder="1"/>
    <xf numFmtId="0" fontId="24" fillId="0" borderId="9" xfId="0" applyFont="1" applyBorder="1"/>
    <xf numFmtId="0" fontId="79" fillId="16" borderId="8" xfId="0" applyFont="1" applyFill="1" applyBorder="1" applyAlignment="1">
      <alignment horizontal="center" vertical="center"/>
    </xf>
    <xf numFmtId="0" fontId="24" fillId="0" borderId="19" xfId="0" applyFont="1" applyBorder="1"/>
    <xf numFmtId="0" fontId="24" fillId="0" borderId="11" xfId="0" applyFont="1" applyBorder="1"/>
    <xf numFmtId="0" fontId="0" fillId="0" borderId="123" xfId="0" applyBorder="1"/>
    <xf numFmtId="0" fontId="0" fillId="0" borderId="124" xfId="0" applyBorder="1"/>
    <xf numFmtId="0" fontId="0" fillId="7" borderId="0" xfId="0" applyFill="1" applyAlignment="1">
      <alignment horizontal="left" vertical="center"/>
    </xf>
    <xf numFmtId="0" fontId="79" fillId="16" borderId="18" xfId="0" applyFont="1" applyFill="1" applyBorder="1" applyAlignment="1">
      <alignment horizontal="center" vertical="center"/>
    </xf>
    <xf numFmtId="0" fontId="79" fillId="16" borderId="123" xfId="0" applyFont="1" applyFill="1" applyBorder="1" applyAlignment="1">
      <alignment horizontal="center" vertical="center"/>
    </xf>
    <xf numFmtId="0" fontId="81" fillId="0" borderId="1" xfId="5" applyFont="1" applyBorder="1" applyAlignment="1">
      <alignment horizontal="center" wrapText="1" readingOrder="1"/>
    </xf>
    <xf numFmtId="0" fontId="81" fillId="0" borderId="34" xfId="5" applyFont="1" applyBorder="1" applyAlignment="1">
      <alignment horizontal="center" wrapText="1" readingOrder="1"/>
    </xf>
    <xf numFmtId="0" fontId="81" fillId="0" borderId="36" xfId="5" applyFont="1" applyBorder="1" applyAlignment="1">
      <alignment horizontal="left" wrapText="1" readingOrder="1"/>
    </xf>
    <xf numFmtId="9" fontId="81" fillId="0" borderId="32" xfId="5" applyNumberFormat="1" applyFont="1" applyBorder="1" applyAlignment="1">
      <alignment horizontal="center" wrapText="1" readingOrder="1"/>
    </xf>
    <xf numFmtId="0" fontId="44" fillId="0" borderId="1" xfId="5" applyFont="1" applyBorder="1" applyAlignment="1">
      <alignment horizontal="center" wrapText="1" readingOrder="1"/>
    </xf>
    <xf numFmtId="0" fontId="44" fillId="0" borderId="34" xfId="5" applyFont="1" applyBorder="1" applyAlignment="1">
      <alignment horizontal="center" wrapText="1" readingOrder="1"/>
    </xf>
    <xf numFmtId="0" fontId="81" fillId="0" borderId="34" xfId="0" applyFont="1" applyBorder="1" applyAlignment="1">
      <alignment horizontal="center" wrapText="1" readingOrder="1"/>
    </xf>
    <xf numFmtId="0" fontId="82" fillId="0" borderId="133" xfId="0" applyFont="1" applyBorder="1" applyAlignment="1">
      <alignment horizontal="center" vertical="center"/>
    </xf>
    <xf numFmtId="0" fontId="81" fillId="6" borderId="34" xfId="0" applyFont="1" applyFill="1" applyBorder="1" applyAlignment="1">
      <alignment horizontal="center" wrapText="1" readingOrder="1"/>
    </xf>
    <xf numFmtId="0" fontId="81" fillId="6" borderId="33" xfId="0" applyFont="1" applyFill="1" applyBorder="1" applyAlignment="1">
      <alignment horizontal="center" wrapText="1" readingOrder="1"/>
    </xf>
    <xf numFmtId="0" fontId="79" fillId="16" borderId="29" xfId="0" applyFont="1" applyFill="1" applyBorder="1" applyAlignment="1">
      <alignment horizontal="center" vertical="center" wrapText="1"/>
    </xf>
    <xf numFmtId="0" fontId="84" fillId="0" borderId="0" xfId="0" applyFont="1" applyProtection="1">
      <protection hidden="1"/>
    </xf>
    <xf numFmtId="0" fontId="81" fillId="6" borderId="1" xfId="5" applyFont="1" applyFill="1" applyBorder="1" applyAlignment="1">
      <alignment horizontal="center" wrapText="1" readingOrder="1"/>
    </xf>
    <xf numFmtId="0" fontId="81" fillId="6" borderId="34" xfId="5" applyFont="1" applyFill="1" applyBorder="1" applyAlignment="1">
      <alignment horizontal="center" wrapText="1" readingOrder="1"/>
    </xf>
    <xf numFmtId="0" fontId="40" fillId="7" borderId="0" xfId="0" applyFont="1" applyFill="1" applyAlignment="1">
      <alignment horizontal="center" vertical="center"/>
    </xf>
    <xf numFmtId="0" fontId="80" fillId="0" borderId="6" xfId="5" applyFont="1" applyBorder="1" applyAlignment="1">
      <alignment horizontal="center" vertical="center" wrapText="1"/>
    </xf>
    <xf numFmtId="0" fontId="80" fillId="0" borderId="7" xfId="5" applyFont="1" applyBorder="1" applyAlignment="1">
      <alignment horizontal="center" vertical="center" wrapText="1"/>
    </xf>
    <xf numFmtId="0" fontId="80" fillId="0" borderId="8" xfId="5" applyFont="1" applyBorder="1" applyAlignment="1">
      <alignment horizontal="center" vertical="center" wrapText="1"/>
    </xf>
    <xf numFmtId="0" fontId="80" fillId="0" borderId="127" xfId="5" applyFont="1" applyBorder="1" applyAlignment="1">
      <alignment horizontal="center" vertical="center" wrapText="1"/>
    </xf>
    <xf numFmtId="0" fontId="80" fillId="0" borderId="128" xfId="5" applyFont="1" applyBorder="1" applyAlignment="1">
      <alignment horizontal="center" vertical="center" wrapText="1"/>
    </xf>
    <xf numFmtId="0" fontId="80" fillId="0" borderId="129" xfId="5" applyFont="1" applyBorder="1" applyAlignment="1">
      <alignment horizontal="center" vertical="center" wrapText="1"/>
    </xf>
    <xf numFmtId="0" fontId="81" fillId="0" borderId="3" xfId="5" applyFont="1" applyBorder="1" applyAlignment="1">
      <alignment horizontal="center" wrapText="1" readingOrder="1"/>
    </xf>
    <xf numFmtId="0" fontId="81" fillId="6" borderId="3" xfId="5" applyFont="1" applyFill="1" applyBorder="1" applyAlignment="1">
      <alignment horizontal="center" wrapText="1" readingOrder="1"/>
    </xf>
    <xf numFmtId="0" fontId="24" fillId="0" borderId="135" xfId="0" applyFont="1" applyBorder="1"/>
    <xf numFmtId="0" fontId="24" fillId="0" borderId="136" xfId="0" applyFont="1" applyBorder="1"/>
    <xf numFmtId="0" fontId="44" fillId="0" borderId="3" xfId="5" applyFont="1" applyBorder="1" applyAlignment="1">
      <alignment horizontal="center" wrapText="1" readingOrder="1"/>
    </xf>
    <xf numFmtId="0" fontId="81" fillId="6" borderId="121" xfId="5" applyFont="1" applyFill="1" applyBorder="1" applyAlignment="1">
      <alignment horizontal="center" wrapText="1" readingOrder="1"/>
    </xf>
    <xf numFmtId="0" fontId="82" fillId="0" borderId="139" xfId="0" applyFont="1" applyBorder="1" applyAlignment="1">
      <alignment wrapText="1"/>
    </xf>
    <xf numFmtId="0" fontId="81" fillId="0" borderId="37" xfId="0" applyFont="1" applyBorder="1" applyAlignment="1">
      <alignment vertical="top" wrapText="1"/>
    </xf>
    <xf numFmtId="0" fontId="82" fillId="0" borderId="37" xfId="0" applyFont="1" applyBorder="1" applyAlignment="1">
      <alignment vertical="top" wrapText="1"/>
    </xf>
    <xf numFmtId="0" fontId="81" fillId="0" borderId="15" xfId="0" applyFont="1" applyBorder="1" applyAlignment="1">
      <alignment vertical="top" wrapText="1"/>
    </xf>
    <xf numFmtId="0" fontId="81" fillId="0" borderId="16" xfId="5" applyFont="1" applyBorder="1" applyAlignment="1">
      <alignment horizontal="center" wrapText="1" readingOrder="1"/>
    </xf>
    <xf numFmtId="0" fontId="81" fillId="0" borderId="140" xfId="5" applyFont="1" applyBorder="1" applyAlignment="1">
      <alignment horizontal="center" wrapText="1" readingOrder="1"/>
    </xf>
    <xf numFmtId="0" fontId="81" fillId="0" borderId="17" xfId="5" applyFont="1" applyBorder="1" applyAlignment="1">
      <alignment horizontal="center" wrapText="1" readingOrder="1"/>
    </xf>
    <xf numFmtId="0" fontId="44" fillId="6" borderId="18" xfId="0" applyFont="1" applyFill="1" applyBorder="1"/>
    <xf numFmtId="0" fontId="81" fillId="0" borderId="17" xfId="0" applyFont="1" applyBorder="1" applyAlignment="1">
      <alignment horizontal="center" wrapText="1" readingOrder="1"/>
    </xf>
    <xf numFmtId="0" fontId="81" fillId="6" borderId="139" xfId="0" applyFont="1" applyFill="1" applyBorder="1" applyAlignment="1">
      <alignment horizontal="center" wrapText="1" readingOrder="1"/>
    </xf>
    <xf numFmtId="0" fontId="81" fillId="0" borderId="37" xfId="0" applyFont="1" applyBorder="1" applyAlignment="1">
      <alignment horizontal="center" wrapText="1" readingOrder="1"/>
    </xf>
    <xf numFmtId="0" fontId="81" fillId="6" borderId="37" xfId="0" applyFont="1" applyFill="1" applyBorder="1" applyAlignment="1">
      <alignment horizontal="center" wrapText="1" readingOrder="1"/>
    </xf>
    <xf numFmtId="0" fontId="81" fillId="0" borderId="15" xfId="0" applyFont="1" applyBorder="1" applyAlignment="1">
      <alignment horizontal="center" wrapText="1" readingOrder="1"/>
    </xf>
    <xf numFmtId="0" fontId="81" fillId="6" borderId="137" xfId="0" applyFont="1" applyFill="1" applyBorder="1" applyAlignment="1">
      <alignment horizontal="center" wrapText="1" readingOrder="1"/>
    </xf>
    <xf numFmtId="0" fontId="81" fillId="0" borderId="4" xfId="0" applyFont="1" applyBorder="1" applyAlignment="1">
      <alignment horizontal="center" wrapText="1" readingOrder="1"/>
    </xf>
    <xf numFmtId="0" fontId="81" fillId="6" borderId="4" xfId="0" applyFont="1" applyFill="1" applyBorder="1" applyAlignment="1">
      <alignment horizontal="center" wrapText="1" readingOrder="1"/>
    </xf>
    <xf numFmtId="0" fontId="81" fillId="0" borderId="141" xfId="0" applyFont="1" applyBorder="1" applyAlignment="1">
      <alignment horizontal="center" wrapText="1" readingOrder="1"/>
    </xf>
    <xf numFmtId="0" fontId="82" fillId="0" borderId="138" xfId="0" applyFont="1" applyBorder="1" applyAlignment="1">
      <alignment wrapText="1"/>
    </xf>
    <xf numFmtId="0" fontId="81" fillId="0" borderId="125" xfId="0" applyFont="1" applyBorder="1" applyAlignment="1">
      <alignment vertical="top" wrapText="1"/>
    </xf>
    <xf numFmtId="0" fontId="82" fillId="0" borderId="125" xfId="0" applyFont="1" applyBorder="1" applyAlignment="1">
      <alignment vertical="top" wrapText="1"/>
    </xf>
    <xf numFmtId="0" fontId="81" fillId="0" borderId="126" xfId="0" applyFont="1" applyBorder="1" applyAlignment="1">
      <alignment vertical="top" wrapText="1"/>
    </xf>
    <xf numFmtId="0" fontId="82" fillId="0" borderId="142" xfId="0" applyFont="1" applyBorder="1" applyAlignment="1">
      <alignment vertical="top" wrapText="1"/>
    </xf>
    <xf numFmtId="0" fontId="82" fillId="0" borderId="138" xfId="0" applyFont="1" applyBorder="1" applyAlignment="1">
      <alignment vertical="top" wrapText="1"/>
    </xf>
    <xf numFmtId="0" fontId="30" fillId="0" borderId="0" xfId="1" applyFont="1" applyAlignment="1">
      <alignment horizontal="left"/>
    </xf>
    <xf numFmtId="0" fontId="30" fillId="0" borderId="0" xfId="1" applyFont="1" applyAlignment="1">
      <alignment horizontal="left" vertical="top" wrapText="1" indent="2"/>
    </xf>
    <xf numFmtId="0" fontId="2" fillId="0" borderId="0" xfId="6" applyFont="1" applyFill="1" applyAlignment="1" applyProtection="1">
      <alignment horizontal="left" wrapText="1"/>
    </xf>
    <xf numFmtId="0" fontId="32" fillId="12" borderId="3" xfId="1" applyFont="1" applyFill="1" applyBorder="1"/>
    <xf numFmtId="0" fontId="32" fillId="12" borderId="2" xfId="1" applyFont="1" applyFill="1" applyBorder="1"/>
    <xf numFmtId="0" fontId="68" fillId="12" borderId="4" xfId="1" applyFont="1" applyFill="1" applyBorder="1" applyAlignment="1">
      <alignment horizontal="right"/>
    </xf>
    <xf numFmtId="10" fontId="7" fillId="12" borderId="0" xfId="4" applyNumberFormat="1" applyFont="1" applyFill="1" applyBorder="1" applyAlignment="1" applyProtection="1">
      <alignment horizontal="center"/>
      <protection hidden="1"/>
    </xf>
    <xf numFmtId="0" fontId="95" fillId="7" borderId="0" xfId="1" applyFont="1" applyFill="1" applyAlignment="1">
      <alignment vertical="center"/>
    </xf>
    <xf numFmtId="0" fontId="93" fillId="0" borderId="0" xfId="1" applyFont="1" applyAlignment="1">
      <alignment vertical="center"/>
    </xf>
    <xf numFmtId="0" fontId="96" fillId="19" borderId="1" xfId="1" applyFont="1" applyFill="1" applyBorder="1" applyAlignment="1">
      <alignment horizontal="center" vertical="center" wrapText="1"/>
    </xf>
    <xf numFmtId="0" fontId="97" fillId="0" borderId="0" xfId="1" applyFont="1" applyAlignment="1">
      <alignment vertical="center"/>
    </xf>
    <xf numFmtId="0" fontId="93" fillId="0" borderId="1" xfId="1" applyFont="1" applyBorder="1" applyAlignment="1">
      <alignment horizontal="center" vertical="center" wrapText="1"/>
    </xf>
    <xf numFmtId="167" fontId="93" fillId="0" borderId="1" xfId="1" applyNumberFormat="1" applyFont="1" applyBorder="1" applyAlignment="1">
      <alignment horizontal="center" vertical="center" wrapText="1"/>
    </xf>
    <xf numFmtId="0" fontId="93" fillId="2" borderId="1" xfId="1" applyFont="1" applyFill="1" applyBorder="1" applyAlignment="1">
      <alignment horizontal="center" vertical="center" wrapText="1"/>
    </xf>
    <xf numFmtId="0" fontId="98" fillId="0" borderId="0" xfId="1" applyFont="1" applyAlignment="1">
      <alignment horizontal="center" vertical="center"/>
    </xf>
    <xf numFmtId="0" fontId="93" fillId="0" borderId="1" xfId="1" applyFont="1" applyBorder="1" applyAlignment="1">
      <alignment vertical="center" wrapText="1"/>
    </xf>
    <xf numFmtId="0" fontId="98" fillId="0" borderId="0" xfId="1" applyFont="1" applyAlignment="1">
      <alignment vertical="center"/>
    </xf>
    <xf numFmtId="167" fontId="93" fillId="0" borderId="0" xfId="1" applyNumberFormat="1" applyFont="1" applyAlignment="1">
      <alignment vertical="center"/>
    </xf>
    <xf numFmtId="0" fontId="30" fillId="0" borderId="0" xfId="5"/>
    <xf numFmtId="0" fontId="100" fillId="20" borderId="143" xfId="5" applyFont="1" applyFill="1" applyBorder="1"/>
    <xf numFmtId="0" fontId="100" fillId="20" borderId="143" xfId="5" applyFont="1" applyFill="1" applyBorder="1" applyAlignment="1">
      <alignment horizontal="center"/>
    </xf>
    <xf numFmtId="0" fontId="100" fillId="20" borderId="144" xfId="5" applyFont="1" applyFill="1" applyBorder="1" applyAlignment="1">
      <alignment horizontal="center"/>
    </xf>
    <xf numFmtId="0" fontId="87" fillId="21" borderId="145" xfId="5" applyFont="1" applyFill="1" applyBorder="1"/>
    <xf numFmtId="0" fontId="87" fillId="22" borderId="145" xfId="5" applyFont="1" applyFill="1" applyBorder="1"/>
    <xf numFmtId="0" fontId="87" fillId="21" borderId="0" xfId="5" applyFont="1" applyFill="1"/>
    <xf numFmtId="0" fontId="15" fillId="0" borderId="0" xfId="0" applyFont="1" applyAlignment="1" applyProtection="1">
      <alignment vertical="center" wrapText="1"/>
      <protection locked="0"/>
    </xf>
    <xf numFmtId="0" fontId="18" fillId="10" borderId="146" xfId="0" applyFont="1" applyFill="1" applyBorder="1" applyAlignment="1" applyProtection="1">
      <alignment horizontal="right" vertical="center"/>
      <protection hidden="1"/>
    </xf>
    <xf numFmtId="0" fontId="101" fillId="7" borderId="96" xfId="0" applyFont="1" applyFill="1" applyBorder="1" applyAlignment="1">
      <alignment horizontal="center" vertical="center"/>
    </xf>
    <xf numFmtId="0" fontId="0" fillId="0" borderId="147" xfId="0" applyBorder="1"/>
    <xf numFmtId="0" fontId="0" fillId="0" borderId="148" xfId="0" applyBorder="1"/>
    <xf numFmtId="0" fontId="102" fillId="0" borderId="46" xfId="0" applyFont="1" applyBorder="1" applyAlignment="1">
      <alignment horizontal="center" vertical="center"/>
    </xf>
    <xf numFmtId="0" fontId="102" fillId="0" borderId="98" xfId="0" applyFont="1" applyBorder="1" applyAlignment="1">
      <alignment horizontal="center" vertical="center"/>
    </xf>
    <xf numFmtId="0" fontId="102" fillId="0" borderId="149" xfId="0" applyFont="1" applyBorder="1" applyAlignment="1">
      <alignment horizontal="center" vertical="center"/>
    </xf>
    <xf numFmtId="0" fontId="102" fillId="0" borderId="150" xfId="0" applyFont="1" applyBorder="1" applyAlignment="1">
      <alignment horizontal="center" vertical="center"/>
    </xf>
    <xf numFmtId="0" fontId="102" fillId="0" borderId="148" xfId="0" applyFont="1" applyBorder="1" applyAlignment="1">
      <alignment horizontal="center" vertical="center"/>
    </xf>
    <xf numFmtId="0" fontId="0" fillId="0" borderId="151" xfId="0" applyBorder="1"/>
    <xf numFmtId="0" fontId="28" fillId="7" borderId="0" xfId="1" applyFont="1" applyFill="1" applyAlignment="1" applyProtection="1">
      <alignment vertical="center"/>
      <protection hidden="1"/>
    </xf>
    <xf numFmtId="0" fontId="38" fillId="0" borderId="0" xfId="1" applyFont="1" applyAlignment="1" applyProtection="1">
      <alignment horizontal="center" vertical="center" wrapText="1"/>
      <protection hidden="1"/>
    </xf>
    <xf numFmtId="0" fontId="0" fillId="0" borderId="0" xfId="0" applyProtection="1">
      <protection hidden="1"/>
    </xf>
    <xf numFmtId="0" fontId="36" fillId="7" borderId="122" xfId="1" applyFont="1" applyFill="1" applyBorder="1" applyAlignment="1" applyProtection="1">
      <alignment horizontal="center"/>
      <protection hidden="1"/>
    </xf>
    <xf numFmtId="0" fontId="38" fillId="0" borderId="0" xfId="1" applyFont="1" applyAlignment="1" applyProtection="1">
      <alignment wrapText="1"/>
      <protection hidden="1"/>
    </xf>
    <xf numFmtId="0" fontId="36" fillId="7" borderId="29" xfId="1" applyFont="1" applyFill="1" applyBorder="1" applyAlignment="1" applyProtection="1">
      <alignment horizontal="left" vertical="center"/>
      <protection hidden="1"/>
    </xf>
    <xf numFmtId="0" fontId="0" fillId="0" borderId="139" xfId="0" applyBorder="1" applyAlignment="1" applyProtection="1">
      <alignment horizontal="center" vertical="center"/>
      <protection hidden="1"/>
    </xf>
    <xf numFmtId="166" fontId="38" fillId="0" borderId="0" xfId="1" applyNumberFormat="1" applyFont="1" applyAlignment="1" applyProtection="1">
      <alignment horizontal="left" vertical="center" wrapText="1"/>
      <protection hidden="1"/>
    </xf>
    <xf numFmtId="2" fontId="38" fillId="0" borderId="0" xfId="1" applyNumberFormat="1" applyFont="1" applyAlignment="1" applyProtection="1">
      <alignment horizontal="left" vertical="center" wrapText="1"/>
      <protection hidden="1"/>
    </xf>
    <xf numFmtId="166" fontId="38" fillId="0" borderId="0" xfId="1" quotePrefix="1" applyNumberFormat="1" applyFont="1" applyAlignment="1" applyProtection="1">
      <alignment horizontal="left" vertical="center" wrapText="1"/>
      <protection hidden="1"/>
    </xf>
    <xf numFmtId="0" fontId="83" fillId="16" borderId="29" xfId="0" applyFont="1" applyFill="1" applyBorder="1" applyAlignment="1">
      <alignment horizontal="center" vertical="center" wrapText="1"/>
    </xf>
    <xf numFmtId="14" fontId="38" fillId="0" borderId="0" xfId="1" quotePrefix="1" applyNumberFormat="1" applyFont="1" applyAlignment="1" applyProtection="1">
      <alignment horizontal="left" vertical="center" wrapText="1"/>
      <protection hidden="1"/>
    </xf>
    <xf numFmtId="0" fontId="40" fillId="7" borderId="0" xfId="0" applyFont="1" applyFill="1" applyAlignment="1">
      <alignment horizontal="center" vertical="center" wrapText="1"/>
    </xf>
    <xf numFmtId="0" fontId="81" fillId="6" borderId="0" xfId="0" applyFont="1" applyFill="1" applyAlignment="1">
      <alignment horizontal="center" wrapText="1" readingOrder="1"/>
    </xf>
    <xf numFmtId="10" fontId="0" fillId="0" borderId="0" xfId="0" applyNumberFormat="1" applyProtection="1">
      <protection hidden="1"/>
    </xf>
    <xf numFmtId="0" fontId="0" fillId="0" borderId="0" xfId="0" applyAlignment="1" applyProtection="1">
      <alignment horizontal="left"/>
      <protection hidden="1"/>
    </xf>
    <xf numFmtId="0" fontId="28" fillId="7" borderId="0" xfId="1" applyFont="1" applyFill="1" applyAlignment="1" applyProtection="1">
      <alignment horizontal="left" vertical="center"/>
      <protection hidden="1"/>
    </xf>
    <xf numFmtId="10" fontId="0" fillId="0" borderId="0" xfId="0" applyNumberFormat="1" applyAlignment="1" applyProtection="1">
      <alignment horizontal="left"/>
      <protection hidden="1"/>
    </xf>
    <xf numFmtId="0" fontId="103" fillId="0" borderId="1" xfId="0" applyFont="1" applyBorder="1" applyAlignment="1" applyProtection="1">
      <alignment horizontal="left" vertical="center" wrapText="1"/>
      <protection locked="0"/>
    </xf>
    <xf numFmtId="0" fontId="15" fillId="0" borderId="0" xfId="0" applyFont="1" applyAlignment="1" applyProtection="1">
      <alignment horizontal="center" vertical="center" wrapText="1"/>
      <protection locked="0"/>
    </xf>
    <xf numFmtId="0" fontId="101" fillId="7" borderId="153" xfId="0" applyFont="1" applyFill="1" applyBorder="1" applyAlignment="1">
      <alignment horizontal="center" vertical="center"/>
    </xf>
    <xf numFmtId="0" fontId="104" fillId="4" borderId="52" xfId="0" applyFont="1" applyFill="1" applyBorder="1" applyAlignment="1">
      <alignment vertical="center"/>
    </xf>
    <xf numFmtId="0" fontId="104" fillId="4" borderId="0" xfId="0" applyFont="1" applyFill="1" applyAlignment="1">
      <alignment vertical="center"/>
    </xf>
    <xf numFmtId="0" fontId="104" fillId="4" borderId="154" xfId="0" applyFont="1" applyFill="1" applyBorder="1" applyAlignment="1">
      <alignment vertical="center"/>
    </xf>
    <xf numFmtId="0" fontId="104" fillId="4" borderId="155" xfId="0" applyFont="1" applyFill="1" applyBorder="1" applyAlignment="1">
      <alignment vertical="center"/>
    </xf>
    <xf numFmtId="0" fontId="104" fillId="4" borderId="0" xfId="0" applyFont="1" applyFill="1" applyAlignment="1">
      <alignment vertical="center" wrapText="1"/>
    </xf>
    <xf numFmtId="0" fontId="105" fillId="4" borderId="0" xfId="0" applyFont="1" applyFill="1" applyAlignment="1">
      <alignment vertical="center" wrapText="1"/>
    </xf>
    <xf numFmtId="0" fontId="103" fillId="0" borderId="1" xfId="0" applyFont="1" applyBorder="1" applyAlignment="1" applyProtection="1">
      <alignment horizontal="center" vertical="center" wrapText="1"/>
      <protection locked="0"/>
    </xf>
    <xf numFmtId="0" fontId="0" fillId="0" borderId="46" xfId="0" applyBorder="1"/>
    <xf numFmtId="0" fontId="0" fillId="0" borderId="44" xfId="0" applyBorder="1"/>
    <xf numFmtId="0" fontId="0" fillId="0" borderId="98" xfId="0" applyBorder="1"/>
    <xf numFmtId="0" fontId="30" fillId="0" borderId="44" xfId="0" applyFont="1" applyBorder="1"/>
    <xf numFmtId="166" fontId="2" fillId="12" borderId="77" xfId="0" applyNumberFormat="1" applyFont="1" applyFill="1" applyBorder="1" applyAlignment="1">
      <alignment horizontal="left" vertical="center"/>
    </xf>
    <xf numFmtId="166" fontId="2" fillId="12" borderId="60" xfId="0" applyNumberFormat="1" applyFont="1" applyFill="1" applyBorder="1" applyAlignment="1">
      <alignment horizontal="left" vertical="center"/>
    </xf>
    <xf numFmtId="166" fontId="2" fillId="12" borderId="61" xfId="0" applyNumberFormat="1" applyFont="1" applyFill="1" applyBorder="1" applyAlignment="1">
      <alignment horizontal="left" vertical="center"/>
    </xf>
    <xf numFmtId="0" fontId="15" fillId="0" borderId="1" xfId="0" applyFont="1" applyBorder="1" applyAlignment="1" applyProtection="1">
      <alignment horizontal="center" vertical="center" wrapText="1"/>
      <protection locked="0" hidden="1"/>
    </xf>
    <xf numFmtId="0" fontId="4" fillId="0" borderId="1" xfId="5" applyFont="1" applyBorder="1" applyAlignment="1" applyProtection="1">
      <alignment horizontal="center" vertical="center"/>
      <protection hidden="1"/>
    </xf>
    <xf numFmtId="0" fontId="30" fillId="0" borderId="148" xfId="5" applyBorder="1" applyProtection="1">
      <protection hidden="1"/>
    </xf>
    <xf numFmtId="0" fontId="30" fillId="0" borderId="157" xfId="5" applyBorder="1" applyProtection="1">
      <protection hidden="1"/>
    </xf>
    <xf numFmtId="0" fontId="30" fillId="0" borderId="147" xfId="5" applyBorder="1" applyProtection="1">
      <protection hidden="1"/>
    </xf>
    <xf numFmtId="0" fontId="30" fillId="0" borderId="158" xfId="5" applyBorder="1" applyProtection="1">
      <protection hidden="1"/>
    </xf>
    <xf numFmtId="0" fontId="30" fillId="0" borderId="151" xfId="5" applyBorder="1" applyProtection="1">
      <protection hidden="1"/>
    </xf>
    <xf numFmtId="0" fontId="30" fillId="0" borderId="159" xfId="5" applyBorder="1" applyProtection="1">
      <protection hidden="1"/>
    </xf>
    <xf numFmtId="0" fontId="30" fillId="0" borderId="160" xfId="5" applyBorder="1" applyAlignment="1" applyProtection="1">
      <alignment horizontal="left" vertical="center" indent="1"/>
      <protection hidden="1"/>
    </xf>
    <xf numFmtId="0" fontId="30" fillId="0" borderId="161" xfId="5" applyBorder="1" applyAlignment="1" applyProtection="1">
      <alignment horizontal="left" vertical="center" indent="1"/>
      <protection hidden="1"/>
    </xf>
    <xf numFmtId="0" fontId="30" fillId="0" borderId="162" xfId="5" applyBorder="1" applyAlignment="1" applyProtection="1">
      <alignment horizontal="left" vertical="center" indent="1"/>
      <protection hidden="1"/>
    </xf>
    <xf numFmtId="167" fontId="93" fillId="2" borderId="1" xfId="1" applyNumberFormat="1" applyFont="1" applyFill="1" applyBorder="1" applyAlignment="1">
      <alignment horizontal="center" vertical="center" wrapText="1"/>
    </xf>
    <xf numFmtId="0" fontId="2" fillId="12" borderId="63" xfId="0" applyFont="1" applyFill="1" applyBorder="1" applyAlignment="1" applyProtection="1">
      <alignment horizontal="left" vertical="center"/>
      <protection locked="0"/>
    </xf>
    <xf numFmtId="0" fontId="2" fillId="12" borderId="64" xfId="0" applyFont="1" applyFill="1" applyBorder="1" applyAlignment="1" applyProtection="1">
      <alignment horizontal="left" vertical="center"/>
      <protection locked="0"/>
    </xf>
    <xf numFmtId="0" fontId="16" fillId="0" borderId="65" xfId="0" applyFont="1" applyBorder="1" applyAlignment="1" applyProtection="1">
      <alignment horizontal="center" vertical="center"/>
      <protection hidden="1"/>
    </xf>
    <xf numFmtId="0" fontId="16" fillId="0" borderId="78" xfId="0" applyFont="1" applyBorder="1" applyAlignment="1" applyProtection="1">
      <alignment horizontal="center" vertical="center"/>
      <protection hidden="1"/>
    </xf>
    <xf numFmtId="0" fontId="16" fillId="12" borderId="65" xfId="0" applyFont="1" applyFill="1" applyBorder="1" applyAlignment="1" applyProtection="1">
      <alignment horizontal="center" vertical="center"/>
      <protection hidden="1"/>
    </xf>
    <xf numFmtId="0" fontId="16" fillId="12" borderId="78" xfId="0" applyFont="1" applyFill="1" applyBorder="1" applyAlignment="1" applyProtection="1">
      <alignment horizontal="center" vertical="center"/>
      <protection hidden="1"/>
    </xf>
    <xf numFmtId="0" fontId="16" fillId="12" borderId="66" xfId="0" applyFont="1" applyFill="1" applyBorder="1" applyAlignment="1" applyProtection="1">
      <alignment horizontal="center" vertical="center"/>
      <protection hidden="1"/>
    </xf>
    <xf numFmtId="0" fontId="18" fillId="12" borderId="109" xfId="0" applyFont="1" applyFill="1" applyBorder="1" applyAlignment="1" applyProtection="1">
      <alignment horizontal="center" vertical="center"/>
      <protection hidden="1"/>
    </xf>
    <xf numFmtId="0" fontId="18" fillId="12" borderId="64" xfId="0" applyFont="1" applyFill="1" applyBorder="1" applyAlignment="1" applyProtection="1">
      <alignment horizontal="center" vertical="center"/>
      <protection hidden="1"/>
    </xf>
    <xf numFmtId="0" fontId="16" fillId="0" borderId="101" xfId="0" applyFont="1" applyBorder="1" applyAlignment="1" applyProtection="1">
      <alignment horizontal="center" vertical="center"/>
      <protection hidden="1"/>
    </xf>
    <xf numFmtId="0" fontId="16" fillId="0" borderId="104" xfId="0" applyFont="1" applyBorder="1" applyAlignment="1" applyProtection="1">
      <alignment horizontal="center" vertical="center"/>
      <protection hidden="1"/>
    </xf>
    <xf numFmtId="0" fontId="16" fillId="12" borderId="83" xfId="0" applyFont="1" applyFill="1" applyBorder="1" applyAlignment="1" applyProtection="1">
      <alignment horizontal="center" vertical="center"/>
      <protection hidden="1"/>
    </xf>
    <xf numFmtId="0" fontId="16" fillId="12" borderId="84" xfId="0" applyFont="1" applyFill="1" applyBorder="1" applyAlignment="1" applyProtection="1">
      <alignment horizontal="center" vertical="center"/>
      <protection hidden="1"/>
    </xf>
    <xf numFmtId="0" fontId="16" fillId="0" borderId="83" xfId="0" applyFont="1" applyBorder="1" applyAlignment="1" applyProtection="1">
      <alignment horizontal="center" vertical="center"/>
      <protection hidden="1"/>
    </xf>
    <xf numFmtId="0" fontId="16" fillId="0" borderId="84" xfId="0" applyFont="1" applyBorder="1" applyAlignment="1" applyProtection="1">
      <alignment horizontal="center" vertical="center"/>
      <protection hidden="1"/>
    </xf>
    <xf numFmtId="0" fontId="16" fillId="12" borderId="67" xfId="0" applyFont="1" applyFill="1" applyBorder="1" applyAlignment="1" applyProtection="1">
      <alignment horizontal="center" vertical="center"/>
      <protection hidden="1"/>
    </xf>
    <xf numFmtId="0" fontId="16" fillId="12" borderId="80" xfId="0" applyFont="1" applyFill="1" applyBorder="1" applyAlignment="1" applyProtection="1">
      <alignment horizontal="center" vertical="center"/>
      <protection hidden="1"/>
    </xf>
    <xf numFmtId="0" fontId="18" fillId="12" borderId="106" xfId="0" applyFont="1" applyFill="1" applyBorder="1" applyAlignment="1" applyProtection="1">
      <alignment horizontal="center" vertical="center"/>
      <protection hidden="1"/>
    </xf>
    <xf numFmtId="0" fontId="18" fillId="12" borderId="58" xfId="0" applyFont="1" applyFill="1" applyBorder="1" applyAlignment="1" applyProtection="1">
      <alignment horizontal="center" vertical="center"/>
      <protection hidden="1"/>
    </xf>
    <xf numFmtId="0" fontId="18" fillId="12" borderId="107" xfId="0" applyFont="1" applyFill="1" applyBorder="1" applyAlignment="1" applyProtection="1">
      <alignment horizontal="center" vertical="center"/>
      <protection hidden="1"/>
    </xf>
    <xf numFmtId="0" fontId="18" fillId="12" borderId="61" xfId="0" applyFont="1" applyFill="1" applyBorder="1" applyAlignment="1" applyProtection="1">
      <alignment horizontal="center" vertical="center"/>
      <protection hidden="1"/>
    </xf>
    <xf numFmtId="0" fontId="18" fillId="12" borderId="108" xfId="0" applyFont="1" applyFill="1" applyBorder="1" applyAlignment="1" applyProtection="1">
      <alignment horizontal="center" vertical="center"/>
      <protection hidden="1"/>
    </xf>
    <xf numFmtId="0" fontId="18" fillId="12" borderId="45" xfId="0" applyFont="1" applyFill="1" applyBorder="1" applyAlignment="1" applyProtection="1">
      <alignment horizontal="center" vertical="center"/>
      <protection hidden="1"/>
    </xf>
    <xf numFmtId="0" fontId="16" fillId="12" borderId="56" xfId="0" applyFont="1" applyFill="1" applyBorder="1" applyAlignment="1" applyProtection="1">
      <alignment horizontal="center" vertical="center"/>
      <protection hidden="1"/>
    </xf>
    <xf numFmtId="0" fontId="2" fillId="12" borderId="63" xfId="0" applyFont="1" applyFill="1" applyBorder="1" applyAlignment="1">
      <alignment horizontal="left" vertical="center"/>
    </xf>
    <xf numFmtId="0" fontId="2" fillId="12" borderId="64" xfId="0" applyFont="1" applyFill="1" applyBorder="1" applyAlignment="1">
      <alignment horizontal="left" vertical="center"/>
    </xf>
    <xf numFmtId="0" fontId="2" fillId="12" borderId="77" xfId="0" applyFont="1" applyFill="1" applyBorder="1" applyAlignment="1" applyProtection="1">
      <alignment horizontal="left" vertical="center"/>
      <protection locked="0"/>
    </xf>
    <xf numFmtId="0" fontId="2" fillId="12" borderId="60" xfId="0" applyFont="1" applyFill="1" applyBorder="1" applyAlignment="1" applyProtection="1">
      <alignment horizontal="left" vertical="center"/>
      <protection locked="0"/>
    </xf>
    <xf numFmtId="0" fontId="2" fillId="12" borderId="61" xfId="0" applyFont="1" applyFill="1" applyBorder="1" applyAlignment="1" applyProtection="1">
      <alignment horizontal="left" vertical="center"/>
      <protection locked="0"/>
    </xf>
    <xf numFmtId="0" fontId="16" fillId="12" borderId="59" xfId="0" applyFont="1" applyFill="1" applyBorder="1" applyAlignment="1" applyProtection="1">
      <alignment horizontal="center" vertical="center"/>
      <protection hidden="1"/>
    </xf>
    <xf numFmtId="0" fontId="16" fillId="0" borderId="85" xfId="0" applyFont="1" applyBorder="1" applyAlignment="1" applyProtection="1">
      <alignment horizontal="center" vertical="center"/>
      <protection hidden="1"/>
    </xf>
    <xf numFmtId="0" fontId="16" fillId="0" borderId="100" xfId="0" applyFont="1" applyBorder="1" applyAlignment="1" applyProtection="1">
      <alignment horizontal="center" vertical="center"/>
      <protection hidden="1"/>
    </xf>
    <xf numFmtId="0" fontId="16" fillId="0" borderId="103" xfId="0" applyFont="1" applyBorder="1" applyAlignment="1" applyProtection="1">
      <alignment horizontal="center" vertical="center"/>
      <protection hidden="1"/>
    </xf>
    <xf numFmtId="0" fontId="19" fillId="7" borderId="49" xfId="0" applyFont="1" applyFill="1" applyBorder="1" applyAlignment="1" applyProtection="1">
      <alignment horizontal="center" vertical="center" wrapText="1"/>
      <protection hidden="1"/>
    </xf>
    <xf numFmtId="0" fontId="19" fillId="7" borderId="48" xfId="0" applyFont="1" applyFill="1" applyBorder="1" applyAlignment="1" applyProtection="1">
      <alignment horizontal="center" vertical="center" wrapText="1"/>
      <protection hidden="1"/>
    </xf>
    <xf numFmtId="0" fontId="16" fillId="0" borderId="81" xfId="0" applyFont="1" applyBorder="1" applyAlignment="1" applyProtection="1">
      <alignment horizontal="center" vertical="center"/>
      <protection hidden="1"/>
    </xf>
    <xf numFmtId="0" fontId="16" fillId="0" borderId="80" xfId="0" applyFont="1" applyBorder="1" applyAlignment="1" applyProtection="1">
      <alignment horizontal="center" vertical="center"/>
      <protection hidden="1"/>
    </xf>
    <xf numFmtId="0" fontId="19" fillId="7" borderId="41" xfId="0" applyFont="1" applyFill="1" applyBorder="1" applyAlignment="1" applyProtection="1">
      <alignment horizontal="center" vertical="center" wrapText="1"/>
      <protection hidden="1"/>
    </xf>
    <xf numFmtId="0" fontId="16" fillId="0" borderId="99" xfId="0" applyFont="1" applyBorder="1" applyAlignment="1" applyProtection="1">
      <alignment horizontal="center" vertical="center"/>
      <protection hidden="1"/>
    </xf>
    <xf numFmtId="0" fontId="16" fillId="0" borderId="102" xfId="0" applyFont="1" applyBorder="1" applyAlignment="1" applyProtection="1">
      <alignment horizontal="center" vertical="center"/>
      <protection hidden="1"/>
    </xf>
    <xf numFmtId="0" fontId="2" fillId="12" borderId="50" xfId="0" applyFont="1" applyFill="1" applyBorder="1" applyAlignment="1" applyProtection="1">
      <alignment horizontal="left" vertical="top" wrapText="1"/>
      <protection locked="0"/>
    </xf>
    <xf numFmtId="0" fontId="3" fillId="12" borderId="39" xfId="0" applyFont="1" applyFill="1" applyBorder="1" applyAlignment="1" applyProtection="1">
      <alignment horizontal="left" vertical="top" wrapText="1"/>
      <protection locked="0"/>
    </xf>
    <xf numFmtId="0" fontId="3" fillId="12" borderId="51" xfId="0" applyFont="1" applyFill="1" applyBorder="1" applyAlignment="1" applyProtection="1">
      <alignment horizontal="left" vertical="top" wrapText="1"/>
      <protection locked="0"/>
    </xf>
    <xf numFmtId="0" fontId="3" fillId="12" borderId="52" xfId="0" applyFont="1" applyFill="1" applyBorder="1" applyAlignment="1" applyProtection="1">
      <alignment horizontal="left" vertical="top" wrapText="1"/>
      <protection locked="0"/>
    </xf>
    <xf numFmtId="0" fontId="3" fillId="12" borderId="0" xfId="0" applyFont="1" applyFill="1" applyAlignment="1" applyProtection="1">
      <alignment horizontal="left" vertical="top" wrapText="1"/>
      <protection locked="0"/>
    </xf>
    <xf numFmtId="0" fontId="3" fillId="12" borderId="45" xfId="0" applyFont="1" applyFill="1" applyBorder="1" applyAlignment="1" applyProtection="1">
      <alignment horizontal="left" vertical="top" wrapText="1"/>
      <protection locked="0"/>
    </xf>
    <xf numFmtId="0" fontId="3" fillId="12" borderId="53" xfId="0" applyFont="1" applyFill="1" applyBorder="1" applyAlignment="1" applyProtection="1">
      <alignment horizontal="left" vertical="top" wrapText="1"/>
      <protection locked="0"/>
    </xf>
    <xf numFmtId="0" fontId="3" fillId="12" borderId="54" xfId="0" applyFont="1" applyFill="1" applyBorder="1" applyAlignment="1" applyProtection="1">
      <alignment horizontal="left" vertical="top" wrapText="1"/>
      <protection locked="0"/>
    </xf>
    <xf numFmtId="0" fontId="3" fillId="12" borderId="55" xfId="0" applyFont="1" applyFill="1" applyBorder="1" applyAlignment="1" applyProtection="1">
      <alignment horizontal="left" vertical="top" wrapText="1"/>
      <protection locked="0"/>
    </xf>
    <xf numFmtId="0" fontId="47" fillId="7" borderId="50" xfId="0" applyFont="1" applyFill="1" applyBorder="1" applyAlignment="1" applyProtection="1">
      <alignment horizontal="center" vertical="center"/>
      <protection hidden="1"/>
    </xf>
    <xf numFmtId="0" fontId="47" fillId="7" borderId="39" xfId="0" applyFont="1" applyFill="1" applyBorder="1" applyAlignment="1" applyProtection="1">
      <alignment horizontal="center" vertical="center"/>
      <protection hidden="1"/>
    </xf>
    <xf numFmtId="0" fontId="16" fillId="0" borderId="116" xfId="0" applyFont="1" applyBorder="1" applyAlignment="1" applyProtection="1">
      <alignment horizontal="center" vertical="center"/>
      <protection hidden="1"/>
    </xf>
    <xf numFmtId="0" fontId="16" fillId="0" borderId="115" xfId="0" applyFont="1" applyBorder="1" applyAlignment="1" applyProtection="1">
      <alignment horizontal="center" vertical="center"/>
      <protection hidden="1"/>
    </xf>
    <xf numFmtId="0" fontId="12" fillId="0" borderId="0" xfId="0" applyFont="1" applyAlignment="1" applyProtection="1">
      <alignment horizontal="center"/>
      <protection hidden="1"/>
    </xf>
    <xf numFmtId="1" fontId="18" fillId="9" borderId="30" xfId="0" applyNumberFormat="1" applyFont="1" applyFill="1" applyBorder="1" applyAlignment="1" applyProtection="1">
      <alignment horizontal="center" vertical="center"/>
      <protection hidden="1"/>
    </xf>
    <xf numFmtId="0" fontId="73" fillId="0" borderId="0" xfId="0" applyFont="1" applyAlignment="1" applyProtection="1">
      <alignment horizontal="center" vertical="center"/>
      <protection hidden="1"/>
    </xf>
    <xf numFmtId="1" fontId="20" fillId="0" borderId="0" xfId="0" applyNumberFormat="1" applyFont="1" applyAlignment="1" applyProtection="1">
      <alignment horizontal="center"/>
      <protection hidden="1"/>
    </xf>
    <xf numFmtId="0" fontId="35" fillId="17" borderId="6" xfId="0" applyFont="1" applyFill="1" applyBorder="1" applyAlignment="1" applyProtection="1">
      <alignment horizontal="center" vertical="center" shrinkToFit="1"/>
      <protection hidden="1"/>
    </xf>
    <xf numFmtId="0" fontId="35" fillId="17" borderId="8" xfId="0" applyFont="1" applyFill="1" applyBorder="1" applyAlignment="1" applyProtection="1">
      <alignment horizontal="center" vertical="center" shrinkToFit="1"/>
      <protection hidden="1"/>
    </xf>
    <xf numFmtId="0" fontId="35" fillId="17" borderId="9" xfId="0" applyFont="1" applyFill="1" applyBorder="1" applyAlignment="1" applyProtection="1">
      <alignment horizontal="center" vertical="center" shrinkToFit="1"/>
      <protection hidden="1"/>
    </xf>
    <xf numFmtId="0" fontId="35" fillId="17" borderId="11" xfId="0" applyFont="1" applyFill="1" applyBorder="1" applyAlignment="1" applyProtection="1">
      <alignment horizontal="center" vertical="center" shrinkToFit="1"/>
      <protection hidden="1"/>
    </xf>
    <xf numFmtId="0" fontId="10" fillId="0" borderId="0" xfId="0" applyFont="1" applyAlignment="1" applyProtection="1">
      <alignment horizontal="center"/>
      <protection hidden="1"/>
    </xf>
    <xf numFmtId="0" fontId="16" fillId="12" borderId="116" xfId="0" applyFont="1" applyFill="1" applyBorder="1" applyAlignment="1" applyProtection="1">
      <alignment horizontal="center" vertical="center"/>
      <protection hidden="1"/>
    </xf>
    <xf numFmtId="0" fontId="16" fillId="12" borderId="115" xfId="0" applyFont="1" applyFill="1" applyBorder="1" applyAlignment="1" applyProtection="1">
      <alignment horizontal="center" vertical="center"/>
      <protection hidden="1"/>
    </xf>
    <xf numFmtId="0" fontId="48" fillId="0" borderId="0" xfId="0" applyFont="1" applyAlignment="1" applyProtection="1">
      <alignment horizontal="center" vertical="top"/>
      <protection hidden="1"/>
    </xf>
    <xf numFmtId="1" fontId="30" fillId="0" borderId="15" xfId="0" applyNumberFormat="1" applyFont="1" applyBorder="1" applyAlignment="1" applyProtection="1">
      <alignment horizontal="center" vertical="center"/>
      <protection hidden="1"/>
    </xf>
    <xf numFmtId="1" fontId="30" fillId="0" borderId="17" xfId="0" applyNumberFormat="1" applyFont="1" applyBorder="1" applyAlignment="1" applyProtection="1">
      <alignment horizontal="center" vertical="center"/>
      <protection hidden="1"/>
    </xf>
    <xf numFmtId="0" fontId="19" fillId="7" borderId="47" xfId="0" applyFont="1" applyFill="1" applyBorder="1" applyAlignment="1" applyProtection="1">
      <alignment horizontal="center" vertical="center" wrapText="1"/>
      <protection hidden="1"/>
    </xf>
    <xf numFmtId="0" fontId="19" fillId="7" borderId="44" xfId="0" applyFont="1" applyFill="1" applyBorder="1" applyAlignment="1" applyProtection="1">
      <alignment horizontal="center" vertical="center" wrapText="1"/>
      <protection hidden="1"/>
    </xf>
    <xf numFmtId="0" fontId="30" fillId="12" borderId="26" xfId="0" applyFont="1" applyFill="1" applyBorder="1" applyAlignment="1" applyProtection="1">
      <alignment horizontal="center" vertical="center"/>
      <protection hidden="1"/>
    </xf>
    <xf numFmtId="0" fontId="30" fillId="12" borderId="27" xfId="0" applyFont="1" applyFill="1" applyBorder="1" applyAlignment="1" applyProtection="1">
      <alignment horizontal="center" vertical="center"/>
      <protection hidden="1"/>
    </xf>
    <xf numFmtId="0" fontId="30" fillId="12" borderId="28" xfId="0" applyFont="1" applyFill="1" applyBorder="1" applyAlignment="1" applyProtection="1">
      <alignment horizontal="center" vertical="center"/>
      <protection hidden="1"/>
    </xf>
    <xf numFmtId="0" fontId="16" fillId="0" borderId="114" xfId="0" applyFont="1" applyBorder="1" applyAlignment="1" applyProtection="1">
      <alignment horizontal="center" vertical="center"/>
      <protection hidden="1"/>
    </xf>
    <xf numFmtId="2" fontId="21" fillId="4" borderId="6" xfId="0" applyNumberFormat="1" applyFont="1" applyFill="1" applyBorder="1" applyAlignment="1" applyProtection="1">
      <alignment horizontal="center" vertical="center"/>
      <protection hidden="1"/>
    </xf>
    <xf numFmtId="2" fontId="21" fillId="4" borderId="7" xfId="0" applyNumberFormat="1" applyFont="1" applyFill="1" applyBorder="1" applyAlignment="1" applyProtection="1">
      <alignment horizontal="center" vertical="center"/>
      <protection hidden="1"/>
    </xf>
    <xf numFmtId="2" fontId="21" fillId="4" borderId="8" xfId="0" applyNumberFormat="1" applyFont="1" applyFill="1" applyBorder="1" applyAlignment="1" applyProtection="1">
      <alignment horizontal="center" vertical="center"/>
      <protection hidden="1"/>
    </xf>
    <xf numFmtId="2" fontId="21" fillId="4" borderId="9" xfId="0" applyNumberFormat="1" applyFont="1" applyFill="1" applyBorder="1" applyAlignment="1" applyProtection="1">
      <alignment horizontal="center" vertical="center"/>
      <protection hidden="1"/>
    </xf>
    <xf numFmtId="2" fontId="21" fillId="4" borderId="10" xfId="0" applyNumberFormat="1" applyFont="1" applyFill="1" applyBorder="1" applyAlignment="1" applyProtection="1">
      <alignment horizontal="center" vertical="center"/>
      <protection hidden="1"/>
    </xf>
    <xf numFmtId="2" fontId="21" fillId="4" borderId="11" xfId="0" applyNumberFormat="1" applyFont="1" applyFill="1" applyBorder="1" applyAlignment="1" applyProtection="1">
      <alignment horizontal="center" vertical="center"/>
      <protection hidden="1"/>
    </xf>
    <xf numFmtId="0" fontId="60" fillId="0" borderId="7" xfId="0" applyFont="1" applyBorder="1" applyAlignment="1" applyProtection="1">
      <alignment horizontal="center"/>
      <protection hidden="1"/>
    </xf>
    <xf numFmtId="0" fontId="4" fillId="12" borderId="41" xfId="0" applyFont="1" applyFill="1" applyBorder="1" applyAlignment="1" applyProtection="1">
      <alignment horizontal="center" vertical="center" wrapText="1"/>
      <protection locked="0" hidden="1"/>
    </xf>
    <xf numFmtId="0" fontId="4" fillId="12" borderId="44" xfId="0" applyFont="1" applyFill="1" applyBorder="1" applyAlignment="1" applyProtection="1">
      <alignment horizontal="center" vertical="center" wrapText="1"/>
      <protection locked="0" hidden="1"/>
    </xf>
    <xf numFmtId="0" fontId="48" fillId="0" borderId="0" xfId="0" applyFont="1" applyAlignment="1" applyProtection="1">
      <alignment horizontal="right"/>
      <protection hidden="1"/>
    </xf>
    <xf numFmtId="0" fontId="48" fillId="0" borderId="0" xfId="0" applyFont="1" applyAlignment="1" applyProtection="1">
      <alignment horizontal="left"/>
      <protection hidden="1"/>
    </xf>
    <xf numFmtId="0" fontId="9" fillId="7" borderId="41" xfId="0" applyFont="1" applyFill="1" applyBorder="1" applyAlignment="1" applyProtection="1">
      <alignment horizontal="center" vertical="center"/>
      <protection hidden="1"/>
    </xf>
    <xf numFmtId="0" fontId="9" fillId="7" borderId="44" xfId="0" applyFont="1" applyFill="1" applyBorder="1" applyAlignment="1" applyProtection="1">
      <alignment horizontal="center" vertical="center"/>
      <protection hidden="1"/>
    </xf>
    <xf numFmtId="0" fontId="37" fillId="7" borderId="50" xfId="0" applyFont="1" applyFill="1" applyBorder="1" applyAlignment="1" applyProtection="1">
      <alignment horizontal="center" vertical="center" wrapText="1"/>
      <protection hidden="1"/>
    </xf>
    <xf numFmtId="0" fontId="31" fillId="7" borderId="51" xfId="0" applyFont="1" applyFill="1" applyBorder="1" applyAlignment="1" applyProtection="1">
      <alignment horizontal="center" vertical="center" wrapText="1"/>
      <protection hidden="1"/>
    </xf>
    <xf numFmtId="0" fontId="31" fillId="7" borderId="53" xfId="0" applyFont="1" applyFill="1" applyBorder="1" applyAlignment="1" applyProtection="1">
      <alignment horizontal="center" vertical="center" wrapText="1"/>
      <protection hidden="1"/>
    </xf>
    <xf numFmtId="0" fontId="31" fillId="7" borderId="55" xfId="0" applyFont="1" applyFill="1" applyBorder="1" applyAlignment="1" applyProtection="1">
      <alignment horizontal="center" vertical="center" wrapText="1"/>
      <protection hidden="1"/>
    </xf>
    <xf numFmtId="0" fontId="32" fillId="12" borderId="97" xfId="0" applyFont="1" applyFill="1" applyBorder="1" applyAlignment="1" applyProtection="1">
      <alignment horizontal="center" vertical="center"/>
      <protection locked="0"/>
    </xf>
    <xf numFmtId="0" fontId="32" fillId="12" borderId="98" xfId="0" applyFont="1" applyFill="1" applyBorder="1" applyAlignment="1" applyProtection="1">
      <alignment horizontal="center" vertical="center"/>
      <protection locked="0"/>
    </xf>
    <xf numFmtId="10" fontId="30" fillId="0" borderId="15" xfId="0" applyNumberFormat="1" applyFont="1" applyBorder="1" applyAlignment="1" applyProtection="1">
      <alignment horizontal="center" vertical="center"/>
      <protection hidden="1"/>
    </xf>
    <xf numFmtId="10" fontId="30" fillId="0" borderId="16" xfId="0" applyNumberFormat="1" applyFont="1" applyBorder="1" applyAlignment="1" applyProtection="1">
      <alignment horizontal="center" vertical="center"/>
      <protection hidden="1"/>
    </xf>
    <xf numFmtId="10" fontId="30" fillId="0" borderId="17" xfId="0" applyNumberFormat="1" applyFont="1" applyBorder="1" applyAlignment="1" applyProtection="1">
      <alignment horizontal="center" vertical="center"/>
      <protection hidden="1"/>
    </xf>
    <xf numFmtId="0" fontId="16" fillId="0" borderId="79" xfId="0" applyFont="1" applyBorder="1" applyAlignment="1" applyProtection="1">
      <alignment horizontal="center" vertical="center"/>
      <protection hidden="1"/>
    </xf>
    <xf numFmtId="0" fontId="16" fillId="0" borderId="67" xfId="0" applyFont="1" applyBorder="1" applyAlignment="1" applyProtection="1">
      <alignment horizontal="center" vertical="center"/>
      <protection hidden="1"/>
    </xf>
    <xf numFmtId="0" fontId="3" fillId="12" borderId="57" xfId="0" applyFont="1" applyFill="1" applyBorder="1" applyAlignment="1" applyProtection="1">
      <alignment horizontal="left" vertical="center"/>
      <protection locked="0" hidden="1"/>
    </xf>
    <xf numFmtId="0" fontId="3" fillId="12" borderId="58" xfId="0" applyFont="1" applyFill="1" applyBorder="1" applyAlignment="1" applyProtection="1">
      <alignment horizontal="left" vertical="center"/>
      <protection locked="0" hidden="1"/>
    </xf>
    <xf numFmtId="0" fontId="2" fillId="0" borderId="41" xfId="0" applyFont="1" applyBorder="1" applyAlignment="1" applyProtection="1">
      <alignment horizontal="center" vertical="center"/>
      <protection hidden="1"/>
    </xf>
    <xf numFmtId="0" fontId="2" fillId="0" borderId="42" xfId="0" applyFont="1" applyBorder="1" applyAlignment="1" applyProtection="1">
      <alignment horizontal="center" vertical="center"/>
      <protection hidden="1"/>
    </xf>
    <xf numFmtId="0" fontId="15" fillId="0" borderId="94" xfId="0" applyFont="1" applyBorder="1" applyAlignment="1" applyProtection="1">
      <alignment horizontal="center" vertical="center"/>
      <protection hidden="1"/>
    </xf>
    <xf numFmtId="0" fontId="15" fillId="0" borderId="57" xfId="0" applyFont="1" applyBorder="1" applyAlignment="1" applyProtection="1">
      <alignment horizontal="center" vertical="center"/>
      <protection hidden="1"/>
    </xf>
    <xf numFmtId="0" fontId="15" fillId="0" borderId="82" xfId="0" applyFont="1" applyBorder="1" applyAlignment="1" applyProtection="1">
      <alignment horizontal="center" vertical="center"/>
      <protection hidden="1"/>
    </xf>
    <xf numFmtId="1" fontId="2" fillId="12" borderId="0" xfId="0" applyNumberFormat="1" applyFont="1" applyFill="1" applyAlignment="1" applyProtection="1">
      <alignment horizontal="left" vertical="center"/>
      <protection locked="0"/>
    </xf>
    <xf numFmtId="1" fontId="2" fillId="12" borderId="45" xfId="0" applyNumberFormat="1" applyFont="1" applyFill="1" applyBorder="1" applyAlignment="1" applyProtection="1">
      <alignment horizontal="left" vertical="center"/>
      <protection locked="0"/>
    </xf>
    <xf numFmtId="14" fontId="2" fillId="12" borderId="77" xfId="0" applyNumberFormat="1" applyFont="1" applyFill="1" applyBorder="1" applyAlignment="1" applyProtection="1">
      <alignment horizontal="left" vertical="center"/>
      <protection locked="0"/>
    </xf>
    <xf numFmtId="14" fontId="2" fillId="12" borderId="60" xfId="0" applyNumberFormat="1" applyFont="1" applyFill="1" applyBorder="1" applyAlignment="1" applyProtection="1">
      <alignment horizontal="left" vertical="center"/>
      <protection locked="0"/>
    </xf>
    <xf numFmtId="14" fontId="2" fillId="12" borderId="61" xfId="0" applyNumberFormat="1" applyFont="1" applyFill="1" applyBorder="1" applyAlignment="1" applyProtection="1">
      <alignment horizontal="left" vertical="center"/>
      <protection locked="0"/>
    </xf>
    <xf numFmtId="0" fontId="2" fillId="12" borderId="38" xfId="0" applyFont="1" applyFill="1" applyBorder="1" applyAlignment="1" applyProtection="1">
      <alignment horizontal="left" vertical="center"/>
      <protection locked="0"/>
    </xf>
    <xf numFmtId="0" fontId="2" fillId="12" borderId="62" xfId="0" applyFont="1" applyFill="1" applyBorder="1" applyAlignment="1" applyProtection="1">
      <alignment horizontal="left" vertical="center"/>
      <protection locked="0"/>
    </xf>
    <xf numFmtId="0" fontId="2" fillId="0" borderId="0" xfId="0" applyFont="1" applyAlignment="1" applyProtection="1">
      <alignment horizontal="center" vertical="center"/>
      <protection hidden="1"/>
    </xf>
    <xf numFmtId="0" fontId="2" fillId="0" borderId="68" xfId="0" applyFont="1" applyBorder="1" applyAlignment="1" applyProtection="1">
      <alignment horizontal="center" vertical="center"/>
      <protection hidden="1"/>
    </xf>
    <xf numFmtId="0" fontId="2" fillId="0" borderId="22" xfId="0" applyFont="1" applyBorder="1" applyAlignment="1" applyProtection="1">
      <alignment horizontal="center" vertical="center"/>
      <protection hidden="1"/>
    </xf>
    <xf numFmtId="0" fontId="66" fillId="12" borderId="0" xfId="0" applyFont="1" applyFill="1" applyAlignment="1" applyProtection="1">
      <alignment horizontal="center" vertical="center"/>
      <protection locked="0" hidden="1"/>
    </xf>
    <xf numFmtId="0" fontId="66" fillId="12" borderId="45" xfId="0" applyFont="1" applyFill="1" applyBorder="1" applyAlignment="1" applyProtection="1">
      <alignment horizontal="center" vertical="center"/>
      <protection locked="0" hidden="1"/>
    </xf>
    <xf numFmtId="0" fontId="30" fillId="12" borderId="43" xfId="0" applyFont="1" applyFill="1" applyBorder="1" applyAlignment="1" applyProtection="1">
      <alignment horizontal="center" vertical="center"/>
      <protection locked="0" hidden="1"/>
    </xf>
    <xf numFmtId="0" fontId="30" fillId="12" borderId="41" xfId="0" applyFont="1" applyFill="1" applyBorder="1" applyAlignment="1" applyProtection="1">
      <alignment horizontal="center" vertical="center"/>
      <protection locked="0" hidden="1"/>
    </xf>
    <xf numFmtId="0" fontId="30" fillId="12" borderId="44" xfId="0" applyFont="1" applyFill="1" applyBorder="1" applyAlignment="1" applyProtection="1">
      <alignment horizontal="center" vertical="center"/>
      <protection locked="0" hidden="1"/>
    </xf>
    <xf numFmtId="0" fontId="2" fillId="0" borderId="76" xfId="0" applyFont="1" applyBorder="1" applyAlignment="1" applyProtection="1">
      <alignment horizontal="left" vertical="center" indent="1"/>
      <protection hidden="1"/>
    </xf>
    <xf numFmtId="0" fontId="2" fillId="0" borderId="74" xfId="0" applyFont="1" applyBorder="1" applyAlignment="1" applyProtection="1">
      <alignment horizontal="left" vertical="center" indent="1"/>
      <protection hidden="1"/>
    </xf>
    <xf numFmtId="0" fontId="2" fillId="12" borderId="92" xfId="0" applyFont="1" applyFill="1" applyBorder="1" applyAlignment="1" applyProtection="1">
      <alignment horizontal="left" vertical="center"/>
      <protection locked="0"/>
    </xf>
    <xf numFmtId="0" fontId="2" fillId="12" borderId="91" xfId="0" applyFont="1" applyFill="1" applyBorder="1" applyAlignment="1" applyProtection="1">
      <alignment horizontal="left" vertical="center"/>
      <protection locked="0"/>
    </xf>
    <xf numFmtId="0" fontId="72" fillId="7" borderId="47" xfId="0" applyFont="1" applyFill="1" applyBorder="1" applyAlignment="1" applyProtection="1">
      <alignment horizontal="left" wrapText="1"/>
      <protection hidden="1"/>
    </xf>
    <xf numFmtId="0" fontId="72" fillId="7" borderId="41" xfId="0" applyFont="1" applyFill="1" applyBorder="1" applyAlignment="1" applyProtection="1">
      <alignment horizontal="left" wrapText="1"/>
      <protection hidden="1"/>
    </xf>
    <xf numFmtId="0" fontId="72" fillId="7" borderId="44" xfId="0" applyFont="1" applyFill="1" applyBorder="1" applyAlignment="1" applyProtection="1">
      <alignment horizontal="left" wrapText="1"/>
      <protection hidden="1"/>
    </xf>
    <xf numFmtId="0" fontId="36" fillId="7" borderId="47" xfId="0" applyFont="1" applyFill="1" applyBorder="1" applyAlignment="1" applyProtection="1">
      <alignment horizontal="left" vertical="top" wrapText="1"/>
      <protection hidden="1"/>
    </xf>
    <xf numFmtId="0" fontId="55" fillId="7" borderId="41" xfId="0" applyFont="1" applyFill="1" applyBorder="1" applyAlignment="1" applyProtection="1">
      <alignment horizontal="left" vertical="top" wrapText="1"/>
      <protection hidden="1"/>
    </xf>
    <xf numFmtId="0" fontId="30" fillId="7" borderId="41" xfId="0" applyFont="1" applyFill="1" applyBorder="1" applyAlignment="1">
      <alignment horizontal="left" vertical="top" wrapText="1"/>
    </xf>
    <xf numFmtId="0" fontId="30" fillId="7" borderId="44" xfId="0" applyFont="1" applyFill="1" applyBorder="1" applyAlignment="1">
      <alignment horizontal="left" vertical="top" wrapText="1"/>
    </xf>
    <xf numFmtId="0" fontId="2" fillId="12" borderId="57" xfId="0" applyFont="1" applyFill="1" applyBorder="1" applyAlignment="1" applyProtection="1">
      <alignment horizontal="left" vertical="center" shrinkToFit="1"/>
      <protection locked="0"/>
    </xf>
    <xf numFmtId="0" fontId="2" fillId="12" borderId="58" xfId="0" applyFont="1" applyFill="1" applyBorder="1" applyAlignment="1" applyProtection="1">
      <alignment horizontal="left" vertical="center" shrinkToFit="1"/>
      <protection locked="0"/>
    </xf>
    <xf numFmtId="0" fontId="9" fillId="13" borderId="6" xfId="0" applyFont="1" applyFill="1" applyBorder="1" applyAlignment="1" applyProtection="1">
      <alignment horizontal="center" vertical="center" wrapText="1"/>
      <protection hidden="1"/>
    </xf>
    <xf numFmtId="0" fontId="9" fillId="13" borderId="8" xfId="0" applyFont="1" applyFill="1" applyBorder="1" applyAlignment="1" applyProtection="1">
      <alignment horizontal="center" vertical="center" wrapText="1"/>
      <protection hidden="1"/>
    </xf>
    <xf numFmtId="0" fontId="9" fillId="13" borderId="24" xfId="0" applyFont="1" applyFill="1" applyBorder="1" applyAlignment="1" applyProtection="1">
      <alignment horizontal="center" vertical="center" wrapText="1"/>
      <protection hidden="1"/>
    </xf>
    <xf numFmtId="0" fontId="9" fillId="13" borderId="25" xfId="0" applyFont="1" applyFill="1" applyBorder="1" applyAlignment="1" applyProtection="1">
      <alignment horizontal="center" vertical="center" wrapText="1"/>
      <protection hidden="1"/>
    </xf>
    <xf numFmtId="0" fontId="9" fillId="11" borderId="6" xfId="0" applyFont="1" applyFill="1" applyBorder="1" applyAlignment="1" applyProtection="1">
      <alignment horizontal="center" vertical="center" wrapText="1"/>
      <protection hidden="1"/>
    </xf>
    <xf numFmtId="0" fontId="9" fillId="11" borderId="7" xfId="0" applyFont="1" applyFill="1" applyBorder="1" applyAlignment="1" applyProtection="1">
      <alignment horizontal="center" vertical="center" wrapText="1"/>
      <protection hidden="1"/>
    </xf>
    <xf numFmtId="0" fontId="9" fillId="11" borderId="8" xfId="0" applyFont="1" applyFill="1" applyBorder="1" applyAlignment="1" applyProtection="1">
      <alignment horizontal="center" vertical="center" wrapText="1"/>
      <protection hidden="1"/>
    </xf>
    <xf numFmtId="0" fontId="9" fillId="11" borderId="18" xfId="0" applyFont="1" applyFill="1" applyBorder="1" applyAlignment="1" applyProtection="1">
      <alignment horizontal="center" vertical="center" wrapText="1"/>
      <protection hidden="1"/>
    </xf>
    <xf numFmtId="0" fontId="9" fillId="11" borderId="0" xfId="0" applyFont="1" applyFill="1" applyAlignment="1" applyProtection="1">
      <alignment horizontal="center" vertical="center" wrapText="1"/>
      <protection hidden="1"/>
    </xf>
    <xf numFmtId="0" fontId="9" fillId="11" borderId="19" xfId="0" applyFont="1" applyFill="1" applyBorder="1" applyAlignment="1" applyProtection="1">
      <alignment horizontal="center" vertical="center" wrapText="1"/>
      <protection hidden="1"/>
    </xf>
    <xf numFmtId="0" fontId="9" fillId="8" borderId="6" xfId="0" applyFont="1" applyFill="1" applyBorder="1" applyAlignment="1" applyProtection="1">
      <alignment horizontal="center" vertical="center" wrapText="1"/>
      <protection hidden="1"/>
    </xf>
    <xf numFmtId="0" fontId="9" fillId="8" borderId="7" xfId="0" applyFont="1" applyFill="1" applyBorder="1" applyAlignment="1" applyProtection="1">
      <alignment horizontal="center" vertical="center" wrapText="1"/>
      <protection hidden="1"/>
    </xf>
    <xf numFmtId="0" fontId="9" fillId="8" borderId="8" xfId="0" applyFont="1" applyFill="1" applyBorder="1" applyAlignment="1" applyProtection="1">
      <alignment horizontal="center" vertical="center" wrapText="1"/>
      <protection hidden="1"/>
    </xf>
    <xf numFmtId="0" fontId="9" fillId="8" borderId="24" xfId="0" applyFont="1" applyFill="1" applyBorder="1" applyAlignment="1" applyProtection="1">
      <alignment horizontal="center" vertical="center" wrapText="1"/>
      <protection hidden="1"/>
    </xf>
    <xf numFmtId="0" fontId="9" fillId="8" borderId="5" xfId="0" applyFont="1" applyFill="1" applyBorder="1" applyAlignment="1" applyProtection="1">
      <alignment horizontal="center" vertical="center" wrapText="1"/>
      <protection hidden="1"/>
    </xf>
    <xf numFmtId="0" fontId="9" fillId="8" borderId="25" xfId="0" applyFont="1" applyFill="1" applyBorder="1" applyAlignment="1" applyProtection="1">
      <alignment horizontal="center" vertical="center" wrapText="1"/>
      <protection hidden="1"/>
    </xf>
    <xf numFmtId="0" fontId="5" fillId="0" borderId="50" xfId="0" applyFont="1" applyBorder="1" applyAlignment="1" applyProtection="1">
      <alignment horizontal="center" vertical="center"/>
      <protection hidden="1"/>
    </xf>
    <xf numFmtId="0" fontId="5" fillId="0" borderId="39" xfId="0" applyFont="1" applyBorder="1" applyAlignment="1" applyProtection="1">
      <alignment horizontal="center" vertical="center"/>
      <protection hidden="1"/>
    </xf>
    <xf numFmtId="0" fontId="5" fillId="0" borderId="51" xfId="0" applyFont="1" applyBorder="1" applyAlignment="1" applyProtection="1">
      <alignment horizontal="center" vertical="center"/>
      <protection hidden="1"/>
    </xf>
    <xf numFmtId="0" fontId="18" fillId="12" borderId="118" xfId="0" applyFont="1" applyFill="1" applyBorder="1" applyAlignment="1" applyProtection="1">
      <alignment horizontal="center" vertical="center"/>
      <protection hidden="1"/>
    </xf>
    <xf numFmtId="0" fontId="18" fillId="12" borderId="105" xfId="0" applyFont="1" applyFill="1" applyBorder="1" applyAlignment="1" applyProtection="1">
      <alignment horizontal="center" vertical="center"/>
      <protection hidden="1"/>
    </xf>
    <xf numFmtId="0" fontId="16" fillId="12" borderId="117" xfId="0" applyFont="1" applyFill="1" applyBorder="1" applyAlignment="1" applyProtection="1">
      <alignment horizontal="center" vertical="center"/>
      <protection hidden="1"/>
    </xf>
    <xf numFmtId="0" fontId="19" fillId="8" borderId="47" xfId="0" applyFont="1" applyFill="1" applyBorder="1" applyAlignment="1" applyProtection="1">
      <alignment horizontal="center" vertical="center" wrapText="1"/>
      <protection hidden="1"/>
    </xf>
    <xf numFmtId="0" fontId="19" fillId="8" borderId="44" xfId="0" applyFont="1" applyFill="1" applyBorder="1" applyAlignment="1" applyProtection="1">
      <alignment horizontal="center" vertical="center" wrapText="1"/>
      <protection hidden="1"/>
    </xf>
    <xf numFmtId="0" fontId="26" fillId="0" borderId="0" xfId="0" applyFont="1" applyAlignment="1" applyProtection="1">
      <alignment horizontal="center"/>
      <protection hidden="1"/>
    </xf>
    <xf numFmtId="10" fontId="54" fillId="0" borderId="18" xfId="0" applyNumberFormat="1" applyFont="1" applyBorder="1" applyAlignment="1" applyProtection="1">
      <alignment horizontal="left" vertical="center" wrapText="1" indent="1"/>
      <protection hidden="1"/>
    </xf>
    <xf numFmtId="10" fontId="54" fillId="0" borderId="0" xfId="0" applyNumberFormat="1" applyFont="1" applyAlignment="1" applyProtection="1">
      <alignment horizontal="left" vertical="center" wrapText="1" indent="1"/>
      <protection hidden="1"/>
    </xf>
    <xf numFmtId="10" fontId="54" fillId="0" borderId="45" xfId="0" applyNumberFormat="1" applyFont="1" applyBorder="1" applyAlignment="1" applyProtection="1">
      <alignment horizontal="left" vertical="center" wrapText="1" indent="1"/>
      <protection hidden="1"/>
    </xf>
    <xf numFmtId="0" fontId="16" fillId="12" borderId="77" xfId="0" applyFont="1" applyFill="1" applyBorder="1" applyAlignment="1" applyProtection="1">
      <alignment horizontal="center" vertical="center"/>
      <protection hidden="1"/>
    </xf>
    <xf numFmtId="0" fontId="16" fillId="12" borderId="70" xfId="0" applyFont="1" applyFill="1" applyBorder="1" applyAlignment="1" applyProtection="1">
      <alignment horizontal="center" vertical="center"/>
      <protection hidden="1"/>
    </xf>
    <xf numFmtId="0" fontId="16" fillId="12" borderId="81" xfId="0" applyFont="1" applyFill="1" applyBorder="1" applyAlignment="1" applyProtection="1">
      <alignment horizontal="center" vertical="center"/>
      <protection hidden="1"/>
    </xf>
    <xf numFmtId="0" fontId="16" fillId="12" borderId="134" xfId="0" applyFont="1" applyFill="1" applyBorder="1" applyAlignment="1" applyProtection="1">
      <alignment horizontal="center" vertical="center"/>
      <protection hidden="1"/>
    </xf>
    <xf numFmtId="0" fontId="16" fillId="12" borderId="82" xfId="0" applyFont="1" applyFill="1" applyBorder="1" applyAlignment="1" applyProtection="1">
      <alignment horizontal="center" vertical="center"/>
      <protection hidden="1"/>
    </xf>
    <xf numFmtId="0" fontId="16" fillId="12" borderId="79" xfId="0" applyFont="1" applyFill="1" applyBorder="1" applyAlignment="1" applyProtection="1">
      <alignment horizontal="center" vertical="center"/>
      <protection hidden="1"/>
    </xf>
    <xf numFmtId="0" fontId="5" fillId="0" borderId="50" xfId="0" applyFont="1" applyBorder="1" applyAlignment="1" applyProtection="1">
      <alignment horizontal="center" vertical="center" wrapText="1"/>
      <protection hidden="1"/>
    </xf>
    <xf numFmtId="0" fontId="5" fillId="0" borderId="39" xfId="0" applyFont="1" applyBorder="1" applyAlignment="1" applyProtection="1">
      <alignment horizontal="center" vertical="center" wrapText="1"/>
      <protection hidden="1"/>
    </xf>
    <xf numFmtId="0" fontId="5" fillId="0" borderId="51" xfId="0" applyFont="1" applyBorder="1" applyAlignment="1" applyProtection="1">
      <alignment horizontal="center" vertical="center" wrapText="1"/>
      <protection hidden="1"/>
    </xf>
    <xf numFmtId="0" fontId="5" fillId="0" borderId="52" xfId="0" applyFont="1" applyBorder="1" applyAlignment="1" applyProtection="1">
      <alignment horizontal="center" vertical="center" wrapText="1"/>
      <protection hidden="1"/>
    </xf>
    <xf numFmtId="0" fontId="5" fillId="0" borderId="0" xfId="0" applyFont="1" applyAlignment="1" applyProtection="1">
      <alignment horizontal="center" vertical="center" wrapText="1"/>
      <protection hidden="1"/>
    </xf>
    <xf numFmtId="0" fontId="5" fillId="0" borderId="45" xfId="0" applyFont="1" applyBorder="1" applyAlignment="1" applyProtection="1">
      <alignment horizontal="center" vertical="center" wrapText="1"/>
      <protection hidden="1"/>
    </xf>
    <xf numFmtId="0" fontId="18" fillId="12" borderId="60" xfId="0" applyFont="1" applyFill="1" applyBorder="1" applyAlignment="1" applyProtection="1">
      <alignment horizontal="center" vertical="center"/>
      <protection hidden="1"/>
    </xf>
    <xf numFmtId="0" fontId="7" fillId="0" borderId="52" xfId="0" applyFont="1" applyBorder="1" applyAlignment="1" applyProtection="1">
      <alignment horizontal="center" vertical="center"/>
      <protection hidden="1"/>
    </xf>
    <xf numFmtId="0" fontId="7" fillId="0" borderId="0" xfId="0" applyFont="1" applyAlignment="1" applyProtection="1">
      <alignment horizontal="center" vertical="center"/>
      <protection hidden="1"/>
    </xf>
    <xf numFmtId="0" fontId="36" fillId="7" borderId="52" xfId="0" applyFont="1" applyFill="1" applyBorder="1" applyAlignment="1" applyProtection="1">
      <alignment horizontal="center" vertical="center"/>
      <protection hidden="1"/>
    </xf>
    <xf numFmtId="0" fontId="36" fillId="7" borderId="0" xfId="0" applyFont="1" applyFill="1" applyAlignment="1" applyProtection="1">
      <alignment horizontal="center" vertical="center"/>
      <protection hidden="1"/>
    </xf>
    <xf numFmtId="0" fontId="36" fillId="7" borderId="45" xfId="0" applyFont="1" applyFill="1" applyBorder="1" applyAlignment="1" applyProtection="1">
      <alignment horizontal="center" vertical="center"/>
      <protection hidden="1"/>
    </xf>
    <xf numFmtId="10" fontId="7" fillId="0" borderId="53" xfId="0" applyNumberFormat="1" applyFont="1" applyBorder="1" applyAlignment="1" applyProtection="1">
      <alignment horizontal="center" vertical="center"/>
      <protection hidden="1"/>
    </xf>
    <xf numFmtId="10" fontId="7" fillId="0" borderId="54" xfId="0" applyNumberFormat="1" applyFont="1" applyBorder="1" applyAlignment="1" applyProtection="1">
      <alignment horizontal="center" vertical="center"/>
      <protection hidden="1"/>
    </xf>
    <xf numFmtId="10" fontId="7" fillId="0" borderId="55" xfId="0" applyNumberFormat="1" applyFont="1" applyBorder="1" applyAlignment="1" applyProtection="1">
      <alignment horizontal="center" vertical="center"/>
      <protection hidden="1"/>
    </xf>
    <xf numFmtId="0" fontId="19" fillId="7" borderId="49" xfId="0" applyFont="1" applyFill="1" applyBorder="1" applyAlignment="1">
      <alignment horizontal="center" vertical="center" wrapText="1"/>
    </xf>
    <xf numFmtId="0" fontId="19" fillId="7" borderId="41" xfId="0" applyFont="1" applyFill="1" applyBorder="1" applyAlignment="1">
      <alignment horizontal="center" vertical="center" wrapText="1"/>
    </xf>
    <xf numFmtId="0" fontId="19" fillId="7" borderId="40" xfId="0" applyFont="1" applyFill="1" applyBorder="1" applyAlignment="1" applyProtection="1">
      <alignment horizontal="center" vertical="center" wrapText="1"/>
      <protection hidden="1"/>
    </xf>
    <xf numFmtId="0" fontId="18" fillId="12" borderId="77" xfId="0" applyFont="1" applyFill="1" applyBorder="1" applyAlignment="1" applyProtection="1">
      <alignment horizontal="center" vertical="center"/>
      <protection hidden="1"/>
    </xf>
    <xf numFmtId="166" fontId="3" fillId="12" borderId="38" xfId="0" applyNumberFormat="1" applyFont="1" applyFill="1" applyBorder="1" applyAlignment="1">
      <alignment horizontal="left" vertical="center"/>
    </xf>
    <xf numFmtId="166" fontId="3" fillId="12" borderId="62" xfId="0" applyNumberFormat="1" applyFont="1" applyFill="1" applyBorder="1" applyAlignment="1">
      <alignment horizontal="left" vertical="center"/>
    </xf>
    <xf numFmtId="0" fontId="19" fillId="8" borderId="47" xfId="0" applyFont="1" applyFill="1" applyBorder="1" applyAlignment="1">
      <alignment horizontal="center" vertical="center" wrapText="1"/>
    </xf>
    <xf numFmtId="0" fontId="19" fillId="8" borderId="44" xfId="0" applyFont="1" applyFill="1" applyBorder="1" applyAlignment="1">
      <alignment horizontal="center" vertical="center" wrapText="1"/>
    </xf>
    <xf numFmtId="166" fontId="30" fillId="12" borderId="41" xfId="0" applyNumberFormat="1" applyFont="1" applyFill="1" applyBorder="1" applyAlignment="1" applyProtection="1">
      <alignment horizontal="center" vertical="center"/>
      <protection hidden="1"/>
    </xf>
    <xf numFmtId="166" fontId="30" fillId="12" borderId="44" xfId="0" applyNumberFormat="1" applyFont="1" applyFill="1" applyBorder="1" applyAlignment="1" applyProtection="1">
      <alignment horizontal="center" vertical="center"/>
      <protection hidden="1"/>
    </xf>
    <xf numFmtId="166" fontId="66" fillId="12" borderId="92" xfId="1" quotePrefix="1" applyNumberFormat="1" applyFont="1" applyFill="1" applyBorder="1" applyAlignment="1" applyProtection="1">
      <alignment horizontal="center" vertical="center" wrapText="1"/>
      <protection hidden="1"/>
    </xf>
    <xf numFmtId="166" fontId="66" fillId="12" borderId="38" xfId="1" quotePrefix="1" applyNumberFormat="1" applyFont="1" applyFill="1" applyBorder="1" applyAlignment="1" applyProtection="1">
      <alignment horizontal="center" vertical="center" wrapText="1"/>
      <protection hidden="1"/>
    </xf>
    <xf numFmtId="166" fontId="66" fillId="12" borderId="62" xfId="1" quotePrefix="1" applyNumberFormat="1" applyFont="1" applyFill="1" applyBorder="1" applyAlignment="1" applyProtection="1">
      <alignment horizontal="center" vertical="center" wrapText="1"/>
      <protection hidden="1"/>
    </xf>
    <xf numFmtId="166" fontId="66" fillId="12" borderId="87" xfId="1" quotePrefix="1" applyNumberFormat="1" applyFont="1" applyFill="1" applyBorder="1" applyAlignment="1" applyProtection="1">
      <alignment horizontal="center" vertical="center" wrapText="1"/>
      <protection hidden="1"/>
    </xf>
    <xf numFmtId="166" fontId="66" fillId="12" borderId="54" xfId="1" quotePrefix="1" applyNumberFormat="1" applyFont="1" applyFill="1" applyBorder="1" applyAlignment="1" applyProtection="1">
      <alignment horizontal="center" vertical="center" wrapText="1"/>
      <protection hidden="1"/>
    </xf>
    <xf numFmtId="166" fontId="66" fillId="12" borderId="55" xfId="1" quotePrefix="1" applyNumberFormat="1" applyFont="1" applyFill="1" applyBorder="1" applyAlignment="1" applyProtection="1">
      <alignment horizontal="center" vertical="center" wrapText="1"/>
      <protection hidden="1"/>
    </xf>
    <xf numFmtId="0" fontId="19" fillId="7" borderId="48" xfId="0" applyFont="1" applyFill="1" applyBorder="1" applyAlignment="1">
      <alignment horizontal="center" vertical="center" wrapText="1"/>
    </xf>
    <xf numFmtId="166" fontId="2" fillId="12" borderId="90" xfId="0" applyNumberFormat="1" applyFont="1" applyFill="1" applyBorder="1" applyAlignment="1">
      <alignment horizontal="left" vertical="center"/>
    </xf>
    <xf numFmtId="166" fontId="2" fillId="12" borderId="0" xfId="0" applyNumberFormat="1" applyFont="1" applyFill="1" applyAlignment="1">
      <alignment horizontal="left" vertical="center"/>
    </xf>
    <xf numFmtId="166" fontId="2" fillId="12" borderId="45" xfId="0" applyNumberFormat="1" applyFont="1" applyFill="1" applyBorder="1" applyAlignment="1">
      <alignment horizontal="left" vertical="center"/>
    </xf>
    <xf numFmtId="14" fontId="2" fillId="12" borderId="77" xfId="0" applyNumberFormat="1" applyFont="1" applyFill="1" applyBorder="1" applyAlignment="1">
      <alignment horizontal="left" vertical="center"/>
    </xf>
    <xf numFmtId="0" fontId="2" fillId="12" borderId="60" xfId="0" applyFont="1" applyFill="1" applyBorder="1" applyAlignment="1">
      <alignment horizontal="left" vertical="center"/>
    </xf>
    <xf numFmtId="0" fontId="2" fillId="12" borderId="61" xfId="0" applyFont="1" applyFill="1" applyBorder="1" applyAlignment="1">
      <alignment horizontal="left" vertical="center"/>
    </xf>
    <xf numFmtId="166" fontId="2" fillId="12" borderId="92" xfId="0" applyNumberFormat="1" applyFont="1" applyFill="1" applyBorder="1" applyAlignment="1">
      <alignment horizontal="left" vertical="center"/>
    </xf>
    <xf numFmtId="166" fontId="2" fillId="12" borderId="38" xfId="0" applyNumberFormat="1" applyFont="1" applyFill="1" applyBorder="1" applyAlignment="1">
      <alignment horizontal="left" vertical="center"/>
    </xf>
    <xf numFmtId="166" fontId="2" fillId="12" borderId="62" xfId="0" applyNumberFormat="1" applyFont="1" applyFill="1" applyBorder="1" applyAlignment="1">
      <alignment horizontal="left" vertical="center"/>
    </xf>
    <xf numFmtId="0" fontId="2" fillId="0" borderId="47" xfId="0" applyFont="1" applyBorder="1" applyAlignment="1" applyProtection="1">
      <alignment horizontal="center" vertical="center"/>
      <protection hidden="1"/>
    </xf>
    <xf numFmtId="0" fontId="2" fillId="0" borderId="93" xfId="0" applyFont="1" applyBorder="1" applyAlignment="1" applyProtection="1">
      <alignment horizontal="center" vertical="center"/>
      <protection hidden="1"/>
    </xf>
    <xf numFmtId="0" fontId="16" fillId="12" borderId="91" xfId="0" applyFont="1" applyFill="1" applyBorder="1" applyAlignment="1" applyProtection="1">
      <alignment horizontal="center" vertical="center"/>
      <protection hidden="1"/>
    </xf>
    <xf numFmtId="0" fontId="16" fillId="12" borderId="69" xfId="0" applyFont="1" applyFill="1" applyBorder="1" applyAlignment="1" applyProtection="1">
      <alignment horizontal="center" vertical="center"/>
      <protection hidden="1"/>
    </xf>
    <xf numFmtId="166" fontId="2" fillId="12" borderId="91" xfId="0" applyNumberFormat="1" applyFont="1" applyFill="1" applyBorder="1" applyAlignment="1">
      <alignment horizontal="left" vertical="center"/>
    </xf>
    <xf numFmtId="166" fontId="2" fillId="12" borderId="63" xfId="0" applyNumberFormat="1" applyFont="1" applyFill="1" applyBorder="1" applyAlignment="1">
      <alignment horizontal="left" vertical="center"/>
    </xf>
    <xf numFmtId="166" fontId="2" fillId="12" borderId="64" xfId="0" applyNumberFormat="1" applyFont="1" applyFill="1" applyBorder="1" applyAlignment="1">
      <alignment horizontal="left" vertical="center"/>
    </xf>
    <xf numFmtId="0" fontId="18" fillId="12" borderId="91" xfId="0" applyFont="1" applyFill="1" applyBorder="1" applyAlignment="1" applyProtection="1">
      <alignment horizontal="center" vertical="center"/>
      <protection hidden="1"/>
    </xf>
    <xf numFmtId="0" fontId="55" fillId="7" borderId="53" xfId="0" applyFont="1" applyFill="1" applyBorder="1" applyAlignment="1" applyProtection="1">
      <alignment horizontal="left" vertical="top" wrapText="1"/>
      <protection hidden="1"/>
    </xf>
    <xf numFmtId="0" fontId="49" fillId="7" borderId="54" xfId="0" applyFont="1" applyFill="1" applyBorder="1" applyAlignment="1" applyProtection="1">
      <alignment horizontal="left" vertical="top"/>
      <protection hidden="1"/>
    </xf>
    <xf numFmtId="0" fontId="50" fillId="7" borderId="54" xfId="0" applyFont="1" applyFill="1" applyBorder="1" applyAlignment="1">
      <alignment horizontal="left" vertical="top"/>
    </xf>
    <xf numFmtId="0" fontId="50" fillId="7" borderId="55" xfId="0" applyFont="1" applyFill="1" applyBorder="1" applyAlignment="1">
      <alignment horizontal="left" vertical="top"/>
    </xf>
    <xf numFmtId="166" fontId="3" fillId="12" borderId="63" xfId="0" applyNumberFormat="1" applyFont="1" applyFill="1" applyBorder="1" applyAlignment="1">
      <alignment horizontal="left" vertical="center"/>
    </xf>
    <xf numFmtId="166" fontId="3" fillId="12" borderId="64" xfId="0" applyNumberFormat="1" applyFont="1" applyFill="1" applyBorder="1" applyAlignment="1">
      <alignment horizontal="left" vertical="center"/>
    </xf>
    <xf numFmtId="166" fontId="3" fillId="12" borderId="60" xfId="0" applyNumberFormat="1" applyFont="1" applyFill="1" applyBorder="1" applyAlignment="1">
      <alignment horizontal="left" vertical="center"/>
    </xf>
    <xf numFmtId="166" fontId="3" fillId="12" borderId="61" xfId="0" applyNumberFormat="1" applyFont="1" applyFill="1" applyBorder="1" applyAlignment="1">
      <alignment horizontal="left" vertical="center"/>
    </xf>
    <xf numFmtId="166" fontId="3" fillId="12" borderId="0" xfId="0" applyNumberFormat="1" applyFont="1" applyFill="1" applyAlignment="1">
      <alignment horizontal="left" vertical="center"/>
    </xf>
    <xf numFmtId="166" fontId="3" fillId="12" borderId="45" xfId="0" applyNumberFormat="1" applyFont="1" applyFill="1" applyBorder="1" applyAlignment="1">
      <alignment horizontal="left" vertical="center"/>
    </xf>
    <xf numFmtId="0" fontId="16" fillId="12" borderId="88" xfId="0" applyFont="1" applyFill="1" applyBorder="1" applyAlignment="1" applyProtection="1">
      <alignment horizontal="center" vertical="center"/>
      <protection hidden="1"/>
    </xf>
    <xf numFmtId="0" fontId="16" fillId="12" borderId="113" xfId="0" applyFont="1" applyFill="1" applyBorder="1" applyAlignment="1" applyProtection="1">
      <alignment horizontal="center" vertical="center"/>
      <protection hidden="1"/>
    </xf>
    <xf numFmtId="0" fontId="9" fillId="7" borderId="41" xfId="0" applyFont="1" applyFill="1" applyBorder="1" applyAlignment="1" applyProtection="1">
      <alignment horizontal="left" vertical="center" indent="2"/>
      <protection hidden="1"/>
    </xf>
    <xf numFmtId="0" fontId="35" fillId="12" borderId="52" xfId="0" applyFont="1" applyFill="1" applyBorder="1" applyAlignment="1" applyProtection="1">
      <alignment horizontal="left" vertical="center"/>
      <protection hidden="1"/>
    </xf>
    <xf numFmtId="0" fontId="35" fillId="12" borderId="0" xfId="0" applyFont="1" applyFill="1" applyAlignment="1" applyProtection="1">
      <alignment horizontal="left" vertical="center"/>
      <protection hidden="1"/>
    </xf>
    <xf numFmtId="0" fontId="18" fillId="12" borderId="89" xfId="0" applyFont="1" applyFill="1" applyBorder="1" applyAlignment="1" applyProtection="1">
      <alignment horizontal="center" vertical="center"/>
      <protection hidden="1"/>
    </xf>
    <xf numFmtId="0" fontId="47" fillId="7" borderId="47" xfId="0" applyFont="1" applyFill="1" applyBorder="1" applyAlignment="1" applyProtection="1">
      <alignment horizontal="center" vertical="center"/>
      <protection hidden="1"/>
    </xf>
    <xf numFmtId="0" fontId="47" fillId="7" borderId="41" xfId="0" applyFont="1" applyFill="1" applyBorder="1" applyAlignment="1" applyProtection="1">
      <alignment horizontal="center" vertical="center"/>
      <protection hidden="1"/>
    </xf>
    <xf numFmtId="0" fontId="16" fillId="12" borderId="114" xfId="0" applyFont="1" applyFill="1" applyBorder="1" applyAlignment="1" applyProtection="1">
      <alignment horizontal="center" vertical="center"/>
      <protection hidden="1"/>
    </xf>
    <xf numFmtId="0" fontId="19" fillId="7" borderId="47" xfId="0" applyFont="1" applyFill="1" applyBorder="1" applyAlignment="1">
      <alignment horizontal="center" vertical="center" wrapText="1"/>
    </xf>
    <xf numFmtId="0" fontId="19" fillId="7" borderId="44" xfId="0" applyFont="1" applyFill="1" applyBorder="1" applyAlignment="1">
      <alignment horizontal="center" vertical="center" wrapText="1"/>
    </xf>
    <xf numFmtId="0" fontId="36" fillId="17" borderId="52" xfId="0" applyFont="1" applyFill="1" applyBorder="1" applyAlignment="1" applyProtection="1">
      <alignment horizontal="center" vertical="center"/>
      <protection hidden="1"/>
    </xf>
    <xf numFmtId="0" fontId="36" fillId="17" borderId="0" xfId="0" applyFont="1" applyFill="1" applyAlignment="1" applyProtection="1">
      <alignment horizontal="center" vertical="center"/>
      <protection hidden="1"/>
    </xf>
    <xf numFmtId="0" fontId="36" fillId="18" borderId="0" xfId="0" applyFont="1" applyFill="1" applyAlignment="1" applyProtection="1">
      <alignment horizontal="center" vertical="center"/>
      <protection hidden="1"/>
    </xf>
    <xf numFmtId="0" fontId="36" fillId="18" borderId="45" xfId="0" applyFont="1" applyFill="1" applyBorder="1" applyAlignment="1" applyProtection="1">
      <alignment horizontal="center" vertical="center"/>
      <protection hidden="1"/>
    </xf>
    <xf numFmtId="10" fontId="7" fillId="0" borderId="52" xfId="0" applyNumberFormat="1" applyFont="1" applyBorder="1" applyAlignment="1" applyProtection="1">
      <alignment horizontal="center" vertical="center"/>
      <protection hidden="1"/>
    </xf>
    <xf numFmtId="10" fontId="7" fillId="0" borderId="0" xfId="0" applyNumberFormat="1" applyFont="1" applyAlignment="1" applyProtection="1">
      <alignment horizontal="center" vertical="center"/>
      <protection hidden="1"/>
    </xf>
    <xf numFmtId="10" fontId="7" fillId="0" borderId="45" xfId="0" applyNumberFormat="1" applyFont="1" applyBorder="1" applyAlignment="1" applyProtection="1">
      <alignment horizontal="center" vertical="center"/>
      <protection hidden="1"/>
    </xf>
    <xf numFmtId="0" fontId="4" fillId="5" borderId="41" xfId="0" applyFont="1" applyFill="1" applyBorder="1" applyAlignment="1" applyProtection="1">
      <alignment horizontal="center" vertical="center" wrapText="1"/>
      <protection locked="0" hidden="1"/>
    </xf>
    <xf numFmtId="0" fontId="4" fillId="5" borderId="44" xfId="0" applyFont="1" applyFill="1" applyBorder="1" applyAlignment="1" applyProtection="1">
      <alignment horizontal="center" vertical="center" wrapText="1"/>
      <protection locked="0" hidden="1"/>
    </xf>
    <xf numFmtId="0" fontId="15" fillId="0" borderId="5" xfId="0" applyFont="1" applyBorder="1" applyAlignment="1">
      <alignment horizontal="center" vertical="center" wrapText="1"/>
    </xf>
    <xf numFmtId="0" fontId="26" fillId="7" borderId="18" xfId="0" applyFont="1" applyFill="1" applyBorder="1" applyAlignment="1">
      <alignment horizontal="left" vertical="top" wrapText="1"/>
    </xf>
    <xf numFmtId="0" fontId="26" fillId="7" borderId="0" xfId="0" applyFont="1" applyFill="1" applyAlignment="1">
      <alignment horizontal="left" vertical="top" wrapText="1"/>
    </xf>
    <xf numFmtId="0" fontId="105" fillId="4" borderId="152" xfId="0" applyFont="1" applyFill="1" applyBorder="1" applyAlignment="1">
      <alignment horizontal="left" vertical="center" wrapText="1"/>
    </xf>
    <xf numFmtId="0" fontId="105" fillId="4" borderId="156" xfId="0" applyFont="1" applyFill="1" applyBorder="1" applyAlignment="1">
      <alignment horizontal="left" vertical="center" wrapText="1"/>
    </xf>
    <xf numFmtId="0" fontId="30" fillId="0" borderId="0" xfId="1" applyFont="1" applyAlignment="1">
      <alignment horizontal="left"/>
    </xf>
    <xf numFmtId="0" fontId="21" fillId="0" borderId="0" xfId="1" applyFont="1" applyAlignment="1">
      <alignment horizontal="left" wrapText="1"/>
    </xf>
    <xf numFmtId="0" fontId="7" fillId="0" borderId="0" xfId="6" applyFont="1" applyFill="1" applyAlignment="1" applyProtection="1">
      <alignment horizontal="left" indent="2"/>
    </xf>
    <xf numFmtId="0" fontId="21" fillId="9" borderId="0" xfId="1" applyFont="1" applyFill="1" applyAlignment="1">
      <alignment horizontal="left" vertical="center"/>
    </xf>
    <xf numFmtId="0" fontId="68" fillId="0" borderId="0" xfId="6" applyFont="1" applyFill="1" applyAlignment="1" applyProtection="1">
      <alignment horizontal="right"/>
    </xf>
    <xf numFmtId="0" fontId="51" fillId="0" borderId="0" xfId="1" applyFont="1" applyAlignment="1">
      <alignment horizontal="left" indent="3"/>
    </xf>
    <xf numFmtId="0" fontId="21" fillId="0" borderId="0" xfId="1" applyFont="1" applyAlignment="1">
      <alignment horizontal="left"/>
    </xf>
    <xf numFmtId="0" fontId="2" fillId="0" borderId="0" xfId="1" applyAlignment="1">
      <alignment horizontal="left" vertical="top" indent="2"/>
    </xf>
    <xf numFmtId="0" fontId="30" fillId="0" borderId="0" xfId="1" applyFont="1" applyAlignment="1">
      <alignment horizontal="left" vertical="top" wrapText="1" indent="2"/>
    </xf>
    <xf numFmtId="0" fontId="2" fillId="0" borderId="0" xfId="1" applyAlignment="1">
      <alignment horizontal="left" vertical="top" wrapText="1" indent="2"/>
    </xf>
    <xf numFmtId="0" fontId="4" fillId="0" borderId="0" xfId="1" applyFont="1" applyAlignment="1">
      <alignment horizontal="center" vertical="center"/>
    </xf>
    <xf numFmtId="0" fontId="32" fillId="0" borderId="0" xfId="6" applyFont="1" applyFill="1" applyAlignment="1" applyProtection="1">
      <alignment horizontal="center"/>
    </xf>
    <xf numFmtId="0" fontId="21" fillId="12" borderId="0" xfId="1" applyFont="1" applyFill="1" applyAlignment="1">
      <alignment horizontal="left" wrapText="1"/>
    </xf>
    <xf numFmtId="0" fontId="21" fillId="12" borderId="0" xfId="1" applyFont="1" applyFill="1" applyAlignment="1">
      <alignment horizontal="left"/>
    </xf>
    <xf numFmtId="0" fontId="30" fillId="0" borderId="119" xfId="1" applyFont="1" applyBorder="1" applyAlignment="1">
      <alignment horizontal="left" vertical="center" wrapText="1"/>
    </xf>
    <xf numFmtId="0" fontId="30" fillId="0" borderId="12" xfId="1" applyFont="1" applyBorder="1" applyAlignment="1">
      <alignment horizontal="left" vertical="center" wrapText="1"/>
    </xf>
    <xf numFmtId="0" fontId="30" fillId="0" borderId="120" xfId="1" applyFont="1" applyBorder="1" applyAlignment="1">
      <alignment horizontal="left" vertical="center" wrapText="1"/>
    </xf>
    <xf numFmtId="0" fontId="30" fillId="0" borderId="13" xfId="1" applyFont="1" applyBorder="1" applyAlignment="1">
      <alignment horizontal="left" vertical="center" wrapText="1"/>
    </xf>
    <xf numFmtId="0" fontId="30" fillId="0" borderId="5" xfId="1" applyFont="1" applyBorder="1" applyAlignment="1">
      <alignment horizontal="left" vertical="center" wrapText="1"/>
    </xf>
    <xf numFmtId="0" fontId="30" fillId="0" borderId="14" xfId="1" applyFont="1" applyBorder="1" applyAlignment="1">
      <alignment horizontal="left" vertical="center" wrapText="1"/>
    </xf>
    <xf numFmtId="0" fontId="30" fillId="0" borderId="3" xfId="1" applyFont="1" applyBorder="1" applyAlignment="1">
      <alignment horizontal="left" vertical="center" wrapText="1"/>
    </xf>
    <xf numFmtId="0" fontId="30" fillId="0" borderId="2" xfId="1" applyFont="1" applyBorder="1" applyAlignment="1">
      <alignment horizontal="left" vertical="center" wrapText="1"/>
    </xf>
    <xf numFmtId="0" fontId="30" fillId="0" borderId="4" xfId="1" applyFont="1" applyBorder="1" applyAlignment="1">
      <alignment horizontal="left" vertical="center" wrapText="1"/>
    </xf>
    <xf numFmtId="0" fontId="8" fillId="12" borderId="0" xfId="6" applyFont="1" applyFill="1" applyAlignment="1" applyProtection="1">
      <alignment horizontal="left" indent="2"/>
    </xf>
    <xf numFmtId="0" fontId="2" fillId="0" borderId="0" xfId="1" applyAlignment="1">
      <alignment horizontal="left" vertical="top"/>
    </xf>
    <xf numFmtId="0" fontId="2" fillId="0" borderId="0" xfId="1" applyAlignment="1">
      <alignment vertical="top"/>
    </xf>
    <xf numFmtId="0" fontId="2" fillId="0" borderId="0" xfId="6" applyFont="1" applyFill="1" applyAlignment="1" applyProtection="1">
      <alignment horizontal="left" wrapText="1"/>
    </xf>
    <xf numFmtId="0" fontId="30" fillId="0" borderId="0" xfId="1" applyFont="1" applyAlignment="1">
      <alignment horizontal="center" wrapText="1"/>
    </xf>
    <xf numFmtId="0" fontId="2" fillId="0" borderId="0" xfId="1" applyAlignment="1">
      <alignment horizontal="left" vertical="top" wrapText="1"/>
    </xf>
    <xf numFmtId="0" fontId="69" fillId="7" borderId="47" xfId="0" applyFont="1" applyFill="1" applyBorder="1" applyAlignment="1" applyProtection="1">
      <alignment horizontal="left" vertical="center" wrapText="1"/>
      <protection hidden="1"/>
    </xf>
    <xf numFmtId="0" fontId="69" fillId="7" borderId="41" xfId="0" applyFont="1" applyFill="1" applyBorder="1" applyAlignment="1" applyProtection="1">
      <alignment horizontal="left" vertical="center" wrapText="1"/>
      <protection hidden="1"/>
    </xf>
    <xf numFmtId="0" fontId="52" fillId="2" borderId="0" xfId="1" applyFont="1" applyFill="1" applyAlignment="1">
      <alignment horizontal="left" vertical="top" wrapText="1"/>
    </xf>
    <xf numFmtId="0" fontId="30" fillId="0" borderId="0" xfId="1" applyFont="1" applyAlignment="1">
      <alignment horizontal="left" indent="2"/>
    </xf>
    <xf numFmtId="0" fontId="30" fillId="0" borderId="119" xfId="1" applyFont="1" applyBorder="1" applyAlignment="1">
      <alignment horizontal="left" wrapText="1"/>
    </xf>
    <xf numFmtId="0" fontId="30" fillId="0" borderId="12" xfId="1" applyFont="1" applyBorder="1" applyAlignment="1">
      <alignment horizontal="left" wrapText="1"/>
    </xf>
    <xf numFmtId="0" fontId="30" fillId="0" borderId="120" xfId="1" applyFont="1" applyBorder="1" applyAlignment="1">
      <alignment horizontal="left" wrapText="1"/>
    </xf>
    <xf numFmtId="0" fontId="30" fillId="0" borderId="20" xfId="1" applyFont="1" applyBorder="1" applyAlignment="1">
      <alignment horizontal="left" wrapText="1"/>
    </xf>
    <xf numFmtId="0" fontId="30" fillId="0" borderId="0" xfId="1" applyFont="1" applyAlignment="1">
      <alignment horizontal="left" wrapText="1"/>
    </xf>
    <xf numFmtId="0" fontId="30" fillId="0" borderId="21" xfId="1" applyFont="1" applyBorder="1" applyAlignment="1">
      <alignment horizontal="left" wrapText="1"/>
    </xf>
    <xf numFmtId="0" fontId="30" fillId="0" borderId="13" xfId="1" applyFont="1" applyBorder="1" applyAlignment="1">
      <alignment horizontal="left" wrapText="1"/>
    </xf>
    <xf numFmtId="0" fontId="30" fillId="0" borderId="5" xfId="1" applyFont="1" applyBorder="1" applyAlignment="1">
      <alignment horizontal="left" wrapText="1"/>
    </xf>
    <xf numFmtId="0" fontId="30" fillId="0" borderId="14" xfId="1" applyFont="1" applyBorder="1" applyAlignment="1">
      <alignment horizontal="left" wrapText="1"/>
    </xf>
    <xf numFmtId="0" fontId="94" fillId="7" borderId="0" xfId="1" applyFont="1" applyFill="1" applyAlignment="1">
      <alignment horizontal="left" vertical="center"/>
    </xf>
    <xf numFmtId="0" fontId="83" fillId="16" borderId="29" xfId="0" applyFont="1" applyFill="1" applyBorder="1" applyAlignment="1">
      <alignment horizontal="center" vertical="center" wrapText="1"/>
    </xf>
    <xf numFmtId="0" fontId="83" fillId="16" borderId="31" xfId="0" applyFont="1" applyFill="1" applyBorder="1" applyAlignment="1">
      <alignment horizontal="center" vertical="center" wrapText="1"/>
    </xf>
    <xf numFmtId="0" fontId="40" fillId="7" borderId="10" xfId="0" applyFont="1" applyFill="1" applyBorder="1" applyAlignment="1">
      <alignment horizontal="center" vertical="center" wrapText="1"/>
    </xf>
    <xf numFmtId="0" fontId="45" fillId="0" borderId="130" xfId="5" applyFont="1" applyBorder="1" applyAlignment="1">
      <alignment horizontal="center" wrapText="1" readingOrder="1"/>
    </xf>
    <xf numFmtId="0" fontId="45" fillId="0" borderId="131" xfId="5" applyFont="1" applyBorder="1" applyAlignment="1">
      <alignment horizontal="center" wrapText="1" readingOrder="1"/>
    </xf>
    <xf numFmtId="0" fontId="45" fillId="0" borderId="132" xfId="5" applyFont="1" applyBorder="1" applyAlignment="1">
      <alignment horizontal="center" wrapText="1" readingOrder="1"/>
    </xf>
    <xf numFmtId="0" fontId="81" fillId="0" borderId="7" xfId="5" applyFont="1" applyBorder="1" applyAlignment="1">
      <alignment horizontal="center" wrapText="1" readingOrder="1"/>
    </xf>
    <xf numFmtId="0" fontId="81" fillId="0" borderId="0" xfId="5" applyFont="1" applyAlignment="1">
      <alignment horizontal="center" wrapText="1" readingOrder="1"/>
    </xf>
    <xf numFmtId="0" fontId="81" fillId="0" borderId="128" xfId="5" applyFont="1" applyBorder="1" applyAlignment="1">
      <alignment horizontal="center" wrapText="1" readingOrder="1"/>
    </xf>
    <xf numFmtId="0" fontId="85" fillId="0" borderId="0" xfId="0" applyFont="1" applyAlignment="1">
      <alignment horizontal="center" vertical="top" textRotation="255"/>
    </xf>
    <xf numFmtId="0" fontId="40" fillId="7" borderId="0" xfId="0" applyFont="1" applyFill="1" applyAlignment="1">
      <alignment horizontal="center" vertical="center"/>
    </xf>
    <xf numFmtId="0" fontId="24" fillId="7" borderId="10" xfId="0" applyFont="1" applyFill="1" applyBorder="1" applyAlignment="1">
      <alignment horizontal="center" vertical="center"/>
    </xf>
    <xf numFmtId="0" fontId="40" fillId="7" borderId="10" xfId="0" applyFont="1" applyFill="1" applyBorder="1" applyAlignment="1">
      <alignment horizontal="center" vertical="center"/>
    </xf>
    <xf numFmtId="0" fontId="83" fillId="16" borderId="30" xfId="0" applyFont="1" applyFill="1" applyBorder="1" applyAlignment="1">
      <alignment horizontal="center" vertical="center" wrapText="1"/>
    </xf>
  </cellXfs>
  <cellStyles count="7">
    <cellStyle name="Hyperlink" xfId="6" builtinId="8"/>
    <cellStyle name="Normal" xfId="0" builtinId="0"/>
    <cellStyle name="Normal 2" xfId="1" xr:uid="{00000000-0005-0000-0000-000002000000}"/>
    <cellStyle name="Normal 3" xfId="2" xr:uid="{00000000-0005-0000-0000-000003000000}"/>
    <cellStyle name="Normal 4" xfId="3" xr:uid="{00000000-0005-0000-0000-000004000000}"/>
    <cellStyle name="Normal 5" xfId="5" xr:uid="{00000000-0005-0000-0000-000005000000}"/>
    <cellStyle name="Percent" xfId="4" builtinId="5"/>
  </cellStyles>
  <dxfs count="38">
    <dxf>
      <fill>
        <patternFill>
          <bgColor rgb="FFFF0000"/>
        </patternFill>
      </fill>
    </dxf>
    <dxf>
      <fill>
        <patternFill>
          <bgColor rgb="FFFF0000"/>
        </patternFill>
      </fill>
    </dxf>
    <dxf>
      <fill>
        <patternFill>
          <bgColor rgb="FFEEE56E"/>
        </patternFill>
      </fill>
    </dxf>
    <dxf>
      <font>
        <color auto="1"/>
      </font>
      <fill>
        <patternFill>
          <bgColor rgb="FFFF9933"/>
        </patternFill>
      </fill>
    </dxf>
    <dxf>
      <font>
        <b/>
        <i val="0"/>
      </font>
      <fill>
        <patternFill patternType="none">
          <bgColor auto="1"/>
        </patternFill>
      </fill>
    </dxf>
    <dxf>
      <font>
        <b/>
        <i val="0"/>
      </font>
      <fill>
        <patternFill patternType="none">
          <bgColor auto="1"/>
        </patternFill>
      </fill>
    </dxf>
    <dxf>
      <font>
        <color auto="1"/>
      </font>
      <fill>
        <patternFill>
          <bgColor rgb="FFFF6E73"/>
        </patternFill>
      </fill>
    </dxf>
    <dxf>
      <fill>
        <patternFill>
          <bgColor rgb="FFFF6E73"/>
        </patternFill>
      </fill>
    </dxf>
    <dxf>
      <fill>
        <patternFill>
          <bgColor rgb="FFFF6E73"/>
        </patternFill>
      </fill>
    </dxf>
    <dxf>
      <fill>
        <patternFill>
          <bgColor rgb="FFFF6E73"/>
        </patternFill>
      </fill>
    </dxf>
    <dxf>
      <fill>
        <patternFill>
          <bgColor rgb="FFFF6E73"/>
        </patternFill>
      </fill>
    </dxf>
    <dxf>
      <fill>
        <patternFill>
          <bgColor rgb="FFFF6E73"/>
        </patternFill>
      </fill>
    </dxf>
    <dxf>
      <fill>
        <patternFill>
          <bgColor rgb="FFFF6E73"/>
        </patternFill>
      </fill>
    </dxf>
    <dxf>
      <fill>
        <patternFill>
          <bgColor rgb="FFFF6E73"/>
        </patternFill>
      </fill>
    </dxf>
    <dxf>
      <fill>
        <patternFill>
          <bgColor rgb="FFFF6E73"/>
        </patternFill>
      </fill>
    </dxf>
    <dxf>
      <fill>
        <patternFill>
          <bgColor rgb="FFFF6E73"/>
        </patternFill>
      </fill>
    </dxf>
    <dxf>
      <fill>
        <patternFill>
          <bgColor rgb="FFFF6E73"/>
        </patternFill>
      </fill>
    </dxf>
    <dxf>
      <fill>
        <patternFill>
          <bgColor rgb="FFFF6E73"/>
        </patternFill>
      </fill>
    </dxf>
    <dxf>
      <fill>
        <patternFill>
          <bgColor rgb="FFFF6E73"/>
        </patternFill>
      </fill>
    </dxf>
    <dxf>
      <fill>
        <patternFill>
          <bgColor rgb="FFFF6E73"/>
        </patternFill>
      </fill>
    </dxf>
    <dxf>
      <fill>
        <patternFill>
          <bgColor rgb="FFFF6E73"/>
        </patternFill>
      </fill>
    </dxf>
    <dxf>
      <fill>
        <patternFill>
          <bgColor rgb="FFFF6E73"/>
        </patternFill>
      </fill>
    </dxf>
    <dxf>
      <fill>
        <patternFill>
          <bgColor rgb="FFFF6E73"/>
        </patternFill>
      </fill>
    </dxf>
    <dxf>
      <fill>
        <patternFill>
          <bgColor rgb="FFFF6E73"/>
        </patternFill>
      </fill>
    </dxf>
    <dxf>
      <fill>
        <patternFill>
          <bgColor rgb="FFFF6E73"/>
        </patternFill>
      </fill>
    </dxf>
    <dxf>
      <font>
        <color auto="1"/>
      </font>
      <fill>
        <patternFill>
          <bgColor rgb="FFFF6E73"/>
        </patternFill>
      </fill>
    </dxf>
    <dxf>
      <font>
        <color theme="0" tint="-0.34998626667073579"/>
      </font>
    </dxf>
    <dxf>
      <font>
        <color theme="0"/>
      </font>
    </dxf>
    <dxf>
      <fill>
        <patternFill>
          <bgColor rgb="FFF3696B"/>
        </patternFill>
      </fill>
    </dxf>
    <dxf>
      <fill>
        <patternFill>
          <bgColor rgb="FFB1A0C7"/>
        </patternFill>
      </fill>
    </dxf>
    <dxf>
      <fill>
        <patternFill>
          <bgColor rgb="FFFF6E73"/>
        </patternFill>
      </fill>
    </dxf>
    <dxf>
      <fill>
        <patternFill>
          <bgColor rgb="FFF3696B"/>
        </patternFill>
      </fill>
    </dxf>
    <dxf>
      <fill>
        <patternFill>
          <bgColor rgb="FFB1A0C7"/>
        </patternFill>
      </fill>
    </dxf>
    <dxf>
      <font>
        <color theme="0"/>
      </font>
    </dxf>
    <dxf>
      <font>
        <color theme="0"/>
      </font>
    </dxf>
    <dxf>
      <font>
        <color theme="0"/>
      </font>
      <fill>
        <patternFill>
          <bgColor rgb="FFFF6E73"/>
        </patternFill>
      </fill>
    </dxf>
    <dxf>
      <font>
        <b/>
        <i val="0"/>
        <color auto="1"/>
      </font>
      <fill>
        <gradientFill type="path" left="0.5" right="0.5" top="0.5" bottom="0.5">
          <stop position="0">
            <color theme="0"/>
          </stop>
          <stop position="1">
            <color rgb="FFFF0000"/>
          </stop>
        </gradientFill>
      </fill>
    </dxf>
    <dxf>
      <fill>
        <patternFill>
          <bgColor rgb="FFE16E73"/>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594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FF6600"/>
      <rgbColor rgb="00666699"/>
      <rgbColor rgb="00969696"/>
      <rgbColor rgb="003333CC"/>
      <rgbColor rgb="00336666"/>
      <rgbColor rgb="00003300"/>
      <rgbColor rgb="00333300"/>
      <rgbColor rgb="00B20000"/>
      <rgbColor rgb="00993366"/>
      <rgbColor rgb="00333399"/>
      <rgbColor rgb="00424242"/>
    </indexedColors>
    <mruColors>
      <color rgb="FF00A89F"/>
      <color rgb="FFB1A0C7"/>
      <color rgb="FF003C7F"/>
      <color rgb="FFFF6E73"/>
      <color rgb="FFCBD4DD"/>
      <color rgb="FFFFFFFF"/>
      <color rgb="FFF3696B"/>
      <color rgb="FF5ABE7B"/>
      <color rgb="FFE16E73"/>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4</xdr:col>
      <xdr:colOff>209550</xdr:colOff>
      <xdr:row>33</xdr:row>
      <xdr:rowOff>123825</xdr:rowOff>
    </xdr:from>
    <xdr:to>
      <xdr:col>5</xdr:col>
      <xdr:colOff>95250</xdr:colOff>
      <xdr:row>34</xdr:row>
      <xdr:rowOff>47625</xdr:rowOff>
    </xdr:to>
    <xdr:sp macro="" textlink="">
      <xdr:nvSpPr>
        <xdr:cNvPr id="4" name="AutoShape 33">
          <a:extLst>
            <a:ext uri="{FF2B5EF4-FFF2-40B4-BE49-F238E27FC236}">
              <a16:creationId xmlns:a16="http://schemas.microsoft.com/office/drawing/2014/main" id="{00000000-0008-0000-0000-000004000000}"/>
            </a:ext>
          </a:extLst>
        </xdr:cNvPr>
        <xdr:cNvSpPr>
          <a:spLocks noChangeArrowheads="1"/>
        </xdr:cNvSpPr>
      </xdr:nvSpPr>
      <xdr:spPr bwMode="auto">
        <a:xfrm>
          <a:off x="2190750" y="7124700"/>
          <a:ext cx="219075" cy="114300"/>
        </a:xfrm>
        <a:prstGeom prst="leftRightArrow">
          <a:avLst>
            <a:gd name="adj1" fmla="val 50000"/>
            <a:gd name="adj2" fmla="val 58182"/>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xdr:from>
          <xdr:col>19</xdr:col>
          <xdr:colOff>38100</xdr:colOff>
          <xdr:row>6</xdr:row>
          <xdr:rowOff>28575</xdr:rowOff>
        </xdr:from>
        <xdr:to>
          <xdr:col>20</xdr:col>
          <xdr:colOff>552450</xdr:colOff>
          <xdr:row>8</xdr:row>
          <xdr:rowOff>28575</xdr:rowOff>
        </xdr:to>
        <xdr:sp macro="" textlink="">
          <xdr:nvSpPr>
            <xdr:cNvPr id="7380" name="Button 212" hidden="1">
              <a:extLst>
                <a:ext uri="{63B3BB69-23CF-44E3-9099-C40C66FF867C}">
                  <a14:compatExt spid="_x0000_s7380"/>
                </a:ext>
                <a:ext uri="{FF2B5EF4-FFF2-40B4-BE49-F238E27FC236}">
                  <a16:creationId xmlns:a16="http://schemas.microsoft.com/office/drawing/2014/main" id="{00000000-0008-0000-0000-0000D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Instructions</a:t>
              </a:r>
            </a:p>
          </xdr:txBody>
        </xdr:sp>
        <xdr:clientData fPrintsWithSheet="0"/>
      </xdr:twoCellAnchor>
    </mc:Choice>
    <mc:Fallback/>
  </mc:AlternateContent>
  <xdr:twoCellAnchor editAs="oneCell">
    <xdr:from>
      <xdr:col>13</xdr:col>
      <xdr:colOff>66675</xdr:colOff>
      <xdr:row>1</xdr:row>
      <xdr:rowOff>115036</xdr:rowOff>
    </xdr:from>
    <xdr:to>
      <xdr:col>17</xdr:col>
      <xdr:colOff>599889</xdr:colOff>
      <xdr:row>2</xdr:row>
      <xdr:rowOff>153084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5218281" y="240685"/>
          <a:ext cx="1485714" cy="41904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209550</xdr:colOff>
      <xdr:row>33</xdr:row>
      <xdr:rowOff>127635</xdr:rowOff>
    </xdr:from>
    <xdr:to>
      <xdr:col>5</xdr:col>
      <xdr:colOff>95250</xdr:colOff>
      <xdr:row>34</xdr:row>
      <xdr:rowOff>51435</xdr:rowOff>
    </xdr:to>
    <xdr:sp macro="" textlink="">
      <xdr:nvSpPr>
        <xdr:cNvPr id="4" name="AutoShape 33">
          <a:extLst>
            <a:ext uri="{FF2B5EF4-FFF2-40B4-BE49-F238E27FC236}">
              <a16:creationId xmlns:a16="http://schemas.microsoft.com/office/drawing/2014/main" id="{00000000-0008-0000-0100-000004000000}"/>
            </a:ext>
          </a:extLst>
        </xdr:cNvPr>
        <xdr:cNvSpPr>
          <a:spLocks noChangeArrowheads="1"/>
        </xdr:cNvSpPr>
      </xdr:nvSpPr>
      <xdr:spPr bwMode="auto">
        <a:xfrm>
          <a:off x="2190750" y="7128510"/>
          <a:ext cx="219075" cy="114300"/>
        </a:xfrm>
        <a:prstGeom prst="leftRightArrow">
          <a:avLst>
            <a:gd name="adj1" fmla="val 50000"/>
            <a:gd name="adj2" fmla="val 58182"/>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xdr:from>
          <xdr:col>19</xdr:col>
          <xdr:colOff>571500</xdr:colOff>
          <xdr:row>1</xdr:row>
          <xdr:rowOff>352425</xdr:rowOff>
        </xdr:from>
        <xdr:to>
          <xdr:col>23</xdr:col>
          <xdr:colOff>228600</xdr:colOff>
          <xdr:row>4</xdr:row>
          <xdr:rowOff>142875</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100-000004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PDF Export</a:t>
              </a:r>
            </a:p>
          </xdr:txBody>
        </xdr:sp>
        <xdr:clientData fPrintsWithSheet="0"/>
      </xdr:twoCellAnchor>
    </mc:Choice>
    <mc:Fallback/>
  </mc:AlternateContent>
  <xdr:twoCellAnchor editAs="oneCell">
    <xdr:from>
      <xdr:col>13</xdr:col>
      <xdr:colOff>65256</xdr:colOff>
      <xdr:row>1</xdr:row>
      <xdr:rowOff>117345</xdr:rowOff>
    </xdr:from>
    <xdr:to>
      <xdr:col>17</xdr:col>
      <xdr:colOff>598470</xdr:colOff>
      <xdr:row>2</xdr:row>
      <xdr:rowOff>155393</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stretch>
          <a:fillRect/>
        </a:stretch>
      </xdr:blipFill>
      <xdr:spPr>
        <a:xfrm>
          <a:off x="5216862" y="242994"/>
          <a:ext cx="1485714" cy="41904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438150</xdr:colOff>
          <xdr:row>1</xdr:row>
          <xdr:rowOff>676275</xdr:rowOff>
        </xdr:from>
        <xdr:to>
          <xdr:col>13</xdr:col>
          <xdr:colOff>2009775</xdr:colOff>
          <xdr:row>1</xdr:row>
          <xdr:rowOff>895350</xdr:rowOff>
        </xdr:to>
        <xdr:sp macro="" textlink="">
          <xdr:nvSpPr>
            <xdr:cNvPr id="11281" name="ComboBox2" hidden="1">
              <a:extLst>
                <a:ext uri="{63B3BB69-23CF-44E3-9099-C40C66FF867C}">
                  <a14:compatExt spid="_x0000_s11281"/>
                </a:ext>
                <a:ext uri="{FF2B5EF4-FFF2-40B4-BE49-F238E27FC236}">
                  <a16:creationId xmlns:a16="http://schemas.microsoft.com/office/drawing/2014/main" id="{00000000-0008-0000-0200-00001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13</xdr:col>
      <xdr:colOff>1961029</xdr:colOff>
      <xdr:row>0</xdr:row>
      <xdr:rowOff>437030</xdr:rowOff>
    </xdr:from>
    <xdr:to>
      <xdr:col>15</xdr:col>
      <xdr:colOff>412625</xdr:colOff>
      <xdr:row>0</xdr:row>
      <xdr:rowOff>1103697</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22736735" y="437030"/>
          <a:ext cx="2485714" cy="66666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2276474</xdr:colOff>
      <xdr:row>0</xdr:row>
      <xdr:rowOff>142875</xdr:rowOff>
    </xdr:from>
    <xdr:to>
      <xdr:col>5</xdr:col>
      <xdr:colOff>3695513</xdr:colOff>
      <xdr:row>0</xdr:row>
      <xdr:rowOff>561923</xdr:rowOff>
    </xdr:to>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1"/>
        <a:stretch>
          <a:fillRect/>
        </a:stretch>
      </xdr:blipFill>
      <xdr:spPr>
        <a:xfrm>
          <a:off x="6572249" y="142875"/>
          <a:ext cx="1419039" cy="41904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489585</xdr:colOff>
      <xdr:row>0</xdr:row>
      <xdr:rowOff>112395</xdr:rowOff>
    </xdr:from>
    <xdr:to>
      <xdr:col>6</xdr:col>
      <xdr:colOff>1617344</xdr:colOff>
      <xdr:row>0</xdr:row>
      <xdr:rowOff>441734</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370" t="27154" r="12773" b="26030"/>
        <a:stretch/>
      </xdr:blipFill>
      <xdr:spPr>
        <a:xfrm>
          <a:off x="10563225" y="112395"/>
          <a:ext cx="1127759" cy="3293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171450</xdr:rowOff>
    </xdr:from>
    <xdr:to>
      <xdr:col>58</xdr:col>
      <xdr:colOff>228414</xdr:colOff>
      <xdr:row>0</xdr:row>
      <xdr:rowOff>590498</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0" y="171450"/>
          <a:ext cx="1485714" cy="41904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2.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rgb="FF00A89F"/>
    <pageSetUpPr fitToPage="1"/>
  </sheetPr>
  <dimension ref="B1:Y48"/>
  <sheetViews>
    <sheetView showGridLines="0" showRowColHeaders="0" tabSelected="1" zoomScaleNormal="100" workbookViewId="0">
      <selection activeCell="M10" sqref="M10:R11"/>
    </sheetView>
  </sheetViews>
  <sheetFormatPr defaultColWidth="9.140625" defaultRowHeight="14.25"/>
  <cols>
    <col min="1" max="1" width="2.7109375" style="1" customWidth="1"/>
    <col min="2" max="2" width="19.7109375" style="1" customWidth="1"/>
    <col min="3" max="14" width="5" style="1" customWidth="1"/>
    <col min="15" max="16" width="5" style="1" hidden="1" customWidth="1"/>
    <col min="17" max="18" width="9.28515625" style="1" customWidth="1"/>
    <col min="19" max="19" width="6.28515625" style="1" customWidth="1"/>
    <col min="20" max="21" width="9.140625" style="1"/>
    <col min="22" max="22" width="18" style="1" customWidth="1"/>
    <col min="23" max="16384" width="9.140625" style="1"/>
  </cols>
  <sheetData>
    <row r="1" spans="2:22" ht="9.9499999999999993" customHeight="1" thickBot="1"/>
    <row r="2" spans="2:22" ht="30" customHeight="1" thickTop="1" thickBot="1">
      <c r="B2" s="421" t="s">
        <v>513</v>
      </c>
      <c r="C2" s="422"/>
      <c r="D2" s="422"/>
      <c r="E2" s="422"/>
      <c r="F2" s="422"/>
      <c r="G2" s="422"/>
      <c r="H2" s="422"/>
      <c r="I2" s="422"/>
      <c r="J2" s="422"/>
      <c r="K2" s="422"/>
      <c r="L2" s="422"/>
      <c r="M2" s="422"/>
      <c r="N2" s="422"/>
      <c r="O2" s="422"/>
      <c r="P2" s="422"/>
      <c r="Q2" s="422"/>
      <c r="R2" s="423"/>
      <c r="T2" s="23"/>
    </row>
    <row r="3" spans="2:22" ht="20.25" customHeight="1" thickTop="1" thickBot="1">
      <c r="B3" s="424"/>
      <c r="C3" s="425"/>
      <c r="D3" s="425"/>
      <c r="E3" s="425"/>
      <c r="F3" s="425"/>
      <c r="G3" s="425"/>
      <c r="H3" s="425"/>
      <c r="I3" s="425"/>
      <c r="J3" s="426"/>
      <c r="K3" s="426"/>
      <c r="L3" s="426"/>
      <c r="M3" s="426"/>
      <c r="N3" s="426"/>
      <c r="O3" s="426"/>
      <c r="P3" s="426"/>
      <c r="Q3" s="426"/>
      <c r="R3" s="427"/>
      <c r="V3" s="80"/>
    </row>
    <row r="4" spans="2:22" ht="15" customHeight="1" thickTop="1">
      <c r="B4" s="83" t="s">
        <v>286</v>
      </c>
      <c r="C4" s="428"/>
      <c r="D4" s="428"/>
      <c r="E4" s="428"/>
      <c r="F4" s="428"/>
      <c r="G4" s="428"/>
      <c r="H4" s="429"/>
      <c r="I4" s="399" t="s">
        <v>523</v>
      </c>
      <c r="J4" s="400"/>
      <c r="K4" s="400"/>
      <c r="L4" s="401"/>
      <c r="M4" s="395"/>
      <c r="N4" s="395"/>
      <c r="O4" s="395"/>
      <c r="P4" s="395"/>
      <c r="Q4" s="395"/>
      <c r="R4" s="396"/>
      <c r="T4" s="384" t="s">
        <v>199</v>
      </c>
      <c r="U4" s="385"/>
      <c r="V4" s="388" t="s">
        <v>567</v>
      </c>
    </row>
    <row r="5" spans="2:22" ht="15" customHeight="1" thickBot="1">
      <c r="B5" s="417" t="s">
        <v>0</v>
      </c>
      <c r="C5" s="419"/>
      <c r="D5" s="407"/>
      <c r="E5" s="407"/>
      <c r="F5" s="407"/>
      <c r="G5" s="407"/>
      <c r="H5" s="408"/>
      <c r="I5" s="128" t="s">
        <v>598</v>
      </c>
      <c r="J5" s="129"/>
      <c r="K5" s="129"/>
      <c r="L5" s="130"/>
      <c r="M5" s="298"/>
      <c r="N5" s="298"/>
      <c r="O5" s="298"/>
      <c r="P5" s="298"/>
      <c r="Q5" s="298"/>
      <c r="R5" s="299"/>
      <c r="T5" s="386"/>
      <c r="U5" s="387"/>
      <c r="V5" s="389"/>
    </row>
    <row r="6" spans="2:22" ht="15" customHeight="1" thickTop="1">
      <c r="B6" s="418"/>
      <c r="C6" s="420"/>
      <c r="D6" s="298"/>
      <c r="E6" s="298"/>
      <c r="F6" s="298"/>
      <c r="G6" s="298"/>
      <c r="H6" s="299"/>
      <c r="I6" s="128" t="s">
        <v>599</v>
      </c>
      <c r="J6" s="129"/>
      <c r="K6" s="129"/>
      <c r="L6" s="130"/>
      <c r="M6" s="298"/>
      <c r="N6" s="298"/>
      <c r="O6" s="298"/>
      <c r="P6" s="298"/>
      <c r="Q6" s="298"/>
      <c r="R6" s="299"/>
    </row>
    <row r="7" spans="2:22" ht="15" customHeight="1">
      <c r="B7" s="84" t="s">
        <v>224</v>
      </c>
      <c r="C7" s="402"/>
      <c r="D7" s="402"/>
      <c r="E7" s="402"/>
      <c r="F7" s="402"/>
      <c r="G7" s="402"/>
      <c r="H7" s="403"/>
      <c r="I7" s="131" t="s">
        <v>600</v>
      </c>
      <c r="J7" s="126"/>
      <c r="K7" s="126"/>
      <c r="L7" s="127"/>
      <c r="M7" s="298"/>
      <c r="N7" s="298"/>
      <c r="O7" s="298"/>
      <c r="P7" s="298"/>
      <c r="Q7" s="298"/>
      <c r="R7" s="299"/>
    </row>
    <row r="8" spans="2:22" ht="15" customHeight="1">
      <c r="B8" s="84" t="s">
        <v>517</v>
      </c>
      <c r="C8" s="324"/>
      <c r="D8" s="325"/>
      <c r="E8" s="325"/>
      <c r="F8" s="325"/>
      <c r="G8" s="325"/>
      <c r="H8" s="326"/>
      <c r="I8" s="131" t="s">
        <v>518</v>
      </c>
      <c r="J8" s="126"/>
      <c r="K8" s="126"/>
      <c r="L8" s="127"/>
      <c r="M8" s="298"/>
      <c r="N8" s="298"/>
      <c r="O8" s="298"/>
      <c r="P8" s="298"/>
      <c r="Q8" s="298"/>
      <c r="R8" s="299"/>
    </row>
    <row r="9" spans="2:22" ht="15" customHeight="1">
      <c r="B9" s="86" t="s">
        <v>207</v>
      </c>
      <c r="C9" s="407"/>
      <c r="D9" s="407"/>
      <c r="E9" s="407"/>
      <c r="F9" s="407"/>
      <c r="G9" s="407"/>
      <c r="H9" s="408"/>
      <c r="I9" s="131" t="s">
        <v>210</v>
      </c>
      <c r="J9" s="126"/>
      <c r="K9" s="126"/>
      <c r="L9" s="127"/>
      <c r="M9" s="322" t="s">
        <v>211</v>
      </c>
      <c r="N9" s="322"/>
      <c r="O9" s="322"/>
      <c r="P9" s="322"/>
      <c r="Q9" s="322"/>
      <c r="R9" s="323"/>
    </row>
    <row r="10" spans="2:22" ht="15" customHeight="1">
      <c r="B10" s="87" t="s">
        <v>1</v>
      </c>
      <c r="C10" s="404"/>
      <c r="D10" s="325"/>
      <c r="E10" s="325"/>
      <c r="F10" s="325"/>
      <c r="G10" s="325"/>
      <c r="H10" s="326"/>
      <c r="I10" s="409" t="s">
        <v>519</v>
      </c>
      <c r="J10" s="409"/>
      <c r="K10" s="409"/>
      <c r="L10" s="410"/>
      <c r="M10" s="412"/>
      <c r="N10" s="412"/>
      <c r="O10" s="412"/>
      <c r="P10" s="412"/>
      <c r="Q10" s="412"/>
      <c r="R10" s="413"/>
      <c r="S10" s="151" t="str">
        <f>IF(M10="","Please enter source text word count of the evaluated sample","")</f>
        <v>Please enter source text word count of the evaluated sample</v>
      </c>
    </row>
    <row r="11" spans="2:22" ht="17.100000000000001" customHeight="1" thickBot="1">
      <c r="B11" s="84" t="s">
        <v>10</v>
      </c>
      <c r="C11" s="404"/>
      <c r="D11" s="405"/>
      <c r="E11" s="405"/>
      <c r="F11" s="405"/>
      <c r="G11" s="405"/>
      <c r="H11" s="406"/>
      <c r="I11" s="411"/>
      <c r="J11" s="409"/>
      <c r="K11" s="409"/>
      <c r="L11" s="410"/>
      <c r="M11" s="412"/>
      <c r="N11" s="412"/>
      <c r="O11" s="412"/>
      <c r="P11" s="412"/>
      <c r="Q11" s="412"/>
      <c r="R11" s="413"/>
    </row>
    <row r="12" spans="2:22" ht="17.100000000000001" customHeight="1" thickTop="1" thickBot="1">
      <c r="B12" s="89" t="s">
        <v>9</v>
      </c>
      <c r="C12" s="404"/>
      <c r="D12" s="405"/>
      <c r="E12" s="405"/>
      <c r="F12" s="405"/>
      <c r="G12" s="405"/>
      <c r="H12" s="406"/>
      <c r="I12" s="397" t="s">
        <v>520</v>
      </c>
      <c r="J12" s="397"/>
      <c r="K12" s="397"/>
      <c r="L12" s="398"/>
      <c r="M12" s="414" t="s">
        <v>327</v>
      </c>
      <c r="N12" s="415"/>
      <c r="O12" s="415"/>
      <c r="P12" s="415"/>
      <c r="Q12" s="415"/>
      <c r="R12" s="416"/>
      <c r="S12" s="176"/>
    </row>
    <row r="13" spans="2:22" ht="15" customHeight="1" thickTop="1" thickBot="1">
      <c r="B13" s="71"/>
      <c r="C13" s="71"/>
      <c r="D13" s="71"/>
      <c r="E13" s="71"/>
      <c r="F13" s="71"/>
      <c r="G13" s="71"/>
      <c r="H13" s="71"/>
      <c r="O13" s="138"/>
    </row>
    <row r="14" spans="2:22" ht="39.950000000000003" customHeight="1" thickTop="1" thickBot="1">
      <c r="B14" s="94" t="s">
        <v>29</v>
      </c>
      <c r="C14" s="335" t="s">
        <v>328</v>
      </c>
      <c r="D14" s="332"/>
      <c r="E14" s="331" t="s">
        <v>28</v>
      </c>
      <c r="F14" s="332"/>
      <c r="G14" s="331" t="s">
        <v>30</v>
      </c>
      <c r="H14" s="332"/>
      <c r="I14" s="331" t="s">
        <v>288</v>
      </c>
      <c r="J14" s="332"/>
      <c r="K14" s="331" t="s">
        <v>30</v>
      </c>
      <c r="L14" s="332"/>
      <c r="M14" s="331" t="s">
        <v>214</v>
      </c>
      <c r="N14" s="332"/>
      <c r="O14" s="331" t="s">
        <v>30</v>
      </c>
      <c r="P14" s="335"/>
      <c r="Q14" s="452" t="s">
        <v>342</v>
      </c>
      <c r="R14" s="453"/>
    </row>
    <row r="15" spans="2:22" ht="15" customHeight="1" thickTop="1">
      <c r="B15" s="144" t="str">
        <f>Setup!J2</f>
        <v>Terminology</v>
      </c>
      <c r="C15" s="311">
        <f>SUMPRODUCT(('Evaluation details_input'!$F$1:$F$1000=$B15)*('Evaluation details_input'!$H$1:$H$1000=$C$14))</f>
        <v>0</v>
      </c>
      <c r="D15" s="312"/>
      <c r="E15" s="309">
        <f>SUMPRODUCT(('Evaluation details_input'!$F$4:$F$1000=$B15)*('Evaluation details_input'!$H$4:$H$1000=$E$14))</f>
        <v>0</v>
      </c>
      <c r="F15" s="310"/>
      <c r="G15" s="311">
        <f>SUM(Setup!AU5:AU8)</f>
        <v>0</v>
      </c>
      <c r="H15" s="312"/>
      <c r="I15" s="309">
        <f>SUMPRODUCT(('Evaluation details_input'!$F$2:$F$1000=$B15)*('Evaluation details_input'!$H$2:$H$1000=$I$14))</f>
        <v>0</v>
      </c>
      <c r="J15" s="310"/>
      <c r="K15" s="328">
        <f>SUM(Setup!AY5:AY8)</f>
        <v>0</v>
      </c>
      <c r="L15" s="312"/>
      <c r="M15" s="309">
        <f>SUMPRODUCT(('Evaluation details_input'!$F$2:$F$1000=$B15)*('Evaluation details_input'!$H$2:$H$1000=$M$14))</f>
        <v>0</v>
      </c>
      <c r="N15" s="321"/>
      <c r="O15" s="336">
        <f>M15*100</f>
        <v>0</v>
      </c>
      <c r="P15" s="337"/>
      <c r="Q15" s="315">
        <f>G15+K15+O15</f>
        <v>0</v>
      </c>
      <c r="R15" s="316"/>
    </row>
    <row r="16" spans="2:22" ht="15" customHeight="1">
      <c r="B16" s="145" t="str">
        <f>Setup!K2</f>
        <v>Accuracy</v>
      </c>
      <c r="C16" s="300">
        <f>SUMPRODUCT(('Evaluation details_input'!$F$1:$F$1000=$B16)*('Evaluation details_input'!$H$1:$H$1000=$C$14))</f>
        <v>0</v>
      </c>
      <c r="D16" s="301"/>
      <c r="E16" s="313">
        <f>SUMPRODUCT(('Evaluation details_input'!$F$4:$F$1000=$B16)*('Evaluation details_input'!$H$4:$H$1000=$E$14))</f>
        <v>0</v>
      </c>
      <c r="F16" s="314"/>
      <c r="G16" s="300">
        <f>SUM(Setup!AU10:AU17)</f>
        <v>0</v>
      </c>
      <c r="H16" s="301"/>
      <c r="I16" s="313">
        <f>SUMPRODUCT(('Evaluation details_input'!$F$2:$F$1000=$B16)*('Evaluation details_input'!$H$2:$H$1000=$I$14))</f>
        <v>0</v>
      </c>
      <c r="J16" s="314"/>
      <c r="K16" s="333">
        <f>SUM(Setup!AY10:AY17)</f>
        <v>0</v>
      </c>
      <c r="L16" s="334"/>
      <c r="M16" s="313">
        <f>SUMPRODUCT(('Evaluation details_input'!$F$2:$F$1000=$B16)*('Evaluation details_input'!$H$2:$H$1000=$M$14))</f>
        <v>0</v>
      </c>
      <c r="N16" s="327"/>
      <c r="O16" s="329">
        <f>M16*100</f>
        <v>0</v>
      </c>
      <c r="P16" s="330"/>
      <c r="Q16" s="317">
        <f>G16+K16+O16</f>
        <v>0</v>
      </c>
      <c r="R16" s="318"/>
    </row>
    <row r="17" spans="2:19" ht="15" customHeight="1">
      <c r="B17" s="146" t="str">
        <f>Setup!L2</f>
        <v>Linguistic conventions</v>
      </c>
      <c r="C17" s="300">
        <f>SUMPRODUCT(('Evaluation details_input'!$F$1:$F$1000=$B17)*('Evaluation details_input'!$H$1:$H$1000=$C$14))</f>
        <v>0</v>
      </c>
      <c r="D17" s="301"/>
      <c r="E17" s="313">
        <f>SUMPRODUCT(('Evaluation details_input'!$F$4:$F$1000=$B17)*('Evaluation details_input'!$H$4:$H$1000=$E$14))</f>
        <v>0</v>
      </c>
      <c r="F17" s="314"/>
      <c r="G17" s="300">
        <f>SUM(Setup!AU19:AU24)</f>
        <v>0</v>
      </c>
      <c r="H17" s="301"/>
      <c r="I17" s="313">
        <f>SUMPRODUCT(('Evaluation details_input'!$F$2:$F$1000=$B17)*('Evaluation details_input'!$H$2:$H$1000=$I$14))</f>
        <v>0</v>
      </c>
      <c r="J17" s="314"/>
      <c r="K17" s="333">
        <f>SUM(Setup!AY19:AY24)</f>
        <v>0</v>
      </c>
      <c r="L17" s="334"/>
      <c r="M17" s="313">
        <f>SUMPRODUCT(('Evaluation details_input'!$F$2:$F$1000=$B17)*('Evaluation details_input'!$H$2:$H$1000=$M$14))</f>
        <v>0</v>
      </c>
      <c r="N17" s="327"/>
      <c r="O17" s="329">
        <f>M17*100</f>
        <v>0</v>
      </c>
      <c r="P17" s="330"/>
      <c r="Q17" s="319">
        <f>G17+K17+O17</f>
        <v>0</v>
      </c>
      <c r="R17" s="320"/>
    </row>
    <row r="18" spans="2:19" ht="15" customHeight="1">
      <c r="B18" s="146" t="str">
        <f>Setup!M2</f>
        <v>Style</v>
      </c>
      <c r="C18" s="300">
        <f>SUMPRODUCT(('Evaluation details_input'!$F$1:$F$1000=$B18)*('Evaluation details_input'!$H$1:$H$1000=$C$14))</f>
        <v>0</v>
      </c>
      <c r="D18" s="301"/>
      <c r="E18" s="302">
        <f>SUMPRODUCT(('Evaluation details_input'!$F$4:$F$1000=$B18)*('Evaluation details_input'!$H$4:$H$1000=$E$14))</f>
        <v>0</v>
      </c>
      <c r="F18" s="303"/>
      <c r="G18" s="300">
        <f>IF(Adequacy="Economy","Out of Scope",SUM(Setup!AU26:AU33))</f>
        <v>0</v>
      </c>
      <c r="H18" s="301"/>
      <c r="I18" s="302">
        <f>SUMPRODUCT(('Evaluation details_input'!$F$2:$F$1000=$B18)*('Evaluation details_input'!$H$2:$H$1000=$I$14))</f>
        <v>0</v>
      </c>
      <c r="J18" s="303"/>
      <c r="K18" s="393">
        <f>IF(Adequacy="Economy","Out of Scope",SUM(Setup!AY26:AY33))</f>
        <v>0</v>
      </c>
      <c r="L18" s="301"/>
      <c r="M18" s="302">
        <f>SUMPRODUCT(('Evaluation details_input'!$F$2:$F$1000=$B18)*('Evaluation details_input'!$H$2:$H$1000=$M$14))</f>
        <v>0</v>
      </c>
      <c r="N18" s="304"/>
      <c r="O18" s="307">
        <f>IF(Adequacy="Economy","Out of Scope",M18*100)</f>
        <v>0</v>
      </c>
      <c r="P18" s="308"/>
      <c r="Q18" s="317">
        <f>IF(Adequacy="Economy","Out of Scope",G18+K18+O18)</f>
        <v>0</v>
      </c>
      <c r="R18" s="318"/>
    </row>
    <row r="19" spans="2:19" ht="15" customHeight="1">
      <c r="B19" s="145" t="str">
        <f>Setup!N2</f>
        <v>Locale conventions</v>
      </c>
      <c r="C19" s="394">
        <f>SUMPRODUCT(('Evaluation details_input'!$F$1:$F$1000=$B19)*('Evaluation details_input'!$H$1:$H$1000=$C$14))</f>
        <v>0</v>
      </c>
      <c r="D19" s="334"/>
      <c r="E19" s="313">
        <f>SUMPRODUCT(('Evaluation details_input'!$F$4:$F$1000=$B19)*('Evaluation details_input'!$H$4:$H$1000=$E$14))</f>
        <v>0</v>
      </c>
      <c r="F19" s="314"/>
      <c r="G19" s="394">
        <f>SUM(Setup!AU35:AU43)</f>
        <v>0</v>
      </c>
      <c r="H19" s="334"/>
      <c r="I19" s="313">
        <f>SUMPRODUCT(('Evaluation details_input'!$F$2:$F$1000=$B19)*('Evaluation details_input'!$H$2:$H$1000=$I$14))</f>
        <v>0</v>
      </c>
      <c r="J19" s="314"/>
      <c r="K19" s="394">
        <f>SUM(Setup!AY35:AY43)</f>
        <v>0</v>
      </c>
      <c r="L19" s="334"/>
      <c r="M19" s="313">
        <f>SUMPRODUCT(('Evaluation details_input'!$F$2:$F$1000=$B19)*('Evaluation details_input'!$H$2:$H$1000=$M$14))</f>
        <v>0</v>
      </c>
      <c r="N19" s="327"/>
      <c r="O19" s="329">
        <f>M19*100</f>
        <v>0</v>
      </c>
      <c r="P19" s="330"/>
      <c r="Q19" s="317">
        <f>G19+K19+O19</f>
        <v>0</v>
      </c>
      <c r="R19" s="318"/>
      <c r="S19" s="88"/>
    </row>
    <row r="20" spans="2:19" ht="15" customHeight="1">
      <c r="B20" s="149" t="str">
        <f>Setup!O2</f>
        <v>Audience appropriateness</v>
      </c>
      <c r="C20" s="300">
        <f>SUMPRODUCT(('Evaluation details_input'!$F$1:$F$1000=$B20)*('Evaluation details_input'!$H$1:$H$1000=$C$14))</f>
        <v>0</v>
      </c>
      <c r="D20" s="301"/>
      <c r="E20" s="302">
        <f>SUMPRODUCT(('Evaluation details_input'!$F$4:$F$1000=$B20)*('Evaluation details_input'!$H$4:$H$1000=$E$14))</f>
        <v>0</v>
      </c>
      <c r="F20" s="303"/>
      <c r="G20" s="300">
        <f>IF(Adequacy="Economy","Out of Scope",SUM(Setup!AU45:AU46))</f>
        <v>0</v>
      </c>
      <c r="H20" s="301"/>
      <c r="I20" s="302">
        <f>SUMPRODUCT(('Evaluation details_input'!$F$2:$F$1000=$B20)*('Evaluation details_input'!$H$2:$H$1000=$I$14))</f>
        <v>0</v>
      </c>
      <c r="J20" s="303"/>
      <c r="K20" s="300">
        <f>IF(Adequacy="Economy","Out of Scope",SUM(Setup!AY45:AY46))</f>
        <v>0</v>
      </c>
      <c r="L20" s="301"/>
      <c r="M20" s="302">
        <f>SUMPRODUCT(('Evaluation details_input'!$F$2:$F$1000=$B20)*('Evaluation details_input'!$H$2:$H$1000=$M$14))</f>
        <v>0</v>
      </c>
      <c r="N20" s="304"/>
      <c r="O20" s="307">
        <f>IF(Adequacy="Economy","Out of Scope",M20*100)</f>
        <v>0</v>
      </c>
      <c r="P20" s="308"/>
      <c r="Q20" s="305">
        <f>IF(Adequacy="Economy","Out of Scope",G20+K20+O20)</f>
        <v>0</v>
      </c>
      <c r="R20" s="306"/>
    </row>
    <row r="21" spans="2:19" ht="15" customHeight="1">
      <c r="B21" s="147" t="str">
        <f>Setup!P2</f>
        <v>Design and markup</v>
      </c>
      <c r="C21" s="300">
        <f>SUMPRODUCT(('Evaluation details_input'!$F$1:$F$1000=$B21)*('Evaluation details_input'!$H$1:$H$1000=$C$14))</f>
        <v>0</v>
      </c>
      <c r="D21" s="301"/>
      <c r="E21" s="302">
        <f>SUMPRODUCT(('Evaluation details_input'!$F$4:$F$1000=$B21)*('Evaluation details_input'!$H$4:$H$1000=$E$14))</f>
        <v>0</v>
      </c>
      <c r="F21" s="303"/>
      <c r="G21" s="300">
        <f>IF(Adequacy="Economy","Out of Scope",SUM(Setup!AU48:AU54))</f>
        <v>0</v>
      </c>
      <c r="H21" s="301"/>
      <c r="I21" s="302">
        <f>SUMPRODUCT(('Evaluation details_input'!$F$2:$F$1000=$B21)*('Evaluation details_input'!$H$2:$H$1000=$I$14))</f>
        <v>0</v>
      </c>
      <c r="J21" s="303"/>
      <c r="K21" s="300">
        <f>IF(Adequacy="Economy","Out of Scope",SUM(Setup!AY48:AY54))</f>
        <v>0</v>
      </c>
      <c r="L21" s="301"/>
      <c r="M21" s="302">
        <f>SUMPRODUCT(('Evaluation details_input'!$F$2:$F$1000=$B21)*('Evaluation details_input'!$H$2:$H$1000=$M$14))</f>
        <v>0</v>
      </c>
      <c r="N21" s="304"/>
      <c r="O21" s="307">
        <f>IF(Adequacy="Economy","Out of Scope",M21*100)</f>
        <v>0</v>
      </c>
      <c r="P21" s="308"/>
      <c r="Q21" s="305">
        <f>IF(Adequacy="Economy","Out of Scope",G21+K21+O21)</f>
        <v>0</v>
      </c>
      <c r="R21" s="306"/>
    </row>
    <row r="22" spans="2:19" ht="15" customHeight="1" thickBot="1">
      <c r="B22" s="148" t="str">
        <f>Setup!Q2</f>
        <v>Other</v>
      </c>
      <c r="C22" s="349">
        <f>SUMPRODUCT(('Evaluation details_input'!$F$1:$F$1000=$B22)*('Evaluation details_input'!$H$1:$H$1000=$C$14))</f>
        <v>0</v>
      </c>
      <c r="D22" s="350"/>
      <c r="E22" s="360">
        <f>SUMPRODUCT(('Evaluation details_input'!$F$4:$F$1000=$B22)*('Evaluation details_input'!$H$4:$H$1000=$E$14))</f>
        <v>0</v>
      </c>
      <c r="F22" s="361"/>
      <c r="G22" s="349">
        <f>IF(Adequacy="Economy","Out of Scope",0)</f>
        <v>0</v>
      </c>
      <c r="H22" s="350"/>
      <c r="I22" s="360">
        <f>SUMPRODUCT(('Evaluation details_input'!$F$2:$F$1000=$B22)*('Evaluation details_input'!$H$2:$H$1000=$I$14))</f>
        <v>0</v>
      </c>
      <c r="J22" s="361"/>
      <c r="K22" s="349">
        <f>IF(Adequacy="Economy","Out of Scope",0)</f>
        <v>0</v>
      </c>
      <c r="L22" s="350"/>
      <c r="M22" s="360">
        <f>SUMPRODUCT(('Evaluation details_input'!$F$2:$F$1000=$B22)*('Evaluation details_input'!$H$2:$H$1000=$M$14))</f>
        <v>0</v>
      </c>
      <c r="N22" s="451"/>
      <c r="O22" s="370">
        <f>IF(Adequacy="Economy","Out of Scope",0)</f>
        <v>0</v>
      </c>
      <c r="P22" s="350"/>
      <c r="Q22" s="449">
        <f>IF(Adequacy="Economy","Out of Scope",G22+K22+O22)</f>
        <v>0</v>
      </c>
      <c r="R22" s="450"/>
    </row>
    <row r="23" spans="2:19" ht="15" customHeight="1" thickTop="1" thickBot="1">
      <c r="B23" s="20"/>
      <c r="C23" s="17"/>
      <c r="D23" s="18"/>
      <c r="E23" s="17"/>
      <c r="F23" s="17"/>
      <c r="G23" s="17"/>
      <c r="H23" s="17"/>
      <c r="I23" s="17"/>
      <c r="J23" s="17"/>
      <c r="K23" s="18"/>
      <c r="L23" s="18"/>
      <c r="M23" s="454">
        <f>SUM(M15:N22)</f>
        <v>0</v>
      </c>
      <c r="N23" s="454"/>
      <c r="O23" s="18"/>
      <c r="P23" s="18"/>
      <c r="Q23" s="18"/>
      <c r="R23" s="3"/>
    </row>
    <row r="24" spans="2:19" ht="15" customHeight="1" thickTop="1" thickBot="1">
      <c r="B24" s="20"/>
      <c r="C24" s="365" t="s">
        <v>324</v>
      </c>
      <c r="D24" s="335"/>
      <c r="E24" s="335"/>
      <c r="F24" s="366"/>
      <c r="G24" s="82">
        <f>COUNTIF('Evaluation details_input'!$G$4:$G$1000,"Legacy Data")</f>
        <v>0</v>
      </c>
      <c r="H24" s="16"/>
      <c r="J24" s="365" t="s">
        <v>325</v>
      </c>
      <c r="K24" s="335"/>
      <c r="L24" s="335"/>
      <c r="M24" s="366"/>
      <c r="N24" s="82">
        <f>COUNTIF('Evaluation details_input'!$G$4:$G$1000,"Source Text Data")</f>
        <v>0</v>
      </c>
      <c r="R24" s="3"/>
    </row>
    <row r="25" spans="2:19" ht="15" customHeight="1" thickTop="1" thickBot="1">
      <c r="B25" s="2"/>
      <c r="C25" s="359"/>
      <c r="D25" s="359"/>
      <c r="E25" s="3"/>
      <c r="F25" s="3"/>
      <c r="G25" s="351"/>
      <c r="H25" s="351"/>
      <c r="I25" s="3"/>
      <c r="J25" s="3"/>
      <c r="K25" s="10"/>
      <c r="L25" s="9"/>
      <c r="M25" s="9"/>
      <c r="N25" s="9"/>
      <c r="O25" s="9"/>
      <c r="P25" s="9"/>
      <c r="Q25" s="9"/>
      <c r="R25" s="5"/>
    </row>
    <row r="26" spans="2:19" ht="18" customHeight="1" thickTop="1">
      <c r="B26" s="446" t="s">
        <v>2</v>
      </c>
      <c r="C26" s="447"/>
      <c r="D26" s="447"/>
      <c r="E26" s="447"/>
      <c r="F26" s="447"/>
      <c r="G26" s="447"/>
      <c r="H26" s="447"/>
      <c r="I26" s="447"/>
      <c r="J26" s="447"/>
      <c r="K26" s="447"/>
      <c r="L26" s="447"/>
      <c r="M26" s="447"/>
      <c r="N26" s="447"/>
      <c r="O26" s="447"/>
      <c r="P26" s="447"/>
      <c r="Q26" s="447"/>
      <c r="R26" s="448"/>
      <c r="S26" s="35"/>
    </row>
    <row r="27" spans="2:19" ht="15" customHeight="1" thickBot="1">
      <c r="B27" s="72"/>
      <c r="C27" s="4"/>
      <c r="D27" s="4"/>
      <c r="E27" s="4"/>
      <c r="F27" s="4"/>
      <c r="G27" s="4"/>
      <c r="H27" s="4"/>
      <c r="I27" s="4"/>
      <c r="O27" s="39"/>
      <c r="P27" s="39"/>
      <c r="R27" s="73"/>
      <c r="S27" s="72"/>
    </row>
    <row r="28" spans="2:19" ht="20.100000000000001" customHeight="1">
      <c r="B28" s="74"/>
      <c r="C28" s="430" t="s">
        <v>326</v>
      </c>
      <c r="D28" s="431"/>
      <c r="F28" s="440" t="s">
        <v>323</v>
      </c>
      <c r="G28" s="441"/>
      <c r="H28" s="442"/>
      <c r="J28" s="434" t="s">
        <v>218</v>
      </c>
      <c r="K28" s="435"/>
      <c r="L28" s="436"/>
      <c r="M28" s="455" t="s">
        <v>219</v>
      </c>
      <c r="N28" s="456"/>
      <c r="O28" s="456"/>
      <c r="P28" s="456"/>
      <c r="Q28" s="456"/>
      <c r="R28" s="457"/>
      <c r="S28" s="37"/>
    </row>
    <row r="29" spans="2:19" ht="20.100000000000001" customHeight="1">
      <c r="B29" s="75"/>
      <c r="C29" s="432"/>
      <c r="D29" s="433"/>
      <c r="F29" s="443"/>
      <c r="G29" s="444"/>
      <c r="H29" s="445"/>
      <c r="J29" s="437"/>
      <c r="K29" s="438"/>
      <c r="L29" s="439"/>
      <c r="M29" s="455"/>
      <c r="N29" s="456"/>
      <c r="O29" s="456"/>
      <c r="P29" s="456"/>
      <c r="Q29" s="456"/>
      <c r="R29" s="457"/>
      <c r="S29" s="16"/>
    </row>
    <row r="30" spans="2:19" ht="20.100000000000001" customHeight="1" thickBot="1">
      <c r="B30" s="76"/>
      <c r="C30" s="363">
        <f xml:space="preserve">
IF(Adequacy="Economy",ROUNDDOWN('Evaluation Report_Initial'!$M$10*(4/110),0),
IF(Adequacy="Value",ROUNDDOWN('Evaluation Report_Initial'!$M$10*(2/110),0),
ROUNDDOWN('Evaluation Report_Initial'!$M$10*(1/110),0)))</f>
        <v>0</v>
      </c>
      <c r="D30" s="364"/>
      <c r="E30" s="45"/>
      <c r="F30" s="367">
        <f>SUM(Q15:R22)</f>
        <v>0</v>
      </c>
      <c r="G30" s="368"/>
      <c r="H30" s="369"/>
      <c r="I30" s="45"/>
      <c r="J30" s="390" t="str">
        <f>IFERROR(1-(SUM(E15:F22,I15:J22,M15:N22)/M10),"")</f>
        <v/>
      </c>
      <c r="K30" s="391"/>
      <c r="L30" s="392"/>
      <c r="O30" s="39"/>
      <c r="P30" s="39"/>
      <c r="Q30" s="27"/>
      <c r="R30" s="73"/>
      <c r="S30" s="38"/>
    </row>
    <row r="31" spans="2:19" ht="15" customHeight="1" thickBot="1">
      <c r="B31" s="76"/>
      <c r="E31" s="15"/>
      <c r="F31" s="354"/>
      <c r="G31" s="354"/>
      <c r="H31" s="34"/>
      <c r="K31" s="24"/>
      <c r="L31" s="24"/>
      <c r="O31" s="24"/>
      <c r="P31" s="24"/>
      <c r="Q31" s="19"/>
      <c r="R31" s="77"/>
      <c r="S31" s="38"/>
    </row>
    <row r="32" spans="2:19" ht="15" customHeight="1" thickBot="1">
      <c r="B32" s="76"/>
      <c r="C32" s="353" t="s">
        <v>292</v>
      </c>
      <c r="D32" s="353"/>
      <c r="E32" s="353"/>
      <c r="F32" s="353"/>
      <c r="G32" s="353"/>
      <c r="H32" s="353"/>
      <c r="J32" s="371" t="str">
        <f xml:space="preserve">
IFERROR(IF(Adequacy="Value",
IF(100-(F30/2/M10)*1100&lt;0,0,100-(F30/2/M10)*1100),
IF(Adequacy="Economy",
IF(100-(F30/4/M10)*1100&lt;0,0,100-(F30/4/M10)*1100),
IF(100-(F30/M10)*1100&lt;0,0,100-(F30/M10)*1100))),"")</f>
        <v/>
      </c>
      <c r="K32" s="372"/>
      <c r="L32" s="373"/>
      <c r="M32" s="355" t="str">
        <f xml:space="preserve">
IF(M10&lt;500,"Small File QE",
IF(J32&gt;=90,"Pass","No Pass"))</f>
        <v>Small File QE</v>
      </c>
      <c r="N32" s="356"/>
      <c r="O32" s="40"/>
      <c r="P32" s="40"/>
      <c r="Q32" s="19"/>
      <c r="R32" s="77"/>
      <c r="S32" s="38"/>
    </row>
    <row r="33" spans="2:25" ht="15" customHeight="1" thickBot="1">
      <c r="B33" s="76"/>
      <c r="C33" s="95">
        <v>0</v>
      </c>
      <c r="D33" s="241" t="s">
        <v>293</v>
      </c>
      <c r="E33" s="352">
        <v>90</v>
      </c>
      <c r="F33" s="352"/>
      <c r="G33" s="102"/>
      <c r="H33" s="101" t="s">
        <v>294</v>
      </c>
      <c r="J33" s="374"/>
      <c r="K33" s="375"/>
      <c r="L33" s="376"/>
      <c r="M33" s="357"/>
      <c r="N33" s="358"/>
      <c r="O33" s="40"/>
      <c r="P33" s="40"/>
      <c r="Q33" s="19"/>
      <c r="R33" s="77"/>
      <c r="S33" s="38"/>
    </row>
    <row r="34" spans="2:25" ht="15" customHeight="1">
      <c r="B34" s="76"/>
      <c r="C34" s="381" t="s">
        <v>5</v>
      </c>
      <c r="D34" s="381"/>
      <c r="E34" s="362" t="s">
        <v>206</v>
      </c>
      <c r="F34" s="362"/>
      <c r="G34" s="380" t="s">
        <v>6</v>
      </c>
      <c r="H34" s="380"/>
      <c r="J34" s="377" t="s">
        <v>282</v>
      </c>
      <c r="K34" s="377"/>
      <c r="L34" s="377"/>
      <c r="M34" s="377"/>
      <c r="N34" s="377"/>
      <c r="O34" s="42"/>
      <c r="P34" s="42"/>
      <c r="Q34" s="42"/>
      <c r="R34" s="78"/>
      <c r="S34" s="38"/>
    </row>
    <row r="35" spans="2:25" ht="15" customHeight="1">
      <c r="B35" s="76"/>
      <c r="C35" s="21"/>
      <c r="D35" s="16"/>
      <c r="E35" s="41"/>
      <c r="F35" s="41"/>
      <c r="G35" s="8"/>
      <c r="H35" s="22"/>
      <c r="J35" s="121" t="str">
        <f>IF(M10&lt;500,"",IF((J32&lt;90),"No Pass due to score less than 90",""))</f>
        <v/>
      </c>
      <c r="K35" s="103"/>
      <c r="L35" s="122"/>
      <c r="M35" s="122"/>
      <c r="N35" s="122"/>
      <c r="O35" s="42"/>
      <c r="P35" s="42"/>
      <c r="Q35" s="42"/>
      <c r="R35" s="78"/>
      <c r="S35" s="38"/>
    </row>
    <row r="36" spans="2:25" ht="15" customHeight="1" thickBot="1">
      <c r="B36" s="109"/>
      <c r="C36" s="115"/>
      <c r="D36" s="116"/>
      <c r="E36" s="111"/>
      <c r="F36" s="111"/>
      <c r="G36" s="117"/>
      <c r="H36" s="118"/>
      <c r="I36" s="80"/>
      <c r="J36" s="123">
        <f>IF((SUM(M15:N21)&gt;=1),"No Pass due to Critical Error",0)</f>
        <v>0</v>
      </c>
      <c r="K36" s="124"/>
      <c r="L36" s="124"/>
      <c r="M36" s="125"/>
      <c r="N36" s="125"/>
      <c r="O36" s="113"/>
      <c r="P36" s="113"/>
      <c r="Q36" s="113"/>
      <c r="R36" s="114"/>
      <c r="S36" s="38"/>
    </row>
    <row r="37" spans="2:25" ht="15" customHeight="1" thickTop="1" thickBot="1"/>
    <row r="38" spans="2:25" ht="29.25" customHeight="1" thickTop="1" thickBot="1">
      <c r="B38" s="347" t="s">
        <v>347</v>
      </c>
      <c r="C38" s="348"/>
      <c r="D38" s="348"/>
      <c r="E38" s="348"/>
      <c r="F38" s="348"/>
      <c r="G38" s="382" t="s">
        <v>358</v>
      </c>
      <c r="H38" s="382"/>
      <c r="I38" s="382"/>
      <c r="J38" s="382"/>
      <c r="K38" s="382"/>
      <c r="L38" s="382"/>
      <c r="M38" s="382"/>
      <c r="N38" s="383"/>
      <c r="O38" s="378"/>
      <c r="P38" s="378"/>
      <c r="Q38" s="378"/>
      <c r="R38" s="379"/>
      <c r="S38" s="104" t="str">
        <f>IF(O38="","Please select the grade for Overall Impression","")</f>
        <v>Please select the grade for Overall Impression</v>
      </c>
      <c r="T38" s="103"/>
      <c r="U38" s="103"/>
      <c r="V38" s="103"/>
      <c r="W38" s="103"/>
      <c r="X38" s="103"/>
    </row>
    <row r="39" spans="2:25" ht="15" customHeight="1" thickTop="1">
      <c r="B39" s="338"/>
      <c r="C39" s="339"/>
      <c r="D39" s="339"/>
      <c r="E39" s="339"/>
      <c r="F39" s="339"/>
      <c r="G39" s="339"/>
      <c r="H39" s="339"/>
      <c r="I39" s="339"/>
      <c r="J39" s="339"/>
      <c r="K39" s="339"/>
      <c r="L39" s="339"/>
      <c r="M39" s="339"/>
      <c r="N39" s="339"/>
      <c r="O39" s="339"/>
      <c r="P39" s="339"/>
      <c r="Q39" s="339"/>
      <c r="R39" s="340"/>
      <c r="S39" s="105" t="str">
        <f>IF(B39="","Please fill in the Overall Impression &amp; Comments section","")</f>
        <v>Please fill in the Overall Impression &amp; Comments section</v>
      </c>
      <c r="T39" s="105"/>
      <c r="U39" s="105"/>
      <c r="V39" s="105"/>
      <c r="W39" s="105"/>
      <c r="X39" s="105"/>
      <c r="Y39" s="33"/>
    </row>
    <row r="40" spans="2:25" ht="15" customHeight="1">
      <c r="B40" s="341"/>
      <c r="C40" s="342"/>
      <c r="D40" s="342"/>
      <c r="E40" s="342"/>
      <c r="F40" s="342"/>
      <c r="G40" s="342"/>
      <c r="H40" s="342"/>
      <c r="I40" s="342"/>
      <c r="J40" s="342"/>
      <c r="K40" s="342"/>
      <c r="L40" s="342"/>
      <c r="M40" s="342"/>
      <c r="N40" s="342"/>
      <c r="O40" s="342"/>
      <c r="P40" s="342"/>
      <c r="Q40" s="342"/>
      <c r="R40" s="343"/>
      <c r="S40" s="103"/>
      <c r="T40" s="103"/>
      <c r="U40" s="103"/>
      <c r="V40" s="103"/>
      <c r="W40" s="103"/>
      <c r="X40" s="103"/>
    </row>
    <row r="41" spans="2:25" ht="15" customHeight="1">
      <c r="B41" s="341"/>
      <c r="C41" s="342"/>
      <c r="D41" s="342"/>
      <c r="E41" s="342"/>
      <c r="F41" s="342"/>
      <c r="G41" s="342"/>
      <c r="H41" s="342"/>
      <c r="I41" s="342"/>
      <c r="J41" s="342"/>
      <c r="K41" s="342"/>
      <c r="L41" s="342"/>
      <c r="M41" s="342"/>
      <c r="N41" s="342"/>
      <c r="O41" s="342"/>
      <c r="P41" s="342"/>
      <c r="Q41" s="342"/>
      <c r="R41" s="343"/>
    </row>
    <row r="42" spans="2:25" ht="15" customHeight="1">
      <c r="B42" s="341"/>
      <c r="C42" s="342"/>
      <c r="D42" s="342"/>
      <c r="E42" s="342"/>
      <c r="F42" s="342"/>
      <c r="G42" s="342"/>
      <c r="H42" s="342"/>
      <c r="I42" s="342"/>
      <c r="J42" s="342"/>
      <c r="K42" s="342"/>
      <c r="L42" s="342"/>
      <c r="M42" s="342"/>
      <c r="N42" s="342"/>
      <c r="O42" s="342"/>
      <c r="P42" s="342"/>
      <c r="Q42" s="342"/>
      <c r="R42" s="343"/>
    </row>
    <row r="43" spans="2:25" ht="15" customHeight="1">
      <c r="B43" s="341"/>
      <c r="C43" s="342"/>
      <c r="D43" s="342"/>
      <c r="E43" s="342"/>
      <c r="F43" s="342"/>
      <c r="G43" s="342"/>
      <c r="H43" s="342"/>
      <c r="I43" s="342"/>
      <c r="J43" s="342"/>
      <c r="K43" s="342"/>
      <c r="L43" s="342"/>
      <c r="M43" s="342"/>
      <c r="N43" s="342"/>
      <c r="O43" s="342"/>
      <c r="P43" s="342"/>
      <c r="Q43" s="342"/>
      <c r="R43" s="343"/>
    </row>
    <row r="44" spans="2:25" ht="15" customHeight="1">
      <c r="B44" s="341"/>
      <c r="C44" s="342"/>
      <c r="D44" s="342"/>
      <c r="E44" s="342"/>
      <c r="F44" s="342"/>
      <c r="G44" s="342"/>
      <c r="H44" s="342"/>
      <c r="I44" s="342"/>
      <c r="J44" s="342"/>
      <c r="K44" s="342"/>
      <c r="L44" s="342"/>
      <c r="M44" s="342"/>
      <c r="N44" s="342"/>
      <c r="O44" s="342"/>
      <c r="P44" s="342"/>
      <c r="Q44" s="342"/>
      <c r="R44" s="343"/>
    </row>
    <row r="45" spans="2:25" ht="15" customHeight="1">
      <c r="B45" s="341"/>
      <c r="C45" s="342"/>
      <c r="D45" s="342"/>
      <c r="E45" s="342"/>
      <c r="F45" s="342"/>
      <c r="G45" s="342"/>
      <c r="H45" s="342"/>
      <c r="I45" s="342"/>
      <c r="J45" s="342"/>
      <c r="K45" s="342"/>
      <c r="L45" s="342"/>
      <c r="M45" s="342"/>
      <c r="N45" s="342"/>
      <c r="O45" s="342"/>
      <c r="P45" s="342"/>
      <c r="Q45" s="342"/>
      <c r="R45" s="343"/>
    </row>
    <row r="46" spans="2:25" ht="15" customHeight="1">
      <c r="B46" s="341"/>
      <c r="C46" s="342"/>
      <c r="D46" s="342"/>
      <c r="E46" s="342"/>
      <c r="F46" s="342"/>
      <c r="G46" s="342"/>
      <c r="H46" s="342"/>
      <c r="I46" s="342"/>
      <c r="J46" s="342"/>
      <c r="K46" s="342"/>
      <c r="L46" s="342"/>
      <c r="M46" s="342"/>
      <c r="N46" s="342"/>
      <c r="O46" s="342"/>
      <c r="P46" s="342"/>
      <c r="Q46" s="342"/>
      <c r="R46" s="343"/>
    </row>
    <row r="47" spans="2:25" ht="15" customHeight="1" thickBot="1">
      <c r="B47" s="344"/>
      <c r="C47" s="345"/>
      <c r="D47" s="345"/>
      <c r="E47" s="345"/>
      <c r="F47" s="345"/>
      <c r="G47" s="345"/>
      <c r="H47" s="345"/>
      <c r="I47" s="345"/>
      <c r="J47" s="345"/>
      <c r="K47" s="345"/>
      <c r="L47" s="345"/>
      <c r="M47" s="345"/>
      <c r="N47" s="345"/>
      <c r="O47" s="345"/>
      <c r="P47" s="345"/>
      <c r="Q47" s="345"/>
      <c r="R47" s="346"/>
    </row>
    <row r="48" spans="2:25" ht="15" thickTop="1"/>
  </sheetData>
  <sheetProtection algorithmName="SHA-512" hashValue="zCL/DnbvzIlTqZ8LOnC+888XEQa9z6BBMJHWeJOQ0wbw5momRzO/luRS011AKnYGiPxBDOrMgALRTfzl/4SGPA==" saltValue="kyn06hLA6UiyBL+yjsbwMQ==" spinCount="100000" sheet="1" selectLockedCells="1"/>
  <protectedRanges>
    <protectedRange sqref="T4:V5" name="Range2"/>
    <protectedRange sqref="O38 Q38 L38" name="Range1"/>
  </protectedRanges>
  <mergeCells count="122">
    <mergeCell ref="B5:B6"/>
    <mergeCell ref="C5:H6"/>
    <mergeCell ref="B2:R2"/>
    <mergeCell ref="B3:R3"/>
    <mergeCell ref="C4:H4"/>
    <mergeCell ref="C28:D29"/>
    <mergeCell ref="J28:L29"/>
    <mergeCell ref="G20:H20"/>
    <mergeCell ref="F28:H29"/>
    <mergeCell ref="K22:L22"/>
    <mergeCell ref="B26:R26"/>
    <mergeCell ref="Q22:R22"/>
    <mergeCell ref="O20:P20"/>
    <mergeCell ref="K20:L20"/>
    <mergeCell ref="M22:N22"/>
    <mergeCell ref="G19:H19"/>
    <mergeCell ref="E20:F20"/>
    <mergeCell ref="E22:F22"/>
    <mergeCell ref="K14:L14"/>
    <mergeCell ref="Q14:R14"/>
    <mergeCell ref="M23:N23"/>
    <mergeCell ref="E19:F19"/>
    <mergeCell ref="C19:D19"/>
    <mergeCell ref="M28:R29"/>
    <mergeCell ref="C20:D20"/>
    <mergeCell ref="G22:H22"/>
    <mergeCell ref="I20:J20"/>
    <mergeCell ref="I18:J18"/>
    <mergeCell ref="C16:D16"/>
    <mergeCell ref="G18:H18"/>
    <mergeCell ref="C17:D17"/>
    <mergeCell ref="E17:F17"/>
    <mergeCell ref="I19:J19"/>
    <mergeCell ref="G17:H17"/>
    <mergeCell ref="G16:H16"/>
    <mergeCell ref="T4:U5"/>
    <mergeCell ref="V4:V5"/>
    <mergeCell ref="J30:L30"/>
    <mergeCell ref="E16:F16"/>
    <mergeCell ref="I14:J14"/>
    <mergeCell ref="I15:J15"/>
    <mergeCell ref="K18:L18"/>
    <mergeCell ref="I16:J16"/>
    <mergeCell ref="K16:L16"/>
    <mergeCell ref="K19:L19"/>
    <mergeCell ref="J24:M24"/>
    <mergeCell ref="M16:N16"/>
    <mergeCell ref="M4:R4"/>
    <mergeCell ref="I12:L12"/>
    <mergeCell ref="I4:L4"/>
    <mergeCell ref="C7:H7"/>
    <mergeCell ref="C12:H12"/>
    <mergeCell ref="C11:H11"/>
    <mergeCell ref="C10:H10"/>
    <mergeCell ref="C9:H9"/>
    <mergeCell ref="I10:L11"/>
    <mergeCell ref="M10:R11"/>
    <mergeCell ref="M12:R12"/>
    <mergeCell ref="M7:R7"/>
    <mergeCell ref="B39:R47"/>
    <mergeCell ref="B38:F38"/>
    <mergeCell ref="C22:D22"/>
    <mergeCell ref="G25:H25"/>
    <mergeCell ref="E33:F33"/>
    <mergeCell ref="C32:H32"/>
    <mergeCell ref="F31:G31"/>
    <mergeCell ref="M32:N33"/>
    <mergeCell ref="C25:D25"/>
    <mergeCell ref="I22:J22"/>
    <mergeCell ref="E34:F34"/>
    <mergeCell ref="C30:D30"/>
    <mergeCell ref="C24:F24"/>
    <mergeCell ref="F30:H30"/>
    <mergeCell ref="O22:P22"/>
    <mergeCell ref="J32:L33"/>
    <mergeCell ref="J34:N34"/>
    <mergeCell ref="O38:R38"/>
    <mergeCell ref="G34:H34"/>
    <mergeCell ref="C34:D34"/>
    <mergeCell ref="G38:N38"/>
    <mergeCell ref="C8:H8"/>
    <mergeCell ref="M19:N19"/>
    <mergeCell ref="K15:L15"/>
    <mergeCell ref="O18:P18"/>
    <mergeCell ref="O17:P17"/>
    <mergeCell ref="O16:P16"/>
    <mergeCell ref="M18:N18"/>
    <mergeCell ref="M17:N17"/>
    <mergeCell ref="E14:F14"/>
    <mergeCell ref="K17:L17"/>
    <mergeCell ref="O14:P14"/>
    <mergeCell ref="O19:P19"/>
    <mergeCell ref="M14:N14"/>
    <mergeCell ref="E18:F18"/>
    <mergeCell ref="O15:P15"/>
    <mergeCell ref="C18:D18"/>
    <mergeCell ref="C14:D14"/>
    <mergeCell ref="G14:H14"/>
    <mergeCell ref="M6:R6"/>
    <mergeCell ref="M5:R5"/>
    <mergeCell ref="C21:D21"/>
    <mergeCell ref="E21:F21"/>
    <mergeCell ref="G21:H21"/>
    <mergeCell ref="I21:J21"/>
    <mergeCell ref="K21:L21"/>
    <mergeCell ref="M21:N21"/>
    <mergeCell ref="Q21:R21"/>
    <mergeCell ref="O21:P21"/>
    <mergeCell ref="E15:F15"/>
    <mergeCell ref="C15:D15"/>
    <mergeCell ref="G15:H15"/>
    <mergeCell ref="I17:J17"/>
    <mergeCell ref="Q15:R15"/>
    <mergeCell ref="Q20:R20"/>
    <mergeCell ref="Q19:R19"/>
    <mergeCell ref="Q18:R18"/>
    <mergeCell ref="Q17:R17"/>
    <mergeCell ref="Q16:R16"/>
    <mergeCell ref="M15:N15"/>
    <mergeCell ref="M20:N20"/>
    <mergeCell ref="M9:R9"/>
    <mergeCell ref="M8:R8"/>
  </mergeCells>
  <phoneticPr fontId="0" type="noConversion"/>
  <conditionalFormatting sqref="R25">
    <cfRule type="cellIs" dxfId="37" priority="67" stopIfTrue="1" operator="greaterThanOrEqual">
      <formula>1</formula>
    </cfRule>
  </conditionalFormatting>
  <conditionalFormatting sqref="F30">
    <cfRule type="expression" dxfId="36" priority="79">
      <formula>#REF!&gt;(#REF!*0.5)</formula>
    </cfRule>
  </conditionalFormatting>
  <conditionalFormatting sqref="O38">
    <cfRule type="cellIs" dxfId="35" priority="31" operator="equal">
      <formula>""</formula>
    </cfRule>
  </conditionalFormatting>
  <conditionalFormatting sqref="J36">
    <cfRule type="cellIs" dxfId="34" priority="21" operator="equal">
      <formula>0</formula>
    </cfRule>
  </conditionalFormatting>
  <conditionalFormatting sqref="J35">
    <cfRule type="cellIs" dxfId="33" priority="20" operator="equal">
      <formula>0</formula>
    </cfRule>
  </conditionalFormatting>
  <conditionalFormatting sqref="M32:N33">
    <cfRule type="cellIs" dxfId="32" priority="1" operator="equal">
      <formula>"Small File QE"</formula>
    </cfRule>
    <cfRule type="containsText" dxfId="31" priority="10" operator="containsText" text="No Pass">
      <formula>NOT(ISERROR(SEARCH("No Pass",M32)))</formula>
    </cfRule>
  </conditionalFormatting>
  <conditionalFormatting sqref="M10 C11 C5 C12 C10 C9 C4 M4 M8">
    <cfRule type="containsBlanks" dxfId="30" priority="81">
      <formula>LEN(TRIM(C4))=0</formula>
    </cfRule>
  </conditionalFormatting>
  <dataValidations count="9">
    <dataValidation type="list" allowBlank="1" showInputMessage="1" showErrorMessage="1" sqref="M12:R12" xr:uid="{00000000-0002-0000-0000-000000000000}">
      <formula1>"Premium,Premium Plus,Creative Plus,Value,Economy"</formula1>
    </dataValidation>
    <dataValidation type="list" allowBlank="1" showInputMessage="1" showErrorMessage="1" error="Please select Translation Type from the drop down list." sqref="M8:R8" xr:uid="{00000000-0002-0000-0000-000002000000}">
      <formula1>TRANS_TYPE</formula1>
    </dataValidation>
    <dataValidation type="list" allowBlank="1" showInputMessage="1" showErrorMessage="1" sqref="O38:R38" xr:uid="{00000000-0002-0000-0000-000003000000}">
      <formula1>"5 - Excellent,4 - Good,3 - Acceptable,2 - Below Standard,1 - Poor"</formula1>
    </dataValidation>
    <dataValidation type="list" allowBlank="1" showInputMessage="1" showErrorMessage="1" sqref="V4:V5" xr:uid="{00000000-0002-0000-0000-000004000000}">
      <formula1>"You must review, Do NOT review"</formula1>
    </dataValidation>
    <dataValidation type="list" allowBlank="1" showInputMessage="1" showErrorMessage="1" error="Please select Evaluation Method from the drop down list." sqref="M9:R9" xr:uid="{00000000-0002-0000-0000-000005000000}">
      <formula1>"TQA, Standard"</formula1>
    </dataValidation>
    <dataValidation type="date" allowBlank="1" showInputMessage="1" showErrorMessage="1" sqref="C10:H10" xr:uid="{00000000-0002-0000-0000-000006000000}">
      <formula1>DATE(YEAR(TODAY()),MONTH(TODAY()),1)</formula1>
      <formula2>DATE(YEAR(TODAY()),MONTH(TODAY()),30)</formula2>
    </dataValidation>
    <dataValidation type="list" allowBlank="1" showInputMessage="1" showErrorMessage="1" sqref="M4:R4" xr:uid="{00000000-0002-0000-0000-000008000000}">
      <formula1>OFFICE</formula1>
    </dataValidation>
    <dataValidation type="list" allowBlank="1" showInputMessage="1" showErrorMessage="1" sqref="C11:C12" xr:uid="{00000000-0002-0000-0000-000009000000}">
      <formula1>languages</formula1>
    </dataValidation>
    <dataValidation type="textLength" operator="equal" allowBlank="1" showInputMessage="1" showErrorMessage="1" sqref="C4:H4" xr:uid="{DFDCCF59-093B-435C-9F12-6B04A431F62E}">
      <formula1>14</formula1>
    </dataValidation>
  </dataValidations>
  <printOptions horizontalCentered="1"/>
  <pageMargins left="0.59055118110236227" right="0.47244094488188981" top="0.70866141732283472" bottom="0.55118110236220474" header="0.31496062992125984" footer="0.19685039370078741"/>
  <pageSetup paperSize="9" scale="85" fitToHeight="0" orientation="landscape" r:id="rId1"/>
  <headerFooter alignWithMargins="0">
    <oddFooter>&amp;L&amp;"Noto Sans,Regular"&amp;9&amp;F&amp;C&amp;"Noto Sans,Regular"&amp;9Page &amp;P of &amp;N&amp;R&amp;"Noto Sans,Regular"&amp;9Uncontrolled when in use</oddFooter>
  </headerFooter>
  <ignoredErrors>
    <ignoredError sqref="Q18:Q19 O18:O19 M22 I22"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7380" r:id="rId4" name="Button 212">
              <controlPr defaultSize="0" print="0" autoFill="0" autoPict="0" macro="[0]!Sheet3.Button1_Click">
                <anchor moveWithCells="1" sizeWithCells="1">
                  <from>
                    <xdr:col>19</xdr:col>
                    <xdr:colOff>38100</xdr:colOff>
                    <xdr:row>6</xdr:row>
                    <xdr:rowOff>28575</xdr:rowOff>
                  </from>
                  <to>
                    <xdr:col>20</xdr:col>
                    <xdr:colOff>552450</xdr:colOff>
                    <xdr:row>8</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select Evaluation Type from the drop down list." xr:uid="{00000000-0002-0000-0000-00000A000000}">
          <x14:formula1>
            <xm:f>Setup!$H$3:$H$10</xm:f>
          </x14:formula1>
          <xm:sqref>C9:H9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tabColor rgb="FFBDED0A"/>
    <pageSetUpPr fitToPage="1"/>
  </sheetPr>
  <dimension ref="B1:Y50"/>
  <sheetViews>
    <sheetView showGridLines="0" showRowColHeaders="0" zoomScaleNormal="100" workbookViewId="0">
      <selection activeCell="V4" sqref="V4"/>
    </sheetView>
  </sheetViews>
  <sheetFormatPr defaultColWidth="9.140625" defaultRowHeight="14.25"/>
  <cols>
    <col min="1" max="1" width="2.7109375" style="1" customWidth="1"/>
    <col min="2" max="2" width="19.7109375" style="1" customWidth="1"/>
    <col min="3" max="14" width="5" style="1" customWidth="1"/>
    <col min="15" max="16" width="5" style="1" hidden="1" customWidth="1"/>
    <col min="17" max="18" width="9.28515625" style="1" customWidth="1"/>
    <col min="19" max="19" width="6.28515625" style="1" customWidth="1"/>
    <col min="20" max="22" width="9.140625" style="1"/>
    <col min="23" max="23" width="9.140625" style="1" customWidth="1"/>
    <col min="24" max="16384" width="9.140625" style="1"/>
  </cols>
  <sheetData>
    <row r="1" spans="2:25" ht="9.9499999999999993" customHeight="1" thickBot="1"/>
    <row r="2" spans="2:25" ht="30" customHeight="1" thickTop="1" thickBot="1">
      <c r="B2" s="421" t="s">
        <v>513</v>
      </c>
      <c r="C2" s="422"/>
      <c r="D2" s="422"/>
      <c r="E2" s="422"/>
      <c r="F2" s="422"/>
      <c r="G2" s="422"/>
      <c r="H2" s="422"/>
      <c r="I2" s="422"/>
      <c r="J2" s="422"/>
      <c r="K2" s="422"/>
      <c r="L2" s="422"/>
      <c r="M2" s="422"/>
      <c r="N2" s="422"/>
      <c r="O2" s="422"/>
      <c r="P2" s="422"/>
      <c r="Q2" s="422"/>
      <c r="R2" s="423"/>
    </row>
    <row r="3" spans="2:25" ht="20.25" customHeight="1" thickTop="1" thickBot="1">
      <c r="B3" s="513"/>
      <c r="C3" s="514"/>
      <c r="D3" s="514"/>
      <c r="E3" s="514"/>
      <c r="F3" s="514"/>
      <c r="G3" s="514"/>
      <c r="H3" s="514"/>
      <c r="I3" s="514"/>
      <c r="J3" s="515"/>
      <c r="K3" s="515"/>
      <c r="L3" s="515"/>
      <c r="M3" s="515"/>
      <c r="N3" s="515"/>
      <c r="O3" s="515"/>
      <c r="P3" s="515"/>
      <c r="Q3" s="515"/>
      <c r="R3" s="516"/>
    </row>
    <row r="4" spans="2:25" ht="15" customHeight="1" thickTop="1">
      <c r="B4" s="91" t="s">
        <v>286</v>
      </c>
      <c r="C4" s="509">
        <f>'Evaluation Report_Initial'!C4</f>
        <v>0</v>
      </c>
      <c r="D4" s="510"/>
      <c r="E4" s="510"/>
      <c r="F4" s="510"/>
      <c r="G4" s="510"/>
      <c r="H4" s="511"/>
      <c r="I4" s="399" t="s">
        <v>523</v>
      </c>
      <c r="J4" s="400"/>
      <c r="K4" s="400"/>
      <c r="L4" s="401"/>
      <c r="M4" s="517">
        <f>'Evaluation Report_Initial'!M4</f>
        <v>0</v>
      </c>
      <c r="N4" s="517"/>
      <c r="O4" s="517"/>
      <c r="P4" s="517"/>
      <c r="Q4" s="517"/>
      <c r="R4" s="518"/>
    </row>
    <row r="5" spans="2:25" ht="15" customHeight="1">
      <c r="B5" s="417" t="s">
        <v>0</v>
      </c>
      <c r="C5" s="502">
        <f>'Evaluation Report_Initial'!C5</f>
        <v>0</v>
      </c>
      <c r="D5" s="503"/>
      <c r="E5" s="503"/>
      <c r="F5" s="503"/>
      <c r="G5" s="503"/>
      <c r="H5" s="504"/>
      <c r="I5" s="128" t="str">
        <f>'Evaluation Report_Initial'!I5</f>
        <v>Translator ID</v>
      </c>
      <c r="J5" s="129"/>
      <c r="K5" s="129"/>
      <c r="L5" s="130"/>
      <c r="M5" s="519">
        <f>'Evaluation Report_Initial'!M5</f>
        <v>0</v>
      </c>
      <c r="N5" s="519"/>
      <c r="O5" s="519"/>
      <c r="P5" s="519"/>
      <c r="Q5" s="519"/>
      <c r="R5" s="520"/>
    </row>
    <row r="6" spans="2:25" ht="15" customHeight="1">
      <c r="B6" s="418"/>
      <c r="C6" s="509"/>
      <c r="D6" s="510"/>
      <c r="E6" s="510"/>
      <c r="F6" s="510"/>
      <c r="G6" s="510"/>
      <c r="H6" s="511"/>
      <c r="I6" s="128" t="str">
        <f>'Evaluation Report_Initial'!I6</f>
        <v>Reviewer ID</v>
      </c>
      <c r="J6" s="129"/>
      <c r="K6" s="129"/>
      <c r="L6" s="130"/>
      <c r="M6" s="519">
        <f>'Evaluation Report_Initial'!M6</f>
        <v>0</v>
      </c>
      <c r="N6" s="519"/>
      <c r="O6" s="519"/>
      <c r="P6" s="519"/>
      <c r="Q6" s="519"/>
      <c r="R6" s="520"/>
    </row>
    <row r="7" spans="2:25" ht="15" customHeight="1">
      <c r="B7" s="85" t="s">
        <v>224</v>
      </c>
      <c r="C7" s="496">
        <f>'Evaluation Report_Initial'!C7</f>
        <v>0</v>
      </c>
      <c r="D7" s="497"/>
      <c r="E7" s="497"/>
      <c r="F7" s="497"/>
      <c r="G7" s="497"/>
      <c r="H7" s="498"/>
      <c r="I7" s="128" t="str">
        <f>'Evaluation Report_Initial'!I7</f>
        <v>Evaluator ID</v>
      </c>
      <c r="J7" s="126"/>
      <c r="K7" s="126"/>
      <c r="L7" s="127"/>
      <c r="M7" s="519">
        <f>'Evaluation Report_Initial'!M7</f>
        <v>0</v>
      </c>
      <c r="N7" s="519"/>
      <c r="O7" s="519"/>
      <c r="P7" s="519"/>
      <c r="Q7" s="519"/>
      <c r="R7" s="520"/>
    </row>
    <row r="8" spans="2:25" ht="15" customHeight="1">
      <c r="B8" s="87" t="s">
        <v>517</v>
      </c>
      <c r="C8" s="283">
        <f>'Evaluation Report_Initial'!C8</f>
        <v>0</v>
      </c>
      <c r="D8" s="284"/>
      <c r="E8" s="284"/>
      <c r="F8" s="284"/>
      <c r="G8" s="284"/>
      <c r="H8" s="285"/>
      <c r="I8" s="131" t="s">
        <v>518</v>
      </c>
      <c r="J8" s="126"/>
      <c r="K8" s="126"/>
      <c r="L8" s="127"/>
      <c r="M8" s="521">
        <f>'Evaluation Report_Initial'!M8</f>
        <v>0</v>
      </c>
      <c r="N8" s="521"/>
      <c r="O8" s="521"/>
      <c r="P8" s="521"/>
      <c r="Q8" s="521"/>
      <c r="R8" s="522"/>
    </row>
    <row r="9" spans="2:25" ht="15" customHeight="1">
      <c r="B9" s="87" t="s">
        <v>207</v>
      </c>
      <c r="C9" s="509">
        <f>'Evaluation Report_Initial'!C9</f>
        <v>0</v>
      </c>
      <c r="D9" s="510"/>
      <c r="E9" s="510"/>
      <c r="F9" s="510"/>
      <c r="G9" s="510"/>
      <c r="H9" s="511"/>
      <c r="I9" s="131" t="s">
        <v>210</v>
      </c>
      <c r="J9" s="126"/>
      <c r="K9" s="126"/>
      <c r="L9" s="127"/>
      <c r="M9" s="483" t="str">
        <f>'Evaluation Report_Initial'!M9</f>
        <v>Standard</v>
      </c>
      <c r="N9" s="483"/>
      <c r="O9" s="483"/>
      <c r="P9" s="483"/>
      <c r="Q9" s="483"/>
      <c r="R9" s="484"/>
    </row>
    <row r="10" spans="2:25" ht="15" customHeight="1">
      <c r="B10" s="87" t="s">
        <v>1</v>
      </c>
      <c r="C10" s="499" t="str">
        <f>IF('Evaluation Report_Initial'!C10="","",'Evaluation Report_Initial'!C10)</f>
        <v/>
      </c>
      <c r="D10" s="500"/>
      <c r="E10" s="500"/>
      <c r="F10" s="500"/>
      <c r="G10" s="500"/>
      <c r="H10" s="501"/>
      <c r="I10" s="409" t="s">
        <v>519</v>
      </c>
      <c r="J10" s="409"/>
      <c r="K10" s="409"/>
      <c r="L10" s="410"/>
      <c r="M10" s="489">
        <f>'Evaluation Report_Initial'!M10</f>
        <v>0</v>
      </c>
      <c r="N10" s="490"/>
      <c r="O10" s="490"/>
      <c r="P10" s="490"/>
      <c r="Q10" s="490"/>
      <c r="R10" s="491"/>
    </row>
    <row r="11" spans="2:25" ht="17.100000000000001" customHeight="1" thickBot="1">
      <c r="B11" s="87" t="s">
        <v>10</v>
      </c>
      <c r="C11" s="496">
        <f>'Evaluation Report_Initial'!C11</f>
        <v>0</v>
      </c>
      <c r="D11" s="497"/>
      <c r="E11" s="497"/>
      <c r="F11" s="497"/>
      <c r="G11" s="497"/>
      <c r="H11" s="498"/>
      <c r="I11" s="409"/>
      <c r="J11" s="409"/>
      <c r="K11" s="409"/>
      <c r="L11" s="410"/>
      <c r="M11" s="492"/>
      <c r="N11" s="493"/>
      <c r="O11" s="493"/>
      <c r="P11" s="493"/>
      <c r="Q11" s="493"/>
      <c r="R11" s="494"/>
    </row>
    <row r="12" spans="2:25" ht="17.100000000000001" customHeight="1" thickTop="1" thickBot="1">
      <c r="B12" s="89" t="s">
        <v>9</v>
      </c>
      <c r="C12" s="502">
        <f>'Evaluation Report_Initial'!C12</f>
        <v>0</v>
      </c>
      <c r="D12" s="503"/>
      <c r="E12" s="503"/>
      <c r="F12" s="503"/>
      <c r="G12" s="503"/>
      <c r="H12" s="504"/>
      <c r="I12" s="505" t="s">
        <v>520</v>
      </c>
      <c r="J12" s="397"/>
      <c r="K12" s="397"/>
      <c r="L12" s="506"/>
      <c r="M12" s="487" t="str">
        <f>'Evaluation Report_Initial'!$M$12</f>
        <v>Premium</v>
      </c>
      <c r="N12" s="487"/>
      <c r="O12" s="487"/>
      <c r="P12" s="487"/>
      <c r="Q12" s="487"/>
      <c r="R12" s="488"/>
    </row>
    <row r="13" spans="2:25" ht="15" customHeight="1" thickTop="1" thickBot="1">
      <c r="B13" s="71"/>
      <c r="C13" s="71"/>
      <c r="D13" s="71"/>
      <c r="E13" s="71"/>
      <c r="F13" s="71"/>
      <c r="G13" s="71"/>
      <c r="H13" s="71"/>
      <c r="I13" s="80"/>
      <c r="J13" s="80"/>
      <c r="K13" s="80"/>
      <c r="L13" s="80"/>
      <c r="M13" s="80"/>
      <c r="N13" s="80"/>
      <c r="O13" s="138"/>
      <c r="P13" s="80"/>
      <c r="Q13" s="80"/>
      <c r="R13" s="80"/>
    </row>
    <row r="14" spans="2:25" ht="39.950000000000003" customHeight="1" thickTop="1" thickBot="1">
      <c r="B14" s="92" t="s">
        <v>29</v>
      </c>
      <c r="C14" s="331" t="s">
        <v>328</v>
      </c>
      <c r="D14" s="332"/>
      <c r="E14" s="479" t="s">
        <v>28</v>
      </c>
      <c r="F14" s="495"/>
      <c r="G14" s="479" t="s">
        <v>30</v>
      </c>
      <c r="H14" s="495"/>
      <c r="I14" s="479" t="s">
        <v>288</v>
      </c>
      <c r="J14" s="495"/>
      <c r="K14" s="479" t="s">
        <v>30</v>
      </c>
      <c r="L14" s="480"/>
      <c r="M14" s="331" t="s">
        <v>214</v>
      </c>
      <c r="N14" s="332"/>
      <c r="O14" s="481" t="s">
        <v>30</v>
      </c>
      <c r="P14" s="481"/>
      <c r="Q14" s="485" t="str">
        <f>'Evaluation Report_Initial'!Q14</f>
        <v>Recorded 
Error Points</v>
      </c>
      <c r="R14" s="486"/>
      <c r="T14" s="446" t="s">
        <v>196</v>
      </c>
      <c r="U14" s="447"/>
      <c r="V14" s="447"/>
      <c r="W14" s="447"/>
      <c r="X14" s="447"/>
      <c r="Y14" s="448"/>
    </row>
    <row r="15" spans="2:25" ht="15" customHeight="1" thickTop="1">
      <c r="B15" s="139" t="str">
        <f>Setup!J2</f>
        <v>Terminology</v>
      </c>
      <c r="C15" s="311">
        <f xml:space="preserve"> IF(COUNTIF('Evaluation details_input'!$J$4:$J$1000,"*accepted")=0,'Evaluation Report_Initial'!C15,COUNTIFS('Evaluation details_input'!$P$3:$P$1000,$B15,'Evaluation details_input'!$R$3:$R$1000,$C$14)+COUNTIFS('Evaluation details_input'!$F$3:$F$1000,$B15,'Evaluation details_input'!$H$3:$H$1000,$C$14,'Evaluation details_input'!$J$3:$J$1000,"Not accepted",'Evaluation details_input'!$N$3:$N$1000,"Disagree with original translator", 'Evaluation details_input'!$P$3:$P$1000,"")+COUNTIFS('Evaluation details_input'!$F$3:$F$1000,$B15,'Evaluation details_input'!$H$3:$H$1000,$C$14,'Evaluation details_input'!$J$3:$J$1000,"Accepted", 'Evaluation details_input'!$P$3:$P$1000,""))</f>
        <v>0</v>
      </c>
      <c r="D15" s="312"/>
      <c r="E15" s="461">
        <f>SUM(Setup!AV5:AV8)</f>
        <v>0</v>
      </c>
      <c r="F15" s="462"/>
      <c r="G15" s="311">
        <f>SUM(Setup!AW5:AW8)</f>
        <v>0</v>
      </c>
      <c r="H15" s="312"/>
      <c r="I15" s="463">
        <f xml:space="preserve"> IF(COUNTIF('Evaluation details_input'!$J$4:$J$1000,"*accepted")=0,'Evaluation Report_Initial'!I15,COUNTIFS('Evaluation details_input'!$P$3:$P$1000,$B15,'Evaluation details_input'!$R$3:$R$1000,I$14)+COUNTIFS('Evaluation details_input'!$F$3:$F$1000,$B15,'Evaluation details_input'!$H$3:$H$1000,I$14,'Evaluation details_input'!$J$3:$J$1000,"Not accepted",'Evaluation details_input'!$N$3:$N$1000,"Disagree with original translator", 'Evaluation details_input'!$P$3:$P$1000,"")+COUNTIFS('Evaluation details_input'!$F$3:$F$1000,$B15,'Evaluation details_input'!$H$3:$H$1000,I$14,'Evaluation details_input'!$J$3:$J$1000,"Accepted", 'Evaluation details_input'!$P$3:$P$1000,""))</f>
        <v>0</v>
      </c>
      <c r="J15" s="303"/>
      <c r="K15" s="328">
        <f>SUM(Setup!BA5:BA8)</f>
        <v>0</v>
      </c>
      <c r="L15" s="312"/>
      <c r="M15" s="507">
        <f xml:space="preserve"> IF(COUNTIF('Evaluation details_input'!$J$4:$J$1000,"*accepted")=0,'Evaluation Report_Initial'!M15,COUNTIFS('Evaluation details_input'!$P$3:$P$1000,$B15,'Evaluation details_input'!$R$3:$R$1000,M$14)+COUNTIFS('Evaluation details_input'!$F$3:$F$1000,$B15,'Evaluation details_input'!$H$3:$H$1000,M$14,'Evaluation details_input'!$J$3:$J$1000,"Not accepted",'Evaluation details_input'!$N$3:$N$1000,"Disagree with original translator", 'Evaluation details_input'!$P$3:$P$1000,"")+COUNTIFS('Evaluation details_input'!$F$3:$F$1000,$B15,'Evaluation details_input'!$H$3:$H$1000,M$14,'Evaluation details_input'!$J$3:$J$1000,"Accepted", 'Evaluation details_input'!$P$3:$P$1000,""))</f>
        <v>0</v>
      </c>
      <c r="N15" s="508"/>
      <c r="O15" s="336">
        <f>M15*100</f>
        <v>0</v>
      </c>
      <c r="P15" s="337"/>
      <c r="Q15" s="512">
        <f>G15+K15+O15</f>
        <v>0</v>
      </c>
      <c r="R15" s="306"/>
      <c r="T15" s="473" t="s">
        <v>351</v>
      </c>
      <c r="U15" s="474"/>
      <c r="V15" s="474"/>
      <c r="W15" s="474"/>
      <c r="X15" s="474"/>
      <c r="Y15" s="475"/>
    </row>
    <row r="16" spans="2:25" ht="15" customHeight="1">
      <c r="B16" s="140" t="str">
        <f>Setup!K2</f>
        <v>Accuracy</v>
      </c>
      <c r="C16" s="300">
        <f xml:space="preserve"> IF(COUNTIF('Evaluation details_input'!$J$4:$J$1000,"*accepted")=0,'Evaluation Report_Initial'!C16,COUNTIFS('Evaluation details_input'!$P$3:$P$1000,$B16,'Evaluation details_input'!$R$3:$R$1000,$C$14)+COUNTIFS('Evaluation details_input'!$F$3:$F$1000,$B16,'Evaluation details_input'!$H$3:$H$1000,$C$14,'Evaluation details_input'!$J$3:$J$1000,"Not accepted",'Evaluation details_input'!$N$3:$N$1000,"Disagree with original translator", 'Evaluation details_input'!$P$3:$P$1000,"")+COUNTIFS('Evaluation details_input'!$F$3:$F$1000,$B16,'Evaluation details_input'!$H$3:$H$1000,$C$14,'Evaluation details_input'!$J$3:$J$1000,"Accepted", 'Evaluation details_input'!$P$3:$P$1000,""))</f>
        <v>0</v>
      </c>
      <c r="D16" s="301"/>
      <c r="E16" s="458">
        <f>SUM(Setup!AV10:AV17)</f>
        <v>0</v>
      </c>
      <c r="F16" s="459"/>
      <c r="G16" s="300">
        <f>SUM(Setup!AW10:AW17)</f>
        <v>0</v>
      </c>
      <c r="H16" s="301"/>
      <c r="I16" s="460">
        <f xml:space="preserve"> IF(COUNTIF('Evaluation details_input'!$J$4:$J$1000,"*accepted")=0,'Evaluation Report_Initial'!I16,COUNTIFS('Evaluation details_input'!$P$3:$P$1000,$B16,'Evaluation details_input'!$R$3:$R$1000,I$14)+COUNTIFS('Evaluation details_input'!$F$3:$F$1000,$B16,'Evaluation details_input'!$H$3:$H$1000,I$14,'Evaluation details_input'!$J$3:$J$1000,"Not accepted",'Evaluation details_input'!$N$3:$N$1000,"Disagree with original translator", 'Evaluation details_input'!$P$3:$P$1000,"")+COUNTIFS('Evaluation details_input'!$F$3:$F$1000,$B16,'Evaluation details_input'!$H$3:$H$1000,I$14,'Evaluation details_input'!$J$3:$J$1000,"Accepted", 'Evaluation details_input'!$P$3:$P$1000,""))</f>
        <v>0</v>
      </c>
      <c r="J16" s="314"/>
      <c r="K16" s="300">
        <f>SUM(Setup!BA10:BA17)</f>
        <v>0</v>
      </c>
      <c r="L16" s="301"/>
      <c r="M16" s="458">
        <f xml:space="preserve"> IF(COUNTIF('Evaluation details_input'!$J$4:$J$1000,"*accepted")=0,'Evaluation Report_Initial'!M16,COUNTIFS('Evaluation details_input'!$P$3:$P$1000,$B16,'Evaluation details_input'!$R$3:$R$1000,M$14)+COUNTIFS('Evaluation details_input'!$F$3:$F$1000,$B16,'Evaluation details_input'!$H$3:$H$1000,M$14,'Evaluation details_input'!$J$3:$J$1000,"Not accepted",'Evaluation details_input'!$N$3:$N$1000,"Disagree with original translator", 'Evaluation details_input'!$P$3:$P$1000,"")+COUNTIFS('Evaluation details_input'!$F$3:$F$1000,$B16,'Evaluation details_input'!$H$3:$H$1000,M$14,'Evaluation details_input'!$J$3:$J$1000,"Accepted", 'Evaluation details_input'!$P$3:$P$1000,""))</f>
        <v>0</v>
      </c>
      <c r="N16" s="459"/>
      <c r="O16" s="329">
        <f>M16*100</f>
        <v>0</v>
      </c>
      <c r="P16" s="330"/>
      <c r="Q16" s="482">
        <f>G16+K16+O16</f>
        <v>0</v>
      </c>
      <c r="R16" s="318"/>
      <c r="T16" s="534" t="s">
        <v>352</v>
      </c>
      <c r="U16" s="535"/>
      <c r="V16" s="535"/>
      <c r="W16" s="536" t="s">
        <v>190</v>
      </c>
      <c r="X16" s="536"/>
      <c r="Y16" s="537"/>
    </row>
    <row r="17" spans="2:25" ht="15" customHeight="1">
      <c r="B17" s="141" t="str">
        <f>Setup!L2</f>
        <v>Linguistic conventions</v>
      </c>
      <c r="C17" s="300">
        <f xml:space="preserve"> IF(COUNTIF('Evaluation details_input'!$J$4:$J$1000,"*accepted")=0,'Evaluation Report_Initial'!C17,COUNTIFS('Evaluation details_input'!$P$3:$P$1000,$B17,'Evaluation details_input'!$R$3:$R$1000,$C$14)+COUNTIFS('Evaluation details_input'!$F$3:$F$1000,$B17,'Evaluation details_input'!$H$3:$H$1000,$C$14,'Evaluation details_input'!$J$3:$J$1000,"Not accepted",'Evaluation details_input'!$N$3:$N$1000,"Disagree with original translator", 'Evaluation details_input'!$P$3:$P$1000,"")+COUNTIFS('Evaluation details_input'!$F$3:$F$1000,$B17,'Evaluation details_input'!$H$3:$H$1000,$C$14,'Evaluation details_input'!$J$3:$J$1000,"Accepted", 'Evaluation details_input'!$P$3:$P$1000,""))</f>
        <v>0</v>
      </c>
      <c r="D17" s="301"/>
      <c r="E17" s="458">
        <f>SUM(Setup!AV19:AV24)</f>
        <v>0</v>
      </c>
      <c r="F17" s="459"/>
      <c r="G17" s="300">
        <f>SUM(Setup!AW19:AW24)</f>
        <v>0</v>
      </c>
      <c r="H17" s="301"/>
      <c r="I17" s="460">
        <f xml:space="preserve"> IF(COUNTIF('Evaluation details_input'!$J$4:$J$1000,"*accepted")=0,'Evaluation Report_Initial'!I17,COUNTIFS('Evaluation details_input'!$P$3:$P$1000,$B17,'Evaluation details_input'!$R$3:$R$1000,I$14)+COUNTIFS('Evaluation details_input'!$F$3:$F$1000,$B17,'Evaluation details_input'!$H$3:$H$1000,I$14,'Evaluation details_input'!$J$3:$J$1000,"Not accepted",'Evaluation details_input'!$N$3:$N$1000,"Disagree with original translator", 'Evaluation details_input'!$P$3:$P$1000,"")+COUNTIFS('Evaluation details_input'!$F$3:$F$1000,$B17,'Evaluation details_input'!$H$3:$H$1000,I$14,'Evaluation details_input'!$J$3:$J$1000,"Accepted", 'Evaluation details_input'!$P$3:$P$1000,""))</f>
        <v>0</v>
      </c>
      <c r="J17" s="314"/>
      <c r="K17" s="300">
        <f>SUM(Setup!BA19:BA24)</f>
        <v>0</v>
      </c>
      <c r="L17" s="301"/>
      <c r="M17" s="458">
        <f xml:space="preserve"> IF(COUNTIF('Evaluation details_input'!$J$4:$J$1000,"*accepted")=0,'Evaluation Report_Initial'!M17,COUNTIFS('Evaluation details_input'!$P$3:$P$1000,$B17,'Evaluation details_input'!$R$3:$R$1000,M$14)+COUNTIFS('Evaluation details_input'!$F$3:$F$1000,$B17,'Evaluation details_input'!$H$3:$H$1000,M$14,'Evaluation details_input'!$J$3:$J$1000,"Not accepted",'Evaluation details_input'!$N$3:$N$1000,"Disagree with original translator", 'Evaluation details_input'!$P$3:$P$1000,"")+COUNTIFS('Evaluation details_input'!$F$3:$F$1000,$B17,'Evaluation details_input'!$H$3:$H$1000,M$14,'Evaluation details_input'!$J$3:$J$1000,"Accepted", 'Evaluation details_input'!$P$3:$P$1000,""))</f>
        <v>0</v>
      </c>
      <c r="N17" s="459"/>
      <c r="O17" s="329">
        <f>M17*100</f>
        <v>0</v>
      </c>
      <c r="P17" s="330"/>
      <c r="Q17" s="470">
        <f>G17+K17+O17</f>
        <v>0</v>
      </c>
      <c r="R17" s="318"/>
      <c r="T17" s="471">
        <f>COUNTIF('Evaluation details_input'!$J$4:$J1000,"Accepted")</f>
        <v>0</v>
      </c>
      <c r="U17" s="472"/>
      <c r="V17" s="45"/>
      <c r="W17" s="45"/>
      <c r="X17" s="45">
        <f>COUNTIF('Evaluation details_input'!$J$4:$J1000,"Not accepted")</f>
        <v>0</v>
      </c>
      <c r="Y17" s="90"/>
    </row>
    <row r="18" spans="2:25" ht="15" customHeight="1">
      <c r="B18" s="141" t="str">
        <f>Setup!M2</f>
        <v>Style</v>
      </c>
      <c r="C18" s="300">
        <f xml:space="preserve"> IF(COUNTIF('Evaluation details_input'!$J$4:$J$1000,"*accepted")=0,'Evaluation Report_Initial'!C18,COUNTIFS('Evaluation details_input'!$P$3:$P$1000,$B18,'Evaluation details_input'!$R$3:$R$1000,$C$14)+COUNTIFS('Evaluation details_input'!$F$3:$F$1000,$B18,'Evaluation details_input'!$H$3:$H$1000,$C$14,'Evaluation details_input'!$J$3:$J$1000,"Not accepted",'Evaluation details_input'!$N$3:$N$1000,"Disagree with original translator", 'Evaluation details_input'!$P$3:$P$1000,"")+COUNTIFS('Evaluation details_input'!$F$3:$F$1000,$B18,'Evaluation details_input'!$H$3:$H$1000,$C$14,'Evaluation details_input'!$J$3:$J$1000,"Accepted", 'Evaluation details_input'!$P$3:$P$1000,""))</f>
        <v>0</v>
      </c>
      <c r="D18" s="301"/>
      <c r="E18" s="458">
        <f>SUM(Setup!AV26:AV33)</f>
        <v>0</v>
      </c>
      <c r="F18" s="459"/>
      <c r="G18" s="300">
        <f>IF(Adequacy="Economy","Out of Scope",SUM(Setup!AW26:AW33))</f>
        <v>0</v>
      </c>
      <c r="H18" s="301"/>
      <c r="I18" s="460">
        <f xml:space="preserve"> IF(COUNTIF('Evaluation details_input'!$J$4:$J$1000,"*accepted")=0,'Evaluation Report_Initial'!I18,COUNTIFS('Evaluation details_input'!$P$3:$P$1000,$B18,'Evaluation details_input'!$R$3:$R$1000,I$14)+COUNTIFS('Evaluation details_input'!$F$3:$F$1000,$B18,'Evaluation details_input'!$H$3:$H$1000,I$14,'Evaluation details_input'!$J$3:$J$1000,"Not accepted",'Evaluation details_input'!$N$3:$N$1000,"Disagree with original translator", 'Evaluation details_input'!$P$3:$P$1000,"")+COUNTIFS('Evaluation details_input'!$F$3:$F$1000,$B18,'Evaluation details_input'!$H$3:$H$1000,I$14,'Evaluation details_input'!$J$3:$J$1000,"Accepted", 'Evaluation details_input'!$P$3:$P$1000,""))</f>
        <v>0</v>
      </c>
      <c r="J18" s="314"/>
      <c r="K18" s="300">
        <f>IF(Adequacy="Economy","Out of Scope",SUM(Setup!BA26:BA33))</f>
        <v>0</v>
      </c>
      <c r="L18" s="301"/>
      <c r="M18" s="458">
        <f xml:space="preserve"> IF(COUNTIF('Evaluation details_input'!$J$4:$J$1000,"*accepted")=0,'Evaluation Report_Initial'!M18,COUNTIFS('Evaluation details_input'!$P$3:$P$1000,$B18,'Evaluation details_input'!$R$3:$R$1000,M$14)+COUNTIFS('Evaluation details_input'!$F$3:$F$1000,$B18,'Evaluation details_input'!$H$3:$H$1000,M$14,'Evaluation details_input'!$J$3:$J$1000,"Not accepted",'Evaluation details_input'!$N$3:$N$1000,"Disagree with original translator", 'Evaluation details_input'!$P$3:$P$1000,"")+COUNTIFS('Evaluation details_input'!$F$3:$F$1000,$B18,'Evaluation details_input'!$H$3:$H$1000,M$14,'Evaluation details_input'!$J$3:$J$1000,"Accepted", 'Evaluation details_input'!$P$3:$P$1000,""))</f>
        <v>0</v>
      </c>
      <c r="N18" s="459"/>
      <c r="O18" s="307">
        <f>IF(Adequacy="Economy","Out of Scope",M18*100)</f>
        <v>0</v>
      </c>
      <c r="P18" s="308"/>
      <c r="Q18" s="317">
        <f>IF(Adequacy="Economy","Out of Scope",G18+K18+O18)</f>
        <v>0</v>
      </c>
      <c r="R18" s="318"/>
      <c r="T18" s="473" t="s">
        <v>353</v>
      </c>
      <c r="U18" s="474"/>
      <c r="V18" s="474"/>
      <c r="W18" s="474"/>
      <c r="X18" s="474"/>
      <c r="Y18" s="475"/>
    </row>
    <row r="19" spans="2:25" ht="15" customHeight="1">
      <c r="B19" s="140" t="str">
        <f>Setup!N2</f>
        <v>Locale conventions</v>
      </c>
      <c r="C19" s="394">
        <f xml:space="preserve"> IF(COUNTIF('Evaluation details_input'!$J$4:$J$1000,"*accepted")=0,'Evaluation Report_Initial'!C19,COUNTIFS('Evaluation details_input'!$P$3:$P$1000,$B19,'Evaluation details_input'!$R$3:$R$1000,$C$14)+COUNTIFS('Evaluation details_input'!$F$3:$F$1000,$B19,'Evaluation details_input'!$H$3:$H$1000,$C$14,'Evaluation details_input'!$J$3:$J$1000,"Not accepted",'Evaluation details_input'!$N$3:$N$1000,"Disagree with original translator", 'Evaluation details_input'!$P$3:$P$1000,"")+COUNTIFS('Evaluation details_input'!$F$3:$F$1000,$B19,'Evaluation details_input'!$H$3:$H$1000,$C$14,'Evaluation details_input'!$J$3:$J$1000,"Accepted", 'Evaluation details_input'!$P$3:$P$1000,""))</f>
        <v>0</v>
      </c>
      <c r="D19" s="334"/>
      <c r="E19" s="458">
        <f>SUM(Setup!AV35:AV43)</f>
        <v>0</v>
      </c>
      <c r="F19" s="459"/>
      <c r="G19" s="394">
        <f>SUM(Setup!AW35:AW43)</f>
        <v>0</v>
      </c>
      <c r="H19" s="334"/>
      <c r="I19" s="460">
        <f xml:space="preserve"> IF(COUNTIF('Evaluation details_input'!$J$4:$J$1000,"*accepted")=0,'Evaluation Report_Initial'!I19,COUNTIFS('Evaluation details_input'!$P$3:$P$1000,$B19,'Evaluation details_input'!$R$3:$R$1000,I$14)+COUNTIFS('Evaluation details_input'!$F$3:$F$1000,$B19,'Evaluation details_input'!$H$3:$H$1000,I$14,'Evaluation details_input'!$J$3:$J$1000,"Not accepted",'Evaluation details_input'!$N$3:$N$1000,"Disagree with original translator", 'Evaluation details_input'!$P$3:$P$1000,"")+COUNTIFS('Evaluation details_input'!$F$3:$F$1000,$B19,'Evaluation details_input'!$H$3:$H$1000,I$14,'Evaluation details_input'!$J$3:$J$1000,"Accepted", 'Evaluation details_input'!$P$3:$P$1000,""))</f>
        <v>0</v>
      </c>
      <c r="J19" s="314"/>
      <c r="K19" s="394">
        <f>SUM(Setup!BA35:BA43)</f>
        <v>0</v>
      </c>
      <c r="L19" s="334"/>
      <c r="M19" s="458">
        <f xml:space="preserve"> IF(COUNTIF('Evaluation details_input'!$J$4:$J$1000,"*accepted")=0,'Evaluation Report_Initial'!M19,COUNTIFS('Evaluation details_input'!$P$3:$P$1000,$B19,'Evaluation details_input'!$R$3:$R$1000,M$14)+COUNTIFS('Evaluation details_input'!$F$3:$F$1000,$B19,'Evaluation details_input'!$H$3:$H$1000,M$14,'Evaluation details_input'!$J$3:$J$1000,"Not accepted",'Evaluation details_input'!$N$3:$N$1000,"Disagree with original translator", 'Evaluation details_input'!$P$3:$P$1000,"")+COUNTIFS('Evaluation details_input'!$F$3:$F$1000,$B19,'Evaluation details_input'!$H$3:$H$1000,M$14,'Evaluation details_input'!$J$3:$J$1000,"Accepted", 'Evaluation details_input'!$P$3:$P$1000,""))</f>
        <v>0</v>
      </c>
      <c r="N19" s="459"/>
      <c r="O19" s="329">
        <f>M19*100</f>
        <v>0</v>
      </c>
      <c r="P19" s="330"/>
      <c r="Q19" s="470">
        <f>G19+K19+O19</f>
        <v>0</v>
      </c>
      <c r="R19" s="318"/>
      <c r="T19" s="538" t="str">
        <f>IF('Evaluation Report_Initial'!F30=0,"100%",T17/(T17+X17))</f>
        <v>100%</v>
      </c>
      <c r="U19" s="539"/>
      <c r="V19" s="539"/>
      <c r="W19" s="539"/>
      <c r="X19" s="539"/>
      <c r="Y19" s="540"/>
    </row>
    <row r="20" spans="2:25" ht="15" customHeight="1">
      <c r="B20" s="150" t="str">
        <f>Setup!O2</f>
        <v>Audience appropriateness</v>
      </c>
      <c r="C20" s="300">
        <f xml:space="preserve"> IF(COUNTIF('Evaluation details_input'!$J$4:$J$1000,"*accepted")=0,'Evaluation Report_Initial'!C20,COUNTIFS('Evaluation details_input'!$P$3:$P$1000,$B20,'Evaluation details_input'!$R$3:$R$1000,$C$14)+COUNTIFS('Evaluation details_input'!$F$3:$F$1000,$B20,'Evaluation details_input'!$H$3:$H$1000,$C$14,'Evaluation details_input'!$J$3:$J$1000,"Not accepted",'Evaluation details_input'!$N$3:$N$1000,"Disagree with original translator", 'Evaluation details_input'!$P$3:$P$1000,"")+COUNTIFS('Evaluation details_input'!$F$3:$F$1000,$B20,'Evaluation details_input'!$H$3:$H$1000,$C$14,'Evaluation details_input'!$J$3:$J$1000,"Accepted", 'Evaluation details_input'!$P$3:$P$1000,""))</f>
        <v>0</v>
      </c>
      <c r="D20" s="301"/>
      <c r="E20" s="458">
        <f>SUM(Setup!AV45:AV46)</f>
        <v>0</v>
      </c>
      <c r="F20" s="459"/>
      <c r="G20" s="300">
        <f>IF(Adequacy="Economy","Out of Scope",SUM(Setup!AW45:AW46))</f>
        <v>0</v>
      </c>
      <c r="H20" s="301"/>
      <c r="I20" s="460">
        <f xml:space="preserve"> IF(COUNTIF('Evaluation details_input'!$J$4:$J$1000,"*accepted")=0,'Evaluation Report_Initial'!I20,COUNTIFS('Evaluation details_input'!$P$3:$P$1000,$B20,'Evaluation details_input'!$R$3:$R$1000,I$14)+COUNTIFS('Evaluation details_input'!$F$3:$F$1000,$B20,'Evaluation details_input'!$H$3:$H$1000,I$14,'Evaluation details_input'!$J$3:$J$1000,"Not accepted",'Evaluation details_input'!$N$3:$N$1000,"Disagree with original translator", 'Evaluation details_input'!$P$3:$P$1000,"")+COUNTIFS('Evaluation details_input'!$F$3:$F$1000,$B20,'Evaluation details_input'!$H$3:$H$1000,I$14,'Evaluation details_input'!$J$3:$J$1000,"Accepted", 'Evaluation details_input'!$P$3:$P$1000,""))</f>
        <v>0</v>
      </c>
      <c r="J20" s="314"/>
      <c r="K20" s="300">
        <f>IF(Adequacy="Economy","Out of Scope",SUM(Setup!BA45:BA46))</f>
        <v>0</v>
      </c>
      <c r="L20" s="301"/>
      <c r="M20" s="458">
        <f xml:space="preserve"> IF(COUNTIF('Evaluation details_input'!$J$4:$J$1000,"*accepted")=0,'Evaluation Report_Initial'!M20,COUNTIFS('Evaluation details_input'!$P$3:$P$1000,$B20,'Evaluation details_input'!$R$3:$R$1000,M$14)+COUNTIFS('Evaluation details_input'!$F$3:$F$1000,$B20,'Evaluation details_input'!$H$3:$H$1000,M$14,'Evaluation details_input'!$J$3:$J$1000,"Not accepted",'Evaluation details_input'!$N$3:$N$1000,"Disagree with original translator", 'Evaluation details_input'!$P$3:$P$1000,"")+COUNTIFS('Evaluation details_input'!$F$3:$F$1000,$B20,'Evaluation details_input'!$H$3:$H$1000,M$14,'Evaluation details_input'!$J$3:$J$1000,"Accepted", 'Evaluation details_input'!$P$3:$P$1000,""))</f>
        <v>0</v>
      </c>
      <c r="N20" s="459"/>
      <c r="O20" s="307">
        <f>IF(Adequacy="Economy","Out of Scope",M20*100)</f>
        <v>0</v>
      </c>
      <c r="P20" s="308"/>
      <c r="Q20" s="470">
        <f>IF(Adequacy="Economy","Out of Scope",G20+K20+O20)</f>
        <v>0</v>
      </c>
      <c r="R20" s="318"/>
      <c r="T20" s="473" t="s">
        <v>354</v>
      </c>
      <c r="U20" s="474"/>
      <c r="V20" s="474"/>
      <c r="W20" s="474"/>
      <c r="X20" s="474"/>
      <c r="Y20" s="475"/>
    </row>
    <row r="21" spans="2:25" ht="15" customHeight="1">
      <c r="B21" s="142" t="str">
        <f>Setup!P2</f>
        <v>Design and markup</v>
      </c>
      <c r="C21" s="300">
        <f xml:space="preserve"> IF(COUNTIF('Evaluation details_input'!$J$4:$J$1000,"*accepted")=0,'Evaluation Report_Initial'!C21,COUNTIFS('Evaluation details_input'!$P$3:$P$1000,$B21,'Evaluation details_input'!$R$3:$R$1000,$C$14)+COUNTIFS('Evaluation details_input'!$F$3:$F$1000,$B21,'Evaluation details_input'!$H$3:$H$1000,$C$14,'Evaluation details_input'!$J$3:$J$1000,"Not accepted",'Evaluation details_input'!$N$3:$N$1000,"Disagree with original translator", 'Evaluation details_input'!$P$3:$P$1000,"")+COUNTIFS('Evaluation details_input'!$F$3:$F$1000,$B21,'Evaluation details_input'!$H$3:$H$1000,$C$14,'Evaluation details_input'!$J$3:$J$1000,"Accepted", 'Evaluation details_input'!$P$3:$P$1000,""))</f>
        <v>0</v>
      </c>
      <c r="D21" s="301"/>
      <c r="E21" s="458">
        <f>SUM(Setup!AV48:AV54)</f>
        <v>0</v>
      </c>
      <c r="F21" s="459"/>
      <c r="G21" s="300">
        <f>IF(Adequacy="Economy","Out of Scope",SUM(Setup!AW48:AW54))</f>
        <v>0</v>
      </c>
      <c r="H21" s="301"/>
      <c r="I21" s="460">
        <f xml:space="preserve"> IF(COUNTIF('Evaluation details_input'!$J$4:$J$1000,"*accepted")=0,'Evaluation Report_Initial'!I21,COUNTIFS('Evaluation details_input'!$P$3:$P$1000,$B21,'Evaluation details_input'!$R$3:$R$1000,I$14)+COUNTIFS('Evaluation details_input'!$F$3:$F$1000,$B21,'Evaluation details_input'!$H$3:$H$1000,I$14,'Evaluation details_input'!$J$3:$J$1000,"Not accepted",'Evaluation details_input'!$N$3:$N$1000,"Disagree with original translator", 'Evaluation details_input'!$P$3:$P$1000,"")+COUNTIFS('Evaluation details_input'!$F$3:$F$1000,$B21,'Evaluation details_input'!$H$3:$H$1000,I$14,'Evaluation details_input'!$J$3:$J$1000,"Accepted", 'Evaluation details_input'!$P$3:$P$1000,""))</f>
        <v>0</v>
      </c>
      <c r="J21" s="314"/>
      <c r="K21" s="300">
        <f>IF(Adequacy="Economy","Out of Scope",SUM(Setup!BA48:BA54))</f>
        <v>0</v>
      </c>
      <c r="L21" s="301"/>
      <c r="M21" s="458">
        <f xml:space="preserve"> IF(COUNTIF('Evaluation details_input'!$J$4:$J$1000,"*accepted")=0,'Evaluation Report_Initial'!M21,COUNTIFS('Evaluation details_input'!$P$3:$P$1000,$B21,'Evaluation details_input'!$R$3:$R$1000,M$14)+COUNTIFS('Evaluation details_input'!$F$3:$F$1000,$B21,'Evaluation details_input'!$H$3:$H$1000,M$14,'Evaluation details_input'!$J$3:$J$1000,"Not accepted",'Evaluation details_input'!$N$3:$N$1000,"Disagree with original translator", 'Evaluation details_input'!$P$3:$P$1000,"")+COUNTIFS('Evaluation details_input'!$F$3:$F$1000,$B21,'Evaluation details_input'!$H$3:$H$1000,M$14,'Evaluation details_input'!$J$3:$J$1000,"Accepted", 'Evaluation details_input'!$P$3:$P$1000,""))</f>
        <v>0</v>
      </c>
      <c r="N21" s="459"/>
      <c r="O21" s="307">
        <f>IF(Adequacy="Economy","Out of Scope",M21*100)</f>
        <v>0</v>
      </c>
      <c r="P21" s="308"/>
      <c r="Q21" s="470">
        <f>IF(Adequacy="Economy","Out of Scope",G21+K21+O21)</f>
        <v>0</v>
      </c>
      <c r="R21" s="318"/>
      <c r="T21" s="534" t="s">
        <v>355</v>
      </c>
      <c r="U21" s="535"/>
      <c r="V21" s="535"/>
      <c r="W21" s="536" t="s">
        <v>356</v>
      </c>
      <c r="X21" s="536"/>
      <c r="Y21" s="537"/>
    </row>
    <row r="22" spans="2:25" ht="15" customHeight="1" thickBot="1">
      <c r="B22" s="143" t="str">
        <f>Setup!Q2</f>
        <v>Other</v>
      </c>
      <c r="C22" s="349">
        <f xml:space="preserve"> IF(COUNTIF('Evaluation details_input'!$J$4:$J$1000,"*accepted")=0,'Evaluation Report_Initial'!C22,COUNTIFS('Evaluation details_input'!$P$3:$P$1000,$B22,'Evaluation details_input'!$R$3:$R$1000,$C$14)+COUNTIFS('Evaluation details_input'!$F$3:$F$1000,$B22,'Evaluation details_input'!$H$3:$H$1000,$C$14,'Evaluation details_input'!$J$3:$J$1000,"Not accepted",'Evaluation details_input'!$N$3:$N$1000,"Disagree with original translator", 'Evaluation details_input'!$P$3:$P$1000,"")+COUNTIFS('Evaluation details_input'!$F$3:$F$1000,$B22,'Evaluation details_input'!$H$3:$H$1000,$C$14,'Evaluation details_input'!$J$3:$J$1000,"Accepted", 'Evaluation details_input'!$P$3:$P$1000,""))</f>
        <v>0</v>
      </c>
      <c r="D22" s="350"/>
      <c r="E22" s="523">
        <f>SUM(Setup!AV56:AV58)</f>
        <v>0</v>
      </c>
      <c r="F22" s="524"/>
      <c r="G22" s="349">
        <f>IF(Adequacy="Economy","Out of Scope",0)</f>
        <v>0</v>
      </c>
      <c r="H22" s="350"/>
      <c r="I22" s="531">
        <f xml:space="preserve"> IF(COUNTIF('Evaluation details_input'!$J$4:$J$1000,"*accepted")=0,'Evaluation Report_Initial'!I22,COUNTIFS('Evaluation details_input'!$P$3:$P$1000,$B22,'Evaluation details_input'!$R$3:$R$1000,I$14)+COUNTIFS('Evaluation details_input'!$F$3:$F$1000,$B22,'Evaluation details_input'!$H$3:$H$1000,I$14,'Evaluation details_input'!$J$3:$J$1000,"Not accepted",'Evaluation details_input'!$N$3:$N$1000,"Disagree with original translator", 'Evaluation details_input'!$P$3:$P$1000,"")+COUNTIFS('Evaluation details_input'!$F$3:$F$1000,$B22,'Evaluation details_input'!$H$3:$H$1000,I$14,'Evaluation details_input'!$J$3:$J$1000,"Accepted", 'Evaluation details_input'!$P$3:$P$1000,""))</f>
        <v>0</v>
      </c>
      <c r="J22" s="361"/>
      <c r="K22" s="349">
        <f>IF(Adequacy="Economy","Out of Scope",0)</f>
        <v>0</v>
      </c>
      <c r="L22" s="350"/>
      <c r="M22" s="523">
        <f xml:space="preserve"> IF(COUNTIF('Evaluation details_input'!$J$4:$J$1000,"*accepted")=0,'Evaluation Report_Initial'!M22,COUNTIFS('Evaluation details_input'!$P$3:$P$1000,$B22,'Evaluation details_input'!$R$3:$R$1000,M$14)+COUNTIFS('Evaluation details_input'!$F$3:$F$1000,$B22,'Evaluation details_input'!$H$3:$H$1000,M$14,'Evaluation details_input'!$J$3:$J$1000,"Not accepted",'Evaluation details_input'!$N$3:$N$1000,"Disagree with original translator", 'Evaluation details_input'!$P$3:$P$1000,"")+COUNTIFS('Evaluation details_input'!$F$3:$F$1000,$B22,'Evaluation details_input'!$H$3:$H$1000,M$14,'Evaluation details_input'!$J$3:$J$1000,"Accepted", 'Evaluation details_input'!$P$3:$P$1000,""))</f>
        <v>0</v>
      </c>
      <c r="N22" s="524"/>
      <c r="O22" s="370">
        <f>IF(Adequacy="Economy","Out of Scope",0)</f>
        <v>0</v>
      </c>
      <c r="P22" s="350"/>
      <c r="Q22" s="528">
        <f>IF(Adequacy="Economy","Out of Scope",G22+K22+O22)</f>
        <v>0</v>
      </c>
      <c r="R22" s="450"/>
      <c r="T22" s="471">
        <f>COUNTIFS('Evaluation details_input'!$N$4:$N$1000,"Agree with original translator",'Evaluation details_input'!$J$4:$J$1000,"Not accepted")</f>
        <v>0</v>
      </c>
      <c r="U22" s="472"/>
      <c r="V22" s="45"/>
      <c r="W22" s="45"/>
      <c r="X22" s="45">
        <f>COUNTIFS('Evaluation details_input'!$N$4:$N$1000,"Disagree with original translator",'Evaluation details_input'!$J$4:$J$1000,"Not accepted")</f>
        <v>0</v>
      </c>
      <c r="Y22" s="90"/>
    </row>
    <row r="23" spans="2:25" ht="15" customHeight="1" thickTop="1" thickBot="1">
      <c r="B23" s="20"/>
      <c r="C23" s="17"/>
      <c r="D23" s="18"/>
      <c r="E23" s="17"/>
      <c r="F23" s="17"/>
      <c r="G23" s="17"/>
      <c r="H23" s="17"/>
      <c r="I23" s="17"/>
      <c r="J23" s="17"/>
      <c r="K23" s="18"/>
      <c r="L23" s="18"/>
      <c r="M23" s="454">
        <f>SUM(M15:N22)</f>
        <v>0</v>
      </c>
      <c r="N23" s="454"/>
      <c r="O23" s="18"/>
      <c r="P23" s="18"/>
      <c r="Q23" s="18"/>
      <c r="R23" s="3"/>
      <c r="T23" s="473" t="s">
        <v>357</v>
      </c>
      <c r="U23" s="474"/>
      <c r="V23" s="474"/>
      <c r="W23" s="474"/>
      <c r="X23" s="474"/>
      <c r="Y23" s="475"/>
    </row>
    <row r="24" spans="2:25" ht="15" customHeight="1" thickTop="1" thickBot="1">
      <c r="B24" s="20"/>
      <c r="C24" s="532" t="s">
        <v>324</v>
      </c>
      <c r="D24" s="480"/>
      <c r="E24" s="480"/>
      <c r="F24" s="533"/>
      <c r="G24" s="82">
        <f>COUNTIF('Evaluation details_input'!$T$4:$T$1000,1)</f>
        <v>0</v>
      </c>
      <c r="H24" s="16"/>
      <c r="J24" s="532" t="s">
        <v>325</v>
      </c>
      <c r="K24" s="480"/>
      <c r="L24" s="480"/>
      <c r="M24" s="533"/>
      <c r="N24" s="82">
        <f>COUNTIF('Evaluation details_input'!$U$4:$U$1000,1)</f>
        <v>0</v>
      </c>
      <c r="R24" s="3"/>
      <c r="T24" s="476" t="str">
        <f>IF('Evaluation Report_Initial'!F30=0,"100%",(T17+X22)/(T17+X17))</f>
        <v>100%</v>
      </c>
      <c r="U24" s="477"/>
      <c r="V24" s="477"/>
      <c r="W24" s="477"/>
      <c r="X24" s="477"/>
      <c r="Y24" s="478"/>
    </row>
    <row r="25" spans="2:25" ht="15" customHeight="1" thickTop="1" thickBot="1">
      <c r="B25" s="2"/>
      <c r="C25" s="359"/>
      <c r="D25" s="359"/>
      <c r="E25" s="3"/>
      <c r="F25" s="3"/>
      <c r="G25" s="351"/>
      <c r="H25" s="351"/>
      <c r="I25" s="3"/>
      <c r="J25" s="3"/>
      <c r="K25" s="10"/>
      <c r="L25" s="9"/>
      <c r="M25" s="9"/>
      <c r="N25" s="9"/>
      <c r="O25" s="9"/>
      <c r="P25" s="9"/>
      <c r="Q25" s="9"/>
      <c r="R25" s="5"/>
    </row>
    <row r="26" spans="2:25" ht="18" customHeight="1" thickTop="1">
      <c r="B26" s="446" t="s">
        <v>2</v>
      </c>
      <c r="C26" s="447"/>
      <c r="D26" s="447"/>
      <c r="E26" s="447"/>
      <c r="F26" s="447"/>
      <c r="G26" s="447"/>
      <c r="H26" s="447"/>
      <c r="I26" s="447"/>
      <c r="J26" s="447"/>
      <c r="K26" s="447"/>
      <c r="L26" s="447"/>
      <c r="M26" s="447"/>
      <c r="N26" s="447"/>
      <c r="O26" s="447"/>
      <c r="P26" s="447"/>
      <c r="Q26" s="447"/>
      <c r="R26" s="448"/>
      <c r="S26" s="35"/>
      <c r="T26" s="464" t="s">
        <v>195</v>
      </c>
      <c r="U26" s="465"/>
      <c r="V26" s="465"/>
      <c r="W26" s="465"/>
      <c r="X26" s="465"/>
      <c r="Y26" s="466"/>
    </row>
    <row r="27" spans="2:25" ht="15" customHeight="1" thickBot="1">
      <c r="B27" s="72"/>
      <c r="C27" s="4"/>
      <c r="D27" s="4"/>
      <c r="E27" s="4"/>
      <c r="F27" s="4"/>
      <c r="G27" s="4"/>
      <c r="H27" s="4"/>
      <c r="I27" s="4"/>
      <c r="R27" s="73"/>
      <c r="S27" s="36"/>
      <c r="T27" s="467"/>
      <c r="U27" s="468"/>
      <c r="V27" s="468"/>
      <c r="W27" s="468"/>
      <c r="X27" s="468"/>
      <c r="Y27" s="469"/>
    </row>
    <row r="28" spans="2:25" ht="20.100000000000001" customHeight="1">
      <c r="B28" s="74"/>
      <c r="C28" s="430" t="s">
        <v>326</v>
      </c>
      <c r="D28" s="431"/>
      <c r="F28" s="440" t="s">
        <v>323</v>
      </c>
      <c r="G28" s="441"/>
      <c r="H28" s="442"/>
      <c r="J28" s="434" t="s">
        <v>218</v>
      </c>
      <c r="K28" s="435"/>
      <c r="L28" s="436"/>
      <c r="M28" s="455" t="s">
        <v>219</v>
      </c>
      <c r="N28" s="456"/>
      <c r="O28" s="456"/>
      <c r="P28" s="456"/>
      <c r="Q28" s="456"/>
      <c r="R28" s="457"/>
      <c r="S28" s="37"/>
      <c r="T28" s="526" t="s">
        <v>193</v>
      </c>
      <c r="U28" s="527"/>
      <c r="V28" s="44">
        <f>COUNTIF('Evaluation details_input'!S4:S1000,T28)</f>
        <v>0</v>
      </c>
      <c r="Y28" s="73"/>
    </row>
    <row r="29" spans="2:25" ht="20.100000000000001" customHeight="1">
      <c r="B29" s="75"/>
      <c r="C29" s="432"/>
      <c r="D29" s="433"/>
      <c r="F29" s="443"/>
      <c r="G29" s="444"/>
      <c r="H29" s="445"/>
      <c r="J29" s="437"/>
      <c r="K29" s="438"/>
      <c r="L29" s="439"/>
      <c r="M29" s="455"/>
      <c r="N29" s="456"/>
      <c r="O29" s="456"/>
      <c r="P29" s="456"/>
      <c r="Q29" s="456"/>
      <c r="R29" s="457"/>
      <c r="S29" s="16"/>
      <c r="T29" s="526" t="s">
        <v>194</v>
      </c>
      <c r="U29" s="527"/>
      <c r="V29" s="44">
        <f>COUNTIF('Evaluation details_input'!S4:S1000,T29)</f>
        <v>0</v>
      </c>
      <c r="Y29" s="73"/>
    </row>
    <row r="30" spans="2:25" ht="20.100000000000001" customHeight="1" thickBot="1">
      <c r="B30" s="76"/>
      <c r="C30" s="363">
        <f>'Evaluation Report_Initial'!C30</f>
        <v>0</v>
      </c>
      <c r="D30" s="364"/>
      <c r="E30" s="45"/>
      <c r="F30" s="367">
        <f>IF(Adequacy="Basic",SUM(Q15:Q19),SUM(Q15:Q22))</f>
        <v>0</v>
      </c>
      <c r="G30" s="368"/>
      <c r="H30" s="369"/>
      <c r="I30" s="45"/>
      <c r="J30" s="390" t="str">
        <f>IFERROR(1-(SUM(E15:F22,I15:J22,M15:N22)/M10),"")</f>
        <v/>
      </c>
      <c r="K30" s="391"/>
      <c r="L30" s="392"/>
      <c r="Q30" s="27"/>
      <c r="R30" s="73"/>
      <c r="S30" s="38"/>
      <c r="T30" s="526" t="s">
        <v>197</v>
      </c>
      <c r="U30" s="527"/>
      <c r="V30" s="44">
        <f>COUNTIF('Evaluation details_input'!S4:S1000,T30)</f>
        <v>0</v>
      </c>
      <c r="Y30" s="73"/>
    </row>
    <row r="31" spans="2:25" ht="15" customHeight="1" thickBot="1">
      <c r="B31" s="76"/>
      <c r="E31" s="15"/>
      <c r="F31" s="354"/>
      <c r="G31" s="354"/>
      <c r="H31" s="34"/>
      <c r="K31" s="24"/>
      <c r="L31" s="24"/>
      <c r="M31" s="24"/>
      <c r="N31" s="24"/>
      <c r="O31" s="24"/>
      <c r="P31" s="24"/>
      <c r="Q31" s="19"/>
      <c r="R31" s="77"/>
      <c r="S31" s="38"/>
      <c r="T31" s="88"/>
      <c r="Y31" s="73"/>
    </row>
    <row r="32" spans="2:25" ht="15" customHeight="1" thickBot="1">
      <c r="B32" s="76"/>
      <c r="C32" s="353" t="s">
        <v>292</v>
      </c>
      <c r="D32" s="353"/>
      <c r="E32" s="353"/>
      <c r="F32" s="353"/>
      <c r="G32" s="353"/>
      <c r="H32" s="353"/>
      <c r="J32" s="371" t="str">
        <f xml:space="preserve">
IFERROR(IF(Adequacy="Value",
IF(100-(F30/2/M10)*1100&lt;0,0,100-(F30/2/M10)*1100),
IF(Adequacy="Economy",
IF(100-(F30/4/M10)*1100&lt;0,0,100-(F30/4/M10)*1100),
IF(100-(F30/M10)*1100&lt;0,0,100-(F30/M10)*1100))),"")</f>
        <v/>
      </c>
      <c r="K32" s="372"/>
      <c r="L32" s="373"/>
      <c r="M32" s="355" t="str">
        <f xml:space="preserve">
IF(M10&lt;500,"Small File QE",
IF(J32&gt;=90,"Pass","No Pass"))</f>
        <v>Small File QE</v>
      </c>
      <c r="N32" s="356"/>
      <c r="O32" s="40"/>
      <c r="P32" s="40"/>
      <c r="R32" s="77"/>
      <c r="S32" s="38"/>
      <c r="T32" s="107" t="s">
        <v>516</v>
      </c>
      <c r="U32" s="108"/>
      <c r="V32" s="108"/>
      <c r="W32" s="221" t="str">
        <f>IF(V28+V29=0,"N/A",V28/(V28+V29)*1)</f>
        <v>N/A</v>
      </c>
      <c r="Y32" s="73"/>
    </row>
    <row r="33" spans="2:25" ht="15" customHeight="1" thickBot="1">
      <c r="B33" s="76"/>
      <c r="C33" s="95">
        <v>0</v>
      </c>
      <c r="D33" s="241" t="s">
        <v>293</v>
      </c>
      <c r="E33" s="352">
        <v>90</v>
      </c>
      <c r="F33" s="352"/>
      <c r="G33" s="102"/>
      <c r="H33" s="101" t="s">
        <v>294</v>
      </c>
      <c r="J33" s="374"/>
      <c r="K33" s="375"/>
      <c r="L33" s="376"/>
      <c r="M33" s="357"/>
      <c r="N33" s="358"/>
      <c r="O33" s="40"/>
      <c r="P33" s="40"/>
      <c r="R33" s="73"/>
      <c r="S33" s="38"/>
      <c r="T33" s="88"/>
      <c r="W33" s="34"/>
      <c r="Y33" s="73"/>
    </row>
    <row r="34" spans="2:25" ht="15" customHeight="1" thickBot="1">
      <c r="B34" s="76"/>
      <c r="C34" s="381" t="s">
        <v>5</v>
      </c>
      <c r="D34" s="381"/>
      <c r="E34" s="362" t="s">
        <v>206</v>
      </c>
      <c r="F34" s="362"/>
      <c r="G34" s="380" t="s">
        <v>6</v>
      </c>
      <c r="H34" s="380"/>
      <c r="J34" s="377" t="s">
        <v>282</v>
      </c>
      <c r="K34" s="377"/>
      <c r="L34" s="377"/>
      <c r="M34" s="377"/>
      <c r="N34" s="377"/>
      <c r="O34" s="42"/>
      <c r="P34" s="42"/>
      <c r="Q34" s="42"/>
      <c r="R34" s="78"/>
      <c r="S34" s="38"/>
      <c r="T34" s="79"/>
      <c r="U34" s="80"/>
      <c r="V34" s="80"/>
      <c r="W34" s="80"/>
      <c r="X34" s="80"/>
      <c r="Y34" s="81"/>
    </row>
    <row r="35" spans="2:25" ht="15" customHeight="1" thickTop="1">
      <c r="B35" s="76"/>
      <c r="C35" s="43"/>
      <c r="D35" s="43"/>
      <c r="E35" s="41"/>
      <c r="F35" s="41"/>
      <c r="G35" s="43"/>
      <c r="H35" s="43"/>
      <c r="J35" s="121" t="str">
        <f>IF(M10&lt;500,"",IF((J32&lt;90),"No Pass due to score less than 90",""))</f>
        <v/>
      </c>
      <c r="L35" s="42"/>
      <c r="M35" s="42"/>
      <c r="N35" s="42"/>
      <c r="O35" s="42"/>
      <c r="P35" s="42"/>
      <c r="Q35" s="42"/>
      <c r="R35" s="78"/>
      <c r="S35" s="38"/>
    </row>
    <row r="36" spans="2:25" ht="15" customHeight="1" thickBot="1">
      <c r="B36" s="109"/>
      <c r="C36" s="110"/>
      <c r="D36" s="110"/>
      <c r="E36" s="111"/>
      <c r="F36" s="111"/>
      <c r="G36" s="110"/>
      <c r="H36" s="110"/>
      <c r="I36" s="80"/>
      <c r="J36" s="112">
        <f>IF((SUM(M15:P21)&gt;=1),"No Pass due to Critical Error",0)</f>
        <v>0</v>
      </c>
      <c r="K36" s="80"/>
      <c r="L36" s="113"/>
      <c r="M36" s="113"/>
      <c r="N36" s="113"/>
      <c r="O36" s="113"/>
      <c r="P36" s="113"/>
      <c r="Q36" s="113"/>
      <c r="R36" s="114"/>
      <c r="S36" s="38"/>
    </row>
    <row r="37" spans="2:25" ht="15" customHeight="1" thickTop="1"/>
    <row r="38" spans="2:25" ht="15" customHeight="1">
      <c r="B38" s="32"/>
      <c r="C38" s="16"/>
      <c r="D38" s="16"/>
      <c r="E38" s="16"/>
      <c r="F38" s="16"/>
      <c r="G38" s="16"/>
      <c r="H38" s="16"/>
      <c r="I38" s="16"/>
    </row>
    <row r="39" spans="2:25" ht="15" customHeight="1">
      <c r="C39" s="16"/>
      <c r="D39" s="16"/>
      <c r="E39" s="16"/>
      <c r="F39" s="16"/>
      <c r="G39" s="16"/>
      <c r="H39" s="16"/>
      <c r="I39" s="16"/>
    </row>
    <row r="40" spans="2:25" ht="15" customHeight="1">
      <c r="B40" s="6"/>
      <c r="C40" s="7"/>
      <c r="D40" s="7"/>
      <c r="E40" s="7"/>
      <c r="F40" s="7"/>
      <c r="G40" s="7"/>
      <c r="H40" s="7"/>
      <c r="I40" s="7"/>
      <c r="J40" s="8"/>
      <c r="K40" s="8"/>
      <c r="L40" s="8"/>
      <c r="M40" s="8"/>
      <c r="N40" s="8"/>
      <c r="O40" s="8"/>
      <c r="P40" s="8"/>
      <c r="Q40" s="8"/>
      <c r="R40" s="8"/>
    </row>
    <row r="41" spans="2:25" ht="29.25" hidden="1" customHeight="1" thickTop="1" thickBot="1">
      <c r="B41" s="529" t="s">
        <v>347</v>
      </c>
      <c r="C41" s="530"/>
      <c r="D41" s="530"/>
      <c r="E41" s="530"/>
      <c r="F41" s="530"/>
      <c r="G41" s="525" t="s">
        <v>505</v>
      </c>
      <c r="H41" s="525"/>
      <c r="I41" s="525"/>
      <c r="J41" s="525"/>
      <c r="K41" s="525"/>
      <c r="L41" s="525"/>
      <c r="M41" s="525"/>
      <c r="N41" s="525"/>
      <c r="O41" s="541">
        <f>'Evaluation Report_Initial'!O38</f>
        <v>0</v>
      </c>
      <c r="P41" s="541"/>
      <c r="Q41" s="541"/>
      <c r="R41" s="542"/>
    </row>
    <row r="42" spans="2:25" ht="15" hidden="1" thickTop="1">
      <c r="B42" s="338">
        <f>'Evaluation Report_Initial'!B39</f>
        <v>0</v>
      </c>
      <c r="C42" s="339"/>
      <c r="D42" s="339"/>
      <c r="E42" s="339"/>
      <c r="F42" s="339"/>
      <c r="G42" s="339"/>
      <c r="H42" s="339"/>
      <c r="I42" s="339"/>
      <c r="J42" s="339"/>
      <c r="K42" s="339"/>
      <c r="L42" s="339"/>
      <c r="M42" s="339"/>
      <c r="N42" s="339"/>
      <c r="O42" s="339"/>
      <c r="P42" s="339"/>
      <c r="Q42" s="339"/>
      <c r="R42" s="340"/>
    </row>
    <row r="43" spans="2:25" hidden="1">
      <c r="B43" s="341"/>
      <c r="C43" s="342"/>
      <c r="D43" s="342"/>
      <c r="E43" s="342"/>
      <c r="F43" s="342"/>
      <c r="G43" s="342"/>
      <c r="H43" s="342"/>
      <c r="I43" s="342"/>
      <c r="J43" s="342"/>
      <c r="K43" s="342"/>
      <c r="L43" s="342"/>
      <c r="M43" s="342"/>
      <c r="N43" s="342"/>
      <c r="O43" s="342"/>
      <c r="P43" s="342"/>
      <c r="Q43" s="342"/>
      <c r="R43" s="343"/>
    </row>
    <row r="44" spans="2:25" hidden="1">
      <c r="B44" s="341"/>
      <c r="C44" s="342"/>
      <c r="D44" s="342"/>
      <c r="E44" s="342"/>
      <c r="F44" s="342"/>
      <c r="G44" s="342"/>
      <c r="H44" s="342"/>
      <c r="I44" s="342"/>
      <c r="J44" s="342"/>
      <c r="K44" s="342"/>
      <c r="L44" s="342"/>
      <c r="M44" s="342"/>
      <c r="N44" s="342"/>
      <c r="O44" s="342"/>
      <c r="P44" s="342"/>
      <c r="Q44" s="342"/>
      <c r="R44" s="343"/>
    </row>
    <row r="45" spans="2:25" hidden="1">
      <c r="B45" s="341"/>
      <c r="C45" s="342"/>
      <c r="D45" s="342"/>
      <c r="E45" s="342"/>
      <c r="F45" s="342"/>
      <c r="G45" s="342"/>
      <c r="H45" s="342"/>
      <c r="I45" s="342"/>
      <c r="J45" s="342"/>
      <c r="K45" s="342"/>
      <c r="L45" s="342"/>
      <c r="M45" s="342"/>
      <c r="N45" s="342"/>
      <c r="O45" s="342"/>
      <c r="P45" s="342"/>
      <c r="Q45" s="342"/>
      <c r="R45" s="343"/>
    </row>
    <row r="46" spans="2:25" hidden="1">
      <c r="B46" s="341"/>
      <c r="C46" s="342"/>
      <c r="D46" s="342"/>
      <c r="E46" s="342"/>
      <c r="F46" s="342"/>
      <c r="G46" s="342"/>
      <c r="H46" s="342"/>
      <c r="I46" s="342"/>
      <c r="J46" s="342"/>
      <c r="K46" s="342"/>
      <c r="L46" s="342"/>
      <c r="M46" s="342"/>
      <c r="N46" s="342"/>
      <c r="O46" s="342"/>
      <c r="P46" s="342"/>
      <c r="Q46" s="342"/>
      <c r="R46" s="343"/>
    </row>
    <row r="47" spans="2:25" hidden="1">
      <c r="B47" s="341"/>
      <c r="C47" s="342"/>
      <c r="D47" s="342"/>
      <c r="E47" s="342"/>
      <c r="F47" s="342"/>
      <c r="G47" s="342"/>
      <c r="H47" s="342"/>
      <c r="I47" s="342"/>
      <c r="J47" s="342"/>
      <c r="K47" s="342"/>
      <c r="L47" s="342"/>
      <c r="M47" s="342"/>
      <c r="N47" s="342"/>
      <c r="O47" s="342"/>
      <c r="P47" s="342"/>
      <c r="Q47" s="342"/>
      <c r="R47" s="343"/>
    </row>
    <row r="48" spans="2:25" hidden="1">
      <c r="B48" s="341"/>
      <c r="C48" s="342"/>
      <c r="D48" s="342"/>
      <c r="E48" s="342"/>
      <c r="F48" s="342"/>
      <c r="G48" s="342"/>
      <c r="H48" s="342"/>
      <c r="I48" s="342"/>
      <c r="J48" s="342"/>
      <c r="K48" s="342"/>
      <c r="L48" s="342"/>
      <c r="M48" s="342"/>
      <c r="N48" s="342"/>
      <c r="O48" s="342"/>
      <c r="P48" s="342"/>
      <c r="Q48" s="342"/>
      <c r="R48" s="343"/>
    </row>
    <row r="49" spans="2:18" hidden="1">
      <c r="B49" s="341"/>
      <c r="C49" s="342"/>
      <c r="D49" s="342"/>
      <c r="E49" s="342"/>
      <c r="F49" s="342"/>
      <c r="G49" s="342"/>
      <c r="H49" s="342"/>
      <c r="I49" s="342"/>
      <c r="J49" s="342"/>
      <c r="K49" s="342"/>
      <c r="L49" s="342"/>
      <c r="M49" s="342"/>
      <c r="N49" s="342"/>
      <c r="O49" s="342"/>
      <c r="P49" s="342"/>
      <c r="Q49" s="342"/>
      <c r="R49" s="343"/>
    </row>
    <row r="50" spans="2:18" ht="15" hidden="1" thickBot="1">
      <c r="B50" s="344"/>
      <c r="C50" s="345"/>
      <c r="D50" s="345"/>
      <c r="E50" s="345"/>
      <c r="F50" s="345"/>
      <c r="G50" s="345"/>
      <c r="H50" s="345"/>
      <c r="I50" s="345"/>
      <c r="J50" s="345"/>
      <c r="K50" s="345"/>
      <c r="L50" s="345"/>
      <c r="M50" s="345"/>
      <c r="N50" s="345"/>
      <c r="O50" s="345"/>
      <c r="P50" s="345"/>
      <c r="Q50" s="345"/>
      <c r="R50" s="346"/>
    </row>
  </sheetData>
  <sheetProtection algorithmName="SHA-512" hashValue="23oCOMhfcSHHSlGz4hENTloi32kn5413Wa4aXcGfFY0Xpp1eknfKtmP/PgcW8ybPj8FRTq2PWzxTxVjcoylB2Q==" saltValue="x+Vcg8PsI+1mazBZCkI0aA==" spinCount="100000" sheet="1" objects="1" scenarios="1"/>
  <protectedRanges>
    <protectedRange sqref="L41" name="Range1"/>
    <protectedRange sqref="O41 Q41" name="Range1_1"/>
  </protectedRanges>
  <mergeCells count="136">
    <mergeCell ref="B42:R50"/>
    <mergeCell ref="T14:Y14"/>
    <mergeCell ref="T15:Y15"/>
    <mergeCell ref="T16:V16"/>
    <mergeCell ref="W16:Y16"/>
    <mergeCell ref="T17:U17"/>
    <mergeCell ref="T18:Y18"/>
    <mergeCell ref="T19:Y19"/>
    <mergeCell ref="T20:Y20"/>
    <mergeCell ref="T21:V21"/>
    <mergeCell ref="W21:Y21"/>
    <mergeCell ref="O41:R41"/>
    <mergeCell ref="J32:L33"/>
    <mergeCell ref="G20:H20"/>
    <mergeCell ref="M20:N20"/>
    <mergeCell ref="O20:P20"/>
    <mergeCell ref="M22:N22"/>
    <mergeCell ref="O22:P22"/>
    <mergeCell ref="C20:D20"/>
    <mergeCell ref="C30:D30"/>
    <mergeCell ref="F30:H30"/>
    <mergeCell ref="J30:L30"/>
    <mergeCell ref="J24:M24"/>
    <mergeCell ref="M28:R29"/>
    <mergeCell ref="B2:R2"/>
    <mergeCell ref="B41:F41"/>
    <mergeCell ref="I22:J22"/>
    <mergeCell ref="K22:L22"/>
    <mergeCell ref="C28:D29"/>
    <mergeCell ref="F28:H29"/>
    <mergeCell ref="J28:L29"/>
    <mergeCell ref="C24:F24"/>
    <mergeCell ref="C25:D25"/>
    <mergeCell ref="G25:H25"/>
    <mergeCell ref="B26:R26"/>
    <mergeCell ref="K18:L18"/>
    <mergeCell ref="Q20:R20"/>
    <mergeCell ref="C19:D19"/>
    <mergeCell ref="E19:F19"/>
    <mergeCell ref="G19:H19"/>
    <mergeCell ref="F31:G31"/>
    <mergeCell ref="C32:H32"/>
    <mergeCell ref="E33:F33"/>
    <mergeCell ref="E34:F34"/>
    <mergeCell ref="J34:N34"/>
    <mergeCell ref="G34:H34"/>
    <mergeCell ref="C34:D34"/>
    <mergeCell ref="M32:N33"/>
    <mergeCell ref="C22:D22"/>
    <mergeCell ref="E22:F22"/>
    <mergeCell ref="G22:H22"/>
    <mergeCell ref="M23:N23"/>
    <mergeCell ref="C21:D21"/>
    <mergeCell ref="E21:F21"/>
    <mergeCell ref="G21:H21"/>
    <mergeCell ref="G41:N41"/>
    <mergeCell ref="T30:U30"/>
    <mergeCell ref="T28:U28"/>
    <mergeCell ref="T29:U29"/>
    <mergeCell ref="Q22:R22"/>
    <mergeCell ref="B3:R3"/>
    <mergeCell ref="C4:H4"/>
    <mergeCell ref="C7:H7"/>
    <mergeCell ref="I4:L4"/>
    <mergeCell ref="M4:R4"/>
    <mergeCell ref="M5:R5"/>
    <mergeCell ref="M6:R6"/>
    <mergeCell ref="M7:R7"/>
    <mergeCell ref="M8:R8"/>
    <mergeCell ref="B5:B6"/>
    <mergeCell ref="C5:H6"/>
    <mergeCell ref="M9:R9"/>
    <mergeCell ref="Q14:R14"/>
    <mergeCell ref="M12:R12"/>
    <mergeCell ref="I10:L11"/>
    <mergeCell ref="M10:R11"/>
    <mergeCell ref="I17:J17"/>
    <mergeCell ref="K17:L17"/>
    <mergeCell ref="Q17:R17"/>
    <mergeCell ref="C14:D14"/>
    <mergeCell ref="E14:F14"/>
    <mergeCell ref="G14:H14"/>
    <mergeCell ref="C11:H11"/>
    <mergeCell ref="C10:H10"/>
    <mergeCell ref="C12:H12"/>
    <mergeCell ref="I12:L12"/>
    <mergeCell ref="K16:L16"/>
    <mergeCell ref="M15:N15"/>
    <mergeCell ref="O15:P15"/>
    <mergeCell ref="M16:N16"/>
    <mergeCell ref="O16:P16"/>
    <mergeCell ref="C9:H9"/>
    <mergeCell ref="K15:L15"/>
    <mergeCell ref="Q15:R15"/>
    <mergeCell ref="I14:J14"/>
    <mergeCell ref="K14:L14"/>
    <mergeCell ref="M14:N14"/>
    <mergeCell ref="O14:P14"/>
    <mergeCell ref="Q18:R18"/>
    <mergeCell ref="Q16:R16"/>
    <mergeCell ref="C17:D17"/>
    <mergeCell ref="E17:F17"/>
    <mergeCell ref="Q19:R19"/>
    <mergeCell ref="M19:N19"/>
    <mergeCell ref="O19:P19"/>
    <mergeCell ref="I16:J16"/>
    <mergeCell ref="K19:L19"/>
    <mergeCell ref="I18:J18"/>
    <mergeCell ref="M17:N17"/>
    <mergeCell ref="O17:P17"/>
    <mergeCell ref="M18:N18"/>
    <mergeCell ref="O18:P18"/>
    <mergeCell ref="K20:L20"/>
    <mergeCell ref="T26:Y27"/>
    <mergeCell ref="I21:J21"/>
    <mergeCell ref="K21:L21"/>
    <mergeCell ref="M21:N21"/>
    <mergeCell ref="Q21:R21"/>
    <mergeCell ref="O21:P21"/>
    <mergeCell ref="T22:U22"/>
    <mergeCell ref="T23:Y23"/>
    <mergeCell ref="T24:Y24"/>
    <mergeCell ref="E20:F20"/>
    <mergeCell ref="I20:J20"/>
    <mergeCell ref="G17:H17"/>
    <mergeCell ref="C18:D18"/>
    <mergeCell ref="E18:F18"/>
    <mergeCell ref="G18:H18"/>
    <mergeCell ref="C15:D15"/>
    <mergeCell ref="E15:F15"/>
    <mergeCell ref="G15:H15"/>
    <mergeCell ref="C16:D16"/>
    <mergeCell ref="E16:F16"/>
    <mergeCell ref="G16:H16"/>
    <mergeCell ref="I19:J19"/>
    <mergeCell ref="I15:J15"/>
  </mergeCells>
  <conditionalFormatting sqref="M32:N33">
    <cfRule type="cellIs" dxfId="29" priority="1" operator="equal">
      <formula>"Small File QE"</formula>
    </cfRule>
    <cfRule type="containsText" dxfId="28" priority="8" operator="containsText" text="No Pass">
      <formula>NOT(ISERROR(SEARCH("No Pass",M32)))</formula>
    </cfRule>
  </conditionalFormatting>
  <conditionalFormatting sqref="J36">
    <cfRule type="cellIs" dxfId="27" priority="2" operator="equal">
      <formula>0</formula>
    </cfRule>
  </conditionalFormatting>
  <printOptions horizontalCentered="1"/>
  <pageMargins left="0.59055118110236227" right="0.47244094488188981" top="0.70866141732283472" bottom="0.55118110236220474" header="0.31496062992125984" footer="0.19685039370078741"/>
  <pageSetup scale="79" fitToHeight="0" orientation="landscape" r:id="rId1"/>
  <headerFooter alignWithMargins="0">
    <oddFooter>&amp;L&amp;"Noto Sans,Regular"&amp;9&amp;F&amp;C&amp;"Noto Sans,Regular"&amp;9Page &amp;P of &amp;N&amp;R&amp;"Noto Sans,Regular"&amp;9Uncontrolled when in use</oddFooter>
  </headerFooter>
  <ignoredErrors>
    <ignoredError sqref="Q18:Q19 O18:O19 M22 I22"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44" r:id="rId4" name="Button 4">
              <controlPr defaultSize="0" print="0" autoFill="0" autoPict="0" macro="[0]!PDF_Export">
                <anchor moveWithCells="1" sizeWithCells="1">
                  <from>
                    <xdr:col>19</xdr:col>
                    <xdr:colOff>571500</xdr:colOff>
                    <xdr:row>1</xdr:row>
                    <xdr:rowOff>352425</xdr:rowOff>
                  </from>
                  <to>
                    <xdr:col>23</xdr:col>
                    <xdr:colOff>228600</xdr:colOff>
                    <xdr:row>4</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E16E73"/>
    <pageSetUpPr fitToPage="1"/>
  </sheetPr>
  <dimension ref="A1:AF2000"/>
  <sheetViews>
    <sheetView showGridLines="0" zoomScale="85" zoomScaleNormal="85" zoomScaleSheetLayoutView="25" zoomScalePageLayoutView="70" workbookViewId="0">
      <selection activeCell="H21" sqref="H21"/>
    </sheetView>
  </sheetViews>
  <sheetFormatPr defaultColWidth="11.42578125" defaultRowHeight="12"/>
  <cols>
    <col min="1" max="1" width="14.7109375" style="13" customWidth="1"/>
    <col min="2" max="2" width="15" style="63" bestFit="1" customWidth="1"/>
    <col min="3" max="5" width="30.7109375" style="11" customWidth="1"/>
    <col min="6" max="7" width="23.42578125" style="13" customWidth="1"/>
    <col min="8" max="8" width="23.140625" style="13" customWidth="1"/>
    <col min="9" max="9" width="30.7109375" style="13" customWidth="1"/>
    <col min="10" max="10" width="22.42578125" style="13" customWidth="1"/>
    <col min="11" max="13" width="30.7109375" style="13" customWidth="1"/>
    <col min="14" max="14" width="34.7109375" style="13" customWidth="1"/>
    <col min="15" max="15" width="25.7109375" style="13" customWidth="1"/>
    <col min="16" max="16" width="14.7109375" style="13" bestFit="1" customWidth="1"/>
    <col min="17" max="17" width="13.5703125" style="13" bestFit="1" customWidth="1"/>
    <col min="18" max="18" width="20.7109375" style="13" bestFit="1" customWidth="1"/>
    <col min="19" max="19" width="18.7109375" style="13" customWidth="1"/>
    <col min="20" max="21" width="11.42578125" style="13" hidden="1" customWidth="1"/>
    <col min="22" max="22" width="32.140625" style="13" customWidth="1"/>
    <col min="23" max="23" width="11.42578125" style="13"/>
    <col min="24" max="32" width="11.42578125" style="13" hidden="1" customWidth="1"/>
    <col min="33" max="16384" width="11.42578125" style="13"/>
  </cols>
  <sheetData>
    <row r="1" spans="1:32" ht="161.25" customHeight="1">
      <c r="A1" s="544" t="s">
        <v>502</v>
      </c>
      <c r="B1" s="545"/>
      <c r="C1" s="545"/>
      <c r="D1" s="545"/>
      <c r="E1" s="545"/>
      <c r="F1" s="545"/>
      <c r="G1" s="545"/>
      <c r="H1" s="545"/>
      <c r="I1" s="545"/>
      <c r="J1" s="545"/>
      <c r="K1" s="545"/>
      <c r="L1" s="545"/>
      <c r="M1" s="545"/>
      <c r="N1" s="545"/>
      <c r="O1" s="545"/>
      <c r="P1" s="545"/>
      <c r="Q1" s="545"/>
      <c r="R1" s="545"/>
      <c r="S1" s="545"/>
      <c r="T1" s="545"/>
      <c r="U1" s="545"/>
      <c r="V1" s="545"/>
    </row>
    <row r="2" spans="1:32" s="46" customFormat="1" ht="73.5" customHeight="1">
      <c r="A2" s="106" t="s">
        <v>19</v>
      </c>
      <c r="B2" s="106" t="s">
        <v>20</v>
      </c>
      <c r="C2" s="106" t="s">
        <v>21</v>
      </c>
      <c r="D2" s="106" t="s">
        <v>22</v>
      </c>
      <c r="E2" s="106" t="s">
        <v>283</v>
      </c>
      <c r="F2" s="106" t="s">
        <v>23</v>
      </c>
      <c r="G2" s="106" t="s">
        <v>503</v>
      </c>
      <c r="H2" s="106" t="s">
        <v>24</v>
      </c>
      <c r="I2" s="106" t="s">
        <v>284</v>
      </c>
      <c r="J2" s="14" t="s">
        <v>127</v>
      </c>
      <c r="K2" s="14" t="s">
        <v>128</v>
      </c>
      <c r="L2" s="14"/>
      <c r="M2" s="14"/>
      <c r="N2" s="68" t="s">
        <v>228</v>
      </c>
      <c r="O2" s="30" t="s">
        <v>26</v>
      </c>
      <c r="P2" s="543" t="s">
        <v>181</v>
      </c>
      <c r="Q2" s="543"/>
      <c r="R2" s="543"/>
      <c r="S2" s="14" t="s">
        <v>191</v>
      </c>
      <c r="V2" s="14" t="s">
        <v>200</v>
      </c>
    </row>
    <row r="3" spans="1:32" s="12" customFormat="1" ht="20.25" customHeight="1">
      <c r="A3" s="93" t="s">
        <v>12</v>
      </c>
      <c r="B3" s="93" t="s">
        <v>18</v>
      </c>
      <c r="C3" s="93" t="s">
        <v>7</v>
      </c>
      <c r="D3" s="93" t="s">
        <v>13</v>
      </c>
      <c r="E3" s="93" t="s">
        <v>14</v>
      </c>
      <c r="F3" s="93" t="s">
        <v>17</v>
      </c>
      <c r="G3" s="93" t="s">
        <v>295</v>
      </c>
      <c r="H3" s="93" t="s">
        <v>11</v>
      </c>
      <c r="I3" s="93" t="s">
        <v>16</v>
      </c>
      <c r="J3" s="120" t="s">
        <v>15</v>
      </c>
      <c r="K3" s="120" t="s">
        <v>25</v>
      </c>
      <c r="L3" s="120" t="s">
        <v>189</v>
      </c>
      <c r="M3" s="120" t="s">
        <v>521</v>
      </c>
      <c r="N3" s="97" t="s">
        <v>8</v>
      </c>
      <c r="O3" s="97" t="s">
        <v>129</v>
      </c>
      <c r="P3" s="96" t="s">
        <v>17</v>
      </c>
      <c r="Q3" s="96" t="s">
        <v>295</v>
      </c>
      <c r="R3" s="96" t="s">
        <v>11</v>
      </c>
      <c r="S3" s="98" t="s">
        <v>192</v>
      </c>
      <c r="T3" s="99"/>
      <c r="U3" s="100"/>
      <c r="V3" s="98" t="s">
        <v>202</v>
      </c>
      <c r="X3" s="12" t="s">
        <v>576</v>
      </c>
      <c r="Y3" s="12" t="s">
        <v>571</v>
      </c>
      <c r="Z3" s="12" t="s">
        <v>573</v>
      </c>
      <c r="AA3" s="12" t="s">
        <v>592</v>
      </c>
      <c r="AB3" s="12" t="s">
        <v>568</v>
      </c>
      <c r="AC3" s="12" t="s">
        <v>612</v>
      </c>
      <c r="AD3" s="12" t="s">
        <v>614</v>
      </c>
      <c r="AE3" s="12" t="s">
        <v>616</v>
      </c>
      <c r="AF3" s="12" t="s">
        <v>618</v>
      </c>
    </row>
    <row r="4" spans="1:32" s="240" customFormat="1">
      <c r="A4" s="48"/>
      <c r="B4" s="31"/>
      <c r="C4" s="48"/>
      <c r="D4" s="47"/>
      <c r="E4" s="47"/>
      <c r="F4" s="31"/>
      <c r="G4" s="286"/>
      <c r="H4" s="278"/>
      <c r="I4" s="47"/>
      <c r="J4" s="31"/>
      <c r="K4" s="47"/>
      <c r="L4" s="47"/>
      <c r="M4" s="47"/>
      <c r="N4" s="31"/>
      <c r="O4" s="47"/>
      <c r="P4" s="31"/>
      <c r="Q4" s="31"/>
      <c r="R4" s="31"/>
      <c r="S4" s="31"/>
      <c r="T4" s="270">
        <f>IF(OR($J4="Accepted",ISBLANK($J4)),IF(AND($G4="Legacy Data",$Q4="Legacy Data"),1,IF(OR($G4="Legacy Data",$Q4="Legacy Data"),1,0)),IF(OR($N4="Agree with original translator",ISBLANK($N4)),IF(AND($G4="Source Text Data",$Q4="Legacy Data"),1,IF(AND($G4="Legacy Data",$Q4="Legacy Data"),1,IF($Q4="Legacy Data",1,0))),IF(AND($G4="Legacy Data",$Q4="Legacy Data"),1,IF(OR($Q4="Legacy Data",ISBLANK($Q4)),IF($G4&lt;&gt;"Legacy Data",IF(AND($G4="Source Text Data",$Q4="Legacy Data"),1,0),1),0))))</f>
        <v>0</v>
      </c>
      <c r="U4" s="270">
        <f>IF(OR($J4="Accepted",ISBLANK($J4)),IF(AND($G4="Source Text Data",$Q4="Source Text Data"),1,IF(OR($G4="Source Text Data",$Q4="Source Text Data"),1,0)),IF(OR($N4="Agree with original translator",ISBLANK($N4)),IF(AND($G4="Legacy Data",$Q4="Source Text Data"),1,IF(AND($G4="Source Text Data",$Q4="Source Text Data"),1,IF($Q4="Source Text Data",1,0))),IF(AND($G4="Source Text Data",$Q4="Source Text Data"),1,IF(OR($Q4="Source Text Data",ISBLANK($Q4)),IF($G4&lt;&gt;"Source Text Data",IF(AND($G4="Legacy Data",$Q4="Source Text Data"),1,0),1),0))))</f>
        <v>0</v>
      </c>
      <c r="V4" s="31"/>
      <c r="X4" s="240" t="str">
        <f>IF(AND(COUNTBLANK($F4:$H4)&lt;&gt;COLUMNS($F4:$H4),COUNTA($F4:$H4)&lt;&gt;COLUMNS($F4:$H4)),"ERROR","OK")</f>
        <v>OK</v>
      </c>
      <c r="Y4" s="240" t="str">
        <f>IF(AND($J4="Not accepted",$K4=""),"ERROR","OK")</f>
        <v>OK</v>
      </c>
      <c r="Z4" s="240" t="str">
        <f>IF(AND($F4&lt;&gt;"",$J4=""),"ERROR","OK")</f>
        <v>OK</v>
      </c>
      <c r="AA4" s="240" t="str" cm="1">
        <f t="array" ref="AA4">IF(OR(AND(J4="Not accepted",N4:O4&lt;&gt;"",$S4=""),AND(J4="Accepted",S4="")),"ERROR","OK")</f>
        <v>OK</v>
      </c>
      <c r="AB4" s="240" t="str">
        <f>IF(AND($S4="Not Implemented",$V4=""),"ERROR","OK")</f>
        <v>OK</v>
      </c>
      <c r="AC4" s="240" t="str" cm="1">
        <f t="array" ref="AC4">IF(AND(F4:H4&lt;&gt;"",I4=""),"ERROR","OK")</f>
        <v>OK</v>
      </c>
      <c r="AD4" s="240" t="str">
        <f>IF(AND($N4="",$J4="Not accepted",$K4&lt;&gt;""),"ERROR","OK")</f>
        <v>OK</v>
      </c>
      <c r="AE4" s="240" t="str">
        <f>IF(AND($O4="",$N4&lt;&gt;""),"ERROR","OK")</f>
        <v>OK</v>
      </c>
      <c r="AF4" s="240" t="str" cm="1">
        <f t="array" aca="1" ref="AF4" ca="1" xml:space="preserve">
IF(AND($G4&lt;&gt;"",$F4=""),"ERROR",
IF(OR($F4:$G4="",AND($G4="",$F4&lt;&gt;"")),"OK",
IF(COUNTIF(INDIRECT(IFERROR(LEFT($F4,FIND(" ",$F4)-1),$F4)), $G4)&gt;0, "OK", "ERROR")))</f>
        <v>OK</v>
      </c>
    </row>
    <row r="5" spans="1:32" s="240" customFormat="1">
      <c r="A5" s="48"/>
      <c r="B5" s="31"/>
      <c r="C5" s="48"/>
      <c r="D5" s="47"/>
      <c r="E5" s="47"/>
      <c r="F5" s="31"/>
      <c r="G5" s="31"/>
      <c r="H5" s="278"/>
      <c r="I5" s="47"/>
      <c r="J5" s="31"/>
      <c r="K5" s="47"/>
      <c r="L5" s="47"/>
      <c r="M5" s="47"/>
      <c r="N5" s="31"/>
      <c r="O5" s="47"/>
      <c r="P5" s="31"/>
      <c r="Q5" s="31"/>
      <c r="R5" s="31"/>
      <c r="S5" s="31"/>
      <c r="T5" s="270">
        <f t="shared" ref="T5:T68" si="0">IF(OR($J5="Accepted",ISBLANK($J5)),IF(AND($G5="Legacy Data",$Q5="Legacy Data"),1,IF(OR($G5="Legacy Data",$Q5="Legacy Data"),1,0)),IF(OR($N5="Agree with original translator",ISBLANK($N5)),IF(AND($G5="Source Text Data",$Q5="Legacy Data"),1,IF(AND($G5="Legacy Data",$Q5="Legacy Data"),1,IF($Q5="Legacy Data",1,0))),IF(AND($G5="Legacy Data",$Q5="Legacy Data"),1,IF(OR($Q5="Legacy Data",ISBLANK($Q5)),IF($G5&lt;&gt;"Legacy Data",IF(AND($G5="Source Text Data",$Q5="Legacy Data"),1,0),1),0))))</f>
        <v>0</v>
      </c>
      <c r="U5" s="270">
        <f t="shared" ref="U5:U68" si="1">IF(OR($J5="Accepted",ISBLANK($J5)),IF(AND($G5="Source Text Data",$Q5="Source Text Data"),1,IF(OR($G5="Source Text Data",$Q5="Source Text Data"),1,0)),IF(OR($N5="Agree with original translator",ISBLANK($N5)),IF(AND($G5="Legacy Data",$Q5="Source Text Data"),1,IF(AND($G5="Source Text Data",$Q5="Source Text Data"),1,IF($Q5="Source Text Data",1,0))),IF(AND($G5="Source Text Data",$Q5="Source Text Data"),1,IF(OR($Q5="Source Text Data",ISBLANK($Q5)),IF($G5&lt;&gt;"Source Text Data",IF(AND($G5="Legacy Data",$Q5="Source Text Data"),1,0),1),0))))</f>
        <v>0</v>
      </c>
      <c r="V5" s="31"/>
      <c r="X5" s="240" t="str">
        <f t="shared" ref="X5:X68" si="2">IF(AND(COUNTBLANK($F5:$H5)&lt;&gt;COLUMNS($F5:$H5),COUNTA($F5:$H5)&lt;&gt;COLUMNS($F5:$H5)),"ERROR","OK")</f>
        <v>OK</v>
      </c>
      <c r="Y5" s="240" t="str">
        <f t="shared" ref="Y5:Y68" si="3">IF(AND($J5="Not accepted",$K5=""),"ERROR","OK")</f>
        <v>OK</v>
      </c>
      <c r="Z5" s="240" t="str">
        <f t="shared" ref="Z5:Z68" si="4">IF(AND($F5&lt;&gt;"",$J5=""),"ERROR","OK")</f>
        <v>OK</v>
      </c>
      <c r="AA5" s="240" t="str" cm="1">
        <f t="array" ref="AA5">IF(OR(AND(J5="Not accepted",N5:O5&lt;&gt;"",$S5=""),AND(J5="Accepted",S5="")),"ERROR","OK")</f>
        <v>OK</v>
      </c>
      <c r="AB5" s="240" t="str">
        <f t="shared" ref="AB5:AB68" si="5">IF(AND($S5="Not Implemented",$V5=""),"ERROR","OK")</f>
        <v>OK</v>
      </c>
      <c r="AC5" s="240" t="str" cm="1">
        <f t="array" ref="AC5">IF(AND(F5:H5&lt;&gt;"",I5=""),"ERROR","OK")</f>
        <v>OK</v>
      </c>
      <c r="AD5" s="240" t="str">
        <f t="shared" ref="AD5:AD68" si="6">IF(AND($N5="",$J5="Not accepted",$K5&lt;&gt;""),"ERROR","OK")</f>
        <v>OK</v>
      </c>
      <c r="AE5" s="240" t="str">
        <f t="shared" ref="AE5:AE68" si="7">IF(AND($O5="",$N5&lt;&gt;""),"ERROR","OK")</f>
        <v>OK</v>
      </c>
      <c r="AF5" s="240" t="str" cm="1">
        <f t="array" aca="1" ref="AF5" ca="1" xml:space="preserve">
IF(AND($G5&lt;&gt;"",$F5=""),"ERROR",
IF(OR($F5:$G5="",AND($G5="",$F5&lt;&gt;"")),"OK",
IF(COUNTIF(INDIRECT(IFERROR(LEFT($F5,FIND(" ",$F5)-1),$F5)), $G5)&gt;0, "OK", "ERROR")))</f>
        <v>OK</v>
      </c>
    </row>
    <row r="6" spans="1:32" s="240" customFormat="1">
      <c r="A6" s="48"/>
      <c r="B6" s="31"/>
      <c r="C6" s="48"/>
      <c r="D6" s="47"/>
      <c r="E6" s="47"/>
      <c r="F6" s="31"/>
      <c r="G6" s="31"/>
      <c r="H6" s="278"/>
      <c r="I6" s="47"/>
      <c r="J6" s="31"/>
      <c r="K6" s="47"/>
      <c r="L6" s="47"/>
      <c r="M6" s="47"/>
      <c r="N6" s="31"/>
      <c r="O6" s="47"/>
      <c r="P6" s="31"/>
      <c r="Q6" s="31"/>
      <c r="R6" s="31"/>
      <c r="S6" s="31"/>
      <c r="T6" s="270">
        <f t="shared" si="0"/>
        <v>0</v>
      </c>
      <c r="U6" s="270">
        <f t="shared" si="1"/>
        <v>0</v>
      </c>
      <c r="V6" s="31"/>
      <c r="X6" s="240" t="str">
        <f t="shared" si="2"/>
        <v>OK</v>
      </c>
      <c r="Y6" s="240" t="str">
        <f t="shared" si="3"/>
        <v>OK</v>
      </c>
      <c r="Z6" s="240" t="str">
        <f t="shared" si="4"/>
        <v>OK</v>
      </c>
      <c r="AA6" s="240" t="str" cm="1">
        <f t="array" ref="AA6">IF(OR(AND(J6="Not accepted",N6:O6&lt;&gt;"",$S6=""),AND(J6="Accepted",S6="")),"ERROR","OK")</f>
        <v>OK</v>
      </c>
      <c r="AB6" s="240" t="str">
        <f t="shared" si="5"/>
        <v>OK</v>
      </c>
      <c r="AC6" s="240" t="str" cm="1">
        <f t="array" ref="AC6">IF(AND(F6:H6&lt;&gt;"",I6=""),"ERROR","OK")</f>
        <v>OK</v>
      </c>
      <c r="AD6" s="240" t="str">
        <f t="shared" si="6"/>
        <v>OK</v>
      </c>
      <c r="AE6" s="240" t="str">
        <f t="shared" si="7"/>
        <v>OK</v>
      </c>
      <c r="AF6" s="240" t="str" cm="1">
        <f t="array" aca="1" ref="AF6" ca="1" xml:space="preserve">
IF(AND($G6&lt;&gt;"",$F6=""),"ERROR",
IF(OR($F6:$G6="",AND($G6="",$F6&lt;&gt;"")),"OK",
IF(COUNTIF(INDIRECT(IFERROR(LEFT($F6,FIND(" ",$F6)-1),$F6)), $G6)&gt;0, "OK", "ERROR")))</f>
        <v>OK</v>
      </c>
    </row>
    <row r="7" spans="1:32" s="240" customFormat="1">
      <c r="A7" s="48"/>
      <c r="B7" s="31"/>
      <c r="C7" s="269"/>
      <c r="D7" s="47"/>
      <c r="E7" s="47"/>
      <c r="F7" s="31"/>
      <c r="G7" s="31"/>
      <c r="H7" s="31"/>
      <c r="I7" s="47"/>
      <c r="J7" s="31"/>
      <c r="K7" s="47"/>
      <c r="L7" s="47"/>
      <c r="M7" s="47"/>
      <c r="N7" s="31"/>
      <c r="O7" s="47"/>
      <c r="P7" s="31"/>
      <c r="Q7" s="31"/>
      <c r="R7" s="31"/>
      <c r="S7" s="31"/>
      <c r="T7" s="270">
        <f t="shared" si="0"/>
        <v>0</v>
      </c>
      <c r="U7" s="270">
        <f t="shared" si="1"/>
        <v>0</v>
      </c>
      <c r="V7" s="31"/>
      <c r="X7" s="240" t="str">
        <f t="shared" si="2"/>
        <v>OK</v>
      </c>
      <c r="Y7" s="240" t="str">
        <f t="shared" si="3"/>
        <v>OK</v>
      </c>
      <c r="Z7" s="240" t="str">
        <f t="shared" si="4"/>
        <v>OK</v>
      </c>
      <c r="AA7" s="240" t="str" cm="1">
        <f t="array" ref="AA7">IF(OR(AND(J7="Not accepted",N7:O7&lt;&gt;"",$S7=""),AND(J7="Accepted",S7="")),"ERROR","OK")</f>
        <v>OK</v>
      </c>
      <c r="AB7" s="240" t="str">
        <f t="shared" si="5"/>
        <v>OK</v>
      </c>
      <c r="AC7" s="240" t="str" cm="1">
        <f t="array" ref="AC7">IF(AND(F7:H7&lt;&gt;"",I7=""),"ERROR","OK")</f>
        <v>OK</v>
      </c>
      <c r="AD7" s="240" t="str">
        <f t="shared" si="6"/>
        <v>OK</v>
      </c>
      <c r="AE7" s="240" t="str">
        <f t="shared" si="7"/>
        <v>OK</v>
      </c>
      <c r="AF7" s="240" t="str" cm="1">
        <f t="array" aca="1" ref="AF7" ca="1" xml:space="preserve">
IF(AND($G7&lt;&gt;"",$F7=""),"ERROR",
IF(OR($F7:$G7="",AND($G7="",$F7&lt;&gt;"")),"OK",
IF(COUNTIF(INDIRECT(IFERROR(LEFT($F7,FIND(" ",$F7)-1),$F7)), $G7)&gt;0, "OK", "ERROR")))</f>
        <v>OK</v>
      </c>
    </row>
    <row r="8" spans="1:32" s="240" customFormat="1">
      <c r="A8" s="48"/>
      <c r="B8" s="31"/>
      <c r="C8" s="48"/>
      <c r="D8" s="47"/>
      <c r="E8" s="47"/>
      <c r="F8" s="31"/>
      <c r="G8" s="31"/>
      <c r="H8" s="31"/>
      <c r="I8" s="47"/>
      <c r="J8" s="31"/>
      <c r="K8" s="47"/>
      <c r="L8" s="47"/>
      <c r="M8" s="47"/>
      <c r="N8" s="31"/>
      <c r="O8" s="47"/>
      <c r="P8" s="31"/>
      <c r="Q8" s="31"/>
      <c r="R8" s="31"/>
      <c r="S8" s="31"/>
      <c r="T8" s="270">
        <f t="shared" si="0"/>
        <v>0</v>
      </c>
      <c r="U8" s="270">
        <f t="shared" si="1"/>
        <v>0</v>
      </c>
      <c r="V8" s="31"/>
      <c r="X8" s="240" t="str">
        <f t="shared" si="2"/>
        <v>OK</v>
      </c>
      <c r="Y8" s="240" t="str">
        <f t="shared" si="3"/>
        <v>OK</v>
      </c>
      <c r="Z8" s="240" t="str">
        <f t="shared" si="4"/>
        <v>OK</v>
      </c>
      <c r="AA8" s="240" t="str" cm="1">
        <f t="array" ref="AA8">IF(OR(AND(J8="Not accepted",N8:O8&lt;&gt;"",$S8=""),AND(J8="Accepted",S8="")),"ERROR","OK")</f>
        <v>OK</v>
      </c>
      <c r="AB8" s="240" t="str">
        <f t="shared" si="5"/>
        <v>OK</v>
      </c>
      <c r="AC8" s="240" t="str" cm="1">
        <f t="array" ref="AC8">IF(AND(F8:H8&lt;&gt;"",I8=""),"ERROR","OK")</f>
        <v>OK</v>
      </c>
      <c r="AD8" s="240" t="str">
        <f t="shared" si="6"/>
        <v>OK</v>
      </c>
      <c r="AE8" s="240" t="str">
        <f t="shared" si="7"/>
        <v>OK</v>
      </c>
      <c r="AF8" s="240" t="str" cm="1">
        <f t="array" aca="1" ref="AF8" ca="1" xml:space="preserve">
IF(AND($G8&lt;&gt;"",$F8=""),"ERROR",
IF(OR($F8:$G8="",AND($G8="",$F8&lt;&gt;"")),"OK",
IF(COUNTIF(INDIRECT(IFERROR(LEFT($F8,FIND(" ",$F8)-1),$F8)), $G8)&gt;0, "OK", "ERROR")))</f>
        <v>OK</v>
      </c>
    </row>
    <row r="9" spans="1:32" s="240" customFormat="1">
      <c r="A9" s="48"/>
      <c r="B9" s="31"/>
      <c r="C9" s="48"/>
      <c r="D9" s="47"/>
      <c r="E9" s="47"/>
      <c r="F9" s="31"/>
      <c r="G9" s="31"/>
      <c r="H9" s="31"/>
      <c r="I9" s="47"/>
      <c r="J9" s="31"/>
      <c r="K9" s="47"/>
      <c r="L9" s="47"/>
      <c r="M9" s="47"/>
      <c r="N9" s="31"/>
      <c r="O9" s="47"/>
      <c r="P9" s="31"/>
      <c r="Q9" s="31"/>
      <c r="R9" s="31"/>
      <c r="S9" s="31"/>
      <c r="T9" s="270">
        <f t="shared" si="0"/>
        <v>0</v>
      </c>
      <c r="U9" s="270">
        <f t="shared" si="1"/>
        <v>0</v>
      </c>
      <c r="V9" s="31"/>
      <c r="X9" s="240" t="str">
        <f t="shared" si="2"/>
        <v>OK</v>
      </c>
      <c r="Y9" s="240" t="str">
        <f t="shared" si="3"/>
        <v>OK</v>
      </c>
      <c r="Z9" s="240" t="str">
        <f t="shared" si="4"/>
        <v>OK</v>
      </c>
      <c r="AA9" s="240" t="str" cm="1">
        <f t="array" ref="AA9">IF(OR(AND(J9="Not accepted",N9:O9&lt;&gt;"",$S9=""),AND(J9="Accepted",S9="")),"ERROR","OK")</f>
        <v>OK</v>
      </c>
      <c r="AB9" s="240" t="str">
        <f t="shared" si="5"/>
        <v>OK</v>
      </c>
      <c r="AC9" s="240" t="str" cm="1">
        <f t="array" ref="AC9">IF(AND(F9:H9&lt;&gt;"",I9=""),"ERROR","OK")</f>
        <v>OK</v>
      </c>
      <c r="AD9" s="240" t="str">
        <f t="shared" si="6"/>
        <v>OK</v>
      </c>
      <c r="AE9" s="240" t="str">
        <f t="shared" si="7"/>
        <v>OK</v>
      </c>
      <c r="AF9" s="240" t="str" cm="1">
        <f t="array" aca="1" ref="AF9" ca="1" xml:space="preserve">
IF(AND($G9&lt;&gt;"",$F9=""),"ERROR",
IF(OR($F9:$G9="",AND($G9="",$F9&lt;&gt;"")),"OK",
IF(COUNTIF(INDIRECT(IFERROR(LEFT($F9,FIND(" ",$F9)-1),$F9)), $G9)&gt;0, "OK", "ERROR")))</f>
        <v>OK</v>
      </c>
    </row>
    <row r="10" spans="1:32" s="240" customFormat="1">
      <c r="A10" s="48"/>
      <c r="B10" s="31"/>
      <c r="C10" s="48"/>
      <c r="D10" s="47"/>
      <c r="E10" s="47"/>
      <c r="F10" s="31"/>
      <c r="G10" s="31"/>
      <c r="H10" s="31"/>
      <c r="I10" s="47"/>
      <c r="J10" s="31"/>
      <c r="K10" s="47"/>
      <c r="L10" s="47"/>
      <c r="M10" s="47"/>
      <c r="N10" s="31"/>
      <c r="O10" s="47"/>
      <c r="P10" s="31"/>
      <c r="Q10" s="31"/>
      <c r="R10" s="31"/>
      <c r="S10" s="31"/>
      <c r="T10" s="270">
        <f t="shared" si="0"/>
        <v>0</v>
      </c>
      <c r="U10" s="270">
        <f t="shared" si="1"/>
        <v>0</v>
      </c>
      <c r="V10" s="31"/>
      <c r="X10" s="240" t="str">
        <f t="shared" si="2"/>
        <v>OK</v>
      </c>
      <c r="Y10" s="240" t="str">
        <f t="shared" si="3"/>
        <v>OK</v>
      </c>
      <c r="Z10" s="240" t="str">
        <f t="shared" si="4"/>
        <v>OK</v>
      </c>
      <c r="AA10" s="240" t="str" cm="1">
        <f t="array" ref="AA10">IF(OR(AND(J10="Not accepted",N10:O10&lt;&gt;"",$S10=""),AND(J10="Accepted",S10="")),"ERROR","OK")</f>
        <v>OK</v>
      </c>
      <c r="AB10" s="240" t="str">
        <f t="shared" si="5"/>
        <v>OK</v>
      </c>
      <c r="AC10" s="240" t="str" cm="1">
        <f t="array" ref="AC10">IF(AND(F10:H10&lt;&gt;"",I10=""),"ERROR","OK")</f>
        <v>OK</v>
      </c>
      <c r="AD10" s="240" t="str">
        <f t="shared" si="6"/>
        <v>OK</v>
      </c>
      <c r="AE10" s="240" t="str">
        <f t="shared" si="7"/>
        <v>OK</v>
      </c>
      <c r="AF10" s="240" t="str" cm="1">
        <f t="array" aca="1" ref="AF10" ca="1" xml:space="preserve">
IF(AND($G10&lt;&gt;"",$F10=""),"ERROR",
IF(OR($F10:$G10="",AND($G10="",$F10&lt;&gt;"")),"OK",
IF(COUNTIF(INDIRECT(IFERROR(LEFT($F10,FIND(" ",$F10)-1),$F10)), $G10)&gt;0, "OK", "ERROR")))</f>
        <v>OK</v>
      </c>
    </row>
    <row r="11" spans="1:32" s="240" customFormat="1" ht="11.25" customHeight="1">
      <c r="A11" s="48"/>
      <c r="B11" s="31"/>
      <c r="C11" s="48"/>
      <c r="D11" s="47"/>
      <c r="E11" s="47"/>
      <c r="F11" s="31"/>
      <c r="G11" s="31"/>
      <c r="H11" s="31"/>
      <c r="I11" s="47"/>
      <c r="J11" s="31"/>
      <c r="K11" s="47"/>
      <c r="L11" s="47"/>
      <c r="M11" s="47"/>
      <c r="N11" s="31"/>
      <c r="O11" s="47"/>
      <c r="P11" s="31"/>
      <c r="Q11" s="31"/>
      <c r="R11" s="31"/>
      <c r="S11" s="31"/>
      <c r="T11" s="270">
        <f t="shared" si="0"/>
        <v>0</v>
      </c>
      <c r="U11" s="270">
        <f t="shared" si="1"/>
        <v>0</v>
      </c>
      <c r="V11" s="31"/>
      <c r="X11" s="240" t="str">
        <f t="shared" si="2"/>
        <v>OK</v>
      </c>
      <c r="Y11" s="240" t="str">
        <f t="shared" si="3"/>
        <v>OK</v>
      </c>
      <c r="Z11" s="240" t="str">
        <f t="shared" si="4"/>
        <v>OK</v>
      </c>
      <c r="AA11" s="240" t="str" cm="1">
        <f t="array" ref="AA11">IF(OR(AND(J11="Not accepted",N11:O11&lt;&gt;"",$S11=""),AND(J11="Accepted",S11="")),"ERROR","OK")</f>
        <v>OK</v>
      </c>
      <c r="AB11" s="240" t="str">
        <f t="shared" si="5"/>
        <v>OK</v>
      </c>
      <c r="AC11" s="240" t="str" cm="1">
        <f t="array" ref="AC11">IF(AND(F11:H11&lt;&gt;"",I11=""),"ERROR","OK")</f>
        <v>OK</v>
      </c>
      <c r="AD11" s="240" t="str">
        <f t="shared" si="6"/>
        <v>OK</v>
      </c>
      <c r="AE11" s="240" t="str">
        <f t="shared" si="7"/>
        <v>OK</v>
      </c>
      <c r="AF11" s="240" t="str" cm="1">
        <f t="array" aca="1" ref="AF11" ca="1" xml:space="preserve">
IF(AND($G11&lt;&gt;"",$F11=""),"ERROR",
IF(OR($F11:$G11="",AND($G11="",$F11&lt;&gt;"")),"OK",
IF(COUNTIF(INDIRECT(IFERROR(LEFT($F11,FIND(" ",$F11)-1),$F11)), $G11)&gt;0, "OK", "ERROR")))</f>
        <v>OK</v>
      </c>
    </row>
    <row r="12" spans="1:32" s="240" customFormat="1">
      <c r="A12" s="48"/>
      <c r="B12" s="31"/>
      <c r="C12" s="48"/>
      <c r="D12" s="47"/>
      <c r="E12" s="47"/>
      <c r="F12" s="31"/>
      <c r="G12" s="31"/>
      <c r="H12" s="31"/>
      <c r="I12" s="47"/>
      <c r="J12" s="31"/>
      <c r="K12" s="47"/>
      <c r="L12" s="47"/>
      <c r="M12" s="47"/>
      <c r="N12" s="31"/>
      <c r="O12" s="47"/>
      <c r="P12" s="31"/>
      <c r="Q12" s="31"/>
      <c r="R12" s="31"/>
      <c r="S12" s="31"/>
      <c r="T12" s="270">
        <f t="shared" si="0"/>
        <v>0</v>
      </c>
      <c r="U12" s="270">
        <f t="shared" si="1"/>
        <v>0</v>
      </c>
      <c r="V12" s="31"/>
      <c r="X12" s="240" t="str">
        <f t="shared" si="2"/>
        <v>OK</v>
      </c>
      <c r="Y12" s="240" t="str">
        <f t="shared" si="3"/>
        <v>OK</v>
      </c>
      <c r="Z12" s="240" t="str">
        <f t="shared" si="4"/>
        <v>OK</v>
      </c>
      <c r="AA12" s="240" t="str" cm="1">
        <f t="array" ref="AA12">IF(OR(AND(J12="Not accepted",N12:O12&lt;&gt;"",$S12=""),AND(J12="Accepted",S12="")),"ERROR","OK")</f>
        <v>OK</v>
      </c>
      <c r="AB12" s="240" t="str">
        <f t="shared" si="5"/>
        <v>OK</v>
      </c>
      <c r="AC12" s="240" t="str" cm="1">
        <f t="array" ref="AC12">IF(AND(F12:H12&lt;&gt;"",I12=""),"ERROR","OK")</f>
        <v>OK</v>
      </c>
      <c r="AD12" s="240" t="str">
        <f t="shared" si="6"/>
        <v>OK</v>
      </c>
      <c r="AE12" s="240" t="str">
        <f t="shared" si="7"/>
        <v>OK</v>
      </c>
      <c r="AF12" s="240" t="str" cm="1">
        <f t="array" aca="1" ref="AF12" ca="1" xml:space="preserve">
IF(AND($G12&lt;&gt;"",$F12=""),"ERROR",
IF(OR($F12:$G12="",AND($G12="",$F12&lt;&gt;"")),"OK",
IF(COUNTIF(INDIRECT(IFERROR(LEFT($F12,FIND(" ",$F12)-1),$F12)), $G12)&gt;0, "OK", "ERROR")))</f>
        <v>OK</v>
      </c>
    </row>
    <row r="13" spans="1:32" s="240" customFormat="1">
      <c r="A13" s="48"/>
      <c r="B13" s="31"/>
      <c r="C13" s="48"/>
      <c r="D13" s="47"/>
      <c r="E13" s="47"/>
      <c r="F13" s="31"/>
      <c r="G13" s="31"/>
      <c r="H13" s="31"/>
      <c r="I13" s="47"/>
      <c r="J13" s="31"/>
      <c r="K13" s="47"/>
      <c r="L13" s="47"/>
      <c r="M13" s="47"/>
      <c r="N13" s="31"/>
      <c r="O13" s="47"/>
      <c r="P13" s="31"/>
      <c r="Q13" s="31"/>
      <c r="R13" s="31"/>
      <c r="S13" s="31"/>
      <c r="T13" s="270">
        <f t="shared" si="0"/>
        <v>0</v>
      </c>
      <c r="U13" s="270">
        <f t="shared" si="1"/>
        <v>0</v>
      </c>
      <c r="V13" s="31"/>
      <c r="X13" s="240" t="str">
        <f t="shared" si="2"/>
        <v>OK</v>
      </c>
      <c r="Y13" s="240" t="str">
        <f t="shared" si="3"/>
        <v>OK</v>
      </c>
      <c r="Z13" s="240" t="str">
        <f t="shared" si="4"/>
        <v>OK</v>
      </c>
      <c r="AA13" s="240" t="str" cm="1">
        <f t="array" ref="AA13">IF(OR(AND(J13="Not accepted",N13:O13&lt;&gt;"",$S13=""),AND(J13="Accepted",S13="")),"ERROR","OK")</f>
        <v>OK</v>
      </c>
      <c r="AB13" s="240" t="str">
        <f t="shared" si="5"/>
        <v>OK</v>
      </c>
      <c r="AC13" s="240" t="str" cm="1">
        <f t="array" ref="AC13">IF(AND(F13:H13&lt;&gt;"",I13=""),"ERROR","OK")</f>
        <v>OK</v>
      </c>
      <c r="AD13" s="240" t="str">
        <f t="shared" si="6"/>
        <v>OK</v>
      </c>
      <c r="AE13" s="240" t="str">
        <f t="shared" si="7"/>
        <v>OK</v>
      </c>
      <c r="AF13" s="240" t="str" cm="1">
        <f t="array" aca="1" ref="AF13" ca="1" xml:space="preserve">
IF(AND($G13&lt;&gt;"",$F13=""),"ERROR",
IF(OR($F13:$G13="",AND($G13="",$F13&lt;&gt;"")),"OK",
IF(COUNTIF(INDIRECT(IFERROR(LEFT($F13,FIND(" ",$F13)-1),$F13)), $G13)&gt;0, "OK", "ERROR")))</f>
        <v>OK</v>
      </c>
    </row>
    <row r="14" spans="1:32" s="240" customFormat="1">
      <c r="A14" s="48"/>
      <c r="B14" s="31"/>
      <c r="C14" s="48"/>
      <c r="D14" s="47"/>
      <c r="E14" s="47"/>
      <c r="F14" s="31"/>
      <c r="G14" s="31"/>
      <c r="H14" s="31"/>
      <c r="I14" s="47"/>
      <c r="J14" s="31"/>
      <c r="K14" s="47"/>
      <c r="L14" s="47"/>
      <c r="M14" s="47"/>
      <c r="O14" s="47"/>
      <c r="P14" s="31"/>
      <c r="Q14" s="31"/>
      <c r="R14" s="31"/>
      <c r="S14" s="31"/>
      <c r="T14" s="270">
        <f t="shared" si="0"/>
        <v>0</v>
      </c>
      <c r="U14" s="270">
        <f t="shared" si="1"/>
        <v>0</v>
      </c>
      <c r="V14" s="31"/>
      <c r="X14" s="240" t="str">
        <f t="shared" si="2"/>
        <v>OK</v>
      </c>
      <c r="Y14" s="240" t="str">
        <f t="shared" si="3"/>
        <v>OK</v>
      </c>
      <c r="Z14" s="240" t="str">
        <f t="shared" si="4"/>
        <v>OK</v>
      </c>
      <c r="AA14" s="240" t="str" cm="1">
        <f t="array" ref="AA14">IF(OR(AND(J14="Not accepted",N14:O14&lt;&gt;"",$S14=""),AND(J14="Accepted",S14="")),"ERROR","OK")</f>
        <v>OK</v>
      </c>
      <c r="AB14" s="240" t="str">
        <f t="shared" si="5"/>
        <v>OK</v>
      </c>
      <c r="AC14" s="240" t="str" cm="1">
        <f t="array" ref="AC14">IF(AND(F14:H14&lt;&gt;"",I14=""),"ERROR","OK")</f>
        <v>OK</v>
      </c>
      <c r="AD14" s="240" t="str">
        <f t="shared" si="6"/>
        <v>OK</v>
      </c>
      <c r="AE14" s="240" t="str">
        <f t="shared" si="7"/>
        <v>OK</v>
      </c>
      <c r="AF14" s="240" t="str" cm="1">
        <f t="array" aca="1" ref="AF14" ca="1" xml:space="preserve">
IF(AND($G14&lt;&gt;"",$F14=""),"ERROR",
IF(OR($F14:$G14="",AND($G14="",$F14&lt;&gt;"")),"OK",
IF(COUNTIF(INDIRECT(IFERROR(LEFT($F14,FIND(" ",$F14)-1),$F14)), $G14)&gt;0, "OK", "ERROR")))</f>
        <v>OK</v>
      </c>
    </row>
    <row r="15" spans="1:32" s="240" customFormat="1">
      <c r="A15" s="48"/>
      <c r="B15" s="31"/>
      <c r="C15" s="48"/>
      <c r="D15" s="47"/>
      <c r="E15" s="47"/>
      <c r="F15" s="31"/>
      <c r="G15" s="31"/>
      <c r="H15" s="31"/>
      <c r="I15" s="47"/>
      <c r="J15" s="31"/>
      <c r="K15" s="47"/>
      <c r="L15" s="47"/>
      <c r="M15" s="47"/>
      <c r="N15" s="31"/>
      <c r="O15" s="47"/>
      <c r="P15" s="31"/>
      <c r="Q15" s="31"/>
      <c r="R15" s="31"/>
      <c r="S15" s="31"/>
      <c r="T15" s="270">
        <f t="shared" si="0"/>
        <v>0</v>
      </c>
      <c r="U15" s="270">
        <f t="shared" si="1"/>
        <v>0</v>
      </c>
      <c r="V15" s="31"/>
      <c r="X15" s="240" t="str">
        <f t="shared" si="2"/>
        <v>OK</v>
      </c>
      <c r="Y15" s="240" t="str">
        <f t="shared" si="3"/>
        <v>OK</v>
      </c>
      <c r="Z15" s="240" t="str">
        <f t="shared" si="4"/>
        <v>OK</v>
      </c>
      <c r="AA15" s="240" t="str" cm="1">
        <f t="array" ref="AA15">IF(OR(AND(J15="Not accepted",N15:O15&lt;&gt;"",$S15=""),AND(J15="Accepted",S15="")),"ERROR","OK")</f>
        <v>OK</v>
      </c>
      <c r="AB15" s="240" t="str">
        <f t="shared" si="5"/>
        <v>OK</v>
      </c>
      <c r="AC15" s="240" t="str" cm="1">
        <f t="array" ref="AC15">IF(AND(F15:H15&lt;&gt;"",I15=""),"ERROR","OK")</f>
        <v>OK</v>
      </c>
      <c r="AD15" s="240" t="str">
        <f t="shared" si="6"/>
        <v>OK</v>
      </c>
      <c r="AE15" s="240" t="str">
        <f t="shared" si="7"/>
        <v>OK</v>
      </c>
      <c r="AF15" s="240" t="str" cm="1">
        <f t="array" aca="1" ref="AF15" ca="1" xml:space="preserve">
IF(AND($G15&lt;&gt;"",$F15=""),"ERROR",
IF(OR($F15:$G15="",AND($G15="",$F15&lt;&gt;"")),"OK",
IF(COUNTIF(INDIRECT(IFERROR(LEFT($F15,FIND(" ",$F15)-1),$F15)), $G15)&gt;0, "OK", "ERROR")))</f>
        <v>OK</v>
      </c>
    </row>
    <row r="16" spans="1:32" s="240" customFormat="1">
      <c r="A16" s="48"/>
      <c r="B16" s="31"/>
      <c r="C16" s="48"/>
      <c r="D16" s="47"/>
      <c r="E16" s="47"/>
      <c r="F16" s="31"/>
      <c r="G16" s="31"/>
      <c r="H16" s="31"/>
      <c r="I16" s="47"/>
      <c r="J16" s="31"/>
      <c r="K16" s="47"/>
      <c r="L16" s="47"/>
      <c r="M16" s="47"/>
      <c r="N16" s="31"/>
      <c r="O16" s="47"/>
      <c r="P16" s="31"/>
      <c r="Q16" s="31"/>
      <c r="R16" s="31"/>
      <c r="S16" s="31"/>
      <c r="T16" s="270">
        <f t="shared" si="0"/>
        <v>0</v>
      </c>
      <c r="U16" s="270">
        <f t="shared" si="1"/>
        <v>0</v>
      </c>
      <c r="V16" s="31"/>
      <c r="X16" s="240" t="str">
        <f t="shared" si="2"/>
        <v>OK</v>
      </c>
      <c r="Y16" s="240" t="str">
        <f t="shared" si="3"/>
        <v>OK</v>
      </c>
      <c r="Z16" s="240" t="str">
        <f t="shared" si="4"/>
        <v>OK</v>
      </c>
      <c r="AA16" s="240" t="str" cm="1">
        <f t="array" ref="AA16">IF(OR(AND(J16="Not accepted",N16:O16&lt;&gt;"",$S16=""),AND(J16="Accepted",S16="")),"ERROR","OK")</f>
        <v>OK</v>
      </c>
      <c r="AB16" s="240" t="str">
        <f t="shared" si="5"/>
        <v>OK</v>
      </c>
      <c r="AC16" s="240" t="str" cm="1">
        <f t="array" ref="AC16">IF(AND(F16:H16&lt;&gt;"",I16=""),"ERROR","OK")</f>
        <v>OK</v>
      </c>
      <c r="AD16" s="240" t="str">
        <f t="shared" si="6"/>
        <v>OK</v>
      </c>
      <c r="AE16" s="240" t="str">
        <f t="shared" si="7"/>
        <v>OK</v>
      </c>
      <c r="AF16" s="240" t="str" cm="1">
        <f t="array" aca="1" ref="AF16" ca="1" xml:space="preserve">
IF(AND($G16&lt;&gt;"",$F16=""),"ERROR",
IF(OR($F16:$G16="",AND($G16="",$F16&lt;&gt;"")),"OK",
IF(COUNTIF(INDIRECT(IFERROR(LEFT($F16,FIND(" ",$F16)-1),$F16)), $G16)&gt;0, "OK", "ERROR")))</f>
        <v>OK</v>
      </c>
    </row>
    <row r="17" spans="1:32" s="240" customFormat="1">
      <c r="A17" s="48"/>
      <c r="B17" s="31"/>
      <c r="C17" s="48"/>
      <c r="D17" s="47"/>
      <c r="E17" s="47"/>
      <c r="F17" s="31"/>
      <c r="G17" s="31"/>
      <c r="H17" s="31"/>
      <c r="I17" s="47"/>
      <c r="J17" s="31"/>
      <c r="K17" s="47"/>
      <c r="L17" s="47"/>
      <c r="M17" s="47"/>
      <c r="N17" s="31"/>
      <c r="O17" s="47"/>
      <c r="P17" s="31"/>
      <c r="Q17" s="31"/>
      <c r="R17" s="31"/>
      <c r="S17" s="31"/>
      <c r="T17" s="270">
        <f t="shared" si="0"/>
        <v>0</v>
      </c>
      <c r="U17" s="270">
        <f t="shared" si="1"/>
        <v>0</v>
      </c>
      <c r="V17" s="31"/>
      <c r="X17" s="240" t="str">
        <f t="shared" si="2"/>
        <v>OK</v>
      </c>
      <c r="Y17" s="240" t="str">
        <f t="shared" si="3"/>
        <v>OK</v>
      </c>
      <c r="Z17" s="240" t="str">
        <f t="shared" si="4"/>
        <v>OK</v>
      </c>
      <c r="AA17" s="240" t="str" cm="1">
        <f t="array" ref="AA17">IF(OR(AND(J17="Not accepted",N17:O17&lt;&gt;"",$S17=""),AND(J17="Accepted",S17="")),"ERROR","OK")</f>
        <v>OK</v>
      </c>
      <c r="AB17" s="240" t="str">
        <f t="shared" si="5"/>
        <v>OK</v>
      </c>
      <c r="AC17" s="240" t="str" cm="1">
        <f t="array" ref="AC17">IF(AND(F17:H17&lt;&gt;"",I17=""),"ERROR","OK")</f>
        <v>OK</v>
      </c>
      <c r="AD17" s="240" t="str">
        <f t="shared" si="6"/>
        <v>OK</v>
      </c>
      <c r="AE17" s="240" t="str">
        <f t="shared" si="7"/>
        <v>OK</v>
      </c>
      <c r="AF17" s="240" t="str" cm="1">
        <f t="array" aca="1" ref="AF17" ca="1" xml:space="preserve">
IF(AND($G17&lt;&gt;"",$F17=""),"ERROR",
IF(OR($F17:$G17="",AND($G17="",$F17&lt;&gt;"")),"OK",
IF(COUNTIF(INDIRECT(IFERROR(LEFT($F17,FIND(" ",$F17)-1),$F17)), $G17)&gt;0, "OK", "ERROR")))</f>
        <v>OK</v>
      </c>
    </row>
    <row r="18" spans="1:32" s="240" customFormat="1">
      <c r="A18" s="48"/>
      <c r="B18" s="31"/>
      <c r="C18" s="48"/>
      <c r="D18" s="47"/>
      <c r="E18" s="47"/>
      <c r="F18" s="31"/>
      <c r="G18" s="31"/>
      <c r="H18" s="31"/>
      <c r="I18" s="47"/>
      <c r="J18" s="31"/>
      <c r="K18" s="47"/>
      <c r="L18" s="47"/>
      <c r="M18" s="47"/>
      <c r="N18" s="31"/>
      <c r="O18" s="47"/>
      <c r="P18" s="31"/>
      <c r="Q18" s="31"/>
      <c r="R18" s="31"/>
      <c r="S18" s="31"/>
      <c r="T18" s="270">
        <f t="shared" si="0"/>
        <v>0</v>
      </c>
      <c r="U18" s="270">
        <f t="shared" si="1"/>
        <v>0</v>
      </c>
      <c r="V18" s="31"/>
      <c r="X18" s="240" t="str">
        <f t="shared" si="2"/>
        <v>OK</v>
      </c>
      <c r="Y18" s="240" t="str">
        <f t="shared" si="3"/>
        <v>OK</v>
      </c>
      <c r="Z18" s="240" t="str">
        <f t="shared" si="4"/>
        <v>OK</v>
      </c>
      <c r="AA18" s="240" t="str" cm="1">
        <f t="array" ref="AA18">IF(OR(AND(J18="Not accepted",N18:O18&lt;&gt;"",$S18=""),AND(J18="Accepted",S18="")),"ERROR","OK")</f>
        <v>OK</v>
      </c>
      <c r="AB18" s="240" t="str">
        <f t="shared" si="5"/>
        <v>OK</v>
      </c>
      <c r="AC18" s="240" t="str" cm="1">
        <f t="array" ref="AC18">IF(AND(F18:H18&lt;&gt;"",I18=""),"ERROR","OK")</f>
        <v>OK</v>
      </c>
      <c r="AD18" s="240" t="str">
        <f t="shared" si="6"/>
        <v>OK</v>
      </c>
      <c r="AE18" s="240" t="str">
        <f t="shared" si="7"/>
        <v>OK</v>
      </c>
      <c r="AF18" s="240" t="str" cm="1">
        <f t="array" aca="1" ref="AF18" ca="1" xml:space="preserve">
IF(AND($G18&lt;&gt;"",$F18=""),"ERROR",
IF(OR($F18:$G18="",AND($G18="",$F18&lt;&gt;"")),"OK",
IF(COUNTIF(INDIRECT(IFERROR(LEFT($F18,FIND(" ",$F18)-1),$F18)), $G18)&gt;0, "OK", "ERROR")))</f>
        <v>OK</v>
      </c>
    </row>
    <row r="19" spans="1:32" s="240" customFormat="1">
      <c r="A19" s="48"/>
      <c r="B19" s="31"/>
      <c r="C19" s="48"/>
      <c r="D19" s="47"/>
      <c r="E19" s="47"/>
      <c r="F19" s="31"/>
      <c r="G19" s="31"/>
      <c r="H19" s="31"/>
      <c r="I19" s="47"/>
      <c r="J19" s="31"/>
      <c r="K19" s="47"/>
      <c r="L19" s="47"/>
      <c r="M19" s="47"/>
      <c r="N19" s="31"/>
      <c r="O19" s="47"/>
      <c r="P19" s="31"/>
      <c r="Q19" s="31"/>
      <c r="R19" s="31"/>
      <c r="S19" s="31"/>
      <c r="T19" s="270">
        <f t="shared" si="0"/>
        <v>0</v>
      </c>
      <c r="U19" s="270">
        <f t="shared" si="1"/>
        <v>0</v>
      </c>
      <c r="V19" s="31"/>
      <c r="X19" s="240" t="str">
        <f t="shared" si="2"/>
        <v>OK</v>
      </c>
      <c r="Y19" s="240" t="str">
        <f t="shared" si="3"/>
        <v>OK</v>
      </c>
      <c r="Z19" s="240" t="str">
        <f t="shared" si="4"/>
        <v>OK</v>
      </c>
      <c r="AA19" s="240" t="str" cm="1">
        <f t="array" ref="AA19">IF(OR(AND(J19="Not accepted",N19:O19&lt;&gt;"",$S19=""),AND(J19="Accepted",S19="")),"ERROR","OK")</f>
        <v>OK</v>
      </c>
      <c r="AB19" s="240" t="str">
        <f t="shared" si="5"/>
        <v>OK</v>
      </c>
      <c r="AC19" s="240" t="str" cm="1">
        <f t="array" ref="AC19">IF(AND(F19:H19&lt;&gt;"",I19=""),"ERROR","OK")</f>
        <v>OK</v>
      </c>
      <c r="AD19" s="240" t="str">
        <f t="shared" si="6"/>
        <v>OK</v>
      </c>
      <c r="AE19" s="240" t="str">
        <f t="shared" si="7"/>
        <v>OK</v>
      </c>
      <c r="AF19" s="240" t="str" cm="1">
        <f t="array" aca="1" ref="AF19" ca="1" xml:space="preserve">
IF(AND($G19&lt;&gt;"",$F19=""),"ERROR",
IF(OR($F19:$G19="",AND($G19="",$F19&lt;&gt;"")),"OK",
IF(COUNTIF(INDIRECT(IFERROR(LEFT($F19,FIND(" ",$F19)-1),$F19)), $G19)&gt;0, "OK", "ERROR")))</f>
        <v>OK</v>
      </c>
    </row>
    <row r="20" spans="1:32" s="240" customFormat="1">
      <c r="A20" s="48"/>
      <c r="B20" s="31"/>
      <c r="C20" s="48"/>
      <c r="D20" s="47"/>
      <c r="E20" s="47"/>
      <c r="F20" s="31"/>
      <c r="G20" s="31"/>
      <c r="H20" s="31"/>
      <c r="I20" s="47"/>
      <c r="J20" s="31"/>
      <c r="K20" s="47"/>
      <c r="L20" s="47"/>
      <c r="M20" s="47"/>
      <c r="N20" s="31"/>
      <c r="O20" s="47"/>
      <c r="P20" s="31"/>
      <c r="Q20" s="31"/>
      <c r="R20" s="31"/>
      <c r="S20" s="31"/>
      <c r="T20" s="270">
        <f t="shared" si="0"/>
        <v>0</v>
      </c>
      <c r="U20" s="270">
        <f t="shared" si="1"/>
        <v>0</v>
      </c>
      <c r="V20" s="31"/>
      <c r="X20" s="240" t="str">
        <f t="shared" si="2"/>
        <v>OK</v>
      </c>
      <c r="Y20" s="240" t="str">
        <f t="shared" si="3"/>
        <v>OK</v>
      </c>
      <c r="Z20" s="240" t="str">
        <f t="shared" si="4"/>
        <v>OK</v>
      </c>
      <c r="AA20" s="240" t="str" cm="1">
        <f t="array" ref="AA20">IF(OR(AND(J20="Not accepted",N20:O20&lt;&gt;"",$S20=""),AND(J20="Accepted",S20="")),"ERROR","OK")</f>
        <v>OK</v>
      </c>
      <c r="AB20" s="240" t="str">
        <f t="shared" si="5"/>
        <v>OK</v>
      </c>
      <c r="AC20" s="240" t="str" cm="1">
        <f t="array" ref="AC20">IF(AND(F20:H20&lt;&gt;"",I20=""),"ERROR","OK")</f>
        <v>OK</v>
      </c>
      <c r="AD20" s="240" t="str">
        <f t="shared" si="6"/>
        <v>OK</v>
      </c>
      <c r="AE20" s="240" t="str">
        <f t="shared" si="7"/>
        <v>OK</v>
      </c>
      <c r="AF20" s="240" t="str" cm="1">
        <f t="array" aca="1" ref="AF20" ca="1" xml:space="preserve">
IF(AND($G20&lt;&gt;"",$F20=""),"ERROR",
IF(OR($F20:$G20="",AND($G20="",$F20&lt;&gt;"")),"OK",
IF(COUNTIF(INDIRECT(IFERROR(LEFT($F20,FIND(" ",$F20)-1),$F20)), $G20)&gt;0, "OK", "ERROR")))</f>
        <v>OK</v>
      </c>
    </row>
    <row r="21" spans="1:32" s="240" customFormat="1">
      <c r="A21" s="48"/>
      <c r="B21" s="31"/>
      <c r="C21" s="48"/>
      <c r="D21" s="47"/>
      <c r="E21" s="47"/>
      <c r="F21" s="31"/>
      <c r="G21" s="31"/>
      <c r="H21" s="31"/>
      <c r="I21" s="47"/>
      <c r="J21" s="31"/>
      <c r="K21" s="47"/>
      <c r="L21" s="47"/>
      <c r="M21" s="47"/>
      <c r="N21" s="31"/>
      <c r="O21" s="47"/>
      <c r="P21" s="31"/>
      <c r="Q21" s="31"/>
      <c r="R21" s="31"/>
      <c r="S21" s="31"/>
      <c r="T21" s="270">
        <f t="shared" si="0"/>
        <v>0</v>
      </c>
      <c r="U21" s="270">
        <f t="shared" si="1"/>
        <v>0</v>
      </c>
      <c r="V21" s="31"/>
      <c r="X21" s="240" t="str">
        <f t="shared" si="2"/>
        <v>OK</v>
      </c>
      <c r="Y21" s="240" t="str">
        <f t="shared" si="3"/>
        <v>OK</v>
      </c>
      <c r="Z21" s="240" t="str">
        <f t="shared" si="4"/>
        <v>OK</v>
      </c>
      <c r="AA21" s="240" t="str" cm="1">
        <f t="array" ref="AA21">IF(OR(AND(J21="Not accepted",N21:O21&lt;&gt;"",$S21=""),AND(J21="Accepted",S21="")),"ERROR","OK")</f>
        <v>OK</v>
      </c>
      <c r="AB21" s="240" t="str">
        <f t="shared" si="5"/>
        <v>OK</v>
      </c>
      <c r="AC21" s="240" t="str" cm="1">
        <f t="array" ref="AC21">IF(AND(F21:H21&lt;&gt;"",I21=""),"ERROR","OK")</f>
        <v>OK</v>
      </c>
      <c r="AD21" s="240" t="str">
        <f t="shared" si="6"/>
        <v>OK</v>
      </c>
      <c r="AE21" s="240" t="str">
        <f t="shared" si="7"/>
        <v>OK</v>
      </c>
      <c r="AF21" s="240" t="str" cm="1">
        <f t="array" aca="1" ref="AF21" ca="1" xml:space="preserve">
IF(AND($G21&lt;&gt;"",$F21=""),"ERROR",
IF(OR($F21:$G21="",AND($G21="",$F21&lt;&gt;"")),"OK",
IF(COUNTIF(INDIRECT(IFERROR(LEFT($F21,FIND(" ",$F21)-1),$F21)), $G21)&gt;0, "OK", "ERROR")))</f>
        <v>OK</v>
      </c>
    </row>
    <row r="22" spans="1:32" s="240" customFormat="1">
      <c r="A22" s="48"/>
      <c r="B22" s="31"/>
      <c r="C22" s="48"/>
      <c r="D22" s="47"/>
      <c r="E22" s="47"/>
      <c r="F22" s="31"/>
      <c r="G22" s="31"/>
      <c r="H22" s="31"/>
      <c r="I22" s="47"/>
      <c r="J22" s="31"/>
      <c r="K22" s="47"/>
      <c r="L22" s="47"/>
      <c r="M22" s="47"/>
      <c r="N22" s="31"/>
      <c r="O22" s="47"/>
      <c r="P22" s="31"/>
      <c r="Q22" s="31"/>
      <c r="R22" s="31"/>
      <c r="S22" s="31"/>
      <c r="T22" s="270">
        <f t="shared" si="0"/>
        <v>0</v>
      </c>
      <c r="U22" s="270">
        <f t="shared" si="1"/>
        <v>0</v>
      </c>
      <c r="V22" s="31"/>
      <c r="X22" s="240" t="str">
        <f t="shared" si="2"/>
        <v>OK</v>
      </c>
      <c r="Y22" s="240" t="str">
        <f t="shared" si="3"/>
        <v>OK</v>
      </c>
      <c r="Z22" s="240" t="str">
        <f t="shared" si="4"/>
        <v>OK</v>
      </c>
      <c r="AA22" s="240" t="str" cm="1">
        <f t="array" ref="AA22">IF(OR(AND(J22="Not accepted",N22:O22&lt;&gt;"",$S22=""),AND(J22="Accepted",S22="")),"ERROR","OK")</f>
        <v>OK</v>
      </c>
      <c r="AB22" s="240" t="str">
        <f t="shared" si="5"/>
        <v>OK</v>
      </c>
      <c r="AC22" s="240" t="str" cm="1">
        <f t="array" ref="AC22">IF(AND(F22:H22&lt;&gt;"",I22=""),"ERROR","OK")</f>
        <v>OK</v>
      </c>
      <c r="AD22" s="240" t="str">
        <f t="shared" si="6"/>
        <v>OK</v>
      </c>
      <c r="AE22" s="240" t="str">
        <f t="shared" si="7"/>
        <v>OK</v>
      </c>
      <c r="AF22" s="240" t="str" cm="1">
        <f t="array" aca="1" ref="AF22" ca="1" xml:space="preserve">
IF(AND($G22&lt;&gt;"",$F22=""),"ERROR",
IF(OR($F22:$G22="",AND($G22="",$F22&lt;&gt;"")),"OK",
IF(COUNTIF(INDIRECT(IFERROR(LEFT($F22,FIND(" ",$F22)-1),$F22)), $G22)&gt;0, "OK", "ERROR")))</f>
        <v>OK</v>
      </c>
    </row>
    <row r="23" spans="1:32" s="240" customFormat="1">
      <c r="A23" s="48"/>
      <c r="B23" s="31"/>
      <c r="C23" s="48"/>
      <c r="D23" s="47"/>
      <c r="E23" s="47"/>
      <c r="F23" s="31"/>
      <c r="G23" s="31"/>
      <c r="H23" s="31"/>
      <c r="I23" s="47"/>
      <c r="J23" s="31"/>
      <c r="K23" s="47"/>
      <c r="L23" s="47"/>
      <c r="M23" s="47"/>
      <c r="N23" s="31"/>
      <c r="O23" s="47"/>
      <c r="P23" s="31"/>
      <c r="Q23" s="31"/>
      <c r="R23" s="31"/>
      <c r="S23" s="31"/>
      <c r="T23" s="270">
        <f t="shared" si="0"/>
        <v>0</v>
      </c>
      <c r="U23" s="270">
        <f t="shared" si="1"/>
        <v>0</v>
      </c>
      <c r="V23" s="31"/>
      <c r="X23" s="240" t="str">
        <f t="shared" si="2"/>
        <v>OK</v>
      </c>
      <c r="Y23" s="240" t="str">
        <f t="shared" si="3"/>
        <v>OK</v>
      </c>
      <c r="Z23" s="240" t="str">
        <f t="shared" si="4"/>
        <v>OK</v>
      </c>
      <c r="AA23" s="240" t="str" cm="1">
        <f t="array" ref="AA23">IF(OR(AND(J23="Not accepted",N23:O23&lt;&gt;"",$S23=""),AND(J23="Accepted",S23="")),"ERROR","OK")</f>
        <v>OK</v>
      </c>
      <c r="AB23" s="240" t="str">
        <f t="shared" si="5"/>
        <v>OK</v>
      </c>
      <c r="AC23" s="240" t="str" cm="1">
        <f t="array" ref="AC23">IF(AND(F23:H23&lt;&gt;"",I23=""),"ERROR","OK")</f>
        <v>OK</v>
      </c>
      <c r="AD23" s="240" t="str">
        <f t="shared" si="6"/>
        <v>OK</v>
      </c>
      <c r="AE23" s="240" t="str">
        <f t="shared" si="7"/>
        <v>OK</v>
      </c>
      <c r="AF23" s="240" t="str" cm="1">
        <f t="array" aca="1" ref="AF23" ca="1" xml:space="preserve">
IF(AND($G23&lt;&gt;"",$F23=""),"ERROR",
IF(OR($F23:$G23="",AND($G23="",$F23&lt;&gt;"")),"OK",
IF(COUNTIF(INDIRECT(IFERROR(LEFT($F23,FIND(" ",$F23)-1),$F23)), $G23)&gt;0, "OK", "ERROR")))</f>
        <v>OK</v>
      </c>
    </row>
    <row r="24" spans="1:32" s="240" customFormat="1">
      <c r="A24" s="48"/>
      <c r="B24" s="31"/>
      <c r="C24" s="48"/>
      <c r="D24" s="47"/>
      <c r="E24" s="47"/>
      <c r="F24" s="31"/>
      <c r="G24" s="31"/>
      <c r="H24" s="31"/>
      <c r="I24" s="47"/>
      <c r="J24" s="31"/>
      <c r="K24" s="47"/>
      <c r="L24" s="47"/>
      <c r="M24" s="47"/>
      <c r="N24" s="31"/>
      <c r="O24" s="47"/>
      <c r="P24" s="31"/>
      <c r="Q24" s="31"/>
      <c r="R24" s="31"/>
      <c r="S24" s="31"/>
      <c r="T24" s="270">
        <f t="shared" si="0"/>
        <v>0</v>
      </c>
      <c r="U24" s="270">
        <f t="shared" si="1"/>
        <v>0</v>
      </c>
      <c r="V24" s="31"/>
      <c r="X24" s="240" t="str">
        <f t="shared" si="2"/>
        <v>OK</v>
      </c>
      <c r="Y24" s="240" t="str">
        <f t="shared" si="3"/>
        <v>OK</v>
      </c>
      <c r="Z24" s="240" t="str">
        <f t="shared" si="4"/>
        <v>OK</v>
      </c>
      <c r="AA24" s="240" t="str" cm="1">
        <f t="array" ref="AA24">IF(OR(AND(J24="Not accepted",N24:O24&lt;&gt;"",$S24=""),AND(J24="Accepted",S24="")),"ERROR","OK")</f>
        <v>OK</v>
      </c>
      <c r="AB24" s="240" t="str">
        <f t="shared" si="5"/>
        <v>OK</v>
      </c>
      <c r="AC24" s="240" t="str" cm="1">
        <f t="array" ref="AC24">IF(AND(F24:H24&lt;&gt;"",I24=""),"ERROR","OK")</f>
        <v>OK</v>
      </c>
      <c r="AD24" s="240" t="str">
        <f t="shared" si="6"/>
        <v>OK</v>
      </c>
      <c r="AE24" s="240" t="str">
        <f t="shared" si="7"/>
        <v>OK</v>
      </c>
      <c r="AF24" s="240" t="str" cm="1">
        <f t="array" aca="1" ref="AF24" ca="1" xml:space="preserve">
IF(AND($G24&lt;&gt;"",$F24=""),"ERROR",
IF(OR($F24:$G24="",AND($G24="",$F24&lt;&gt;"")),"OK",
IF(COUNTIF(INDIRECT(IFERROR(LEFT($F24,FIND(" ",$F24)-1),$F24)), $G24)&gt;0, "OK", "ERROR")))</f>
        <v>OK</v>
      </c>
    </row>
    <row r="25" spans="1:32" s="240" customFormat="1">
      <c r="A25" s="48"/>
      <c r="B25" s="31"/>
      <c r="C25" s="48"/>
      <c r="D25" s="47"/>
      <c r="E25" s="47"/>
      <c r="F25" s="31"/>
      <c r="G25" s="31"/>
      <c r="H25" s="31"/>
      <c r="I25" s="47"/>
      <c r="J25" s="31"/>
      <c r="K25" s="47"/>
      <c r="L25" s="47"/>
      <c r="M25" s="47"/>
      <c r="N25" s="31"/>
      <c r="O25" s="47"/>
      <c r="P25" s="31"/>
      <c r="Q25" s="31"/>
      <c r="R25" s="31"/>
      <c r="S25" s="31"/>
      <c r="T25" s="270">
        <f t="shared" si="0"/>
        <v>0</v>
      </c>
      <c r="U25" s="270">
        <f t="shared" si="1"/>
        <v>0</v>
      </c>
      <c r="V25" s="31"/>
      <c r="X25" s="240" t="str">
        <f t="shared" si="2"/>
        <v>OK</v>
      </c>
      <c r="Y25" s="240" t="str">
        <f t="shared" si="3"/>
        <v>OK</v>
      </c>
      <c r="Z25" s="240" t="str">
        <f t="shared" si="4"/>
        <v>OK</v>
      </c>
      <c r="AA25" s="240" t="str" cm="1">
        <f t="array" ref="AA25">IF(OR(AND(J25="Not accepted",N25:O25&lt;&gt;"",$S25=""),AND(J25="Accepted",S25="")),"ERROR","OK")</f>
        <v>OK</v>
      </c>
      <c r="AB25" s="240" t="str">
        <f t="shared" si="5"/>
        <v>OK</v>
      </c>
      <c r="AC25" s="240" t="str" cm="1">
        <f t="array" ref="AC25">IF(AND(F25:H25&lt;&gt;"",I25=""),"ERROR","OK")</f>
        <v>OK</v>
      </c>
      <c r="AD25" s="240" t="str">
        <f t="shared" si="6"/>
        <v>OK</v>
      </c>
      <c r="AE25" s="240" t="str">
        <f t="shared" si="7"/>
        <v>OK</v>
      </c>
      <c r="AF25" s="240" t="str" cm="1">
        <f t="array" aca="1" ref="AF25" ca="1" xml:space="preserve">
IF(AND($G25&lt;&gt;"",$F25=""),"ERROR",
IF(OR($F25:$G25="",AND($G25="",$F25&lt;&gt;"")),"OK",
IF(COUNTIF(INDIRECT(IFERROR(LEFT($F25,FIND(" ",$F25)-1),$F25)), $G25)&gt;0, "OK", "ERROR")))</f>
        <v>OK</v>
      </c>
    </row>
    <row r="26" spans="1:32" s="240" customFormat="1">
      <c r="A26" s="48"/>
      <c r="B26" s="31"/>
      <c r="C26" s="48"/>
      <c r="D26" s="47"/>
      <c r="E26" s="47"/>
      <c r="F26" s="31"/>
      <c r="G26" s="31"/>
      <c r="H26" s="31"/>
      <c r="I26" s="47"/>
      <c r="J26" s="31"/>
      <c r="K26" s="47"/>
      <c r="L26" s="47"/>
      <c r="M26" s="47"/>
      <c r="N26" s="31"/>
      <c r="O26" s="47"/>
      <c r="P26" s="31"/>
      <c r="Q26" s="31"/>
      <c r="R26" s="31"/>
      <c r="S26" s="31"/>
      <c r="T26" s="270">
        <f t="shared" si="0"/>
        <v>0</v>
      </c>
      <c r="U26" s="270">
        <f t="shared" si="1"/>
        <v>0</v>
      </c>
      <c r="V26" s="31"/>
      <c r="X26" s="240" t="str">
        <f t="shared" si="2"/>
        <v>OK</v>
      </c>
      <c r="Y26" s="240" t="str">
        <f t="shared" si="3"/>
        <v>OK</v>
      </c>
      <c r="Z26" s="240" t="str">
        <f t="shared" si="4"/>
        <v>OK</v>
      </c>
      <c r="AA26" s="240" t="str" cm="1">
        <f t="array" ref="AA26">IF(OR(AND(J26="Not accepted",N26:O26&lt;&gt;"",$S26=""),AND(J26="Accepted",S26="")),"ERROR","OK")</f>
        <v>OK</v>
      </c>
      <c r="AB26" s="240" t="str">
        <f t="shared" si="5"/>
        <v>OK</v>
      </c>
      <c r="AC26" s="240" t="str" cm="1">
        <f t="array" ref="AC26">IF(AND(F26:H26&lt;&gt;"",I26=""),"ERROR","OK")</f>
        <v>OK</v>
      </c>
      <c r="AD26" s="240" t="str">
        <f t="shared" si="6"/>
        <v>OK</v>
      </c>
      <c r="AE26" s="240" t="str">
        <f t="shared" si="7"/>
        <v>OK</v>
      </c>
      <c r="AF26" s="240" t="str" cm="1">
        <f t="array" aca="1" ref="AF26" ca="1" xml:space="preserve">
IF(AND($G26&lt;&gt;"",$F26=""),"ERROR",
IF(OR($F26:$G26="",AND($G26="",$F26&lt;&gt;"")),"OK",
IF(COUNTIF(INDIRECT(IFERROR(LEFT($F26,FIND(" ",$F26)-1),$F26)), $G26)&gt;0, "OK", "ERROR")))</f>
        <v>OK</v>
      </c>
    </row>
    <row r="27" spans="1:32" s="240" customFormat="1">
      <c r="A27" s="48"/>
      <c r="B27" s="31"/>
      <c r="C27" s="48"/>
      <c r="D27" s="47"/>
      <c r="E27" s="47"/>
      <c r="F27" s="31"/>
      <c r="G27" s="31"/>
      <c r="H27" s="31"/>
      <c r="I27" s="47"/>
      <c r="J27" s="31"/>
      <c r="K27" s="47"/>
      <c r="L27" s="47"/>
      <c r="M27" s="47"/>
      <c r="N27" s="31"/>
      <c r="O27" s="47"/>
      <c r="P27" s="31"/>
      <c r="Q27" s="31"/>
      <c r="R27" s="31"/>
      <c r="S27" s="31"/>
      <c r="T27" s="270">
        <f t="shared" si="0"/>
        <v>0</v>
      </c>
      <c r="U27" s="270">
        <f t="shared" si="1"/>
        <v>0</v>
      </c>
      <c r="V27" s="31"/>
      <c r="X27" s="240" t="str">
        <f t="shared" si="2"/>
        <v>OK</v>
      </c>
      <c r="Y27" s="240" t="str">
        <f t="shared" si="3"/>
        <v>OK</v>
      </c>
      <c r="Z27" s="240" t="str">
        <f t="shared" si="4"/>
        <v>OK</v>
      </c>
      <c r="AA27" s="240" t="str" cm="1">
        <f t="array" ref="AA27">IF(OR(AND(J27="Not accepted",N27:O27&lt;&gt;"",$S27=""),AND(J27="Accepted",S27="")),"ERROR","OK")</f>
        <v>OK</v>
      </c>
      <c r="AB27" s="240" t="str">
        <f t="shared" si="5"/>
        <v>OK</v>
      </c>
      <c r="AC27" s="240" t="str" cm="1">
        <f t="array" ref="AC27">IF(AND(F27:H27&lt;&gt;"",I27=""),"ERROR","OK")</f>
        <v>OK</v>
      </c>
      <c r="AD27" s="240" t="str">
        <f t="shared" si="6"/>
        <v>OK</v>
      </c>
      <c r="AE27" s="240" t="str">
        <f t="shared" si="7"/>
        <v>OK</v>
      </c>
      <c r="AF27" s="240" t="str" cm="1">
        <f t="array" aca="1" ref="AF27" ca="1" xml:space="preserve">
IF(AND($G27&lt;&gt;"",$F27=""),"ERROR",
IF(OR($F27:$G27="",AND($G27="",$F27&lt;&gt;"")),"OK",
IF(COUNTIF(INDIRECT(IFERROR(LEFT($F27,FIND(" ",$F27)-1),$F27)), $G27)&gt;0, "OK", "ERROR")))</f>
        <v>OK</v>
      </c>
    </row>
    <row r="28" spans="1:32" s="240" customFormat="1">
      <c r="A28" s="48"/>
      <c r="B28" s="31"/>
      <c r="C28" s="48"/>
      <c r="D28" s="47"/>
      <c r="E28" s="47"/>
      <c r="F28" s="31"/>
      <c r="G28" s="31"/>
      <c r="H28" s="31"/>
      <c r="I28" s="47"/>
      <c r="J28" s="31"/>
      <c r="K28" s="47"/>
      <c r="L28" s="47"/>
      <c r="M28" s="47"/>
      <c r="N28" s="31"/>
      <c r="O28" s="47"/>
      <c r="P28" s="31"/>
      <c r="Q28" s="31"/>
      <c r="R28" s="31"/>
      <c r="S28" s="31"/>
      <c r="T28" s="270">
        <f t="shared" si="0"/>
        <v>0</v>
      </c>
      <c r="U28" s="270">
        <f t="shared" si="1"/>
        <v>0</v>
      </c>
      <c r="V28" s="31"/>
      <c r="X28" s="240" t="str">
        <f t="shared" si="2"/>
        <v>OK</v>
      </c>
      <c r="Y28" s="240" t="str">
        <f t="shared" si="3"/>
        <v>OK</v>
      </c>
      <c r="Z28" s="240" t="str">
        <f t="shared" si="4"/>
        <v>OK</v>
      </c>
      <c r="AA28" s="240" t="str" cm="1">
        <f t="array" ref="AA28">IF(OR(AND(J28="Not accepted",N28:O28&lt;&gt;"",$S28=""),AND(J28="Accepted",S28="")),"ERROR","OK")</f>
        <v>OK</v>
      </c>
      <c r="AB28" s="240" t="str">
        <f t="shared" si="5"/>
        <v>OK</v>
      </c>
      <c r="AC28" s="240" t="str" cm="1">
        <f t="array" ref="AC28">IF(AND(F28:H28&lt;&gt;"",I28=""),"ERROR","OK")</f>
        <v>OK</v>
      </c>
      <c r="AD28" s="240" t="str">
        <f t="shared" si="6"/>
        <v>OK</v>
      </c>
      <c r="AE28" s="240" t="str">
        <f t="shared" si="7"/>
        <v>OK</v>
      </c>
      <c r="AF28" s="240" t="str" cm="1">
        <f t="array" aca="1" ref="AF28" ca="1" xml:space="preserve">
IF(AND($G28&lt;&gt;"",$F28=""),"ERROR",
IF(OR($F28:$G28="",AND($G28="",$F28&lt;&gt;"")),"OK",
IF(COUNTIF(INDIRECT(IFERROR(LEFT($F28,FIND(" ",$F28)-1),$F28)), $G28)&gt;0, "OK", "ERROR")))</f>
        <v>OK</v>
      </c>
    </row>
    <row r="29" spans="1:32" s="240" customFormat="1">
      <c r="A29" s="48"/>
      <c r="B29" s="31"/>
      <c r="C29" s="48"/>
      <c r="D29" s="47"/>
      <c r="E29" s="47"/>
      <c r="F29" s="31"/>
      <c r="G29" s="31"/>
      <c r="H29" s="31"/>
      <c r="I29" s="47"/>
      <c r="J29" s="31"/>
      <c r="K29" s="47"/>
      <c r="L29" s="47"/>
      <c r="M29" s="47"/>
      <c r="N29" s="31"/>
      <c r="O29" s="47"/>
      <c r="P29" s="31"/>
      <c r="Q29" s="31"/>
      <c r="R29" s="31"/>
      <c r="S29" s="31"/>
      <c r="T29" s="270">
        <f t="shared" si="0"/>
        <v>0</v>
      </c>
      <c r="U29" s="270">
        <f t="shared" si="1"/>
        <v>0</v>
      </c>
      <c r="V29" s="31"/>
      <c r="X29" s="240" t="str">
        <f t="shared" si="2"/>
        <v>OK</v>
      </c>
      <c r="Y29" s="240" t="str">
        <f t="shared" si="3"/>
        <v>OK</v>
      </c>
      <c r="Z29" s="240" t="str">
        <f t="shared" si="4"/>
        <v>OK</v>
      </c>
      <c r="AA29" s="240" t="str" cm="1">
        <f t="array" ref="AA29">IF(OR(AND(J29="Not accepted",N29:O29&lt;&gt;"",$S29=""),AND(J29="Accepted",S29="")),"ERROR","OK")</f>
        <v>OK</v>
      </c>
      <c r="AB29" s="240" t="str">
        <f t="shared" si="5"/>
        <v>OK</v>
      </c>
      <c r="AC29" s="240" t="str" cm="1">
        <f t="array" ref="AC29">IF(AND(F29:H29&lt;&gt;"",I29=""),"ERROR","OK")</f>
        <v>OK</v>
      </c>
      <c r="AD29" s="240" t="str">
        <f t="shared" si="6"/>
        <v>OK</v>
      </c>
      <c r="AE29" s="240" t="str">
        <f t="shared" si="7"/>
        <v>OK</v>
      </c>
      <c r="AF29" s="240" t="str" cm="1">
        <f t="array" aca="1" ref="AF29" ca="1" xml:space="preserve">
IF(AND($G29&lt;&gt;"",$F29=""),"ERROR",
IF(OR($F29:$G29="",AND($G29="",$F29&lt;&gt;"")),"OK",
IF(COUNTIF(INDIRECT(IFERROR(LEFT($F29,FIND(" ",$F29)-1),$F29)), $G29)&gt;0, "OK", "ERROR")))</f>
        <v>OK</v>
      </c>
    </row>
    <row r="30" spans="1:32" s="240" customFormat="1">
      <c r="A30" s="48"/>
      <c r="B30" s="31"/>
      <c r="C30" s="48"/>
      <c r="D30" s="47"/>
      <c r="E30" s="47"/>
      <c r="F30" s="31"/>
      <c r="G30" s="31"/>
      <c r="H30" s="31"/>
      <c r="I30" s="47"/>
      <c r="J30" s="31"/>
      <c r="K30" s="47"/>
      <c r="L30" s="47"/>
      <c r="M30" s="47"/>
      <c r="N30" s="31"/>
      <c r="O30" s="47"/>
      <c r="P30" s="31"/>
      <c r="Q30" s="31"/>
      <c r="R30" s="31"/>
      <c r="S30" s="31"/>
      <c r="T30" s="270">
        <f t="shared" si="0"/>
        <v>0</v>
      </c>
      <c r="U30" s="270">
        <f t="shared" si="1"/>
        <v>0</v>
      </c>
      <c r="V30" s="31"/>
      <c r="X30" s="240" t="str">
        <f t="shared" si="2"/>
        <v>OK</v>
      </c>
      <c r="Y30" s="240" t="str">
        <f t="shared" si="3"/>
        <v>OK</v>
      </c>
      <c r="Z30" s="240" t="str">
        <f t="shared" si="4"/>
        <v>OK</v>
      </c>
      <c r="AA30" s="240" t="str" cm="1">
        <f t="array" ref="AA30">IF(OR(AND(J30="Not accepted",N30:O30&lt;&gt;"",$S30=""),AND(J30="Accepted",S30="")),"ERROR","OK")</f>
        <v>OK</v>
      </c>
      <c r="AB30" s="240" t="str">
        <f t="shared" si="5"/>
        <v>OK</v>
      </c>
      <c r="AC30" s="240" t="str" cm="1">
        <f t="array" ref="AC30">IF(AND(F30:H30&lt;&gt;"",I30=""),"ERROR","OK")</f>
        <v>OK</v>
      </c>
      <c r="AD30" s="240" t="str">
        <f t="shared" si="6"/>
        <v>OK</v>
      </c>
      <c r="AE30" s="240" t="str">
        <f t="shared" si="7"/>
        <v>OK</v>
      </c>
      <c r="AF30" s="240" t="str" cm="1">
        <f t="array" aca="1" ref="AF30" ca="1" xml:space="preserve">
IF(AND($G30&lt;&gt;"",$F30=""),"ERROR",
IF(OR($F30:$G30="",AND($G30="",$F30&lt;&gt;"")),"OK",
IF(COUNTIF(INDIRECT(IFERROR(LEFT($F30,FIND(" ",$F30)-1),$F30)), $G30)&gt;0, "OK", "ERROR")))</f>
        <v>OK</v>
      </c>
    </row>
    <row r="31" spans="1:32" s="240" customFormat="1">
      <c r="A31" s="48"/>
      <c r="B31" s="31"/>
      <c r="C31" s="48"/>
      <c r="D31" s="47"/>
      <c r="E31" s="47"/>
      <c r="F31" s="31"/>
      <c r="G31" s="31"/>
      <c r="H31" s="31"/>
      <c r="I31" s="47"/>
      <c r="J31" s="31"/>
      <c r="K31" s="47"/>
      <c r="L31" s="47"/>
      <c r="M31" s="47"/>
      <c r="N31" s="31"/>
      <c r="O31" s="47"/>
      <c r="P31" s="31"/>
      <c r="Q31" s="31"/>
      <c r="R31" s="31"/>
      <c r="S31" s="31"/>
      <c r="T31" s="270">
        <f t="shared" si="0"/>
        <v>0</v>
      </c>
      <c r="U31" s="270">
        <f t="shared" si="1"/>
        <v>0</v>
      </c>
      <c r="V31" s="31"/>
      <c r="X31" s="240" t="str">
        <f t="shared" si="2"/>
        <v>OK</v>
      </c>
      <c r="Y31" s="240" t="str">
        <f t="shared" si="3"/>
        <v>OK</v>
      </c>
      <c r="Z31" s="240" t="str">
        <f t="shared" si="4"/>
        <v>OK</v>
      </c>
      <c r="AA31" s="240" t="str" cm="1">
        <f t="array" ref="AA31">IF(OR(AND(J31="Not accepted",N31:O31&lt;&gt;"",$S31=""),AND(J31="Accepted",S31="")),"ERROR","OK")</f>
        <v>OK</v>
      </c>
      <c r="AB31" s="240" t="str">
        <f t="shared" si="5"/>
        <v>OK</v>
      </c>
      <c r="AC31" s="240" t="str" cm="1">
        <f t="array" ref="AC31">IF(AND(F31:H31&lt;&gt;"",I31=""),"ERROR","OK")</f>
        <v>OK</v>
      </c>
      <c r="AD31" s="240" t="str">
        <f t="shared" si="6"/>
        <v>OK</v>
      </c>
      <c r="AE31" s="240" t="str">
        <f t="shared" si="7"/>
        <v>OK</v>
      </c>
      <c r="AF31" s="240" t="str" cm="1">
        <f t="array" aca="1" ref="AF31" ca="1" xml:space="preserve">
IF(AND($G31&lt;&gt;"",$F31=""),"ERROR",
IF(OR($F31:$G31="",AND($G31="",$F31&lt;&gt;"")),"OK",
IF(COUNTIF(INDIRECT(IFERROR(LEFT($F31,FIND(" ",$F31)-1),$F31)), $G31)&gt;0, "OK", "ERROR")))</f>
        <v>OK</v>
      </c>
    </row>
    <row r="32" spans="1:32" s="240" customFormat="1">
      <c r="A32" s="48"/>
      <c r="B32" s="31"/>
      <c r="C32" s="48"/>
      <c r="D32" s="47"/>
      <c r="E32" s="47"/>
      <c r="F32" s="31"/>
      <c r="G32" s="31"/>
      <c r="H32" s="31"/>
      <c r="I32" s="47"/>
      <c r="J32" s="31"/>
      <c r="K32" s="47"/>
      <c r="L32" s="47"/>
      <c r="M32" s="47"/>
      <c r="N32" s="31"/>
      <c r="O32" s="47"/>
      <c r="P32" s="31"/>
      <c r="Q32" s="31"/>
      <c r="R32" s="31"/>
      <c r="S32" s="31"/>
      <c r="T32" s="270">
        <f t="shared" si="0"/>
        <v>0</v>
      </c>
      <c r="U32" s="270">
        <f t="shared" si="1"/>
        <v>0</v>
      </c>
      <c r="V32" s="31"/>
      <c r="X32" s="240" t="str">
        <f t="shared" si="2"/>
        <v>OK</v>
      </c>
      <c r="Y32" s="240" t="str">
        <f t="shared" si="3"/>
        <v>OK</v>
      </c>
      <c r="Z32" s="240" t="str">
        <f t="shared" si="4"/>
        <v>OK</v>
      </c>
      <c r="AA32" s="240" t="str" cm="1">
        <f t="array" ref="AA32">IF(OR(AND(J32="Not accepted",N32:O32&lt;&gt;"",$S32=""),AND(J32="Accepted",S32="")),"ERROR","OK")</f>
        <v>OK</v>
      </c>
      <c r="AB32" s="240" t="str">
        <f t="shared" si="5"/>
        <v>OK</v>
      </c>
      <c r="AC32" s="240" t="str" cm="1">
        <f t="array" ref="AC32">IF(AND(F32:H32&lt;&gt;"",I32=""),"ERROR","OK")</f>
        <v>OK</v>
      </c>
      <c r="AD32" s="240" t="str">
        <f t="shared" si="6"/>
        <v>OK</v>
      </c>
      <c r="AE32" s="240" t="str">
        <f t="shared" si="7"/>
        <v>OK</v>
      </c>
      <c r="AF32" s="240" t="str" cm="1">
        <f t="array" aca="1" ref="AF32" ca="1" xml:space="preserve">
IF(AND($G32&lt;&gt;"",$F32=""),"ERROR",
IF(OR($F32:$G32="",AND($G32="",$F32&lt;&gt;"")),"OK",
IF(COUNTIF(INDIRECT(IFERROR(LEFT($F32,FIND(" ",$F32)-1),$F32)), $G32)&gt;0, "OK", "ERROR")))</f>
        <v>OK</v>
      </c>
    </row>
    <row r="33" spans="1:32" s="240" customFormat="1">
      <c r="A33" s="48"/>
      <c r="B33" s="31"/>
      <c r="C33" s="48"/>
      <c r="D33" s="47"/>
      <c r="E33" s="47"/>
      <c r="F33" s="31"/>
      <c r="G33" s="31"/>
      <c r="H33" s="31"/>
      <c r="I33" s="47"/>
      <c r="J33" s="31"/>
      <c r="K33" s="47"/>
      <c r="L33" s="47"/>
      <c r="M33" s="47"/>
      <c r="N33" s="31"/>
      <c r="O33" s="47"/>
      <c r="P33" s="31"/>
      <c r="Q33" s="31"/>
      <c r="R33" s="31"/>
      <c r="S33" s="31"/>
      <c r="T33" s="270">
        <f t="shared" si="0"/>
        <v>0</v>
      </c>
      <c r="U33" s="270">
        <f t="shared" si="1"/>
        <v>0</v>
      </c>
      <c r="V33" s="31"/>
      <c r="X33" s="240" t="str">
        <f t="shared" si="2"/>
        <v>OK</v>
      </c>
      <c r="Y33" s="240" t="str">
        <f t="shared" si="3"/>
        <v>OK</v>
      </c>
      <c r="Z33" s="240" t="str">
        <f t="shared" si="4"/>
        <v>OK</v>
      </c>
      <c r="AA33" s="240" t="str" cm="1">
        <f t="array" ref="AA33">IF(OR(AND(J33="Not accepted",N33:O33&lt;&gt;"",$S33=""),AND(J33="Accepted",S33="")),"ERROR","OK")</f>
        <v>OK</v>
      </c>
      <c r="AB33" s="240" t="str">
        <f t="shared" si="5"/>
        <v>OK</v>
      </c>
      <c r="AC33" s="240" t="str" cm="1">
        <f t="array" ref="AC33">IF(AND(F33:H33&lt;&gt;"",I33=""),"ERROR","OK")</f>
        <v>OK</v>
      </c>
      <c r="AD33" s="240" t="str">
        <f t="shared" si="6"/>
        <v>OK</v>
      </c>
      <c r="AE33" s="240" t="str">
        <f t="shared" si="7"/>
        <v>OK</v>
      </c>
      <c r="AF33" s="240" t="str" cm="1">
        <f t="array" aca="1" ref="AF33" ca="1" xml:space="preserve">
IF(AND($G33&lt;&gt;"",$F33=""),"ERROR",
IF(OR($F33:$G33="",AND($G33="",$F33&lt;&gt;"")),"OK",
IF(COUNTIF(INDIRECT(IFERROR(LEFT($F33,FIND(" ",$F33)-1),$F33)), $G33)&gt;0, "OK", "ERROR")))</f>
        <v>OK</v>
      </c>
    </row>
    <row r="34" spans="1:32" s="240" customFormat="1">
      <c r="A34" s="48"/>
      <c r="B34" s="31"/>
      <c r="C34" s="48"/>
      <c r="D34" s="47"/>
      <c r="E34" s="47"/>
      <c r="F34" s="31"/>
      <c r="G34" s="31"/>
      <c r="H34" s="31"/>
      <c r="I34" s="47"/>
      <c r="J34" s="31"/>
      <c r="K34" s="47"/>
      <c r="L34" s="47"/>
      <c r="M34" s="47"/>
      <c r="N34" s="31"/>
      <c r="O34" s="47"/>
      <c r="P34" s="31"/>
      <c r="Q34" s="31"/>
      <c r="R34" s="31"/>
      <c r="S34" s="31"/>
      <c r="T34" s="270">
        <f t="shared" si="0"/>
        <v>0</v>
      </c>
      <c r="U34" s="270">
        <f t="shared" si="1"/>
        <v>0</v>
      </c>
      <c r="V34" s="31"/>
      <c r="X34" s="240" t="str">
        <f t="shared" si="2"/>
        <v>OK</v>
      </c>
      <c r="Y34" s="240" t="str">
        <f t="shared" si="3"/>
        <v>OK</v>
      </c>
      <c r="Z34" s="240" t="str">
        <f t="shared" si="4"/>
        <v>OK</v>
      </c>
      <c r="AA34" s="240" t="str" cm="1">
        <f t="array" ref="AA34">IF(OR(AND(J34="Not accepted",N34:O34&lt;&gt;"",$S34=""),AND(J34="Accepted",S34="")),"ERROR","OK")</f>
        <v>OK</v>
      </c>
      <c r="AB34" s="240" t="str">
        <f t="shared" si="5"/>
        <v>OK</v>
      </c>
      <c r="AC34" s="240" t="str" cm="1">
        <f t="array" ref="AC34">IF(AND(F34:H34&lt;&gt;"",I34=""),"ERROR","OK")</f>
        <v>OK</v>
      </c>
      <c r="AD34" s="240" t="str">
        <f t="shared" si="6"/>
        <v>OK</v>
      </c>
      <c r="AE34" s="240" t="str">
        <f t="shared" si="7"/>
        <v>OK</v>
      </c>
      <c r="AF34" s="240" t="str" cm="1">
        <f t="array" aca="1" ref="AF34" ca="1" xml:space="preserve">
IF(AND($G34&lt;&gt;"",$F34=""),"ERROR",
IF(OR($F34:$G34="",AND($G34="",$F34&lt;&gt;"")),"OK",
IF(COUNTIF(INDIRECT(IFERROR(LEFT($F34,FIND(" ",$F34)-1),$F34)), $G34)&gt;0, "OK", "ERROR")))</f>
        <v>OK</v>
      </c>
    </row>
    <row r="35" spans="1:32" s="240" customFormat="1">
      <c r="A35" s="48"/>
      <c r="B35" s="31"/>
      <c r="C35" s="48"/>
      <c r="D35" s="47"/>
      <c r="E35" s="47"/>
      <c r="F35" s="31"/>
      <c r="G35" s="31"/>
      <c r="H35" s="31"/>
      <c r="I35" s="47"/>
      <c r="J35" s="31"/>
      <c r="K35" s="47"/>
      <c r="L35" s="47"/>
      <c r="M35" s="47"/>
      <c r="N35" s="31"/>
      <c r="O35" s="47"/>
      <c r="P35" s="31"/>
      <c r="Q35" s="31"/>
      <c r="R35" s="31"/>
      <c r="S35" s="31"/>
      <c r="T35" s="270">
        <f t="shared" si="0"/>
        <v>0</v>
      </c>
      <c r="U35" s="270">
        <f t="shared" si="1"/>
        <v>0</v>
      </c>
      <c r="V35" s="31"/>
      <c r="X35" s="240" t="str">
        <f t="shared" si="2"/>
        <v>OK</v>
      </c>
      <c r="Y35" s="240" t="str">
        <f t="shared" si="3"/>
        <v>OK</v>
      </c>
      <c r="Z35" s="240" t="str">
        <f t="shared" si="4"/>
        <v>OK</v>
      </c>
      <c r="AA35" s="240" t="str" cm="1">
        <f t="array" ref="AA35">IF(OR(AND(J35="Not accepted",N35:O35&lt;&gt;"",$S35=""),AND(J35="Accepted",S35="")),"ERROR","OK")</f>
        <v>OK</v>
      </c>
      <c r="AB35" s="240" t="str">
        <f t="shared" si="5"/>
        <v>OK</v>
      </c>
      <c r="AC35" s="240" t="str" cm="1">
        <f t="array" ref="AC35">IF(AND(F35:H35&lt;&gt;"",I35=""),"ERROR","OK")</f>
        <v>OK</v>
      </c>
      <c r="AD35" s="240" t="str">
        <f t="shared" si="6"/>
        <v>OK</v>
      </c>
      <c r="AE35" s="240" t="str">
        <f t="shared" si="7"/>
        <v>OK</v>
      </c>
      <c r="AF35" s="240" t="str" cm="1">
        <f t="array" aca="1" ref="AF35" ca="1" xml:space="preserve">
IF(AND($G35&lt;&gt;"",$F35=""),"ERROR",
IF(OR($F35:$G35="",AND($G35="",$F35&lt;&gt;"")),"OK",
IF(COUNTIF(INDIRECT(IFERROR(LEFT($F35,FIND(" ",$F35)-1),$F35)), $G35)&gt;0, "OK", "ERROR")))</f>
        <v>OK</v>
      </c>
    </row>
    <row r="36" spans="1:32" s="240" customFormat="1">
      <c r="A36" s="48"/>
      <c r="B36" s="31"/>
      <c r="C36" s="48"/>
      <c r="D36" s="47"/>
      <c r="E36" s="47"/>
      <c r="F36" s="31"/>
      <c r="G36" s="31"/>
      <c r="H36" s="31"/>
      <c r="I36" s="47"/>
      <c r="J36" s="31"/>
      <c r="K36" s="47"/>
      <c r="L36" s="47"/>
      <c r="M36" s="47"/>
      <c r="N36" s="31"/>
      <c r="O36" s="47"/>
      <c r="P36" s="31"/>
      <c r="Q36" s="31"/>
      <c r="R36" s="31"/>
      <c r="S36" s="31"/>
      <c r="T36" s="270">
        <f t="shared" si="0"/>
        <v>0</v>
      </c>
      <c r="U36" s="270">
        <f t="shared" si="1"/>
        <v>0</v>
      </c>
      <c r="V36" s="31"/>
      <c r="X36" s="240" t="str">
        <f t="shared" si="2"/>
        <v>OK</v>
      </c>
      <c r="Y36" s="240" t="str">
        <f t="shared" si="3"/>
        <v>OK</v>
      </c>
      <c r="Z36" s="240" t="str">
        <f t="shared" si="4"/>
        <v>OK</v>
      </c>
      <c r="AA36" s="240" t="str" cm="1">
        <f t="array" ref="AA36">IF(OR(AND(J36="Not accepted",N36:O36&lt;&gt;"",$S36=""),AND(J36="Accepted",S36="")),"ERROR","OK")</f>
        <v>OK</v>
      </c>
      <c r="AB36" s="240" t="str">
        <f t="shared" si="5"/>
        <v>OK</v>
      </c>
      <c r="AC36" s="240" t="str" cm="1">
        <f t="array" ref="AC36">IF(AND(F36:H36&lt;&gt;"",I36=""),"ERROR","OK")</f>
        <v>OK</v>
      </c>
      <c r="AD36" s="240" t="str">
        <f t="shared" si="6"/>
        <v>OK</v>
      </c>
      <c r="AE36" s="240" t="str">
        <f t="shared" si="7"/>
        <v>OK</v>
      </c>
      <c r="AF36" s="240" t="str" cm="1">
        <f t="array" aca="1" ref="AF36" ca="1" xml:space="preserve">
IF(AND($G36&lt;&gt;"",$F36=""),"ERROR",
IF(OR($F36:$G36="",AND($G36="",$F36&lt;&gt;"")),"OK",
IF(COUNTIF(INDIRECT(IFERROR(LEFT($F36,FIND(" ",$F36)-1),$F36)), $G36)&gt;0, "OK", "ERROR")))</f>
        <v>OK</v>
      </c>
    </row>
    <row r="37" spans="1:32" s="240" customFormat="1">
      <c r="A37" s="48"/>
      <c r="B37" s="31"/>
      <c r="C37" s="48"/>
      <c r="D37" s="47"/>
      <c r="E37" s="47"/>
      <c r="F37" s="31"/>
      <c r="G37" s="31"/>
      <c r="H37" s="31"/>
      <c r="I37" s="47"/>
      <c r="J37" s="31"/>
      <c r="K37" s="47"/>
      <c r="L37" s="47"/>
      <c r="M37" s="47"/>
      <c r="N37" s="31"/>
      <c r="O37" s="47"/>
      <c r="P37" s="31"/>
      <c r="Q37" s="31"/>
      <c r="R37" s="31"/>
      <c r="S37" s="31"/>
      <c r="T37" s="270">
        <f t="shared" si="0"/>
        <v>0</v>
      </c>
      <c r="U37" s="270">
        <f t="shared" si="1"/>
        <v>0</v>
      </c>
      <c r="V37" s="31"/>
      <c r="X37" s="240" t="str">
        <f t="shared" si="2"/>
        <v>OK</v>
      </c>
      <c r="Y37" s="240" t="str">
        <f t="shared" si="3"/>
        <v>OK</v>
      </c>
      <c r="Z37" s="240" t="str">
        <f t="shared" si="4"/>
        <v>OK</v>
      </c>
      <c r="AA37" s="240" t="str" cm="1">
        <f t="array" ref="AA37">IF(OR(AND(J37="Not accepted",N37:O37&lt;&gt;"",$S37=""),AND(J37="Accepted",S37="")),"ERROR","OK")</f>
        <v>OK</v>
      </c>
      <c r="AB37" s="240" t="str">
        <f t="shared" si="5"/>
        <v>OK</v>
      </c>
      <c r="AC37" s="240" t="str" cm="1">
        <f t="array" ref="AC37">IF(AND(F37:H37&lt;&gt;"",I37=""),"ERROR","OK")</f>
        <v>OK</v>
      </c>
      <c r="AD37" s="240" t="str">
        <f t="shared" si="6"/>
        <v>OK</v>
      </c>
      <c r="AE37" s="240" t="str">
        <f t="shared" si="7"/>
        <v>OK</v>
      </c>
      <c r="AF37" s="240" t="str" cm="1">
        <f t="array" aca="1" ref="AF37" ca="1" xml:space="preserve">
IF(AND($G37&lt;&gt;"",$F37=""),"ERROR",
IF(OR($F37:$G37="",AND($G37="",$F37&lt;&gt;"")),"OK",
IF(COUNTIF(INDIRECT(IFERROR(LEFT($F37,FIND(" ",$F37)-1),$F37)), $G37)&gt;0, "OK", "ERROR")))</f>
        <v>OK</v>
      </c>
    </row>
    <row r="38" spans="1:32" s="240" customFormat="1">
      <c r="A38" s="48"/>
      <c r="B38" s="31"/>
      <c r="C38" s="48"/>
      <c r="D38" s="47"/>
      <c r="E38" s="47"/>
      <c r="F38" s="31"/>
      <c r="G38" s="31"/>
      <c r="H38" s="31"/>
      <c r="I38" s="47"/>
      <c r="J38" s="31"/>
      <c r="K38" s="47"/>
      <c r="L38" s="47"/>
      <c r="M38" s="47"/>
      <c r="N38" s="31"/>
      <c r="O38" s="47"/>
      <c r="P38" s="31"/>
      <c r="Q38" s="31"/>
      <c r="R38" s="31"/>
      <c r="S38" s="31"/>
      <c r="T38" s="270">
        <f t="shared" si="0"/>
        <v>0</v>
      </c>
      <c r="U38" s="270">
        <f t="shared" si="1"/>
        <v>0</v>
      </c>
      <c r="V38" s="31"/>
      <c r="X38" s="240" t="str">
        <f t="shared" si="2"/>
        <v>OK</v>
      </c>
      <c r="Y38" s="240" t="str">
        <f t="shared" si="3"/>
        <v>OK</v>
      </c>
      <c r="Z38" s="240" t="str">
        <f t="shared" si="4"/>
        <v>OK</v>
      </c>
      <c r="AA38" s="240" t="str" cm="1">
        <f t="array" ref="AA38">IF(OR(AND(J38="Not accepted",N38:O38&lt;&gt;"",$S38=""),AND(J38="Accepted",S38="")),"ERROR","OK")</f>
        <v>OK</v>
      </c>
      <c r="AB38" s="240" t="str">
        <f t="shared" si="5"/>
        <v>OK</v>
      </c>
      <c r="AC38" s="240" t="str" cm="1">
        <f t="array" ref="AC38">IF(AND(F38:H38&lt;&gt;"",I38=""),"ERROR","OK")</f>
        <v>OK</v>
      </c>
      <c r="AD38" s="240" t="str">
        <f t="shared" si="6"/>
        <v>OK</v>
      </c>
      <c r="AE38" s="240" t="str">
        <f t="shared" si="7"/>
        <v>OK</v>
      </c>
      <c r="AF38" s="240" t="str" cm="1">
        <f t="array" aca="1" ref="AF38" ca="1" xml:space="preserve">
IF(AND($G38&lt;&gt;"",$F38=""),"ERROR",
IF(OR($F38:$G38="",AND($G38="",$F38&lt;&gt;"")),"OK",
IF(COUNTIF(INDIRECT(IFERROR(LEFT($F38,FIND(" ",$F38)-1),$F38)), $G38)&gt;0, "OK", "ERROR")))</f>
        <v>OK</v>
      </c>
    </row>
    <row r="39" spans="1:32" s="240" customFormat="1">
      <c r="A39" s="48"/>
      <c r="B39" s="31"/>
      <c r="C39" s="48"/>
      <c r="D39" s="47"/>
      <c r="E39" s="47"/>
      <c r="F39" s="31"/>
      <c r="G39" s="31"/>
      <c r="H39" s="31"/>
      <c r="I39" s="47"/>
      <c r="J39" s="31"/>
      <c r="K39" s="47"/>
      <c r="L39" s="47"/>
      <c r="M39" s="47"/>
      <c r="N39" s="31"/>
      <c r="O39" s="47"/>
      <c r="P39" s="31"/>
      <c r="Q39" s="31"/>
      <c r="R39" s="31"/>
      <c r="S39" s="31"/>
      <c r="T39" s="270">
        <f t="shared" si="0"/>
        <v>0</v>
      </c>
      <c r="U39" s="270">
        <f t="shared" si="1"/>
        <v>0</v>
      </c>
      <c r="V39" s="31"/>
      <c r="X39" s="240" t="str">
        <f t="shared" si="2"/>
        <v>OK</v>
      </c>
      <c r="Y39" s="240" t="str">
        <f t="shared" si="3"/>
        <v>OK</v>
      </c>
      <c r="Z39" s="240" t="str">
        <f t="shared" si="4"/>
        <v>OK</v>
      </c>
      <c r="AA39" s="240" t="str" cm="1">
        <f t="array" ref="AA39">IF(OR(AND(J39="Not accepted",N39:O39&lt;&gt;"",$S39=""),AND(J39="Accepted",S39="")),"ERROR","OK")</f>
        <v>OK</v>
      </c>
      <c r="AB39" s="240" t="str">
        <f t="shared" si="5"/>
        <v>OK</v>
      </c>
      <c r="AC39" s="240" t="str" cm="1">
        <f t="array" ref="AC39">IF(AND(F39:H39&lt;&gt;"",I39=""),"ERROR","OK")</f>
        <v>OK</v>
      </c>
      <c r="AD39" s="240" t="str">
        <f t="shared" si="6"/>
        <v>OK</v>
      </c>
      <c r="AE39" s="240" t="str">
        <f t="shared" si="7"/>
        <v>OK</v>
      </c>
      <c r="AF39" s="240" t="str" cm="1">
        <f t="array" aca="1" ref="AF39" ca="1" xml:space="preserve">
IF(AND($G39&lt;&gt;"",$F39=""),"ERROR",
IF(OR($F39:$G39="",AND($G39="",$F39&lt;&gt;"")),"OK",
IF(COUNTIF(INDIRECT(IFERROR(LEFT($F39,FIND(" ",$F39)-1),$F39)), $G39)&gt;0, "OK", "ERROR")))</f>
        <v>OK</v>
      </c>
    </row>
    <row r="40" spans="1:32" s="240" customFormat="1">
      <c r="A40" s="48"/>
      <c r="B40" s="31"/>
      <c r="C40" s="48"/>
      <c r="D40" s="47"/>
      <c r="E40" s="47"/>
      <c r="F40" s="31"/>
      <c r="G40" s="31"/>
      <c r="H40" s="31"/>
      <c r="I40" s="47"/>
      <c r="J40" s="31"/>
      <c r="K40" s="47"/>
      <c r="L40" s="47"/>
      <c r="M40" s="47"/>
      <c r="N40" s="31"/>
      <c r="O40" s="47"/>
      <c r="P40" s="31"/>
      <c r="Q40" s="31"/>
      <c r="R40" s="31"/>
      <c r="S40" s="31"/>
      <c r="T40" s="270">
        <f t="shared" si="0"/>
        <v>0</v>
      </c>
      <c r="U40" s="270">
        <f t="shared" si="1"/>
        <v>0</v>
      </c>
      <c r="V40" s="31"/>
      <c r="X40" s="240" t="str">
        <f t="shared" si="2"/>
        <v>OK</v>
      </c>
      <c r="Y40" s="240" t="str">
        <f t="shared" si="3"/>
        <v>OK</v>
      </c>
      <c r="Z40" s="240" t="str">
        <f t="shared" si="4"/>
        <v>OK</v>
      </c>
      <c r="AA40" s="240" t="str" cm="1">
        <f t="array" ref="AA40">IF(OR(AND(J40="Not accepted",N40:O40&lt;&gt;"",$S40=""),AND(J40="Accepted",S40="")),"ERROR","OK")</f>
        <v>OK</v>
      </c>
      <c r="AB40" s="240" t="str">
        <f t="shared" si="5"/>
        <v>OK</v>
      </c>
      <c r="AC40" s="240" t="str" cm="1">
        <f t="array" ref="AC40">IF(AND(F40:H40&lt;&gt;"",I40=""),"ERROR","OK")</f>
        <v>OK</v>
      </c>
      <c r="AD40" s="240" t="str">
        <f t="shared" si="6"/>
        <v>OK</v>
      </c>
      <c r="AE40" s="240" t="str">
        <f t="shared" si="7"/>
        <v>OK</v>
      </c>
      <c r="AF40" s="240" t="str" cm="1">
        <f t="array" aca="1" ref="AF40" ca="1" xml:space="preserve">
IF(AND($G40&lt;&gt;"",$F40=""),"ERROR",
IF(OR($F40:$G40="",AND($G40="",$F40&lt;&gt;"")),"OK",
IF(COUNTIF(INDIRECT(IFERROR(LEFT($F40,FIND(" ",$F40)-1),$F40)), $G40)&gt;0, "OK", "ERROR")))</f>
        <v>OK</v>
      </c>
    </row>
    <row r="41" spans="1:32" s="240" customFormat="1">
      <c r="A41" s="48"/>
      <c r="B41" s="31"/>
      <c r="C41" s="48"/>
      <c r="D41" s="47"/>
      <c r="E41" s="47"/>
      <c r="F41" s="31"/>
      <c r="G41" s="31"/>
      <c r="H41" s="31"/>
      <c r="I41" s="47"/>
      <c r="J41" s="31"/>
      <c r="K41" s="47"/>
      <c r="L41" s="47"/>
      <c r="M41" s="47"/>
      <c r="N41" s="31"/>
      <c r="O41" s="47"/>
      <c r="P41" s="31"/>
      <c r="Q41" s="31"/>
      <c r="R41" s="31"/>
      <c r="S41" s="31"/>
      <c r="T41" s="270">
        <f t="shared" si="0"/>
        <v>0</v>
      </c>
      <c r="U41" s="270">
        <f t="shared" si="1"/>
        <v>0</v>
      </c>
      <c r="V41" s="31"/>
      <c r="X41" s="240" t="str">
        <f t="shared" si="2"/>
        <v>OK</v>
      </c>
      <c r="Y41" s="240" t="str">
        <f t="shared" si="3"/>
        <v>OK</v>
      </c>
      <c r="Z41" s="240" t="str">
        <f t="shared" si="4"/>
        <v>OK</v>
      </c>
      <c r="AA41" s="240" t="str" cm="1">
        <f t="array" ref="AA41">IF(OR(AND(J41="Not accepted",N41:O41&lt;&gt;"",$S41=""),AND(J41="Accepted",S41="")),"ERROR","OK")</f>
        <v>OK</v>
      </c>
      <c r="AB41" s="240" t="str">
        <f t="shared" si="5"/>
        <v>OK</v>
      </c>
      <c r="AC41" s="240" t="str" cm="1">
        <f t="array" ref="AC41">IF(AND(F41:H41&lt;&gt;"",I41=""),"ERROR","OK")</f>
        <v>OK</v>
      </c>
      <c r="AD41" s="240" t="str">
        <f t="shared" si="6"/>
        <v>OK</v>
      </c>
      <c r="AE41" s="240" t="str">
        <f t="shared" si="7"/>
        <v>OK</v>
      </c>
      <c r="AF41" s="240" t="str" cm="1">
        <f t="array" aca="1" ref="AF41" ca="1" xml:space="preserve">
IF(AND($G41&lt;&gt;"",$F41=""),"ERROR",
IF(OR($F41:$G41="",AND($G41="",$F41&lt;&gt;"")),"OK",
IF(COUNTIF(INDIRECT(IFERROR(LEFT($F41,FIND(" ",$F41)-1),$F41)), $G41)&gt;0, "OK", "ERROR")))</f>
        <v>OK</v>
      </c>
    </row>
    <row r="42" spans="1:32" s="240" customFormat="1">
      <c r="A42" s="48"/>
      <c r="B42" s="31"/>
      <c r="C42" s="48"/>
      <c r="D42" s="47"/>
      <c r="E42" s="47"/>
      <c r="F42" s="31"/>
      <c r="G42" s="31"/>
      <c r="H42" s="31"/>
      <c r="I42" s="47"/>
      <c r="J42" s="31"/>
      <c r="K42" s="47"/>
      <c r="L42" s="47"/>
      <c r="M42" s="47"/>
      <c r="N42" s="31"/>
      <c r="O42" s="47"/>
      <c r="P42" s="31"/>
      <c r="Q42" s="31"/>
      <c r="R42" s="31"/>
      <c r="S42" s="31"/>
      <c r="T42" s="270">
        <f t="shared" si="0"/>
        <v>0</v>
      </c>
      <c r="U42" s="270">
        <f t="shared" si="1"/>
        <v>0</v>
      </c>
      <c r="V42" s="31"/>
      <c r="X42" s="240" t="str">
        <f t="shared" si="2"/>
        <v>OK</v>
      </c>
      <c r="Y42" s="240" t="str">
        <f t="shared" si="3"/>
        <v>OK</v>
      </c>
      <c r="Z42" s="240" t="str">
        <f t="shared" si="4"/>
        <v>OK</v>
      </c>
      <c r="AA42" s="240" t="str" cm="1">
        <f t="array" ref="AA42">IF(OR(AND(J42="Not accepted",N42:O42&lt;&gt;"",$S42=""),AND(J42="Accepted",S42="")),"ERROR","OK")</f>
        <v>OK</v>
      </c>
      <c r="AB42" s="240" t="str">
        <f t="shared" si="5"/>
        <v>OK</v>
      </c>
      <c r="AC42" s="240" t="str" cm="1">
        <f t="array" ref="AC42">IF(AND(F42:H42&lt;&gt;"",I42=""),"ERROR","OK")</f>
        <v>OK</v>
      </c>
      <c r="AD42" s="240" t="str">
        <f t="shared" si="6"/>
        <v>OK</v>
      </c>
      <c r="AE42" s="240" t="str">
        <f t="shared" si="7"/>
        <v>OK</v>
      </c>
      <c r="AF42" s="240" t="str" cm="1">
        <f t="array" aca="1" ref="AF42" ca="1" xml:space="preserve">
IF(AND($G42&lt;&gt;"",$F42=""),"ERROR",
IF(OR($F42:$G42="",AND($G42="",$F42&lt;&gt;"")),"OK",
IF(COUNTIF(INDIRECT(IFERROR(LEFT($F42,FIND(" ",$F42)-1),$F42)), $G42)&gt;0, "OK", "ERROR")))</f>
        <v>OK</v>
      </c>
    </row>
    <row r="43" spans="1:32" s="240" customFormat="1">
      <c r="A43" s="48"/>
      <c r="B43" s="31"/>
      <c r="C43" s="48"/>
      <c r="D43" s="47"/>
      <c r="E43" s="47"/>
      <c r="F43" s="31"/>
      <c r="G43" s="31"/>
      <c r="H43" s="31"/>
      <c r="I43" s="47"/>
      <c r="J43" s="31"/>
      <c r="K43" s="47"/>
      <c r="L43" s="47"/>
      <c r="M43" s="47"/>
      <c r="N43" s="31"/>
      <c r="O43" s="47"/>
      <c r="P43" s="31"/>
      <c r="Q43" s="31"/>
      <c r="R43" s="31"/>
      <c r="S43" s="31"/>
      <c r="T43" s="270">
        <f t="shared" si="0"/>
        <v>0</v>
      </c>
      <c r="U43" s="270">
        <f t="shared" si="1"/>
        <v>0</v>
      </c>
      <c r="V43" s="31"/>
      <c r="X43" s="240" t="str">
        <f t="shared" si="2"/>
        <v>OK</v>
      </c>
      <c r="Y43" s="240" t="str">
        <f t="shared" si="3"/>
        <v>OK</v>
      </c>
      <c r="Z43" s="240" t="str">
        <f t="shared" si="4"/>
        <v>OK</v>
      </c>
      <c r="AA43" s="240" t="str" cm="1">
        <f t="array" ref="AA43">IF(OR(AND(J43="Not accepted",N43:O43&lt;&gt;"",$S43=""),AND(J43="Accepted",S43="")),"ERROR","OK")</f>
        <v>OK</v>
      </c>
      <c r="AB43" s="240" t="str">
        <f t="shared" si="5"/>
        <v>OK</v>
      </c>
      <c r="AC43" s="240" t="str" cm="1">
        <f t="array" ref="AC43">IF(AND(F43:H43&lt;&gt;"",I43=""),"ERROR","OK")</f>
        <v>OK</v>
      </c>
      <c r="AD43" s="240" t="str">
        <f t="shared" si="6"/>
        <v>OK</v>
      </c>
      <c r="AE43" s="240" t="str">
        <f t="shared" si="7"/>
        <v>OK</v>
      </c>
      <c r="AF43" s="240" t="str" cm="1">
        <f t="array" aca="1" ref="AF43" ca="1" xml:space="preserve">
IF(AND($G43&lt;&gt;"",$F43=""),"ERROR",
IF(OR($F43:$G43="",AND($G43="",$F43&lt;&gt;"")),"OK",
IF(COUNTIF(INDIRECT(IFERROR(LEFT($F43,FIND(" ",$F43)-1),$F43)), $G43)&gt;0, "OK", "ERROR")))</f>
        <v>OK</v>
      </c>
    </row>
    <row r="44" spans="1:32" s="240" customFormat="1">
      <c r="A44" s="48"/>
      <c r="B44" s="31"/>
      <c r="C44" s="48"/>
      <c r="D44" s="47"/>
      <c r="E44" s="47"/>
      <c r="F44" s="31"/>
      <c r="G44" s="31"/>
      <c r="H44" s="31"/>
      <c r="I44" s="47"/>
      <c r="J44" s="31"/>
      <c r="K44" s="47"/>
      <c r="L44" s="47"/>
      <c r="M44" s="47"/>
      <c r="N44" s="31"/>
      <c r="O44" s="47"/>
      <c r="P44" s="31"/>
      <c r="Q44" s="31"/>
      <c r="R44" s="31"/>
      <c r="S44" s="31"/>
      <c r="T44" s="270">
        <f t="shared" si="0"/>
        <v>0</v>
      </c>
      <c r="U44" s="270">
        <f t="shared" si="1"/>
        <v>0</v>
      </c>
      <c r="V44" s="31"/>
      <c r="X44" s="240" t="str">
        <f t="shared" si="2"/>
        <v>OK</v>
      </c>
      <c r="Y44" s="240" t="str">
        <f t="shared" si="3"/>
        <v>OK</v>
      </c>
      <c r="Z44" s="240" t="str">
        <f t="shared" si="4"/>
        <v>OK</v>
      </c>
      <c r="AA44" s="240" t="str" cm="1">
        <f t="array" ref="AA44">IF(OR(AND(J44="Not accepted",N44:O44&lt;&gt;"",$S44=""),AND(J44="Accepted",S44="")),"ERROR","OK")</f>
        <v>OK</v>
      </c>
      <c r="AB44" s="240" t="str">
        <f t="shared" si="5"/>
        <v>OK</v>
      </c>
      <c r="AC44" s="240" t="str" cm="1">
        <f t="array" ref="AC44">IF(AND(F44:H44&lt;&gt;"",I44=""),"ERROR","OK")</f>
        <v>OK</v>
      </c>
      <c r="AD44" s="240" t="str">
        <f t="shared" si="6"/>
        <v>OK</v>
      </c>
      <c r="AE44" s="240" t="str">
        <f t="shared" si="7"/>
        <v>OK</v>
      </c>
      <c r="AF44" s="240" t="str" cm="1">
        <f t="array" aca="1" ref="AF44" ca="1" xml:space="preserve">
IF(AND($G44&lt;&gt;"",$F44=""),"ERROR",
IF(OR($F44:$G44="",AND($G44="",$F44&lt;&gt;"")),"OK",
IF(COUNTIF(INDIRECT(IFERROR(LEFT($F44,FIND(" ",$F44)-1),$F44)), $G44)&gt;0, "OK", "ERROR")))</f>
        <v>OK</v>
      </c>
    </row>
    <row r="45" spans="1:32" s="240" customFormat="1">
      <c r="A45" s="48"/>
      <c r="B45" s="31"/>
      <c r="C45" s="48"/>
      <c r="D45" s="47"/>
      <c r="E45" s="47"/>
      <c r="F45" s="31"/>
      <c r="G45" s="31"/>
      <c r="H45" s="31"/>
      <c r="I45" s="47"/>
      <c r="J45" s="31"/>
      <c r="K45" s="47"/>
      <c r="L45" s="47"/>
      <c r="M45" s="47"/>
      <c r="N45" s="31"/>
      <c r="O45" s="47"/>
      <c r="P45" s="31"/>
      <c r="Q45" s="31"/>
      <c r="R45" s="31"/>
      <c r="S45" s="31"/>
      <c r="T45" s="270">
        <f t="shared" si="0"/>
        <v>0</v>
      </c>
      <c r="U45" s="270">
        <f t="shared" si="1"/>
        <v>0</v>
      </c>
      <c r="V45" s="31"/>
      <c r="X45" s="240" t="str">
        <f t="shared" si="2"/>
        <v>OK</v>
      </c>
      <c r="Y45" s="240" t="str">
        <f t="shared" si="3"/>
        <v>OK</v>
      </c>
      <c r="Z45" s="240" t="str">
        <f t="shared" si="4"/>
        <v>OK</v>
      </c>
      <c r="AA45" s="240" t="str" cm="1">
        <f t="array" ref="AA45">IF(OR(AND(J45="Not accepted",N45:O45&lt;&gt;"",$S45=""),AND(J45="Accepted",S45="")),"ERROR","OK")</f>
        <v>OK</v>
      </c>
      <c r="AB45" s="240" t="str">
        <f t="shared" si="5"/>
        <v>OK</v>
      </c>
      <c r="AC45" s="240" t="str" cm="1">
        <f t="array" ref="AC45">IF(AND(F45:H45&lt;&gt;"",I45=""),"ERROR","OK")</f>
        <v>OK</v>
      </c>
      <c r="AD45" s="240" t="str">
        <f t="shared" si="6"/>
        <v>OK</v>
      </c>
      <c r="AE45" s="240" t="str">
        <f t="shared" si="7"/>
        <v>OK</v>
      </c>
      <c r="AF45" s="240" t="str" cm="1">
        <f t="array" aca="1" ref="AF45" ca="1" xml:space="preserve">
IF(AND($G45&lt;&gt;"",$F45=""),"ERROR",
IF(OR($F45:$G45="",AND($G45="",$F45&lt;&gt;"")),"OK",
IF(COUNTIF(INDIRECT(IFERROR(LEFT($F45,FIND(" ",$F45)-1),$F45)), $G45)&gt;0, "OK", "ERROR")))</f>
        <v>OK</v>
      </c>
    </row>
    <row r="46" spans="1:32" s="240" customFormat="1">
      <c r="A46" s="48"/>
      <c r="B46" s="31"/>
      <c r="C46" s="48"/>
      <c r="D46" s="47"/>
      <c r="E46" s="47"/>
      <c r="F46" s="31"/>
      <c r="G46" s="31"/>
      <c r="H46" s="31"/>
      <c r="I46" s="47"/>
      <c r="J46" s="31"/>
      <c r="K46" s="47"/>
      <c r="L46" s="47"/>
      <c r="M46" s="47"/>
      <c r="N46" s="31"/>
      <c r="O46" s="47"/>
      <c r="P46" s="31"/>
      <c r="Q46" s="31"/>
      <c r="R46" s="31"/>
      <c r="S46" s="31"/>
      <c r="T46" s="270">
        <f t="shared" si="0"/>
        <v>0</v>
      </c>
      <c r="U46" s="270">
        <f t="shared" si="1"/>
        <v>0</v>
      </c>
      <c r="V46" s="31"/>
      <c r="X46" s="240" t="str">
        <f t="shared" si="2"/>
        <v>OK</v>
      </c>
      <c r="Y46" s="240" t="str">
        <f t="shared" si="3"/>
        <v>OK</v>
      </c>
      <c r="Z46" s="240" t="str">
        <f t="shared" si="4"/>
        <v>OK</v>
      </c>
      <c r="AA46" s="240" t="str" cm="1">
        <f t="array" ref="AA46">IF(OR(AND(J46="Not accepted",N46:O46&lt;&gt;"",$S46=""),AND(J46="Accepted",S46="")),"ERROR","OK")</f>
        <v>OK</v>
      </c>
      <c r="AB46" s="240" t="str">
        <f t="shared" si="5"/>
        <v>OK</v>
      </c>
      <c r="AC46" s="240" t="str" cm="1">
        <f t="array" ref="AC46">IF(AND(F46:H46&lt;&gt;"",I46=""),"ERROR","OK")</f>
        <v>OK</v>
      </c>
      <c r="AD46" s="240" t="str">
        <f t="shared" si="6"/>
        <v>OK</v>
      </c>
      <c r="AE46" s="240" t="str">
        <f t="shared" si="7"/>
        <v>OK</v>
      </c>
      <c r="AF46" s="240" t="str" cm="1">
        <f t="array" aca="1" ref="AF46" ca="1" xml:space="preserve">
IF(AND($G46&lt;&gt;"",$F46=""),"ERROR",
IF(OR($F46:$G46="",AND($G46="",$F46&lt;&gt;"")),"OK",
IF(COUNTIF(INDIRECT(IFERROR(LEFT($F46,FIND(" ",$F46)-1),$F46)), $G46)&gt;0, "OK", "ERROR")))</f>
        <v>OK</v>
      </c>
    </row>
    <row r="47" spans="1:32" s="240" customFormat="1">
      <c r="A47" s="48"/>
      <c r="B47" s="31"/>
      <c r="C47" s="48"/>
      <c r="D47" s="47"/>
      <c r="E47" s="47"/>
      <c r="F47" s="31"/>
      <c r="G47" s="31"/>
      <c r="H47" s="31"/>
      <c r="I47" s="47"/>
      <c r="J47" s="31"/>
      <c r="K47" s="47"/>
      <c r="L47" s="47"/>
      <c r="M47" s="47"/>
      <c r="N47" s="31"/>
      <c r="O47" s="47"/>
      <c r="P47" s="31"/>
      <c r="Q47" s="31"/>
      <c r="R47" s="31"/>
      <c r="S47" s="31"/>
      <c r="T47" s="270">
        <f t="shared" si="0"/>
        <v>0</v>
      </c>
      <c r="U47" s="270">
        <f t="shared" si="1"/>
        <v>0</v>
      </c>
      <c r="V47" s="31"/>
      <c r="X47" s="240" t="str">
        <f t="shared" si="2"/>
        <v>OK</v>
      </c>
      <c r="Y47" s="240" t="str">
        <f t="shared" si="3"/>
        <v>OK</v>
      </c>
      <c r="Z47" s="240" t="str">
        <f t="shared" si="4"/>
        <v>OK</v>
      </c>
      <c r="AA47" s="240" t="str" cm="1">
        <f t="array" ref="AA47">IF(OR(AND(J47="Not accepted",N47:O47&lt;&gt;"",$S47=""),AND(J47="Accepted",S47="")),"ERROR","OK")</f>
        <v>OK</v>
      </c>
      <c r="AB47" s="240" t="str">
        <f t="shared" si="5"/>
        <v>OK</v>
      </c>
      <c r="AC47" s="240" t="str" cm="1">
        <f t="array" ref="AC47">IF(AND(F47:H47&lt;&gt;"",I47=""),"ERROR","OK")</f>
        <v>OK</v>
      </c>
      <c r="AD47" s="240" t="str">
        <f t="shared" si="6"/>
        <v>OK</v>
      </c>
      <c r="AE47" s="240" t="str">
        <f t="shared" si="7"/>
        <v>OK</v>
      </c>
      <c r="AF47" s="240" t="str" cm="1">
        <f t="array" aca="1" ref="AF47" ca="1" xml:space="preserve">
IF(AND($G47&lt;&gt;"",$F47=""),"ERROR",
IF(OR($F47:$G47="",AND($G47="",$F47&lt;&gt;"")),"OK",
IF(COUNTIF(INDIRECT(IFERROR(LEFT($F47,FIND(" ",$F47)-1),$F47)), $G47)&gt;0, "OK", "ERROR")))</f>
        <v>OK</v>
      </c>
    </row>
    <row r="48" spans="1:32" s="240" customFormat="1">
      <c r="A48" s="48"/>
      <c r="B48" s="31"/>
      <c r="C48" s="48"/>
      <c r="D48" s="47"/>
      <c r="E48" s="47"/>
      <c r="F48" s="31"/>
      <c r="G48" s="31"/>
      <c r="H48" s="31"/>
      <c r="I48" s="47"/>
      <c r="J48" s="31"/>
      <c r="K48" s="47"/>
      <c r="L48" s="47"/>
      <c r="M48" s="47"/>
      <c r="N48" s="31"/>
      <c r="O48" s="47"/>
      <c r="P48" s="31"/>
      <c r="Q48" s="31"/>
      <c r="R48" s="31"/>
      <c r="S48" s="31"/>
      <c r="T48" s="270">
        <f t="shared" si="0"/>
        <v>0</v>
      </c>
      <c r="U48" s="270">
        <f t="shared" si="1"/>
        <v>0</v>
      </c>
      <c r="V48" s="31"/>
      <c r="X48" s="240" t="str">
        <f t="shared" si="2"/>
        <v>OK</v>
      </c>
      <c r="Y48" s="240" t="str">
        <f t="shared" si="3"/>
        <v>OK</v>
      </c>
      <c r="Z48" s="240" t="str">
        <f t="shared" si="4"/>
        <v>OK</v>
      </c>
      <c r="AA48" s="240" t="str" cm="1">
        <f t="array" ref="AA48">IF(OR(AND(J48="Not accepted",N48:O48&lt;&gt;"",$S48=""),AND(J48="Accepted",S48="")),"ERROR","OK")</f>
        <v>OK</v>
      </c>
      <c r="AB48" s="240" t="str">
        <f t="shared" si="5"/>
        <v>OK</v>
      </c>
      <c r="AC48" s="240" t="str" cm="1">
        <f t="array" ref="AC48">IF(AND(F48:H48&lt;&gt;"",I48=""),"ERROR","OK")</f>
        <v>OK</v>
      </c>
      <c r="AD48" s="240" t="str">
        <f t="shared" si="6"/>
        <v>OK</v>
      </c>
      <c r="AE48" s="240" t="str">
        <f t="shared" si="7"/>
        <v>OK</v>
      </c>
      <c r="AF48" s="240" t="str" cm="1">
        <f t="array" aca="1" ref="AF48" ca="1" xml:space="preserve">
IF(AND($G48&lt;&gt;"",$F48=""),"ERROR",
IF(OR($F48:$G48="",AND($G48="",$F48&lt;&gt;"")),"OK",
IF(COUNTIF(INDIRECT(IFERROR(LEFT($F48,FIND(" ",$F48)-1),$F48)), $G48)&gt;0, "OK", "ERROR")))</f>
        <v>OK</v>
      </c>
    </row>
    <row r="49" spans="1:32" s="240" customFormat="1">
      <c r="A49" s="48"/>
      <c r="B49" s="31"/>
      <c r="C49" s="48"/>
      <c r="D49" s="47"/>
      <c r="E49" s="47"/>
      <c r="F49" s="31"/>
      <c r="G49" s="31"/>
      <c r="H49" s="31"/>
      <c r="I49" s="47"/>
      <c r="J49" s="31"/>
      <c r="K49" s="47"/>
      <c r="L49" s="47"/>
      <c r="M49" s="47"/>
      <c r="N49" s="31"/>
      <c r="O49" s="47"/>
      <c r="P49" s="31"/>
      <c r="Q49" s="31"/>
      <c r="R49" s="31"/>
      <c r="S49" s="31"/>
      <c r="T49" s="270">
        <f t="shared" si="0"/>
        <v>0</v>
      </c>
      <c r="U49" s="270">
        <f t="shared" si="1"/>
        <v>0</v>
      </c>
      <c r="V49" s="31"/>
      <c r="X49" s="240" t="str">
        <f t="shared" si="2"/>
        <v>OK</v>
      </c>
      <c r="Y49" s="240" t="str">
        <f t="shared" si="3"/>
        <v>OK</v>
      </c>
      <c r="Z49" s="240" t="str">
        <f t="shared" si="4"/>
        <v>OK</v>
      </c>
      <c r="AA49" s="240" t="str" cm="1">
        <f t="array" ref="AA49">IF(OR(AND(J49="Not accepted",N49:O49&lt;&gt;"",$S49=""),AND(J49="Accepted",S49="")),"ERROR","OK")</f>
        <v>OK</v>
      </c>
      <c r="AB49" s="240" t="str">
        <f t="shared" si="5"/>
        <v>OK</v>
      </c>
      <c r="AC49" s="240" t="str" cm="1">
        <f t="array" ref="AC49">IF(AND(F49:H49&lt;&gt;"",I49=""),"ERROR","OK")</f>
        <v>OK</v>
      </c>
      <c r="AD49" s="240" t="str">
        <f t="shared" si="6"/>
        <v>OK</v>
      </c>
      <c r="AE49" s="240" t="str">
        <f t="shared" si="7"/>
        <v>OK</v>
      </c>
      <c r="AF49" s="240" t="str" cm="1">
        <f t="array" aca="1" ref="AF49" ca="1" xml:space="preserve">
IF(AND($G49&lt;&gt;"",$F49=""),"ERROR",
IF(OR($F49:$G49="",AND($G49="",$F49&lt;&gt;"")),"OK",
IF(COUNTIF(INDIRECT(IFERROR(LEFT($F49,FIND(" ",$F49)-1),$F49)), $G49)&gt;0, "OK", "ERROR")))</f>
        <v>OK</v>
      </c>
    </row>
    <row r="50" spans="1:32" s="240" customFormat="1">
      <c r="A50" s="48"/>
      <c r="B50" s="31"/>
      <c r="C50" s="48"/>
      <c r="D50" s="47"/>
      <c r="E50" s="47"/>
      <c r="F50" s="31"/>
      <c r="G50" s="31"/>
      <c r="H50" s="31"/>
      <c r="I50" s="47"/>
      <c r="J50" s="31"/>
      <c r="K50" s="47"/>
      <c r="L50" s="47"/>
      <c r="M50" s="47"/>
      <c r="N50" s="31"/>
      <c r="O50" s="47"/>
      <c r="P50" s="31"/>
      <c r="Q50" s="31"/>
      <c r="R50" s="31"/>
      <c r="S50" s="31"/>
      <c r="T50" s="270">
        <f t="shared" si="0"/>
        <v>0</v>
      </c>
      <c r="U50" s="270">
        <f t="shared" si="1"/>
        <v>0</v>
      </c>
      <c r="V50" s="31"/>
      <c r="X50" s="240" t="str">
        <f t="shared" si="2"/>
        <v>OK</v>
      </c>
      <c r="Y50" s="240" t="str">
        <f t="shared" si="3"/>
        <v>OK</v>
      </c>
      <c r="Z50" s="240" t="str">
        <f t="shared" si="4"/>
        <v>OK</v>
      </c>
      <c r="AA50" s="240" t="str" cm="1">
        <f t="array" ref="AA50">IF(OR(AND(J50="Not accepted",N50:O50&lt;&gt;"",$S50=""),AND(J50="Accepted",S50="")),"ERROR","OK")</f>
        <v>OK</v>
      </c>
      <c r="AB50" s="240" t="str">
        <f t="shared" si="5"/>
        <v>OK</v>
      </c>
      <c r="AC50" s="240" t="str" cm="1">
        <f t="array" ref="AC50">IF(AND(F50:H50&lt;&gt;"",I50=""),"ERROR","OK")</f>
        <v>OK</v>
      </c>
      <c r="AD50" s="240" t="str">
        <f t="shared" si="6"/>
        <v>OK</v>
      </c>
      <c r="AE50" s="240" t="str">
        <f t="shared" si="7"/>
        <v>OK</v>
      </c>
      <c r="AF50" s="240" t="str" cm="1">
        <f t="array" aca="1" ref="AF50" ca="1" xml:space="preserve">
IF(AND($G50&lt;&gt;"",$F50=""),"ERROR",
IF(OR($F50:$G50="",AND($G50="",$F50&lt;&gt;"")),"OK",
IF(COUNTIF(INDIRECT(IFERROR(LEFT($F50,FIND(" ",$F50)-1),$F50)), $G50)&gt;0, "OK", "ERROR")))</f>
        <v>OK</v>
      </c>
    </row>
    <row r="51" spans="1:32" s="240" customFormat="1">
      <c r="A51" s="48"/>
      <c r="B51" s="31"/>
      <c r="C51" s="48"/>
      <c r="D51" s="47"/>
      <c r="E51" s="47"/>
      <c r="F51" s="31"/>
      <c r="G51" s="31"/>
      <c r="H51" s="31"/>
      <c r="I51" s="47"/>
      <c r="J51" s="31"/>
      <c r="K51" s="47"/>
      <c r="L51" s="47"/>
      <c r="M51" s="47"/>
      <c r="N51" s="31"/>
      <c r="O51" s="47"/>
      <c r="P51" s="31"/>
      <c r="Q51" s="31"/>
      <c r="R51" s="31"/>
      <c r="S51" s="31"/>
      <c r="T51" s="270">
        <f t="shared" si="0"/>
        <v>0</v>
      </c>
      <c r="U51" s="270">
        <f t="shared" si="1"/>
        <v>0</v>
      </c>
      <c r="V51" s="31"/>
      <c r="X51" s="240" t="str">
        <f t="shared" si="2"/>
        <v>OK</v>
      </c>
      <c r="Y51" s="240" t="str">
        <f t="shared" si="3"/>
        <v>OK</v>
      </c>
      <c r="Z51" s="240" t="str">
        <f t="shared" si="4"/>
        <v>OK</v>
      </c>
      <c r="AA51" s="240" t="str" cm="1">
        <f t="array" ref="AA51">IF(OR(AND(J51="Not accepted",N51:O51&lt;&gt;"",$S51=""),AND(J51="Accepted",S51="")),"ERROR","OK")</f>
        <v>OK</v>
      </c>
      <c r="AB51" s="240" t="str">
        <f t="shared" si="5"/>
        <v>OK</v>
      </c>
      <c r="AC51" s="240" t="str" cm="1">
        <f t="array" ref="AC51">IF(AND(F51:H51&lt;&gt;"",I51=""),"ERROR","OK")</f>
        <v>OK</v>
      </c>
      <c r="AD51" s="240" t="str">
        <f t="shared" si="6"/>
        <v>OK</v>
      </c>
      <c r="AE51" s="240" t="str">
        <f t="shared" si="7"/>
        <v>OK</v>
      </c>
      <c r="AF51" s="240" t="str" cm="1">
        <f t="array" aca="1" ref="AF51" ca="1" xml:space="preserve">
IF(AND($G51&lt;&gt;"",$F51=""),"ERROR",
IF(OR($F51:$G51="",AND($G51="",$F51&lt;&gt;"")),"OK",
IF(COUNTIF(INDIRECT(IFERROR(LEFT($F51,FIND(" ",$F51)-1),$F51)), $G51)&gt;0, "OK", "ERROR")))</f>
        <v>OK</v>
      </c>
    </row>
    <row r="52" spans="1:32" s="240" customFormat="1">
      <c r="A52" s="48"/>
      <c r="B52" s="31"/>
      <c r="C52" s="48"/>
      <c r="D52" s="47"/>
      <c r="E52" s="47"/>
      <c r="F52" s="31"/>
      <c r="G52" s="31"/>
      <c r="H52" s="31"/>
      <c r="I52" s="47"/>
      <c r="J52" s="31"/>
      <c r="K52" s="47"/>
      <c r="L52" s="47"/>
      <c r="M52" s="47"/>
      <c r="N52" s="31"/>
      <c r="O52" s="47"/>
      <c r="P52" s="31"/>
      <c r="Q52" s="31"/>
      <c r="R52" s="31"/>
      <c r="S52" s="31"/>
      <c r="T52" s="270">
        <f t="shared" si="0"/>
        <v>0</v>
      </c>
      <c r="U52" s="270">
        <f t="shared" si="1"/>
        <v>0</v>
      </c>
      <c r="V52" s="31"/>
      <c r="X52" s="240" t="str">
        <f t="shared" si="2"/>
        <v>OK</v>
      </c>
      <c r="Y52" s="240" t="str">
        <f t="shared" si="3"/>
        <v>OK</v>
      </c>
      <c r="Z52" s="240" t="str">
        <f t="shared" si="4"/>
        <v>OK</v>
      </c>
      <c r="AA52" s="240" t="str" cm="1">
        <f t="array" ref="AA52">IF(OR(AND(J52="Not accepted",N52:O52&lt;&gt;"",$S52=""),AND(J52="Accepted",S52="")),"ERROR","OK")</f>
        <v>OK</v>
      </c>
      <c r="AB52" s="240" t="str">
        <f t="shared" si="5"/>
        <v>OK</v>
      </c>
      <c r="AC52" s="240" t="str" cm="1">
        <f t="array" ref="AC52">IF(AND(F52:H52&lt;&gt;"",I52=""),"ERROR","OK")</f>
        <v>OK</v>
      </c>
      <c r="AD52" s="240" t="str">
        <f t="shared" si="6"/>
        <v>OK</v>
      </c>
      <c r="AE52" s="240" t="str">
        <f t="shared" si="7"/>
        <v>OK</v>
      </c>
      <c r="AF52" s="240" t="str" cm="1">
        <f t="array" aca="1" ref="AF52" ca="1" xml:space="preserve">
IF(AND($G52&lt;&gt;"",$F52=""),"ERROR",
IF(OR($F52:$G52="",AND($G52="",$F52&lt;&gt;"")),"OK",
IF(COUNTIF(INDIRECT(IFERROR(LEFT($F52,FIND(" ",$F52)-1),$F52)), $G52)&gt;0, "OK", "ERROR")))</f>
        <v>OK</v>
      </c>
    </row>
    <row r="53" spans="1:32" s="240" customFormat="1">
      <c r="A53" s="48"/>
      <c r="B53" s="31"/>
      <c r="C53" s="48"/>
      <c r="D53" s="47"/>
      <c r="E53" s="47"/>
      <c r="F53" s="31"/>
      <c r="G53" s="31"/>
      <c r="H53" s="31"/>
      <c r="I53" s="47"/>
      <c r="J53" s="31"/>
      <c r="K53" s="47"/>
      <c r="L53" s="47"/>
      <c r="M53" s="47"/>
      <c r="N53" s="31"/>
      <c r="O53" s="47"/>
      <c r="P53" s="31"/>
      <c r="Q53" s="31"/>
      <c r="R53" s="31"/>
      <c r="S53" s="31"/>
      <c r="T53" s="270">
        <f t="shared" si="0"/>
        <v>0</v>
      </c>
      <c r="U53" s="270">
        <f t="shared" si="1"/>
        <v>0</v>
      </c>
      <c r="V53" s="31"/>
      <c r="X53" s="240" t="str">
        <f t="shared" si="2"/>
        <v>OK</v>
      </c>
      <c r="Y53" s="240" t="str">
        <f t="shared" si="3"/>
        <v>OK</v>
      </c>
      <c r="Z53" s="240" t="str">
        <f t="shared" si="4"/>
        <v>OK</v>
      </c>
      <c r="AA53" s="240" t="str" cm="1">
        <f t="array" ref="AA53">IF(OR(AND(J53="Not accepted",N53:O53&lt;&gt;"",$S53=""),AND(J53="Accepted",S53="")),"ERROR","OK")</f>
        <v>OK</v>
      </c>
      <c r="AB53" s="240" t="str">
        <f t="shared" si="5"/>
        <v>OK</v>
      </c>
      <c r="AC53" s="240" t="str" cm="1">
        <f t="array" ref="AC53">IF(AND(F53:H53&lt;&gt;"",I53=""),"ERROR","OK")</f>
        <v>OK</v>
      </c>
      <c r="AD53" s="240" t="str">
        <f t="shared" si="6"/>
        <v>OK</v>
      </c>
      <c r="AE53" s="240" t="str">
        <f t="shared" si="7"/>
        <v>OK</v>
      </c>
      <c r="AF53" s="240" t="str" cm="1">
        <f t="array" aca="1" ref="AF53" ca="1" xml:space="preserve">
IF(AND($G53&lt;&gt;"",$F53=""),"ERROR",
IF(OR($F53:$G53="",AND($G53="",$F53&lt;&gt;"")),"OK",
IF(COUNTIF(INDIRECT(IFERROR(LEFT($F53,FIND(" ",$F53)-1),$F53)), $G53)&gt;0, "OK", "ERROR")))</f>
        <v>OK</v>
      </c>
    </row>
    <row r="54" spans="1:32" s="240" customFormat="1">
      <c r="A54" s="48"/>
      <c r="B54" s="31"/>
      <c r="C54" s="48"/>
      <c r="D54" s="47"/>
      <c r="E54" s="47"/>
      <c r="F54" s="31"/>
      <c r="G54" s="31"/>
      <c r="H54" s="31"/>
      <c r="I54" s="47"/>
      <c r="J54" s="31"/>
      <c r="K54" s="47"/>
      <c r="L54" s="47"/>
      <c r="M54" s="47"/>
      <c r="N54" s="31"/>
      <c r="O54" s="47"/>
      <c r="P54" s="31"/>
      <c r="Q54" s="31"/>
      <c r="R54" s="31"/>
      <c r="S54" s="31"/>
      <c r="T54" s="270">
        <f t="shared" si="0"/>
        <v>0</v>
      </c>
      <c r="U54" s="270">
        <f t="shared" si="1"/>
        <v>0</v>
      </c>
      <c r="V54" s="31"/>
      <c r="X54" s="240" t="str">
        <f t="shared" si="2"/>
        <v>OK</v>
      </c>
      <c r="Y54" s="240" t="str">
        <f t="shared" si="3"/>
        <v>OK</v>
      </c>
      <c r="Z54" s="240" t="str">
        <f t="shared" si="4"/>
        <v>OK</v>
      </c>
      <c r="AA54" s="240" t="str" cm="1">
        <f t="array" ref="AA54">IF(OR(AND(J54="Not accepted",N54:O54&lt;&gt;"",$S54=""),AND(J54="Accepted",S54="")),"ERROR","OK")</f>
        <v>OK</v>
      </c>
      <c r="AB54" s="240" t="str">
        <f t="shared" si="5"/>
        <v>OK</v>
      </c>
      <c r="AC54" s="240" t="str" cm="1">
        <f t="array" ref="AC54">IF(AND(F54:H54&lt;&gt;"",I54=""),"ERROR","OK")</f>
        <v>OK</v>
      </c>
      <c r="AD54" s="240" t="str">
        <f t="shared" si="6"/>
        <v>OK</v>
      </c>
      <c r="AE54" s="240" t="str">
        <f t="shared" si="7"/>
        <v>OK</v>
      </c>
      <c r="AF54" s="240" t="str" cm="1">
        <f t="array" aca="1" ref="AF54" ca="1" xml:space="preserve">
IF(AND($G54&lt;&gt;"",$F54=""),"ERROR",
IF(OR($F54:$G54="",AND($G54="",$F54&lt;&gt;"")),"OK",
IF(COUNTIF(INDIRECT(IFERROR(LEFT($F54,FIND(" ",$F54)-1),$F54)), $G54)&gt;0, "OK", "ERROR")))</f>
        <v>OK</v>
      </c>
    </row>
    <row r="55" spans="1:32" s="240" customFormat="1">
      <c r="A55" s="48"/>
      <c r="B55" s="31"/>
      <c r="C55" s="48"/>
      <c r="D55" s="47"/>
      <c r="E55" s="47"/>
      <c r="F55" s="31"/>
      <c r="G55" s="31"/>
      <c r="H55" s="31"/>
      <c r="I55" s="47"/>
      <c r="J55" s="31"/>
      <c r="K55" s="47"/>
      <c r="L55" s="47"/>
      <c r="M55" s="47"/>
      <c r="N55" s="31"/>
      <c r="O55" s="47"/>
      <c r="P55" s="31"/>
      <c r="Q55" s="31"/>
      <c r="R55" s="31"/>
      <c r="S55" s="31"/>
      <c r="T55" s="270">
        <f t="shared" si="0"/>
        <v>0</v>
      </c>
      <c r="U55" s="270">
        <f t="shared" si="1"/>
        <v>0</v>
      </c>
      <c r="V55" s="31"/>
      <c r="X55" s="240" t="str">
        <f t="shared" si="2"/>
        <v>OK</v>
      </c>
      <c r="Y55" s="240" t="str">
        <f t="shared" si="3"/>
        <v>OK</v>
      </c>
      <c r="Z55" s="240" t="str">
        <f t="shared" si="4"/>
        <v>OK</v>
      </c>
      <c r="AA55" s="240" t="str" cm="1">
        <f t="array" ref="AA55">IF(OR(AND(J55="Not accepted",N55:O55&lt;&gt;"",$S55=""),AND(J55="Accepted",S55="")),"ERROR","OK")</f>
        <v>OK</v>
      </c>
      <c r="AB55" s="240" t="str">
        <f t="shared" si="5"/>
        <v>OK</v>
      </c>
      <c r="AC55" s="240" t="str" cm="1">
        <f t="array" ref="AC55">IF(AND(F55:H55&lt;&gt;"",I55=""),"ERROR","OK")</f>
        <v>OK</v>
      </c>
      <c r="AD55" s="240" t="str">
        <f t="shared" si="6"/>
        <v>OK</v>
      </c>
      <c r="AE55" s="240" t="str">
        <f t="shared" si="7"/>
        <v>OK</v>
      </c>
      <c r="AF55" s="240" t="str" cm="1">
        <f t="array" aca="1" ref="AF55" ca="1" xml:space="preserve">
IF(AND($G55&lt;&gt;"",$F55=""),"ERROR",
IF(OR($F55:$G55="",AND($G55="",$F55&lt;&gt;"")),"OK",
IF(COUNTIF(INDIRECT(IFERROR(LEFT($F55,FIND(" ",$F55)-1),$F55)), $G55)&gt;0, "OK", "ERROR")))</f>
        <v>OK</v>
      </c>
    </row>
    <row r="56" spans="1:32" s="240" customFormat="1">
      <c r="A56" s="48"/>
      <c r="B56" s="31"/>
      <c r="C56" s="48"/>
      <c r="D56" s="47"/>
      <c r="E56" s="47"/>
      <c r="F56" s="31"/>
      <c r="G56" s="31"/>
      <c r="H56" s="31"/>
      <c r="I56" s="47"/>
      <c r="J56" s="31"/>
      <c r="K56" s="47"/>
      <c r="L56" s="47"/>
      <c r="M56" s="47"/>
      <c r="N56" s="31"/>
      <c r="O56" s="47"/>
      <c r="P56" s="31"/>
      <c r="Q56" s="31"/>
      <c r="R56" s="31"/>
      <c r="S56" s="31"/>
      <c r="T56" s="270">
        <f t="shared" si="0"/>
        <v>0</v>
      </c>
      <c r="U56" s="270">
        <f t="shared" si="1"/>
        <v>0</v>
      </c>
      <c r="V56" s="31"/>
      <c r="X56" s="240" t="str">
        <f t="shared" si="2"/>
        <v>OK</v>
      </c>
      <c r="Y56" s="240" t="str">
        <f t="shared" si="3"/>
        <v>OK</v>
      </c>
      <c r="Z56" s="240" t="str">
        <f t="shared" si="4"/>
        <v>OK</v>
      </c>
      <c r="AA56" s="240" t="str" cm="1">
        <f t="array" ref="AA56">IF(OR(AND(J56="Not accepted",N56:O56&lt;&gt;"",$S56=""),AND(J56="Accepted",S56="")),"ERROR","OK")</f>
        <v>OK</v>
      </c>
      <c r="AB56" s="240" t="str">
        <f t="shared" si="5"/>
        <v>OK</v>
      </c>
      <c r="AC56" s="240" t="str" cm="1">
        <f t="array" ref="AC56">IF(AND(F56:H56&lt;&gt;"",I56=""),"ERROR","OK")</f>
        <v>OK</v>
      </c>
      <c r="AD56" s="240" t="str">
        <f t="shared" si="6"/>
        <v>OK</v>
      </c>
      <c r="AE56" s="240" t="str">
        <f t="shared" si="7"/>
        <v>OK</v>
      </c>
      <c r="AF56" s="240" t="str" cm="1">
        <f t="array" aca="1" ref="AF56" ca="1" xml:space="preserve">
IF(AND($G56&lt;&gt;"",$F56=""),"ERROR",
IF(OR($F56:$G56="",AND($G56="",$F56&lt;&gt;"")),"OK",
IF(COUNTIF(INDIRECT(IFERROR(LEFT($F56,FIND(" ",$F56)-1),$F56)), $G56)&gt;0, "OK", "ERROR")))</f>
        <v>OK</v>
      </c>
    </row>
    <row r="57" spans="1:32" s="240" customFormat="1">
      <c r="A57" s="48"/>
      <c r="B57" s="31"/>
      <c r="C57" s="48"/>
      <c r="D57" s="47"/>
      <c r="E57" s="47"/>
      <c r="F57" s="31"/>
      <c r="G57" s="31"/>
      <c r="H57" s="31"/>
      <c r="I57" s="47"/>
      <c r="J57" s="31"/>
      <c r="K57" s="47"/>
      <c r="L57" s="47"/>
      <c r="M57" s="47"/>
      <c r="N57" s="31"/>
      <c r="O57" s="47"/>
      <c r="P57" s="31"/>
      <c r="Q57" s="31"/>
      <c r="R57" s="31"/>
      <c r="S57" s="31"/>
      <c r="T57" s="270">
        <f t="shared" si="0"/>
        <v>0</v>
      </c>
      <c r="U57" s="270">
        <f t="shared" si="1"/>
        <v>0</v>
      </c>
      <c r="V57" s="31"/>
      <c r="X57" s="240" t="str">
        <f t="shared" si="2"/>
        <v>OK</v>
      </c>
      <c r="Y57" s="240" t="str">
        <f t="shared" si="3"/>
        <v>OK</v>
      </c>
      <c r="Z57" s="240" t="str">
        <f t="shared" si="4"/>
        <v>OK</v>
      </c>
      <c r="AA57" s="240" t="str" cm="1">
        <f t="array" ref="AA57">IF(OR(AND(J57="Not accepted",N57:O57&lt;&gt;"",$S57=""),AND(J57="Accepted",S57="")),"ERROR","OK")</f>
        <v>OK</v>
      </c>
      <c r="AB57" s="240" t="str">
        <f t="shared" si="5"/>
        <v>OK</v>
      </c>
      <c r="AC57" s="240" t="str" cm="1">
        <f t="array" ref="AC57">IF(AND(F57:H57&lt;&gt;"",I57=""),"ERROR","OK")</f>
        <v>OK</v>
      </c>
      <c r="AD57" s="240" t="str">
        <f t="shared" si="6"/>
        <v>OK</v>
      </c>
      <c r="AE57" s="240" t="str">
        <f t="shared" si="7"/>
        <v>OK</v>
      </c>
      <c r="AF57" s="240" t="str" cm="1">
        <f t="array" aca="1" ref="AF57" ca="1" xml:space="preserve">
IF(AND($G57&lt;&gt;"",$F57=""),"ERROR",
IF(OR($F57:$G57="",AND($G57="",$F57&lt;&gt;"")),"OK",
IF(COUNTIF(INDIRECT(IFERROR(LEFT($F57,FIND(" ",$F57)-1),$F57)), $G57)&gt;0, "OK", "ERROR")))</f>
        <v>OK</v>
      </c>
    </row>
    <row r="58" spans="1:32" s="240" customFormat="1">
      <c r="A58" s="48"/>
      <c r="B58" s="31"/>
      <c r="C58" s="48"/>
      <c r="D58" s="47"/>
      <c r="E58" s="47"/>
      <c r="F58" s="31"/>
      <c r="G58" s="31"/>
      <c r="H58" s="31"/>
      <c r="I58" s="47"/>
      <c r="J58" s="31"/>
      <c r="K58" s="47"/>
      <c r="L58" s="47"/>
      <c r="M58" s="47"/>
      <c r="N58" s="31"/>
      <c r="O58" s="47"/>
      <c r="P58" s="31"/>
      <c r="Q58" s="31"/>
      <c r="R58" s="31"/>
      <c r="S58" s="31"/>
      <c r="T58" s="270">
        <f t="shared" si="0"/>
        <v>0</v>
      </c>
      <c r="U58" s="270">
        <f t="shared" si="1"/>
        <v>0</v>
      </c>
      <c r="V58" s="31"/>
      <c r="X58" s="240" t="str">
        <f t="shared" si="2"/>
        <v>OK</v>
      </c>
      <c r="Y58" s="240" t="str">
        <f t="shared" si="3"/>
        <v>OK</v>
      </c>
      <c r="Z58" s="240" t="str">
        <f t="shared" si="4"/>
        <v>OK</v>
      </c>
      <c r="AA58" s="240" t="str" cm="1">
        <f t="array" ref="AA58">IF(OR(AND(J58="Not accepted",N58:O58&lt;&gt;"",$S58=""),AND(J58="Accepted",S58="")),"ERROR","OK")</f>
        <v>OK</v>
      </c>
      <c r="AB58" s="240" t="str">
        <f t="shared" si="5"/>
        <v>OK</v>
      </c>
      <c r="AC58" s="240" t="str" cm="1">
        <f t="array" ref="AC58">IF(AND(F58:H58&lt;&gt;"",I58=""),"ERROR","OK")</f>
        <v>OK</v>
      </c>
      <c r="AD58" s="240" t="str">
        <f t="shared" si="6"/>
        <v>OK</v>
      </c>
      <c r="AE58" s="240" t="str">
        <f t="shared" si="7"/>
        <v>OK</v>
      </c>
      <c r="AF58" s="240" t="str" cm="1">
        <f t="array" aca="1" ref="AF58" ca="1" xml:space="preserve">
IF(AND($G58&lt;&gt;"",$F58=""),"ERROR",
IF(OR($F58:$G58="",AND($G58="",$F58&lt;&gt;"")),"OK",
IF(COUNTIF(INDIRECT(IFERROR(LEFT($F58,FIND(" ",$F58)-1),$F58)), $G58)&gt;0, "OK", "ERROR")))</f>
        <v>OK</v>
      </c>
    </row>
    <row r="59" spans="1:32" s="240" customFormat="1">
      <c r="A59" s="48"/>
      <c r="B59" s="31"/>
      <c r="C59" s="48"/>
      <c r="D59" s="47"/>
      <c r="E59" s="47"/>
      <c r="F59" s="31"/>
      <c r="G59" s="31"/>
      <c r="H59" s="31"/>
      <c r="I59" s="47"/>
      <c r="J59" s="31"/>
      <c r="K59" s="47"/>
      <c r="L59" s="47"/>
      <c r="M59" s="47"/>
      <c r="N59" s="31"/>
      <c r="O59" s="47"/>
      <c r="P59" s="31"/>
      <c r="Q59" s="31"/>
      <c r="R59" s="31"/>
      <c r="S59" s="31"/>
      <c r="T59" s="270">
        <f t="shared" si="0"/>
        <v>0</v>
      </c>
      <c r="U59" s="270">
        <f t="shared" si="1"/>
        <v>0</v>
      </c>
      <c r="V59" s="31"/>
      <c r="X59" s="240" t="str">
        <f t="shared" si="2"/>
        <v>OK</v>
      </c>
      <c r="Y59" s="240" t="str">
        <f t="shared" si="3"/>
        <v>OK</v>
      </c>
      <c r="Z59" s="240" t="str">
        <f t="shared" si="4"/>
        <v>OK</v>
      </c>
      <c r="AA59" s="240" t="str" cm="1">
        <f t="array" ref="AA59">IF(OR(AND(J59="Not accepted",N59:O59&lt;&gt;"",$S59=""),AND(J59="Accepted",S59="")),"ERROR","OK")</f>
        <v>OK</v>
      </c>
      <c r="AB59" s="240" t="str">
        <f t="shared" si="5"/>
        <v>OK</v>
      </c>
      <c r="AC59" s="240" t="str" cm="1">
        <f t="array" ref="AC59">IF(AND(F59:H59&lt;&gt;"",I59=""),"ERROR","OK")</f>
        <v>OK</v>
      </c>
      <c r="AD59" s="240" t="str">
        <f t="shared" si="6"/>
        <v>OK</v>
      </c>
      <c r="AE59" s="240" t="str">
        <f t="shared" si="7"/>
        <v>OK</v>
      </c>
      <c r="AF59" s="240" t="str" cm="1">
        <f t="array" aca="1" ref="AF59" ca="1" xml:space="preserve">
IF(AND($G59&lt;&gt;"",$F59=""),"ERROR",
IF(OR($F59:$G59="",AND($G59="",$F59&lt;&gt;"")),"OK",
IF(COUNTIF(INDIRECT(IFERROR(LEFT($F59,FIND(" ",$F59)-1),$F59)), $G59)&gt;0, "OK", "ERROR")))</f>
        <v>OK</v>
      </c>
    </row>
    <row r="60" spans="1:32" s="240" customFormat="1">
      <c r="A60" s="48"/>
      <c r="B60" s="31"/>
      <c r="C60" s="48"/>
      <c r="D60" s="47"/>
      <c r="E60" s="47"/>
      <c r="F60" s="31"/>
      <c r="G60" s="31"/>
      <c r="H60" s="31"/>
      <c r="I60" s="47"/>
      <c r="J60" s="31"/>
      <c r="K60" s="47"/>
      <c r="L60" s="47"/>
      <c r="M60" s="47"/>
      <c r="N60" s="31"/>
      <c r="O60" s="47"/>
      <c r="P60" s="31"/>
      <c r="Q60" s="31"/>
      <c r="R60" s="31"/>
      <c r="S60" s="31"/>
      <c r="T60" s="270">
        <f t="shared" si="0"/>
        <v>0</v>
      </c>
      <c r="U60" s="270">
        <f t="shared" si="1"/>
        <v>0</v>
      </c>
      <c r="V60" s="31"/>
      <c r="X60" s="240" t="str">
        <f t="shared" si="2"/>
        <v>OK</v>
      </c>
      <c r="Y60" s="240" t="str">
        <f t="shared" si="3"/>
        <v>OK</v>
      </c>
      <c r="Z60" s="240" t="str">
        <f t="shared" si="4"/>
        <v>OK</v>
      </c>
      <c r="AA60" s="240" t="str" cm="1">
        <f t="array" ref="AA60">IF(OR(AND(J60="Not accepted",N60:O60&lt;&gt;"",$S60=""),AND(J60="Accepted",S60="")),"ERROR","OK")</f>
        <v>OK</v>
      </c>
      <c r="AB60" s="240" t="str">
        <f t="shared" si="5"/>
        <v>OK</v>
      </c>
      <c r="AC60" s="240" t="str" cm="1">
        <f t="array" ref="AC60">IF(AND(F60:H60&lt;&gt;"",I60=""),"ERROR","OK")</f>
        <v>OK</v>
      </c>
      <c r="AD60" s="240" t="str">
        <f t="shared" si="6"/>
        <v>OK</v>
      </c>
      <c r="AE60" s="240" t="str">
        <f t="shared" si="7"/>
        <v>OK</v>
      </c>
      <c r="AF60" s="240" t="str" cm="1">
        <f t="array" aca="1" ref="AF60" ca="1" xml:space="preserve">
IF(AND($G60&lt;&gt;"",$F60=""),"ERROR",
IF(OR($F60:$G60="",AND($G60="",$F60&lt;&gt;"")),"OK",
IF(COUNTIF(INDIRECT(IFERROR(LEFT($F60,FIND(" ",$F60)-1),$F60)), $G60)&gt;0, "OK", "ERROR")))</f>
        <v>OK</v>
      </c>
    </row>
    <row r="61" spans="1:32" s="240" customFormat="1">
      <c r="A61" s="48"/>
      <c r="B61" s="31"/>
      <c r="C61" s="48"/>
      <c r="D61" s="47"/>
      <c r="E61" s="47"/>
      <c r="F61" s="31"/>
      <c r="G61" s="31"/>
      <c r="H61" s="31"/>
      <c r="I61" s="47"/>
      <c r="J61" s="31"/>
      <c r="K61" s="47"/>
      <c r="L61" s="47"/>
      <c r="M61" s="47"/>
      <c r="N61" s="31"/>
      <c r="O61" s="47"/>
      <c r="P61" s="31"/>
      <c r="Q61" s="31"/>
      <c r="R61" s="31"/>
      <c r="S61" s="31"/>
      <c r="T61" s="270">
        <f t="shared" si="0"/>
        <v>0</v>
      </c>
      <c r="U61" s="270">
        <f t="shared" si="1"/>
        <v>0</v>
      </c>
      <c r="V61" s="31"/>
      <c r="X61" s="240" t="str">
        <f t="shared" si="2"/>
        <v>OK</v>
      </c>
      <c r="Y61" s="240" t="str">
        <f t="shared" si="3"/>
        <v>OK</v>
      </c>
      <c r="Z61" s="240" t="str">
        <f t="shared" si="4"/>
        <v>OK</v>
      </c>
      <c r="AA61" s="240" t="str" cm="1">
        <f t="array" ref="AA61">IF(OR(AND(J61="Not accepted",N61:O61&lt;&gt;"",$S61=""),AND(J61="Accepted",S61="")),"ERROR","OK")</f>
        <v>OK</v>
      </c>
      <c r="AB61" s="240" t="str">
        <f t="shared" si="5"/>
        <v>OK</v>
      </c>
      <c r="AC61" s="240" t="str" cm="1">
        <f t="array" ref="AC61">IF(AND(F61:H61&lt;&gt;"",I61=""),"ERROR","OK")</f>
        <v>OK</v>
      </c>
      <c r="AD61" s="240" t="str">
        <f t="shared" si="6"/>
        <v>OK</v>
      </c>
      <c r="AE61" s="240" t="str">
        <f t="shared" si="7"/>
        <v>OK</v>
      </c>
      <c r="AF61" s="240" t="str" cm="1">
        <f t="array" aca="1" ref="AF61" ca="1" xml:space="preserve">
IF(AND($G61&lt;&gt;"",$F61=""),"ERROR",
IF(OR($F61:$G61="",AND($G61="",$F61&lt;&gt;"")),"OK",
IF(COUNTIF(INDIRECT(IFERROR(LEFT($F61,FIND(" ",$F61)-1),$F61)), $G61)&gt;0, "OK", "ERROR")))</f>
        <v>OK</v>
      </c>
    </row>
    <row r="62" spans="1:32" s="240" customFormat="1">
      <c r="A62" s="48"/>
      <c r="B62" s="31"/>
      <c r="C62" s="48"/>
      <c r="D62" s="47"/>
      <c r="E62" s="47"/>
      <c r="F62" s="31"/>
      <c r="G62" s="31"/>
      <c r="H62" s="31"/>
      <c r="I62" s="47"/>
      <c r="J62" s="31"/>
      <c r="K62" s="47"/>
      <c r="L62" s="47"/>
      <c r="M62" s="47"/>
      <c r="N62" s="31"/>
      <c r="O62" s="47"/>
      <c r="P62" s="31"/>
      <c r="Q62" s="31"/>
      <c r="R62" s="31"/>
      <c r="S62" s="31"/>
      <c r="T62" s="270">
        <f t="shared" si="0"/>
        <v>0</v>
      </c>
      <c r="U62" s="270">
        <f t="shared" si="1"/>
        <v>0</v>
      </c>
      <c r="V62" s="31"/>
      <c r="X62" s="240" t="str">
        <f t="shared" si="2"/>
        <v>OK</v>
      </c>
      <c r="Y62" s="240" t="str">
        <f t="shared" si="3"/>
        <v>OK</v>
      </c>
      <c r="Z62" s="240" t="str">
        <f t="shared" si="4"/>
        <v>OK</v>
      </c>
      <c r="AA62" s="240" t="str" cm="1">
        <f t="array" ref="AA62">IF(OR(AND(J62="Not accepted",N62:O62&lt;&gt;"",$S62=""),AND(J62="Accepted",S62="")),"ERROR","OK")</f>
        <v>OK</v>
      </c>
      <c r="AB62" s="240" t="str">
        <f t="shared" si="5"/>
        <v>OK</v>
      </c>
      <c r="AC62" s="240" t="str" cm="1">
        <f t="array" ref="AC62">IF(AND(F62:H62&lt;&gt;"",I62=""),"ERROR","OK")</f>
        <v>OK</v>
      </c>
      <c r="AD62" s="240" t="str">
        <f t="shared" si="6"/>
        <v>OK</v>
      </c>
      <c r="AE62" s="240" t="str">
        <f t="shared" si="7"/>
        <v>OK</v>
      </c>
      <c r="AF62" s="240" t="str" cm="1">
        <f t="array" aca="1" ref="AF62" ca="1" xml:space="preserve">
IF(AND($G62&lt;&gt;"",$F62=""),"ERROR",
IF(OR($F62:$G62="",AND($G62="",$F62&lt;&gt;"")),"OK",
IF(COUNTIF(INDIRECT(IFERROR(LEFT($F62,FIND(" ",$F62)-1),$F62)), $G62)&gt;0, "OK", "ERROR")))</f>
        <v>OK</v>
      </c>
    </row>
    <row r="63" spans="1:32" s="240" customFormat="1">
      <c r="A63" s="48"/>
      <c r="B63" s="31"/>
      <c r="C63" s="48"/>
      <c r="D63" s="47"/>
      <c r="E63" s="47"/>
      <c r="F63" s="31"/>
      <c r="G63" s="31"/>
      <c r="H63" s="31"/>
      <c r="I63" s="47"/>
      <c r="J63" s="31"/>
      <c r="K63" s="47"/>
      <c r="L63" s="47"/>
      <c r="M63" s="47"/>
      <c r="N63" s="31"/>
      <c r="O63" s="47"/>
      <c r="P63" s="31"/>
      <c r="Q63" s="31"/>
      <c r="R63" s="31"/>
      <c r="S63" s="31"/>
      <c r="T63" s="270">
        <f t="shared" si="0"/>
        <v>0</v>
      </c>
      <c r="U63" s="270">
        <f t="shared" si="1"/>
        <v>0</v>
      </c>
      <c r="V63" s="31"/>
      <c r="X63" s="240" t="str">
        <f t="shared" si="2"/>
        <v>OK</v>
      </c>
      <c r="Y63" s="240" t="str">
        <f t="shared" si="3"/>
        <v>OK</v>
      </c>
      <c r="Z63" s="240" t="str">
        <f t="shared" si="4"/>
        <v>OK</v>
      </c>
      <c r="AA63" s="240" t="str" cm="1">
        <f t="array" ref="AA63">IF(OR(AND(J63="Not accepted",N63:O63&lt;&gt;"",$S63=""),AND(J63="Accepted",S63="")),"ERROR","OK")</f>
        <v>OK</v>
      </c>
      <c r="AB63" s="240" t="str">
        <f t="shared" si="5"/>
        <v>OK</v>
      </c>
      <c r="AC63" s="240" t="str" cm="1">
        <f t="array" ref="AC63">IF(AND(F63:H63&lt;&gt;"",I63=""),"ERROR","OK")</f>
        <v>OK</v>
      </c>
      <c r="AD63" s="240" t="str">
        <f t="shared" si="6"/>
        <v>OK</v>
      </c>
      <c r="AE63" s="240" t="str">
        <f t="shared" si="7"/>
        <v>OK</v>
      </c>
      <c r="AF63" s="240" t="str" cm="1">
        <f t="array" aca="1" ref="AF63" ca="1" xml:space="preserve">
IF(AND($G63&lt;&gt;"",$F63=""),"ERROR",
IF(OR($F63:$G63="",AND($G63="",$F63&lt;&gt;"")),"OK",
IF(COUNTIF(INDIRECT(IFERROR(LEFT($F63,FIND(" ",$F63)-1),$F63)), $G63)&gt;0, "OK", "ERROR")))</f>
        <v>OK</v>
      </c>
    </row>
    <row r="64" spans="1:32" s="240" customFormat="1">
      <c r="A64" s="48"/>
      <c r="B64" s="31"/>
      <c r="C64" s="48"/>
      <c r="D64" s="47"/>
      <c r="E64" s="47"/>
      <c r="F64" s="31"/>
      <c r="G64" s="31"/>
      <c r="H64" s="31"/>
      <c r="I64" s="47"/>
      <c r="J64" s="31"/>
      <c r="K64" s="47"/>
      <c r="L64" s="47"/>
      <c r="M64" s="47"/>
      <c r="N64" s="31"/>
      <c r="O64" s="47"/>
      <c r="P64" s="31"/>
      <c r="Q64" s="31"/>
      <c r="R64" s="31"/>
      <c r="S64" s="31"/>
      <c r="T64" s="270">
        <f t="shared" si="0"/>
        <v>0</v>
      </c>
      <c r="U64" s="270">
        <f t="shared" si="1"/>
        <v>0</v>
      </c>
      <c r="V64" s="31"/>
      <c r="X64" s="240" t="str">
        <f t="shared" si="2"/>
        <v>OK</v>
      </c>
      <c r="Y64" s="240" t="str">
        <f t="shared" si="3"/>
        <v>OK</v>
      </c>
      <c r="Z64" s="240" t="str">
        <f t="shared" si="4"/>
        <v>OK</v>
      </c>
      <c r="AA64" s="240" t="str" cm="1">
        <f t="array" ref="AA64">IF(OR(AND(J64="Not accepted",N64:O64&lt;&gt;"",$S64=""),AND(J64="Accepted",S64="")),"ERROR","OK")</f>
        <v>OK</v>
      </c>
      <c r="AB64" s="240" t="str">
        <f t="shared" si="5"/>
        <v>OK</v>
      </c>
      <c r="AC64" s="240" t="str" cm="1">
        <f t="array" ref="AC64">IF(AND(F64:H64&lt;&gt;"",I64=""),"ERROR","OK")</f>
        <v>OK</v>
      </c>
      <c r="AD64" s="240" t="str">
        <f t="shared" si="6"/>
        <v>OK</v>
      </c>
      <c r="AE64" s="240" t="str">
        <f t="shared" si="7"/>
        <v>OK</v>
      </c>
      <c r="AF64" s="240" t="str" cm="1">
        <f t="array" aca="1" ref="AF64" ca="1" xml:space="preserve">
IF(AND($G64&lt;&gt;"",$F64=""),"ERROR",
IF(OR($F64:$G64="",AND($G64="",$F64&lt;&gt;"")),"OK",
IF(COUNTIF(INDIRECT(IFERROR(LEFT($F64,FIND(" ",$F64)-1),$F64)), $G64)&gt;0, "OK", "ERROR")))</f>
        <v>OK</v>
      </c>
    </row>
    <row r="65" spans="1:32" s="240" customFormat="1">
      <c r="A65" s="48"/>
      <c r="B65" s="31"/>
      <c r="C65" s="48"/>
      <c r="D65" s="47"/>
      <c r="E65" s="47"/>
      <c r="F65" s="31"/>
      <c r="G65" s="31"/>
      <c r="H65" s="31"/>
      <c r="I65" s="47"/>
      <c r="J65" s="31"/>
      <c r="K65" s="47"/>
      <c r="L65" s="47"/>
      <c r="M65" s="47"/>
      <c r="N65" s="31"/>
      <c r="O65" s="47"/>
      <c r="P65" s="31"/>
      <c r="Q65" s="31"/>
      <c r="R65" s="31"/>
      <c r="S65" s="31"/>
      <c r="T65" s="270">
        <f t="shared" si="0"/>
        <v>0</v>
      </c>
      <c r="U65" s="270">
        <f t="shared" si="1"/>
        <v>0</v>
      </c>
      <c r="V65" s="31"/>
      <c r="X65" s="240" t="str">
        <f t="shared" si="2"/>
        <v>OK</v>
      </c>
      <c r="Y65" s="240" t="str">
        <f t="shared" si="3"/>
        <v>OK</v>
      </c>
      <c r="Z65" s="240" t="str">
        <f t="shared" si="4"/>
        <v>OK</v>
      </c>
      <c r="AA65" s="240" t="str" cm="1">
        <f t="array" ref="AA65">IF(OR(AND(J65="Not accepted",N65:O65&lt;&gt;"",$S65=""),AND(J65="Accepted",S65="")),"ERROR","OK")</f>
        <v>OK</v>
      </c>
      <c r="AB65" s="240" t="str">
        <f t="shared" si="5"/>
        <v>OK</v>
      </c>
      <c r="AC65" s="240" t="str" cm="1">
        <f t="array" ref="AC65">IF(AND(F65:H65&lt;&gt;"",I65=""),"ERROR","OK")</f>
        <v>OK</v>
      </c>
      <c r="AD65" s="240" t="str">
        <f t="shared" si="6"/>
        <v>OK</v>
      </c>
      <c r="AE65" s="240" t="str">
        <f t="shared" si="7"/>
        <v>OK</v>
      </c>
      <c r="AF65" s="240" t="str" cm="1">
        <f t="array" aca="1" ref="AF65" ca="1" xml:space="preserve">
IF(AND($G65&lt;&gt;"",$F65=""),"ERROR",
IF(OR($F65:$G65="",AND($G65="",$F65&lt;&gt;"")),"OK",
IF(COUNTIF(INDIRECT(IFERROR(LEFT($F65,FIND(" ",$F65)-1),$F65)), $G65)&gt;0, "OK", "ERROR")))</f>
        <v>OK</v>
      </c>
    </row>
    <row r="66" spans="1:32" s="240" customFormat="1">
      <c r="A66" s="48"/>
      <c r="B66" s="31"/>
      <c r="C66" s="48"/>
      <c r="D66" s="47"/>
      <c r="E66" s="47"/>
      <c r="F66" s="31"/>
      <c r="G66" s="31"/>
      <c r="H66" s="31"/>
      <c r="I66" s="47"/>
      <c r="J66" s="31"/>
      <c r="K66" s="47"/>
      <c r="L66" s="47"/>
      <c r="M66" s="47"/>
      <c r="N66" s="31"/>
      <c r="O66" s="47"/>
      <c r="P66" s="31"/>
      <c r="Q66" s="31"/>
      <c r="R66" s="31"/>
      <c r="S66" s="31"/>
      <c r="T66" s="270">
        <f t="shared" si="0"/>
        <v>0</v>
      </c>
      <c r="U66" s="270">
        <f t="shared" si="1"/>
        <v>0</v>
      </c>
      <c r="V66" s="31"/>
      <c r="X66" s="240" t="str">
        <f t="shared" si="2"/>
        <v>OK</v>
      </c>
      <c r="Y66" s="240" t="str">
        <f t="shared" si="3"/>
        <v>OK</v>
      </c>
      <c r="Z66" s="240" t="str">
        <f t="shared" si="4"/>
        <v>OK</v>
      </c>
      <c r="AA66" s="240" t="str" cm="1">
        <f t="array" ref="AA66">IF(OR(AND(J66="Not accepted",N66:O66&lt;&gt;"",$S66=""),AND(J66="Accepted",S66="")),"ERROR","OK")</f>
        <v>OK</v>
      </c>
      <c r="AB66" s="240" t="str">
        <f t="shared" si="5"/>
        <v>OK</v>
      </c>
      <c r="AC66" s="240" t="str" cm="1">
        <f t="array" ref="AC66">IF(AND(F66:H66&lt;&gt;"",I66=""),"ERROR","OK")</f>
        <v>OK</v>
      </c>
      <c r="AD66" s="240" t="str">
        <f t="shared" si="6"/>
        <v>OK</v>
      </c>
      <c r="AE66" s="240" t="str">
        <f t="shared" si="7"/>
        <v>OK</v>
      </c>
      <c r="AF66" s="240" t="str" cm="1">
        <f t="array" aca="1" ref="AF66" ca="1" xml:space="preserve">
IF(AND($G66&lt;&gt;"",$F66=""),"ERROR",
IF(OR($F66:$G66="",AND($G66="",$F66&lt;&gt;"")),"OK",
IF(COUNTIF(INDIRECT(IFERROR(LEFT($F66,FIND(" ",$F66)-1),$F66)), $G66)&gt;0, "OK", "ERROR")))</f>
        <v>OK</v>
      </c>
    </row>
    <row r="67" spans="1:32" s="240" customFormat="1">
      <c r="A67" s="48"/>
      <c r="B67" s="31"/>
      <c r="C67" s="48"/>
      <c r="D67" s="47"/>
      <c r="E67" s="47"/>
      <c r="F67" s="31"/>
      <c r="G67" s="31"/>
      <c r="H67" s="31"/>
      <c r="I67" s="47"/>
      <c r="J67" s="31"/>
      <c r="K67" s="47"/>
      <c r="L67" s="47"/>
      <c r="M67" s="47"/>
      <c r="N67" s="31"/>
      <c r="O67" s="47"/>
      <c r="P67" s="31"/>
      <c r="Q67" s="31"/>
      <c r="R67" s="31"/>
      <c r="S67" s="31"/>
      <c r="T67" s="270">
        <f t="shared" si="0"/>
        <v>0</v>
      </c>
      <c r="U67" s="270">
        <f t="shared" si="1"/>
        <v>0</v>
      </c>
      <c r="V67" s="31"/>
      <c r="X67" s="240" t="str">
        <f t="shared" si="2"/>
        <v>OK</v>
      </c>
      <c r="Y67" s="240" t="str">
        <f t="shared" si="3"/>
        <v>OK</v>
      </c>
      <c r="Z67" s="240" t="str">
        <f t="shared" si="4"/>
        <v>OK</v>
      </c>
      <c r="AA67" s="240" t="str" cm="1">
        <f t="array" ref="AA67">IF(OR(AND(J67="Not accepted",N67:O67&lt;&gt;"",$S67=""),AND(J67="Accepted",S67="")),"ERROR","OK")</f>
        <v>OK</v>
      </c>
      <c r="AB67" s="240" t="str">
        <f t="shared" si="5"/>
        <v>OK</v>
      </c>
      <c r="AC67" s="240" t="str" cm="1">
        <f t="array" ref="AC67">IF(AND(F67:H67&lt;&gt;"",I67=""),"ERROR","OK")</f>
        <v>OK</v>
      </c>
      <c r="AD67" s="240" t="str">
        <f t="shared" si="6"/>
        <v>OK</v>
      </c>
      <c r="AE67" s="240" t="str">
        <f t="shared" si="7"/>
        <v>OK</v>
      </c>
      <c r="AF67" s="240" t="str" cm="1">
        <f t="array" aca="1" ref="AF67" ca="1" xml:space="preserve">
IF(AND($G67&lt;&gt;"",$F67=""),"ERROR",
IF(OR($F67:$G67="",AND($G67="",$F67&lt;&gt;"")),"OK",
IF(COUNTIF(INDIRECT(IFERROR(LEFT($F67,FIND(" ",$F67)-1),$F67)), $G67)&gt;0, "OK", "ERROR")))</f>
        <v>OK</v>
      </c>
    </row>
    <row r="68" spans="1:32" s="240" customFormat="1">
      <c r="A68" s="48"/>
      <c r="B68" s="31"/>
      <c r="C68" s="48"/>
      <c r="D68" s="47"/>
      <c r="E68" s="47"/>
      <c r="F68" s="31"/>
      <c r="G68" s="31"/>
      <c r="H68" s="31"/>
      <c r="I68" s="47"/>
      <c r="J68" s="31"/>
      <c r="K68" s="47"/>
      <c r="L68" s="47"/>
      <c r="M68" s="47"/>
      <c r="N68" s="31"/>
      <c r="O68" s="47"/>
      <c r="P68" s="31"/>
      <c r="Q68" s="31"/>
      <c r="R68" s="31"/>
      <c r="S68" s="31"/>
      <c r="T68" s="270">
        <f t="shared" si="0"/>
        <v>0</v>
      </c>
      <c r="U68" s="270">
        <f t="shared" si="1"/>
        <v>0</v>
      </c>
      <c r="V68" s="31"/>
      <c r="X68" s="240" t="str">
        <f t="shared" si="2"/>
        <v>OK</v>
      </c>
      <c r="Y68" s="240" t="str">
        <f t="shared" si="3"/>
        <v>OK</v>
      </c>
      <c r="Z68" s="240" t="str">
        <f t="shared" si="4"/>
        <v>OK</v>
      </c>
      <c r="AA68" s="240" t="str" cm="1">
        <f t="array" ref="AA68">IF(OR(AND(J68="Not accepted",N68:O68&lt;&gt;"",$S68=""),AND(J68="Accepted",S68="")),"ERROR","OK")</f>
        <v>OK</v>
      </c>
      <c r="AB68" s="240" t="str">
        <f t="shared" si="5"/>
        <v>OK</v>
      </c>
      <c r="AC68" s="240" t="str" cm="1">
        <f t="array" ref="AC68">IF(AND(F68:H68&lt;&gt;"",I68=""),"ERROR","OK")</f>
        <v>OK</v>
      </c>
      <c r="AD68" s="240" t="str">
        <f t="shared" si="6"/>
        <v>OK</v>
      </c>
      <c r="AE68" s="240" t="str">
        <f t="shared" si="7"/>
        <v>OK</v>
      </c>
      <c r="AF68" s="240" t="str" cm="1">
        <f t="array" aca="1" ref="AF68" ca="1" xml:space="preserve">
IF(AND($G68&lt;&gt;"",$F68=""),"ERROR",
IF(OR($F68:$G68="",AND($G68="",$F68&lt;&gt;"")),"OK",
IF(COUNTIF(INDIRECT(IFERROR(LEFT($F68,FIND(" ",$F68)-1),$F68)), $G68)&gt;0, "OK", "ERROR")))</f>
        <v>OK</v>
      </c>
    </row>
    <row r="69" spans="1:32" s="240" customFormat="1">
      <c r="A69" s="48"/>
      <c r="B69" s="31"/>
      <c r="C69" s="48"/>
      <c r="D69" s="47"/>
      <c r="E69" s="47"/>
      <c r="F69" s="31"/>
      <c r="G69" s="31"/>
      <c r="H69" s="31"/>
      <c r="I69" s="47"/>
      <c r="J69" s="31"/>
      <c r="K69" s="47"/>
      <c r="L69" s="47"/>
      <c r="M69" s="47"/>
      <c r="N69" s="31"/>
      <c r="O69" s="47"/>
      <c r="P69" s="31"/>
      <c r="Q69" s="31"/>
      <c r="R69" s="31"/>
      <c r="S69" s="31"/>
      <c r="T69" s="270">
        <f t="shared" ref="T69:T132" si="8">IF(OR($J69="Accepted",ISBLANK($J69)),IF(AND($G69="Legacy Data",$Q69="Legacy Data"),1,IF(OR($G69="Legacy Data",$Q69="Legacy Data"),1,0)),IF(OR($N69="Agree with original translator",ISBLANK($N69)),IF(AND($G69="Source Text Data",$Q69="Legacy Data"),1,IF(AND($G69="Legacy Data",$Q69="Legacy Data"),1,IF($Q69="Legacy Data",1,0))),IF(AND($G69="Legacy Data",$Q69="Legacy Data"),1,IF(OR($Q69="Legacy Data",ISBLANK($Q69)),IF($G69&lt;&gt;"Legacy Data",IF(AND($G69="Source Text Data",$Q69="Legacy Data"),1,0),1),0))))</f>
        <v>0</v>
      </c>
      <c r="U69" s="270">
        <f t="shared" ref="U69:U132" si="9">IF(OR($J69="Accepted",ISBLANK($J69)),IF(AND($G69="Source Text Data",$Q69="Source Text Data"),1,IF(OR($G69="Source Text Data",$Q69="Source Text Data"),1,0)),IF(OR($N69="Agree with original translator",ISBLANK($N69)),IF(AND($G69="Legacy Data",$Q69="Source Text Data"),1,IF(AND($G69="Source Text Data",$Q69="Source Text Data"),1,IF($Q69="Source Text Data",1,0))),IF(AND($G69="Source Text Data",$Q69="Source Text Data"),1,IF(OR($Q69="Source Text Data",ISBLANK($Q69)),IF($G69&lt;&gt;"Source Text Data",IF(AND($G69="Legacy Data",$Q69="Source Text Data"),1,0),1),0))))</f>
        <v>0</v>
      </c>
      <c r="V69" s="31"/>
      <c r="X69" s="240" t="str">
        <f t="shared" ref="X69:X132" si="10">IF(AND(COUNTBLANK($F69:$H69)&lt;&gt;COLUMNS($F69:$H69),COUNTA($F69:$H69)&lt;&gt;COLUMNS($F69:$H69)),"ERROR","OK")</f>
        <v>OK</v>
      </c>
      <c r="Y69" s="240" t="str">
        <f t="shared" ref="Y69:Y132" si="11">IF(AND($J69="Not accepted",$K69=""),"ERROR","OK")</f>
        <v>OK</v>
      </c>
      <c r="Z69" s="240" t="str">
        <f t="shared" ref="Z69:Z132" si="12">IF(AND($F69&lt;&gt;"",$J69=""),"ERROR","OK")</f>
        <v>OK</v>
      </c>
      <c r="AA69" s="240" t="str" cm="1">
        <f t="array" ref="AA69">IF(OR(AND(J69="Not accepted",N69:O69&lt;&gt;"",$S69=""),AND(J69="Accepted",S69="")),"ERROR","OK")</f>
        <v>OK</v>
      </c>
      <c r="AB69" s="240" t="str">
        <f t="shared" ref="AB69:AB132" si="13">IF(AND($S69="Not Implemented",$V69=""),"ERROR","OK")</f>
        <v>OK</v>
      </c>
      <c r="AC69" s="240" t="str" cm="1">
        <f t="array" ref="AC69">IF(AND(F69:H69&lt;&gt;"",I69=""),"ERROR","OK")</f>
        <v>OK</v>
      </c>
      <c r="AD69" s="240" t="str">
        <f t="shared" ref="AD69:AD132" si="14">IF(AND($N69="",$J69="Not accepted",$K69&lt;&gt;""),"ERROR","OK")</f>
        <v>OK</v>
      </c>
      <c r="AE69" s="240" t="str">
        <f t="shared" ref="AE69:AE132" si="15">IF(AND($O69="",$N69&lt;&gt;""),"ERROR","OK")</f>
        <v>OK</v>
      </c>
      <c r="AF69" s="240" t="str" cm="1">
        <f t="array" aca="1" ref="AF69" ca="1" xml:space="preserve">
IF(AND($G69&lt;&gt;"",$F69=""),"ERROR",
IF(OR($F69:$G69="",AND($G69="",$F69&lt;&gt;"")),"OK",
IF(COUNTIF(INDIRECT(IFERROR(LEFT($F69,FIND(" ",$F69)-1),$F69)), $G69)&gt;0, "OK", "ERROR")))</f>
        <v>OK</v>
      </c>
    </row>
    <row r="70" spans="1:32" s="240" customFormat="1">
      <c r="A70" s="48"/>
      <c r="B70" s="31"/>
      <c r="C70" s="48"/>
      <c r="D70" s="47"/>
      <c r="E70" s="47"/>
      <c r="F70" s="31"/>
      <c r="G70" s="31"/>
      <c r="H70" s="31"/>
      <c r="I70" s="47"/>
      <c r="J70" s="31"/>
      <c r="K70" s="47"/>
      <c r="L70" s="47"/>
      <c r="M70" s="47"/>
      <c r="N70" s="31"/>
      <c r="O70" s="47"/>
      <c r="P70" s="31"/>
      <c r="Q70" s="31"/>
      <c r="R70" s="31"/>
      <c r="S70" s="31"/>
      <c r="T70" s="270">
        <f t="shared" si="8"/>
        <v>0</v>
      </c>
      <c r="U70" s="270">
        <f t="shared" si="9"/>
        <v>0</v>
      </c>
      <c r="V70" s="31"/>
      <c r="X70" s="240" t="str">
        <f t="shared" si="10"/>
        <v>OK</v>
      </c>
      <c r="Y70" s="240" t="str">
        <f t="shared" si="11"/>
        <v>OK</v>
      </c>
      <c r="Z70" s="240" t="str">
        <f t="shared" si="12"/>
        <v>OK</v>
      </c>
      <c r="AA70" s="240" t="str" cm="1">
        <f t="array" ref="AA70">IF(OR(AND(J70="Not accepted",N70:O70&lt;&gt;"",$S70=""),AND(J70="Accepted",S70="")),"ERROR","OK")</f>
        <v>OK</v>
      </c>
      <c r="AB70" s="240" t="str">
        <f t="shared" si="13"/>
        <v>OK</v>
      </c>
      <c r="AC70" s="240" t="str" cm="1">
        <f t="array" ref="AC70">IF(AND(F70:H70&lt;&gt;"",I70=""),"ERROR","OK")</f>
        <v>OK</v>
      </c>
      <c r="AD70" s="240" t="str">
        <f t="shared" si="14"/>
        <v>OK</v>
      </c>
      <c r="AE70" s="240" t="str">
        <f t="shared" si="15"/>
        <v>OK</v>
      </c>
      <c r="AF70" s="240" t="str" cm="1">
        <f t="array" aca="1" ref="AF70" ca="1" xml:space="preserve">
IF(AND($G70&lt;&gt;"",$F70=""),"ERROR",
IF(OR($F70:$G70="",AND($G70="",$F70&lt;&gt;"")),"OK",
IF(COUNTIF(INDIRECT(IFERROR(LEFT($F70,FIND(" ",$F70)-1),$F70)), $G70)&gt;0, "OK", "ERROR")))</f>
        <v>OK</v>
      </c>
    </row>
    <row r="71" spans="1:32" s="240" customFormat="1">
      <c r="A71" s="48"/>
      <c r="B71" s="31"/>
      <c r="C71" s="48"/>
      <c r="D71" s="47"/>
      <c r="E71" s="47"/>
      <c r="F71" s="31"/>
      <c r="G71" s="31"/>
      <c r="H71" s="31"/>
      <c r="I71" s="47"/>
      <c r="J71" s="31"/>
      <c r="K71" s="47"/>
      <c r="L71" s="47"/>
      <c r="M71" s="47"/>
      <c r="N71" s="31"/>
      <c r="O71" s="47"/>
      <c r="P71" s="31"/>
      <c r="Q71" s="31"/>
      <c r="R71" s="31"/>
      <c r="S71" s="31"/>
      <c r="T71" s="270">
        <f t="shared" si="8"/>
        <v>0</v>
      </c>
      <c r="U71" s="270">
        <f t="shared" si="9"/>
        <v>0</v>
      </c>
      <c r="V71" s="31"/>
      <c r="X71" s="240" t="str">
        <f t="shared" si="10"/>
        <v>OK</v>
      </c>
      <c r="Y71" s="240" t="str">
        <f t="shared" si="11"/>
        <v>OK</v>
      </c>
      <c r="Z71" s="240" t="str">
        <f t="shared" si="12"/>
        <v>OK</v>
      </c>
      <c r="AA71" s="240" t="str" cm="1">
        <f t="array" ref="AA71">IF(OR(AND(J71="Not accepted",N71:O71&lt;&gt;"",$S71=""),AND(J71="Accepted",S71="")),"ERROR","OK")</f>
        <v>OK</v>
      </c>
      <c r="AB71" s="240" t="str">
        <f t="shared" si="13"/>
        <v>OK</v>
      </c>
      <c r="AC71" s="240" t="str" cm="1">
        <f t="array" ref="AC71">IF(AND(F71:H71&lt;&gt;"",I71=""),"ERROR","OK")</f>
        <v>OK</v>
      </c>
      <c r="AD71" s="240" t="str">
        <f t="shared" si="14"/>
        <v>OK</v>
      </c>
      <c r="AE71" s="240" t="str">
        <f t="shared" si="15"/>
        <v>OK</v>
      </c>
      <c r="AF71" s="240" t="str" cm="1">
        <f t="array" aca="1" ref="AF71" ca="1" xml:space="preserve">
IF(AND($G71&lt;&gt;"",$F71=""),"ERROR",
IF(OR($F71:$G71="",AND($G71="",$F71&lt;&gt;"")),"OK",
IF(COUNTIF(INDIRECT(IFERROR(LEFT($F71,FIND(" ",$F71)-1),$F71)), $G71)&gt;0, "OK", "ERROR")))</f>
        <v>OK</v>
      </c>
    </row>
    <row r="72" spans="1:32" s="240" customFormat="1">
      <c r="A72" s="48"/>
      <c r="B72" s="31"/>
      <c r="C72" s="48"/>
      <c r="D72" s="47"/>
      <c r="E72" s="47"/>
      <c r="F72" s="31"/>
      <c r="G72" s="31"/>
      <c r="H72" s="31"/>
      <c r="I72" s="47"/>
      <c r="J72" s="31"/>
      <c r="K72" s="47"/>
      <c r="L72" s="47"/>
      <c r="M72" s="47"/>
      <c r="N72" s="31"/>
      <c r="O72" s="47"/>
      <c r="P72" s="31"/>
      <c r="Q72" s="31"/>
      <c r="R72" s="31"/>
      <c r="S72" s="31"/>
      <c r="T72" s="270">
        <f t="shared" si="8"/>
        <v>0</v>
      </c>
      <c r="U72" s="270">
        <f t="shared" si="9"/>
        <v>0</v>
      </c>
      <c r="V72" s="31"/>
      <c r="X72" s="240" t="str">
        <f t="shared" si="10"/>
        <v>OK</v>
      </c>
      <c r="Y72" s="240" t="str">
        <f t="shared" si="11"/>
        <v>OK</v>
      </c>
      <c r="Z72" s="240" t="str">
        <f t="shared" si="12"/>
        <v>OK</v>
      </c>
      <c r="AA72" s="240" t="str" cm="1">
        <f t="array" ref="AA72">IF(OR(AND(J72="Not accepted",N72:O72&lt;&gt;"",$S72=""),AND(J72="Accepted",S72="")),"ERROR","OK")</f>
        <v>OK</v>
      </c>
      <c r="AB72" s="240" t="str">
        <f t="shared" si="13"/>
        <v>OK</v>
      </c>
      <c r="AC72" s="240" t="str" cm="1">
        <f t="array" ref="AC72">IF(AND(F72:H72&lt;&gt;"",I72=""),"ERROR","OK")</f>
        <v>OK</v>
      </c>
      <c r="AD72" s="240" t="str">
        <f t="shared" si="14"/>
        <v>OK</v>
      </c>
      <c r="AE72" s="240" t="str">
        <f t="shared" si="15"/>
        <v>OK</v>
      </c>
      <c r="AF72" s="240" t="str" cm="1">
        <f t="array" aca="1" ref="AF72" ca="1" xml:space="preserve">
IF(AND($G72&lt;&gt;"",$F72=""),"ERROR",
IF(OR($F72:$G72="",AND($G72="",$F72&lt;&gt;"")),"OK",
IF(COUNTIF(INDIRECT(IFERROR(LEFT($F72,FIND(" ",$F72)-1),$F72)), $G72)&gt;0, "OK", "ERROR")))</f>
        <v>OK</v>
      </c>
    </row>
    <row r="73" spans="1:32" s="240" customFormat="1">
      <c r="A73" s="48"/>
      <c r="B73" s="31"/>
      <c r="C73" s="48"/>
      <c r="D73" s="47"/>
      <c r="E73" s="47"/>
      <c r="F73" s="31"/>
      <c r="G73" s="31"/>
      <c r="H73" s="31"/>
      <c r="I73" s="47"/>
      <c r="J73" s="31"/>
      <c r="K73" s="47"/>
      <c r="L73" s="47"/>
      <c r="M73" s="47"/>
      <c r="N73" s="31"/>
      <c r="O73" s="47"/>
      <c r="P73" s="31"/>
      <c r="Q73" s="31"/>
      <c r="R73" s="31"/>
      <c r="S73" s="31"/>
      <c r="T73" s="270">
        <f t="shared" si="8"/>
        <v>0</v>
      </c>
      <c r="U73" s="270">
        <f t="shared" si="9"/>
        <v>0</v>
      </c>
      <c r="V73" s="31"/>
      <c r="X73" s="240" t="str">
        <f t="shared" si="10"/>
        <v>OK</v>
      </c>
      <c r="Y73" s="240" t="str">
        <f t="shared" si="11"/>
        <v>OK</v>
      </c>
      <c r="Z73" s="240" t="str">
        <f t="shared" si="12"/>
        <v>OK</v>
      </c>
      <c r="AA73" s="240" t="str" cm="1">
        <f t="array" ref="AA73">IF(OR(AND(J73="Not accepted",N73:O73&lt;&gt;"",$S73=""),AND(J73="Accepted",S73="")),"ERROR","OK")</f>
        <v>OK</v>
      </c>
      <c r="AB73" s="240" t="str">
        <f t="shared" si="13"/>
        <v>OK</v>
      </c>
      <c r="AC73" s="240" t="str" cm="1">
        <f t="array" ref="AC73">IF(AND(F73:H73&lt;&gt;"",I73=""),"ERROR","OK")</f>
        <v>OK</v>
      </c>
      <c r="AD73" s="240" t="str">
        <f t="shared" si="14"/>
        <v>OK</v>
      </c>
      <c r="AE73" s="240" t="str">
        <f t="shared" si="15"/>
        <v>OK</v>
      </c>
      <c r="AF73" s="240" t="str" cm="1">
        <f t="array" aca="1" ref="AF73" ca="1" xml:space="preserve">
IF(AND($G73&lt;&gt;"",$F73=""),"ERROR",
IF(OR($F73:$G73="",AND($G73="",$F73&lt;&gt;"")),"OK",
IF(COUNTIF(INDIRECT(IFERROR(LEFT($F73,FIND(" ",$F73)-1),$F73)), $G73)&gt;0, "OK", "ERROR")))</f>
        <v>OK</v>
      </c>
    </row>
    <row r="74" spans="1:32" s="240" customFormat="1">
      <c r="A74" s="48"/>
      <c r="B74" s="31"/>
      <c r="C74" s="48"/>
      <c r="D74" s="47"/>
      <c r="E74" s="47"/>
      <c r="F74" s="31"/>
      <c r="G74" s="31"/>
      <c r="H74" s="31"/>
      <c r="I74" s="47"/>
      <c r="J74" s="31"/>
      <c r="K74" s="47"/>
      <c r="L74" s="47"/>
      <c r="M74" s="47"/>
      <c r="N74" s="31"/>
      <c r="O74" s="47"/>
      <c r="P74" s="31"/>
      <c r="Q74" s="31"/>
      <c r="R74" s="31"/>
      <c r="S74" s="31"/>
      <c r="T74" s="270">
        <f t="shared" si="8"/>
        <v>0</v>
      </c>
      <c r="U74" s="270">
        <f t="shared" si="9"/>
        <v>0</v>
      </c>
      <c r="V74" s="31"/>
      <c r="X74" s="240" t="str">
        <f t="shared" si="10"/>
        <v>OK</v>
      </c>
      <c r="Y74" s="240" t="str">
        <f t="shared" si="11"/>
        <v>OK</v>
      </c>
      <c r="Z74" s="240" t="str">
        <f t="shared" si="12"/>
        <v>OK</v>
      </c>
      <c r="AA74" s="240" t="str" cm="1">
        <f t="array" ref="AA74">IF(OR(AND(J74="Not accepted",N74:O74&lt;&gt;"",$S74=""),AND(J74="Accepted",S74="")),"ERROR","OK")</f>
        <v>OK</v>
      </c>
      <c r="AB74" s="240" t="str">
        <f t="shared" si="13"/>
        <v>OK</v>
      </c>
      <c r="AC74" s="240" t="str" cm="1">
        <f t="array" ref="AC74">IF(AND(F74:H74&lt;&gt;"",I74=""),"ERROR","OK")</f>
        <v>OK</v>
      </c>
      <c r="AD74" s="240" t="str">
        <f t="shared" si="14"/>
        <v>OK</v>
      </c>
      <c r="AE74" s="240" t="str">
        <f t="shared" si="15"/>
        <v>OK</v>
      </c>
      <c r="AF74" s="240" t="str" cm="1">
        <f t="array" aca="1" ref="AF74" ca="1" xml:space="preserve">
IF(AND($G74&lt;&gt;"",$F74=""),"ERROR",
IF(OR($F74:$G74="",AND($G74="",$F74&lt;&gt;"")),"OK",
IF(COUNTIF(INDIRECT(IFERROR(LEFT($F74,FIND(" ",$F74)-1),$F74)), $G74)&gt;0, "OK", "ERROR")))</f>
        <v>OK</v>
      </c>
    </row>
    <row r="75" spans="1:32" s="240" customFormat="1">
      <c r="A75" s="48"/>
      <c r="B75" s="31"/>
      <c r="C75" s="48"/>
      <c r="D75" s="47"/>
      <c r="E75" s="47"/>
      <c r="F75" s="31"/>
      <c r="G75" s="31"/>
      <c r="H75" s="31"/>
      <c r="I75" s="47"/>
      <c r="J75" s="31"/>
      <c r="K75" s="47"/>
      <c r="L75" s="47"/>
      <c r="M75" s="47"/>
      <c r="N75" s="31"/>
      <c r="O75" s="47"/>
      <c r="P75" s="31"/>
      <c r="Q75" s="31"/>
      <c r="R75" s="31"/>
      <c r="S75" s="31"/>
      <c r="T75" s="270">
        <f t="shared" si="8"/>
        <v>0</v>
      </c>
      <c r="U75" s="270">
        <f t="shared" si="9"/>
        <v>0</v>
      </c>
      <c r="V75" s="31"/>
      <c r="X75" s="240" t="str">
        <f t="shared" si="10"/>
        <v>OK</v>
      </c>
      <c r="Y75" s="240" t="str">
        <f t="shared" si="11"/>
        <v>OK</v>
      </c>
      <c r="Z75" s="240" t="str">
        <f t="shared" si="12"/>
        <v>OK</v>
      </c>
      <c r="AA75" s="240" t="str" cm="1">
        <f t="array" ref="AA75">IF(OR(AND(J75="Not accepted",N75:O75&lt;&gt;"",$S75=""),AND(J75="Accepted",S75="")),"ERROR","OK")</f>
        <v>OK</v>
      </c>
      <c r="AB75" s="240" t="str">
        <f t="shared" si="13"/>
        <v>OK</v>
      </c>
      <c r="AC75" s="240" t="str" cm="1">
        <f t="array" ref="AC75">IF(AND(F75:H75&lt;&gt;"",I75=""),"ERROR","OK")</f>
        <v>OK</v>
      </c>
      <c r="AD75" s="240" t="str">
        <f t="shared" si="14"/>
        <v>OK</v>
      </c>
      <c r="AE75" s="240" t="str">
        <f t="shared" si="15"/>
        <v>OK</v>
      </c>
      <c r="AF75" s="240" t="str" cm="1">
        <f t="array" aca="1" ref="AF75" ca="1" xml:space="preserve">
IF(AND($G75&lt;&gt;"",$F75=""),"ERROR",
IF(OR($F75:$G75="",AND($G75="",$F75&lt;&gt;"")),"OK",
IF(COUNTIF(INDIRECT(IFERROR(LEFT($F75,FIND(" ",$F75)-1),$F75)), $G75)&gt;0, "OK", "ERROR")))</f>
        <v>OK</v>
      </c>
    </row>
    <row r="76" spans="1:32" s="240" customFormat="1">
      <c r="A76" s="48"/>
      <c r="B76" s="31"/>
      <c r="C76" s="48"/>
      <c r="D76" s="47"/>
      <c r="E76" s="47"/>
      <c r="F76" s="31"/>
      <c r="G76" s="31"/>
      <c r="H76" s="31"/>
      <c r="I76" s="47"/>
      <c r="J76" s="31"/>
      <c r="K76" s="47"/>
      <c r="L76" s="47"/>
      <c r="M76" s="47"/>
      <c r="N76" s="31"/>
      <c r="O76" s="47"/>
      <c r="P76" s="31"/>
      <c r="Q76" s="31"/>
      <c r="R76" s="31"/>
      <c r="S76" s="31"/>
      <c r="T76" s="270">
        <f t="shared" si="8"/>
        <v>0</v>
      </c>
      <c r="U76" s="270">
        <f t="shared" si="9"/>
        <v>0</v>
      </c>
      <c r="V76" s="31"/>
      <c r="X76" s="240" t="str">
        <f t="shared" si="10"/>
        <v>OK</v>
      </c>
      <c r="Y76" s="240" t="str">
        <f t="shared" si="11"/>
        <v>OK</v>
      </c>
      <c r="Z76" s="240" t="str">
        <f t="shared" si="12"/>
        <v>OK</v>
      </c>
      <c r="AA76" s="240" t="str" cm="1">
        <f t="array" ref="AA76">IF(OR(AND(J76="Not accepted",N76:O76&lt;&gt;"",$S76=""),AND(J76="Accepted",S76="")),"ERROR","OK")</f>
        <v>OK</v>
      </c>
      <c r="AB76" s="240" t="str">
        <f t="shared" si="13"/>
        <v>OK</v>
      </c>
      <c r="AC76" s="240" t="str" cm="1">
        <f t="array" ref="AC76">IF(AND(F76:H76&lt;&gt;"",I76=""),"ERROR","OK")</f>
        <v>OK</v>
      </c>
      <c r="AD76" s="240" t="str">
        <f t="shared" si="14"/>
        <v>OK</v>
      </c>
      <c r="AE76" s="240" t="str">
        <f t="shared" si="15"/>
        <v>OK</v>
      </c>
      <c r="AF76" s="240" t="str" cm="1">
        <f t="array" aca="1" ref="AF76" ca="1" xml:space="preserve">
IF(AND($G76&lt;&gt;"",$F76=""),"ERROR",
IF(OR($F76:$G76="",AND($G76="",$F76&lt;&gt;"")),"OK",
IF(COUNTIF(INDIRECT(IFERROR(LEFT($F76,FIND(" ",$F76)-1),$F76)), $G76)&gt;0, "OK", "ERROR")))</f>
        <v>OK</v>
      </c>
    </row>
    <row r="77" spans="1:32" s="240" customFormat="1">
      <c r="A77" s="48"/>
      <c r="B77" s="31"/>
      <c r="C77" s="48"/>
      <c r="D77" s="47"/>
      <c r="E77" s="47"/>
      <c r="F77" s="31"/>
      <c r="G77" s="31"/>
      <c r="H77" s="31"/>
      <c r="I77" s="47"/>
      <c r="J77" s="31"/>
      <c r="K77" s="47"/>
      <c r="L77" s="47"/>
      <c r="M77" s="47"/>
      <c r="N77" s="31"/>
      <c r="O77" s="47"/>
      <c r="P77" s="31"/>
      <c r="Q77" s="31"/>
      <c r="R77" s="31"/>
      <c r="S77" s="31"/>
      <c r="T77" s="270">
        <f t="shared" si="8"/>
        <v>0</v>
      </c>
      <c r="U77" s="270">
        <f t="shared" si="9"/>
        <v>0</v>
      </c>
      <c r="V77" s="31"/>
      <c r="X77" s="240" t="str">
        <f t="shared" si="10"/>
        <v>OK</v>
      </c>
      <c r="Y77" s="240" t="str">
        <f t="shared" si="11"/>
        <v>OK</v>
      </c>
      <c r="Z77" s="240" t="str">
        <f t="shared" si="12"/>
        <v>OK</v>
      </c>
      <c r="AA77" s="240" t="str" cm="1">
        <f t="array" ref="AA77">IF(OR(AND(J77="Not accepted",N77:O77&lt;&gt;"",$S77=""),AND(J77="Accepted",S77="")),"ERROR","OK")</f>
        <v>OK</v>
      </c>
      <c r="AB77" s="240" t="str">
        <f t="shared" si="13"/>
        <v>OK</v>
      </c>
      <c r="AC77" s="240" t="str" cm="1">
        <f t="array" ref="AC77">IF(AND(F77:H77&lt;&gt;"",I77=""),"ERROR","OK")</f>
        <v>OK</v>
      </c>
      <c r="AD77" s="240" t="str">
        <f t="shared" si="14"/>
        <v>OK</v>
      </c>
      <c r="AE77" s="240" t="str">
        <f t="shared" si="15"/>
        <v>OK</v>
      </c>
      <c r="AF77" s="240" t="str" cm="1">
        <f t="array" aca="1" ref="AF77" ca="1" xml:space="preserve">
IF(AND($G77&lt;&gt;"",$F77=""),"ERROR",
IF(OR($F77:$G77="",AND($G77="",$F77&lt;&gt;"")),"OK",
IF(COUNTIF(INDIRECT(IFERROR(LEFT($F77,FIND(" ",$F77)-1),$F77)), $G77)&gt;0, "OK", "ERROR")))</f>
        <v>OK</v>
      </c>
    </row>
    <row r="78" spans="1:32" s="240" customFormat="1">
      <c r="A78" s="48"/>
      <c r="B78" s="31"/>
      <c r="C78" s="48"/>
      <c r="D78" s="47"/>
      <c r="E78" s="47"/>
      <c r="F78" s="31"/>
      <c r="G78" s="31"/>
      <c r="H78" s="31"/>
      <c r="I78" s="47"/>
      <c r="J78" s="31"/>
      <c r="K78" s="47"/>
      <c r="L78" s="47"/>
      <c r="M78" s="47"/>
      <c r="N78" s="31"/>
      <c r="O78" s="47"/>
      <c r="P78" s="31"/>
      <c r="Q78" s="31"/>
      <c r="R78" s="31"/>
      <c r="S78" s="31"/>
      <c r="T78" s="270">
        <f t="shared" si="8"/>
        <v>0</v>
      </c>
      <c r="U78" s="270">
        <f t="shared" si="9"/>
        <v>0</v>
      </c>
      <c r="V78" s="31"/>
      <c r="X78" s="240" t="str">
        <f t="shared" si="10"/>
        <v>OK</v>
      </c>
      <c r="Y78" s="240" t="str">
        <f t="shared" si="11"/>
        <v>OK</v>
      </c>
      <c r="Z78" s="240" t="str">
        <f t="shared" si="12"/>
        <v>OK</v>
      </c>
      <c r="AA78" s="240" t="str" cm="1">
        <f t="array" ref="AA78">IF(OR(AND(J78="Not accepted",N78:O78&lt;&gt;"",$S78=""),AND(J78="Accepted",S78="")),"ERROR","OK")</f>
        <v>OK</v>
      </c>
      <c r="AB78" s="240" t="str">
        <f t="shared" si="13"/>
        <v>OK</v>
      </c>
      <c r="AC78" s="240" t="str" cm="1">
        <f t="array" ref="AC78">IF(AND(F78:H78&lt;&gt;"",I78=""),"ERROR","OK")</f>
        <v>OK</v>
      </c>
      <c r="AD78" s="240" t="str">
        <f t="shared" si="14"/>
        <v>OK</v>
      </c>
      <c r="AE78" s="240" t="str">
        <f t="shared" si="15"/>
        <v>OK</v>
      </c>
      <c r="AF78" s="240" t="str" cm="1">
        <f t="array" aca="1" ref="AF78" ca="1" xml:space="preserve">
IF(AND($G78&lt;&gt;"",$F78=""),"ERROR",
IF(OR($F78:$G78="",AND($G78="",$F78&lt;&gt;"")),"OK",
IF(COUNTIF(INDIRECT(IFERROR(LEFT($F78,FIND(" ",$F78)-1),$F78)), $G78)&gt;0, "OK", "ERROR")))</f>
        <v>OK</v>
      </c>
    </row>
    <row r="79" spans="1:32" s="240" customFormat="1">
      <c r="A79" s="48"/>
      <c r="B79" s="31"/>
      <c r="C79" s="48"/>
      <c r="D79" s="47"/>
      <c r="E79" s="47"/>
      <c r="F79" s="31"/>
      <c r="G79" s="31"/>
      <c r="H79" s="31"/>
      <c r="I79" s="47"/>
      <c r="J79" s="31"/>
      <c r="K79" s="47"/>
      <c r="L79" s="47"/>
      <c r="M79" s="47"/>
      <c r="N79" s="31"/>
      <c r="O79" s="47"/>
      <c r="P79" s="31"/>
      <c r="Q79" s="31"/>
      <c r="R79" s="31"/>
      <c r="S79" s="31"/>
      <c r="T79" s="270">
        <f t="shared" si="8"/>
        <v>0</v>
      </c>
      <c r="U79" s="270">
        <f t="shared" si="9"/>
        <v>0</v>
      </c>
      <c r="V79" s="31"/>
      <c r="X79" s="240" t="str">
        <f t="shared" si="10"/>
        <v>OK</v>
      </c>
      <c r="Y79" s="240" t="str">
        <f t="shared" si="11"/>
        <v>OK</v>
      </c>
      <c r="Z79" s="240" t="str">
        <f t="shared" si="12"/>
        <v>OK</v>
      </c>
      <c r="AA79" s="240" t="str" cm="1">
        <f t="array" ref="AA79">IF(OR(AND(J79="Not accepted",N79:O79&lt;&gt;"",$S79=""),AND(J79="Accepted",S79="")),"ERROR","OK")</f>
        <v>OK</v>
      </c>
      <c r="AB79" s="240" t="str">
        <f t="shared" si="13"/>
        <v>OK</v>
      </c>
      <c r="AC79" s="240" t="str" cm="1">
        <f t="array" ref="AC79">IF(AND(F79:H79&lt;&gt;"",I79=""),"ERROR","OK")</f>
        <v>OK</v>
      </c>
      <c r="AD79" s="240" t="str">
        <f t="shared" si="14"/>
        <v>OK</v>
      </c>
      <c r="AE79" s="240" t="str">
        <f t="shared" si="15"/>
        <v>OK</v>
      </c>
      <c r="AF79" s="240" t="str" cm="1">
        <f t="array" aca="1" ref="AF79" ca="1" xml:space="preserve">
IF(AND($G79&lt;&gt;"",$F79=""),"ERROR",
IF(OR($F79:$G79="",AND($G79="",$F79&lt;&gt;"")),"OK",
IF(COUNTIF(INDIRECT(IFERROR(LEFT($F79,FIND(" ",$F79)-1),$F79)), $G79)&gt;0, "OK", "ERROR")))</f>
        <v>OK</v>
      </c>
    </row>
    <row r="80" spans="1:32" s="240" customFormat="1">
      <c r="A80" s="48"/>
      <c r="B80" s="31"/>
      <c r="C80" s="48"/>
      <c r="D80" s="47"/>
      <c r="E80" s="47"/>
      <c r="F80" s="31"/>
      <c r="G80" s="31"/>
      <c r="H80" s="31"/>
      <c r="I80" s="47"/>
      <c r="J80" s="31"/>
      <c r="K80" s="47"/>
      <c r="L80" s="47"/>
      <c r="M80" s="47"/>
      <c r="N80" s="31"/>
      <c r="O80" s="47"/>
      <c r="P80" s="31"/>
      <c r="Q80" s="31"/>
      <c r="R80" s="31"/>
      <c r="S80" s="31"/>
      <c r="T80" s="270">
        <f t="shared" si="8"/>
        <v>0</v>
      </c>
      <c r="U80" s="270">
        <f t="shared" si="9"/>
        <v>0</v>
      </c>
      <c r="V80" s="31"/>
      <c r="X80" s="240" t="str">
        <f t="shared" si="10"/>
        <v>OK</v>
      </c>
      <c r="Y80" s="240" t="str">
        <f t="shared" si="11"/>
        <v>OK</v>
      </c>
      <c r="Z80" s="240" t="str">
        <f t="shared" si="12"/>
        <v>OK</v>
      </c>
      <c r="AA80" s="240" t="str" cm="1">
        <f t="array" ref="AA80">IF(OR(AND(J80="Not accepted",N80:O80&lt;&gt;"",$S80=""),AND(J80="Accepted",S80="")),"ERROR","OK")</f>
        <v>OK</v>
      </c>
      <c r="AB80" s="240" t="str">
        <f t="shared" si="13"/>
        <v>OK</v>
      </c>
      <c r="AC80" s="240" t="str" cm="1">
        <f t="array" ref="AC80">IF(AND(F80:H80&lt;&gt;"",I80=""),"ERROR","OK")</f>
        <v>OK</v>
      </c>
      <c r="AD80" s="240" t="str">
        <f t="shared" si="14"/>
        <v>OK</v>
      </c>
      <c r="AE80" s="240" t="str">
        <f t="shared" si="15"/>
        <v>OK</v>
      </c>
      <c r="AF80" s="240" t="str" cm="1">
        <f t="array" aca="1" ref="AF80" ca="1" xml:space="preserve">
IF(AND($G80&lt;&gt;"",$F80=""),"ERROR",
IF(OR($F80:$G80="",AND($G80="",$F80&lt;&gt;"")),"OK",
IF(COUNTIF(INDIRECT(IFERROR(LEFT($F80,FIND(" ",$F80)-1),$F80)), $G80)&gt;0, "OK", "ERROR")))</f>
        <v>OK</v>
      </c>
    </row>
    <row r="81" spans="1:32" s="240" customFormat="1">
      <c r="A81" s="48"/>
      <c r="B81" s="31"/>
      <c r="C81" s="48"/>
      <c r="D81" s="47"/>
      <c r="E81" s="47"/>
      <c r="F81" s="31"/>
      <c r="G81" s="31"/>
      <c r="H81" s="31"/>
      <c r="I81" s="47"/>
      <c r="J81" s="31"/>
      <c r="K81" s="47"/>
      <c r="L81" s="47"/>
      <c r="M81" s="47"/>
      <c r="N81" s="31"/>
      <c r="O81" s="47"/>
      <c r="P81" s="31"/>
      <c r="Q81" s="31"/>
      <c r="R81" s="31"/>
      <c r="S81" s="31"/>
      <c r="T81" s="270">
        <f t="shared" si="8"/>
        <v>0</v>
      </c>
      <c r="U81" s="270">
        <f t="shared" si="9"/>
        <v>0</v>
      </c>
      <c r="V81" s="31"/>
      <c r="X81" s="240" t="str">
        <f t="shared" si="10"/>
        <v>OK</v>
      </c>
      <c r="Y81" s="240" t="str">
        <f t="shared" si="11"/>
        <v>OK</v>
      </c>
      <c r="Z81" s="240" t="str">
        <f t="shared" si="12"/>
        <v>OK</v>
      </c>
      <c r="AA81" s="240" t="str" cm="1">
        <f t="array" ref="AA81">IF(OR(AND(J81="Not accepted",N81:O81&lt;&gt;"",$S81=""),AND(J81="Accepted",S81="")),"ERROR","OK")</f>
        <v>OK</v>
      </c>
      <c r="AB81" s="240" t="str">
        <f t="shared" si="13"/>
        <v>OK</v>
      </c>
      <c r="AC81" s="240" t="str" cm="1">
        <f t="array" ref="AC81">IF(AND(F81:H81&lt;&gt;"",I81=""),"ERROR","OK")</f>
        <v>OK</v>
      </c>
      <c r="AD81" s="240" t="str">
        <f t="shared" si="14"/>
        <v>OK</v>
      </c>
      <c r="AE81" s="240" t="str">
        <f t="shared" si="15"/>
        <v>OK</v>
      </c>
      <c r="AF81" s="240" t="str" cm="1">
        <f t="array" aca="1" ref="AF81" ca="1" xml:space="preserve">
IF(AND($G81&lt;&gt;"",$F81=""),"ERROR",
IF(OR($F81:$G81="",AND($G81="",$F81&lt;&gt;"")),"OK",
IF(COUNTIF(INDIRECT(IFERROR(LEFT($F81,FIND(" ",$F81)-1),$F81)), $G81)&gt;0, "OK", "ERROR")))</f>
        <v>OK</v>
      </c>
    </row>
    <row r="82" spans="1:32" s="240" customFormat="1">
      <c r="A82" s="48"/>
      <c r="B82" s="31"/>
      <c r="C82" s="48"/>
      <c r="D82" s="47"/>
      <c r="E82" s="47"/>
      <c r="F82" s="31"/>
      <c r="G82" s="31"/>
      <c r="H82" s="31"/>
      <c r="I82" s="47"/>
      <c r="J82" s="31"/>
      <c r="K82" s="47"/>
      <c r="L82" s="47"/>
      <c r="M82" s="47"/>
      <c r="N82" s="31"/>
      <c r="O82" s="47"/>
      <c r="P82" s="31"/>
      <c r="Q82" s="31"/>
      <c r="R82" s="31"/>
      <c r="S82" s="31"/>
      <c r="T82" s="270">
        <f t="shared" si="8"/>
        <v>0</v>
      </c>
      <c r="U82" s="270">
        <f t="shared" si="9"/>
        <v>0</v>
      </c>
      <c r="V82" s="31"/>
      <c r="X82" s="240" t="str">
        <f t="shared" si="10"/>
        <v>OK</v>
      </c>
      <c r="Y82" s="240" t="str">
        <f t="shared" si="11"/>
        <v>OK</v>
      </c>
      <c r="Z82" s="240" t="str">
        <f t="shared" si="12"/>
        <v>OK</v>
      </c>
      <c r="AA82" s="240" t="str" cm="1">
        <f t="array" ref="AA82">IF(OR(AND(J82="Not accepted",N82:O82&lt;&gt;"",$S82=""),AND(J82="Accepted",S82="")),"ERROR","OK")</f>
        <v>OK</v>
      </c>
      <c r="AB82" s="240" t="str">
        <f t="shared" si="13"/>
        <v>OK</v>
      </c>
      <c r="AC82" s="240" t="str" cm="1">
        <f t="array" ref="AC82">IF(AND(F82:H82&lt;&gt;"",I82=""),"ERROR","OK")</f>
        <v>OK</v>
      </c>
      <c r="AD82" s="240" t="str">
        <f t="shared" si="14"/>
        <v>OK</v>
      </c>
      <c r="AE82" s="240" t="str">
        <f t="shared" si="15"/>
        <v>OK</v>
      </c>
      <c r="AF82" s="240" t="str" cm="1">
        <f t="array" aca="1" ref="AF82" ca="1" xml:space="preserve">
IF(AND($G82&lt;&gt;"",$F82=""),"ERROR",
IF(OR($F82:$G82="",AND($G82="",$F82&lt;&gt;"")),"OK",
IF(COUNTIF(INDIRECT(IFERROR(LEFT($F82,FIND(" ",$F82)-1),$F82)), $G82)&gt;0, "OK", "ERROR")))</f>
        <v>OK</v>
      </c>
    </row>
    <row r="83" spans="1:32" s="240" customFormat="1">
      <c r="A83" s="48"/>
      <c r="B83" s="31"/>
      <c r="C83" s="48"/>
      <c r="D83" s="47"/>
      <c r="E83" s="47"/>
      <c r="F83" s="31"/>
      <c r="G83" s="31"/>
      <c r="H83" s="31"/>
      <c r="I83" s="47"/>
      <c r="J83" s="31"/>
      <c r="K83" s="47"/>
      <c r="L83" s="47"/>
      <c r="M83" s="47"/>
      <c r="N83" s="31"/>
      <c r="O83" s="47"/>
      <c r="P83" s="31"/>
      <c r="Q83" s="31"/>
      <c r="R83" s="31"/>
      <c r="S83" s="31"/>
      <c r="T83" s="270">
        <f t="shared" si="8"/>
        <v>0</v>
      </c>
      <c r="U83" s="270">
        <f t="shared" si="9"/>
        <v>0</v>
      </c>
      <c r="V83" s="31"/>
      <c r="X83" s="240" t="str">
        <f t="shared" si="10"/>
        <v>OK</v>
      </c>
      <c r="Y83" s="240" t="str">
        <f t="shared" si="11"/>
        <v>OK</v>
      </c>
      <c r="Z83" s="240" t="str">
        <f t="shared" si="12"/>
        <v>OK</v>
      </c>
      <c r="AA83" s="240" t="str" cm="1">
        <f t="array" ref="AA83">IF(OR(AND(J83="Not accepted",N83:O83&lt;&gt;"",$S83=""),AND(J83="Accepted",S83="")),"ERROR","OK")</f>
        <v>OK</v>
      </c>
      <c r="AB83" s="240" t="str">
        <f t="shared" si="13"/>
        <v>OK</v>
      </c>
      <c r="AC83" s="240" t="str" cm="1">
        <f t="array" ref="AC83">IF(AND(F83:H83&lt;&gt;"",I83=""),"ERROR","OK")</f>
        <v>OK</v>
      </c>
      <c r="AD83" s="240" t="str">
        <f t="shared" si="14"/>
        <v>OK</v>
      </c>
      <c r="AE83" s="240" t="str">
        <f t="shared" si="15"/>
        <v>OK</v>
      </c>
      <c r="AF83" s="240" t="str" cm="1">
        <f t="array" aca="1" ref="AF83" ca="1" xml:space="preserve">
IF(AND($G83&lt;&gt;"",$F83=""),"ERROR",
IF(OR($F83:$G83="",AND($G83="",$F83&lt;&gt;"")),"OK",
IF(COUNTIF(INDIRECT(IFERROR(LEFT($F83,FIND(" ",$F83)-1),$F83)), $G83)&gt;0, "OK", "ERROR")))</f>
        <v>OK</v>
      </c>
    </row>
    <row r="84" spans="1:32" s="240" customFormat="1">
      <c r="A84" s="48"/>
      <c r="B84" s="31"/>
      <c r="C84" s="48"/>
      <c r="D84" s="47"/>
      <c r="E84" s="47"/>
      <c r="F84" s="31"/>
      <c r="G84" s="31"/>
      <c r="H84" s="31"/>
      <c r="I84" s="47"/>
      <c r="J84" s="31"/>
      <c r="K84" s="47"/>
      <c r="L84" s="47"/>
      <c r="M84" s="47"/>
      <c r="N84" s="31"/>
      <c r="O84" s="47"/>
      <c r="P84" s="31"/>
      <c r="Q84" s="31"/>
      <c r="R84" s="31"/>
      <c r="S84" s="31"/>
      <c r="T84" s="270">
        <f t="shared" si="8"/>
        <v>0</v>
      </c>
      <c r="U84" s="270">
        <f t="shared" si="9"/>
        <v>0</v>
      </c>
      <c r="V84" s="31"/>
      <c r="X84" s="240" t="str">
        <f t="shared" si="10"/>
        <v>OK</v>
      </c>
      <c r="Y84" s="240" t="str">
        <f t="shared" si="11"/>
        <v>OK</v>
      </c>
      <c r="Z84" s="240" t="str">
        <f t="shared" si="12"/>
        <v>OK</v>
      </c>
      <c r="AA84" s="240" t="str" cm="1">
        <f t="array" ref="AA84">IF(OR(AND(J84="Not accepted",N84:O84&lt;&gt;"",$S84=""),AND(J84="Accepted",S84="")),"ERROR","OK")</f>
        <v>OK</v>
      </c>
      <c r="AB84" s="240" t="str">
        <f t="shared" si="13"/>
        <v>OK</v>
      </c>
      <c r="AC84" s="240" t="str" cm="1">
        <f t="array" ref="AC84">IF(AND(F84:H84&lt;&gt;"",I84=""),"ERROR","OK")</f>
        <v>OK</v>
      </c>
      <c r="AD84" s="240" t="str">
        <f t="shared" si="14"/>
        <v>OK</v>
      </c>
      <c r="AE84" s="240" t="str">
        <f t="shared" si="15"/>
        <v>OK</v>
      </c>
      <c r="AF84" s="240" t="str" cm="1">
        <f t="array" aca="1" ref="AF84" ca="1" xml:space="preserve">
IF(AND($G84&lt;&gt;"",$F84=""),"ERROR",
IF(OR($F84:$G84="",AND($G84="",$F84&lt;&gt;"")),"OK",
IF(COUNTIF(INDIRECT(IFERROR(LEFT($F84,FIND(" ",$F84)-1),$F84)), $G84)&gt;0, "OK", "ERROR")))</f>
        <v>OK</v>
      </c>
    </row>
    <row r="85" spans="1:32" s="240" customFormat="1">
      <c r="A85" s="48"/>
      <c r="B85" s="31"/>
      <c r="C85" s="48"/>
      <c r="D85" s="47"/>
      <c r="E85" s="47"/>
      <c r="F85" s="31"/>
      <c r="G85" s="31"/>
      <c r="H85" s="31"/>
      <c r="I85" s="47"/>
      <c r="J85" s="31"/>
      <c r="K85" s="47"/>
      <c r="L85" s="47"/>
      <c r="M85" s="47"/>
      <c r="N85" s="31"/>
      <c r="O85" s="47"/>
      <c r="P85" s="31"/>
      <c r="Q85" s="31"/>
      <c r="R85" s="31"/>
      <c r="S85" s="31"/>
      <c r="T85" s="270">
        <f t="shared" si="8"/>
        <v>0</v>
      </c>
      <c r="U85" s="270">
        <f t="shared" si="9"/>
        <v>0</v>
      </c>
      <c r="V85" s="31"/>
      <c r="X85" s="240" t="str">
        <f t="shared" si="10"/>
        <v>OK</v>
      </c>
      <c r="Y85" s="240" t="str">
        <f t="shared" si="11"/>
        <v>OK</v>
      </c>
      <c r="Z85" s="240" t="str">
        <f t="shared" si="12"/>
        <v>OK</v>
      </c>
      <c r="AA85" s="240" t="str" cm="1">
        <f t="array" ref="AA85">IF(OR(AND(J85="Not accepted",N85:O85&lt;&gt;"",$S85=""),AND(J85="Accepted",S85="")),"ERROR","OK")</f>
        <v>OK</v>
      </c>
      <c r="AB85" s="240" t="str">
        <f t="shared" si="13"/>
        <v>OK</v>
      </c>
      <c r="AC85" s="240" t="str" cm="1">
        <f t="array" ref="AC85">IF(AND(F85:H85&lt;&gt;"",I85=""),"ERROR","OK")</f>
        <v>OK</v>
      </c>
      <c r="AD85" s="240" t="str">
        <f t="shared" si="14"/>
        <v>OK</v>
      </c>
      <c r="AE85" s="240" t="str">
        <f t="shared" si="15"/>
        <v>OK</v>
      </c>
      <c r="AF85" s="240" t="str" cm="1">
        <f t="array" aca="1" ref="AF85" ca="1" xml:space="preserve">
IF(AND($G85&lt;&gt;"",$F85=""),"ERROR",
IF(OR($F85:$G85="",AND($G85="",$F85&lt;&gt;"")),"OK",
IF(COUNTIF(INDIRECT(IFERROR(LEFT($F85,FIND(" ",$F85)-1),$F85)), $G85)&gt;0, "OK", "ERROR")))</f>
        <v>OK</v>
      </c>
    </row>
    <row r="86" spans="1:32" s="240" customFormat="1">
      <c r="A86" s="48"/>
      <c r="B86" s="31"/>
      <c r="C86" s="48"/>
      <c r="D86" s="47"/>
      <c r="E86" s="47"/>
      <c r="F86" s="31"/>
      <c r="G86" s="31"/>
      <c r="H86" s="31"/>
      <c r="I86" s="47"/>
      <c r="J86" s="31"/>
      <c r="K86" s="47"/>
      <c r="L86" s="47"/>
      <c r="M86" s="47"/>
      <c r="N86" s="31"/>
      <c r="O86" s="47"/>
      <c r="P86" s="31"/>
      <c r="Q86" s="31"/>
      <c r="R86" s="31"/>
      <c r="S86" s="31"/>
      <c r="T86" s="270">
        <f t="shared" si="8"/>
        <v>0</v>
      </c>
      <c r="U86" s="270">
        <f t="shared" si="9"/>
        <v>0</v>
      </c>
      <c r="V86" s="31"/>
      <c r="X86" s="240" t="str">
        <f t="shared" si="10"/>
        <v>OK</v>
      </c>
      <c r="Y86" s="240" t="str">
        <f t="shared" si="11"/>
        <v>OK</v>
      </c>
      <c r="Z86" s="240" t="str">
        <f t="shared" si="12"/>
        <v>OK</v>
      </c>
      <c r="AA86" s="240" t="str" cm="1">
        <f t="array" ref="AA86">IF(OR(AND(J86="Not accepted",N86:O86&lt;&gt;"",$S86=""),AND(J86="Accepted",S86="")),"ERROR","OK")</f>
        <v>OK</v>
      </c>
      <c r="AB86" s="240" t="str">
        <f t="shared" si="13"/>
        <v>OK</v>
      </c>
      <c r="AC86" s="240" t="str" cm="1">
        <f t="array" ref="AC86">IF(AND(F86:H86&lt;&gt;"",I86=""),"ERROR","OK")</f>
        <v>OK</v>
      </c>
      <c r="AD86" s="240" t="str">
        <f t="shared" si="14"/>
        <v>OK</v>
      </c>
      <c r="AE86" s="240" t="str">
        <f t="shared" si="15"/>
        <v>OK</v>
      </c>
      <c r="AF86" s="240" t="str" cm="1">
        <f t="array" aca="1" ref="AF86" ca="1" xml:space="preserve">
IF(AND($G86&lt;&gt;"",$F86=""),"ERROR",
IF(OR($F86:$G86="",AND($G86="",$F86&lt;&gt;"")),"OK",
IF(COUNTIF(INDIRECT(IFERROR(LEFT($F86,FIND(" ",$F86)-1),$F86)), $G86)&gt;0, "OK", "ERROR")))</f>
        <v>OK</v>
      </c>
    </row>
    <row r="87" spans="1:32" s="240" customFormat="1">
      <c r="A87" s="48"/>
      <c r="B87" s="31"/>
      <c r="C87" s="48"/>
      <c r="D87" s="47"/>
      <c r="E87" s="47"/>
      <c r="F87" s="31"/>
      <c r="G87" s="31"/>
      <c r="H87" s="31"/>
      <c r="I87" s="47"/>
      <c r="J87" s="31"/>
      <c r="K87" s="47"/>
      <c r="L87" s="47"/>
      <c r="M87" s="47"/>
      <c r="N87" s="31"/>
      <c r="O87" s="47"/>
      <c r="P87" s="31"/>
      <c r="Q87" s="31"/>
      <c r="R87" s="31"/>
      <c r="S87" s="31"/>
      <c r="T87" s="270">
        <f t="shared" si="8"/>
        <v>0</v>
      </c>
      <c r="U87" s="270">
        <f t="shared" si="9"/>
        <v>0</v>
      </c>
      <c r="V87" s="31"/>
      <c r="X87" s="240" t="str">
        <f t="shared" si="10"/>
        <v>OK</v>
      </c>
      <c r="Y87" s="240" t="str">
        <f t="shared" si="11"/>
        <v>OK</v>
      </c>
      <c r="Z87" s="240" t="str">
        <f t="shared" si="12"/>
        <v>OK</v>
      </c>
      <c r="AA87" s="240" t="str" cm="1">
        <f t="array" ref="AA87">IF(OR(AND(J87="Not accepted",N87:O87&lt;&gt;"",$S87=""),AND(J87="Accepted",S87="")),"ERROR","OK")</f>
        <v>OK</v>
      </c>
      <c r="AB87" s="240" t="str">
        <f t="shared" si="13"/>
        <v>OK</v>
      </c>
      <c r="AC87" s="240" t="str" cm="1">
        <f t="array" ref="AC87">IF(AND(F87:H87&lt;&gt;"",I87=""),"ERROR","OK")</f>
        <v>OK</v>
      </c>
      <c r="AD87" s="240" t="str">
        <f t="shared" si="14"/>
        <v>OK</v>
      </c>
      <c r="AE87" s="240" t="str">
        <f t="shared" si="15"/>
        <v>OK</v>
      </c>
      <c r="AF87" s="240" t="str" cm="1">
        <f t="array" aca="1" ref="AF87" ca="1" xml:space="preserve">
IF(AND($G87&lt;&gt;"",$F87=""),"ERROR",
IF(OR($F87:$G87="",AND($G87="",$F87&lt;&gt;"")),"OK",
IF(COUNTIF(INDIRECT(IFERROR(LEFT($F87,FIND(" ",$F87)-1),$F87)), $G87)&gt;0, "OK", "ERROR")))</f>
        <v>OK</v>
      </c>
    </row>
    <row r="88" spans="1:32" s="240" customFormat="1">
      <c r="A88" s="48"/>
      <c r="B88" s="31"/>
      <c r="C88" s="48"/>
      <c r="D88" s="47"/>
      <c r="E88" s="47"/>
      <c r="F88" s="31"/>
      <c r="G88" s="31"/>
      <c r="H88" s="31"/>
      <c r="I88" s="47"/>
      <c r="J88" s="31"/>
      <c r="K88" s="47"/>
      <c r="L88" s="47"/>
      <c r="M88" s="47"/>
      <c r="N88" s="31"/>
      <c r="O88" s="47"/>
      <c r="P88" s="31"/>
      <c r="Q88" s="31"/>
      <c r="R88" s="31"/>
      <c r="S88" s="31"/>
      <c r="T88" s="270">
        <f t="shared" si="8"/>
        <v>0</v>
      </c>
      <c r="U88" s="270">
        <f t="shared" si="9"/>
        <v>0</v>
      </c>
      <c r="V88" s="31"/>
      <c r="X88" s="240" t="str">
        <f t="shared" si="10"/>
        <v>OK</v>
      </c>
      <c r="Y88" s="240" t="str">
        <f t="shared" si="11"/>
        <v>OK</v>
      </c>
      <c r="Z88" s="240" t="str">
        <f t="shared" si="12"/>
        <v>OK</v>
      </c>
      <c r="AA88" s="240" t="str" cm="1">
        <f t="array" ref="AA88">IF(OR(AND(J88="Not accepted",N88:O88&lt;&gt;"",$S88=""),AND(J88="Accepted",S88="")),"ERROR","OK")</f>
        <v>OK</v>
      </c>
      <c r="AB88" s="240" t="str">
        <f t="shared" si="13"/>
        <v>OK</v>
      </c>
      <c r="AC88" s="240" t="str" cm="1">
        <f t="array" ref="AC88">IF(AND(F88:H88&lt;&gt;"",I88=""),"ERROR","OK")</f>
        <v>OK</v>
      </c>
      <c r="AD88" s="240" t="str">
        <f t="shared" si="14"/>
        <v>OK</v>
      </c>
      <c r="AE88" s="240" t="str">
        <f t="shared" si="15"/>
        <v>OK</v>
      </c>
      <c r="AF88" s="240" t="str" cm="1">
        <f t="array" aca="1" ref="AF88" ca="1" xml:space="preserve">
IF(AND($G88&lt;&gt;"",$F88=""),"ERROR",
IF(OR($F88:$G88="",AND($G88="",$F88&lt;&gt;"")),"OK",
IF(COUNTIF(INDIRECT(IFERROR(LEFT($F88,FIND(" ",$F88)-1),$F88)), $G88)&gt;0, "OK", "ERROR")))</f>
        <v>OK</v>
      </c>
    </row>
    <row r="89" spans="1:32" s="240" customFormat="1">
      <c r="A89" s="48"/>
      <c r="B89" s="31"/>
      <c r="C89" s="48"/>
      <c r="D89" s="47"/>
      <c r="E89" s="47"/>
      <c r="F89" s="31"/>
      <c r="G89" s="31"/>
      <c r="H89" s="31"/>
      <c r="I89" s="47"/>
      <c r="J89" s="31"/>
      <c r="K89" s="47"/>
      <c r="L89" s="47"/>
      <c r="M89" s="47"/>
      <c r="N89" s="31"/>
      <c r="O89" s="47"/>
      <c r="P89" s="31"/>
      <c r="Q89" s="31"/>
      <c r="R89" s="31"/>
      <c r="S89" s="31"/>
      <c r="T89" s="270">
        <f t="shared" si="8"/>
        <v>0</v>
      </c>
      <c r="U89" s="270">
        <f t="shared" si="9"/>
        <v>0</v>
      </c>
      <c r="V89" s="31"/>
      <c r="X89" s="240" t="str">
        <f t="shared" si="10"/>
        <v>OK</v>
      </c>
      <c r="Y89" s="240" t="str">
        <f t="shared" si="11"/>
        <v>OK</v>
      </c>
      <c r="Z89" s="240" t="str">
        <f t="shared" si="12"/>
        <v>OK</v>
      </c>
      <c r="AA89" s="240" t="str" cm="1">
        <f t="array" ref="AA89">IF(OR(AND(J89="Not accepted",N89:O89&lt;&gt;"",$S89=""),AND(J89="Accepted",S89="")),"ERROR","OK")</f>
        <v>OK</v>
      </c>
      <c r="AB89" s="240" t="str">
        <f t="shared" si="13"/>
        <v>OK</v>
      </c>
      <c r="AC89" s="240" t="str" cm="1">
        <f t="array" ref="AC89">IF(AND(F89:H89&lt;&gt;"",I89=""),"ERROR","OK")</f>
        <v>OK</v>
      </c>
      <c r="AD89" s="240" t="str">
        <f t="shared" si="14"/>
        <v>OK</v>
      </c>
      <c r="AE89" s="240" t="str">
        <f t="shared" si="15"/>
        <v>OK</v>
      </c>
      <c r="AF89" s="240" t="str" cm="1">
        <f t="array" aca="1" ref="AF89" ca="1" xml:space="preserve">
IF(AND($G89&lt;&gt;"",$F89=""),"ERROR",
IF(OR($F89:$G89="",AND($G89="",$F89&lt;&gt;"")),"OK",
IF(COUNTIF(INDIRECT(IFERROR(LEFT($F89,FIND(" ",$F89)-1),$F89)), $G89)&gt;0, "OK", "ERROR")))</f>
        <v>OK</v>
      </c>
    </row>
    <row r="90" spans="1:32" s="240" customFormat="1">
      <c r="A90" s="48"/>
      <c r="B90" s="31"/>
      <c r="C90" s="48"/>
      <c r="D90" s="47"/>
      <c r="E90" s="47"/>
      <c r="F90" s="31"/>
      <c r="G90" s="31"/>
      <c r="H90" s="31"/>
      <c r="I90" s="47"/>
      <c r="J90" s="31"/>
      <c r="K90" s="47"/>
      <c r="L90" s="47"/>
      <c r="M90" s="47"/>
      <c r="N90" s="31"/>
      <c r="O90" s="47"/>
      <c r="P90" s="31"/>
      <c r="Q90" s="31"/>
      <c r="R90" s="31"/>
      <c r="S90" s="31"/>
      <c r="T90" s="270">
        <f t="shared" si="8"/>
        <v>0</v>
      </c>
      <c r="U90" s="270">
        <f t="shared" si="9"/>
        <v>0</v>
      </c>
      <c r="V90" s="31"/>
      <c r="X90" s="240" t="str">
        <f t="shared" si="10"/>
        <v>OK</v>
      </c>
      <c r="Y90" s="240" t="str">
        <f t="shared" si="11"/>
        <v>OK</v>
      </c>
      <c r="Z90" s="240" t="str">
        <f t="shared" si="12"/>
        <v>OK</v>
      </c>
      <c r="AA90" s="240" t="str" cm="1">
        <f t="array" ref="AA90">IF(OR(AND(J90="Not accepted",N90:O90&lt;&gt;"",$S90=""),AND(J90="Accepted",S90="")),"ERROR","OK")</f>
        <v>OK</v>
      </c>
      <c r="AB90" s="240" t="str">
        <f t="shared" si="13"/>
        <v>OK</v>
      </c>
      <c r="AC90" s="240" t="str" cm="1">
        <f t="array" ref="AC90">IF(AND(F90:H90&lt;&gt;"",I90=""),"ERROR","OK")</f>
        <v>OK</v>
      </c>
      <c r="AD90" s="240" t="str">
        <f t="shared" si="14"/>
        <v>OK</v>
      </c>
      <c r="AE90" s="240" t="str">
        <f t="shared" si="15"/>
        <v>OK</v>
      </c>
      <c r="AF90" s="240" t="str" cm="1">
        <f t="array" aca="1" ref="AF90" ca="1" xml:space="preserve">
IF(AND($G90&lt;&gt;"",$F90=""),"ERROR",
IF(OR($F90:$G90="",AND($G90="",$F90&lt;&gt;"")),"OK",
IF(COUNTIF(INDIRECT(IFERROR(LEFT($F90,FIND(" ",$F90)-1),$F90)), $G90)&gt;0, "OK", "ERROR")))</f>
        <v>OK</v>
      </c>
    </row>
    <row r="91" spans="1:32" s="240" customFormat="1">
      <c r="A91" s="48"/>
      <c r="B91" s="31"/>
      <c r="C91" s="48"/>
      <c r="D91" s="47"/>
      <c r="E91" s="47"/>
      <c r="F91" s="31"/>
      <c r="G91" s="31"/>
      <c r="H91" s="31"/>
      <c r="I91" s="47"/>
      <c r="J91" s="31"/>
      <c r="K91" s="47"/>
      <c r="L91" s="47"/>
      <c r="M91" s="47"/>
      <c r="N91" s="31"/>
      <c r="O91" s="47"/>
      <c r="P91" s="31"/>
      <c r="Q91" s="31"/>
      <c r="R91" s="31"/>
      <c r="S91" s="31"/>
      <c r="T91" s="270">
        <f t="shared" si="8"/>
        <v>0</v>
      </c>
      <c r="U91" s="270">
        <f t="shared" si="9"/>
        <v>0</v>
      </c>
      <c r="V91" s="31"/>
      <c r="X91" s="240" t="str">
        <f t="shared" si="10"/>
        <v>OK</v>
      </c>
      <c r="Y91" s="240" t="str">
        <f t="shared" si="11"/>
        <v>OK</v>
      </c>
      <c r="Z91" s="240" t="str">
        <f t="shared" si="12"/>
        <v>OK</v>
      </c>
      <c r="AA91" s="240" t="str" cm="1">
        <f t="array" ref="AA91">IF(OR(AND(J91="Not accepted",N91:O91&lt;&gt;"",$S91=""),AND(J91="Accepted",S91="")),"ERROR","OK")</f>
        <v>OK</v>
      </c>
      <c r="AB91" s="240" t="str">
        <f t="shared" si="13"/>
        <v>OK</v>
      </c>
      <c r="AC91" s="240" t="str" cm="1">
        <f t="array" ref="AC91">IF(AND(F91:H91&lt;&gt;"",I91=""),"ERROR","OK")</f>
        <v>OK</v>
      </c>
      <c r="AD91" s="240" t="str">
        <f t="shared" si="14"/>
        <v>OK</v>
      </c>
      <c r="AE91" s="240" t="str">
        <f t="shared" si="15"/>
        <v>OK</v>
      </c>
      <c r="AF91" s="240" t="str" cm="1">
        <f t="array" aca="1" ref="AF91" ca="1" xml:space="preserve">
IF(AND($G91&lt;&gt;"",$F91=""),"ERROR",
IF(OR($F91:$G91="",AND($G91="",$F91&lt;&gt;"")),"OK",
IF(COUNTIF(INDIRECT(IFERROR(LEFT($F91,FIND(" ",$F91)-1),$F91)), $G91)&gt;0, "OK", "ERROR")))</f>
        <v>OK</v>
      </c>
    </row>
    <row r="92" spans="1:32" s="240" customFormat="1">
      <c r="A92" s="48"/>
      <c r="B92" s="31"/>
      <c r="C92" s="48"/>
      <c r="D92" s="47"/>
      <c r="E92" s="47"/>
      <c r="F92" s="31"/>
      <c r="G92" s="31"/>
      <c r="H92" s="31"/>
      <c r="I92" s="47"/>
      <c r="J92" s="31"/>
      <c r="K92" s="47"/>
      <c r="L92" s="47"/>
      <c r="M92" s="47"/>
      <c r="N92" s="31"/>
      <c r="O92" s="47"/>
      <c r="P92" s="31"/>
      <c r="Q92" s="31"/>
      <c r="R92" s="31"/>
      <c r="S92" s="31"/>
      <c r="T92" s="270">
        <f t="shared" si="8"/>
        <v>0</v>
      </c>
      <c r="U92" s="270">
        <f t="shared" si="9"/>
        <v>0</v>
      </c>
      <c r="V92" s="31"/>
      <c r="X92" s="240" t="str">
        <f t="shared" si="10"/>
        <v>OK</v>
      </c>
      <c r="Y92" s="240" t="str">
        <f t="shared" si="11"/>
        <v>OK</v>
      </c>
      <c r="Z92" s="240" t="str">
        <f t="shared" si="12"/>
        <v>OK</v>
      </c>
      <c r="AA92" s="240" t="str" cm="1">
        <f t="array" ref="AA92">IF(OR(AND(J92="Not accepted",N92:O92&lt;&gt;"",$S92=""),AND(J92="Accepted",S92="")),"ERROR","OK")</f>
        <v>OK</v>
      </c>
      <c r="AB92" s="240" t="str">
        <f t="shared" si="13"/>
        <v>OK</v>
      </c>
      <c r="AC92" s="240" t="str" cm="1">
        <f t="array" ref="AC92">IF(AND(F92:H92&lt;&gt;"",I92=""),"ERROR","OK")</f>
        <v>OK</v>
      </c>
      <c r="AD92" s="240" t="str">
        <f t="shared" si="14"/>
        <v>OK</v>
      </c>
      <c r="AE92" s="240" t="str">
        <f t="shared" si="15"/>
        <v>OK</v>
      </c>
      <c r="AF92" s="240" t="str" cm="1">
        <f t="array" aca="1" ref="AF92" ca="1" xml:space="preserve">
IF(AND($G92&lt;&gt;"",$F92=""),"ERROR",
IF(OR($F92:$G92="",AND($G92="",$F92&lt;&gt;"")),"OK",
IF(COUNTIF(INDIRECT(IFERROR(LEFT($F92,FIND(" ",$F92)-1),$F92)), $G92)&gt;0, "OK", "ERROR")))</f>
        <v>OK</v>
      </c>
    </row>
    <row r="93" spans="1:32" s="240" customFormat="1">
      <c r="A93" s="48"/>
      <c r="B93" s="31"/>
      <c r="C93" s="48"/>
      <c r="D93" s="47"/>
      <c r="E93" s="47"/>
      <c r="F93" s="31"/>
      <c r="G93" s="31"/>
      <c r="H93" s="31"/>
      <c r="I93" s="47"/>
      <c r="J93" s="31"/>
      <c r="K93" s="47"/>
      <c r="L93" s="47"/>
      <c r="M93" s="47"/>
      <c r="N93" s="31"/>
      <c r="O93" s="47"/>
      <c r="P93" s="31"/>
      <c r="Q93" s="31"/>
      <c r="R93" s="31"/>
      <c r="S93" s="31"/>
      <c r="T93" s="270">
        <f t="shared" si="8"/>
        <v>0</v>
      </c>
      <c r="U93" s="270">
        <f t="shared" si="9"/>
        <v>0</v>
      </c>
      <c r="V93" s="31"/>
      <c r="X93" s="240" t="str">
        <f t="shared" si="10"/>
        <v>OK</v>
      </c>
      <c r="Y93" s="240" t="str">
        <f t="shared" si="11"/>
        <v>OK</v>
      </c>
      <c r="Z93" s="240" t="str">
        <f t="shared" si="12"/>
        <v>OK</v>
      </c>
      <c r="AA93" s="240" t="str" cm="1">
        <f t="array" ref="AA93">IF(OR(AND(J93="Not accepted",N93:O93&lt;&gt;"",$S93=""),AND(J93="Accepted",S93="")),"ERROR","OK")</f>
        <v>OK</v>
      </c>
      <c r="AB93" s="240" t="str">
        <f t="shared" si="13"/>
        <v>OK</v>
      </c>
      <c r="AC93" s="240" t="str" cm="1">
        <f t="array" ref="AC93">IF(AND(F93:H93&lt;&gt;"",I93=""),"ERROR","OK")</f>
        <v>OK</v>
      </c>
      <c r="AD93" s="240" t="str">
        <f t="shared" si="14"/>
        <v>OK</v>
      </c>
      <c r="AE93" s="240" t="str">
        <f t="shared" si="15"/>
        <v>OK</v>
      </c>
      <c r="AF93" s="240" t="str" cm="1">
        <f t="array" aca="1" ref="AF93" ca="1" xml:space="preserve">
IF(AND($G93&lt;&gt;"",$F93=""),"ERROR",
IF(OR($F93:$G93="",AND($G93="",$F93&lt;&gt;"")),"OK",
IF(COUNTIF(INDIRECT(IFERROR(LEFT($F93,FIND(" ",$F93)-1),$F93)), $G93)&gt;0, "OK", "ERROR")))</f>
        <v>OK</v>
      </c>
    </row>
    <row r="94" spans="1:32" s="240" customFormat="1">
      <c r="A94" s="48"/>
      <c r="B94" s="31"/>
      <c r="C94" s="48"/>
      <c r="D94" s="47"/>
      <c r="E94" s="47"/>
      <c r="F94" s="31"/>
      <c r="G94" s="31"/>
      <c r="H94" s="31"/>
      <c r="I94" s="47"/>
      <c r="J94" s="31"/>
      <c r="K94" s="47"/>
      <c r="L94" s="47"/>
      <c r="M94" s="47"/>
      <c r="N94" s="31"/>
      <c r="O94" s="47"/>
      <c r="P94" s="31"/>
      <c r="Q94" s="31"/>
      <c r="R94" s="31"/>
      <c r="S94" s="31"/>
      <c r="T94" s="270">
        <f t="shared" si="8"/>
        <v>0</v>
      </c>
      <c r="U94" s="270">
        <f t="shared" si="9"/>
        <v>0</v>
      </c>
      <c r="V94" s="31"/>
      <c r="X94" s="240" t="str">
        <f t="shared" si="10"/>
        <v>OK</v>
      </c>
      <c r="Y94" s="240" t="str">
        <f t="shared" si="11"/>
        <v>OK</v>
      </c>
      <c r="Z94" s="240" t="str">
        <f t="shared" si="12"/>
        <v>OK</v>
      </c>
      <c r="AA94" s="240" t="str" cm="1">
        <f t="array" ref="AA94">IF(OR(AND(J94="Not accepted",N94:O94&lt;&gt;"",$S94=""),AND(J94="Accepted",S94="")),"ERROR","OK")</f>
        <v>OK</v>
      </c>
      <c r="AB94" s="240" t="str">
        <f t="shared" si="13"/>
        <v>OK</v>
      </c>
      <c r="AC94" s="240" t="str" cm="1">
        <f t="array" ref="AC94">IF(AND(F94:H94&lt;&gt;"",I94=""),"ERROR","OK")</f>
        <v>OK</v>
      </c>
      <c r="AD94" s="240" t="str">
        <f t="shared" si="14"/>
        <v>OK</v>
      </c>
      <c r="AE94" s="240" t="str">
        <f t="shared" si="15"/>
        <v>OK</v>
      </c>
      <c r="AF94" s="240" t="str" cm="1">
        <f t="array" aca="1" ref="AF94" ca="1" xml:space="preserve">
IF(AND($G94&lt;&gt;"",$F94=""),"ERROR",
IF(OR($F94:$G94="",AND($G94="",$F94&lt;&gt;"")),"OK",
IF(COUNTIF(INDIRECT(IFERROR(LEFT($F94,FIND(" ",$F94)-1),$F94)), $G94)&gt;0, "OK", "ERROR")))</f>
        <v>OK</v>
      </c>
    </row>
    <row r="95" spans="1:32" s="240" customFormat="1">
      <c r="A95" s="48"/>
      <c r="B95" s="31"/>
      <c r="C95" s="48"/>
      <c r="D95" s="47"/>
      <c r="E95" s="47"/>
      <c r="F95" s="31"/>
      <c r="G95" s="31"/>
      <c r="H95" s="31"/>
      <c r="I95" s="47"/>
      <c r="J95" s="31"/>
      <c r="K95" s="47"/>
      <c r="L95" s="47"/>
      <c r="M95" s="47"/>
      <c r="N95" s="31"/>
      <c r="O95" s="47"/>
      <c r="P95" s="31"/>
      <c r="Q95" s="31"/>
      <c r="R95" s="31"/>
      <c r="S95" s="31"/>
      <c r="T95" s="270">
        <f t="shared" si="8"/>
        <v>0</v>
      </c>
      <c r="U95" s="270">
        <f t="shared" si="9"/>
        <v>0</v>
      </c>
      <c r="V95" s="31"/>
      <c r="X95" s="240" t="str">
        <f t="shared" si="10"/>
        <v>OK</v>
      </c>
      <c r="Y95" s="240" t="str">
        <f t="shared" si="11"/>
        <v>OK</v>
      </c>
      <c r="Z95" s="240" t="str">
        <f t="shared" si="12"/>
        <v>OK</v>
      </c>
      <c r="AA95" s="240" t="str" cm="1">
        <f t="array" ref="AA95">IF(OR(AND(J95="Not accepted",N95:O95&lt;&gt;"",$S95=""),AND(J95="Accepted",S95="")),"ERROR","OK")</f>
        <v>OK</v>
      </c>
      <c r="AB95" s="240" t="str">
        <f t="shared" si="13"/>
        <v>OK</v>
      </c>
      <c r="AC95" s="240" t="str" cm="1">
        <f t="array" ref="AC95">IF(AND(F95:H95&lt;&gt;"",I95=""),"ERROR","OK")</f>
        <v>OK</v>
      </c>
      <c r="AD95" s="240" t="str">
        <f t="shared" si="14"/>
        <v>OK</v>
      </c>
      <c r="AE95" s="240" t="str">
        <f t="shared" si="15"/>
        <v>OK</v>
      </c>
      <c r="AF95" s="240" t="str" cm="1">
        <f t="array" aca="1" ref="AF95" ca="1" xml:space="preserve">
IF(AND($G95&lt;&gt;"",$F95=""),"ERROR",
IF(OR($F95:$G95="",AND($G95="",$F95&lt;&gt;"")),"OK",
IF(COUNTIF(INDIRECT(IFERROR(LEFT($F95,FIND(" ",$F95)-1),$F95)), $G95)&gt;0, "OK", "ERROR")))</f>
        <v>OK</v>
      </c>
    </row>
    <row r="96" spans="1:32" s="240" customFormat="1">
      <c r="A96" s="48"/>
      <c r="B96" s="31"/>
      <c r="C96" s="48"/>
      <c r="D96" s="47"/>
      <c r="E96" s="47"/>
      <c r="F96" s="31"/>
      <c r="G96" s="31"/>
      <c r="H96" s="31"/>
      <c r="I96" s="47"/>
      <c r="J96" s="31"/>
      <c r="K96" s="47"/>
      <c r="L96" s="47"/>
      <c r="M96" s="47"/>
      <c r="N96" s="31"/>
      <c r="O96" s="47"/>
      <c r="P96" s="31"/>
      <c r="Q96" s="31"/>
      <c r="R96" s="31"/>
      <c r="S96" s="31"/>
      <c r="T96" s="270">
        <f t="shared" si="8"/>
        <v>0</v>
      </c>
      <c r="U96" s="270">
        <f t="shared" si="9"/>
        <v>0</v>
      </c>
      <c r="V96" s="31"/>
      <c r="X96" s="240" t="str">
        <f t="shared" si="10"/>
        <v>OK</v>
      </c>
      <c r="Y96" s="240" t="str">
        <f t="shared" si="11"/>
        <v>OK</v>
      </c>
      <c r="Z96" s="240" t="str">
        <f t="shared" si="12"/>
        <v>OK</v>
      </c>
      <c r="AA96" s="240" t="str" cm="1">
        <f t="array" ref="AA96">IF(OR(AND(J96="Not accepted",N96:O96&lt;&gt;"",$S96=""),AND(J96="Accepted",S96="")),"ERROR","OK")</f>
        <v>OK</v>
      </c>
      <c r="AB96" s="240" t="str">
        <f t="shared" si="13"/>
        <v>OK</v>
      </c>
      <c r="AC96" s="240" t="str" cm="1">
        <f t="array" ref="AC96">IF(AND(F96:H96&lt;&gt;"",I96=""),"ERROR","OK")</f>
        <v>OK</v>
      </c>
      <c r="AD96" s="240" t="str">
        <f t="shared" si="14"/>
        <v>OK</v>
      </c>
      <c r="AE96" s="240" t="str">
        <f t="shared" si="15"/>
        <v>OK</v>
      </c>
      <c r="AF96" s="240" t="str" cm="1">
        <f t="array" aca="1" ref="AF96" ca="1" xml:space="preserve">
IF(AND($G96&lt;&gt;"",$F96=""),"ERROR",
IF(OR($F96:$G96="",AND($G96="",$F96&lt;&gt;"")),"OK",
IF(COUNTIF(INDIRECT(IFERROR(LEFT($F96,FIND(" ",$F96)-1),$F96)), $G96)&gt;0, "OK", "ERROR")))</f>
        <v>OK</v>
      </c>
    </row>
    <row r="97" spans="1:32" s="240" customFormat="1">
      <c r="A97" s="48"/>
      <c r="B97" s="31"/>
      <c r="C97" s="48"/>
      <c r="D97" s="47"/>
      <c r="E97" s="47"/>
      <c r="F97" s="31"/>
      <c r="G97" s="31"/>
      <c r="H97" s="31"/>
      <c r="I97" s="47"/>
      <c r="J97" s="31"/>
      <c r="K97" s="47"/>
      <c r="L97" s="47"/>
      <c r="M97" s="47"/>
      <c r="N97" s="31"/>
      <c r="O97" s="47"/>
      <c r="P97" s="31"/>
      <c r="Q97" s="31"/>
      <c r="R97" s="31"/>
      <c r="S97" s="31"/>
      <c r="T97" s="270">
        <f t="shared" si="8"/>
        <v>0</v>
      </c>
      <c r="U97" s="270">
        <f t="shared" si="9"/>
        <v>0</v>
      </c>
      <c r="V97" s="31"/>
      <c r="X97" s="240" t="str">
        <f t="shared" si="10"/>
        <v>OK</v>
      </c>
      <c r="Y97" s="240" t="str">
        <f t="shared" si="11"/>
        <v>OK</v>
      </c>
      <c r="Z97" s="240" t="str">
        <f t="shared" si="12"/>
        <v>OK</v>
      </c>
      <c r="AA97" s="240" t="str" cm="1">
        <f t="array" ref="AA97">IF(OR(AND(J97="Not accepted",N97:O97&lt;&gt;"",$S97=""),AND(J97="Accepted",S97="")),"ERROR","OK")</f>
        <v>OK</v>
      </c>
      <c r="AB97" s="240" t="str">
        <f t="shared" si="13"/>
        <v>OK</v>
      </c>
      <c r="AC97" s="240" t="str" cm="1">
        <f t="array" ref="AC97">IF(AND(F97:H97&lt;&gt;"",I97=""),"ERROR","OK")</f>
        <v>OK</v>
      </c>
      <c r="AD97" s="240" t="str">
        <f t="shared" si="14"/>
        <v>OK</v>
      </c>
      <c r="AE97" s="240" t="str">
        <f t="shared" si="15"/>
        <v>OK</v>
      </c>
      <c r="AF97" s="240" t="str" cm="1">
        <f t="array" aca="1" ref="AF97" ca="1" xml:space="preserve">
IF(AND($G97&lt;&gt;"",$F97=""),"ERROR",
IF(OR($F97:$G97="",AND($G97="",$F97&lt;&gt;"")),"OK",
IF(COUNTIF(INDIRECT(IFERROR(LEFT($F97,FIND(" ",$F97)-1),$F97)), $G97)&gt;0, "OK", "ERROR")))</f>
        <v>OK</v>
      </c>
    </row>
    <row r="98" spans="1:32" s="240" customFormat="1">
      <c r="A98" s="48"/>
      <c r="B98" s="31"/>
      <c r="C98" s="48"/>
      <c r="D98" s="47"/>
      <c r="E98" s="47"/>
      <c r="F98" s="31"/>
      <c r="G98" s="31"/>
      <c r="H98" s="31"/>
      <c r="I98" s="47"/>
      <c r="J98" s="31"/>
      <c r="K98" s="47"/>
      <c r="L98" s="47"/>
      <c r="M98" s="47"/>
      <c r="N98" s="31"/>
      <c r="O98" s="47"/>
      <c r="P98" s="31"/>
      <c r="Q98" s="31"/>
      <c r="R98" s="31"/>
      <c r="S98" s="31"/>
      <c r="T98" s="270">
        <f t="shared" si="8"/>
        <v>0</v>
      </c>
      <c r="U98" s="270">
        <f t="shared" si="9"/>
        <v>0</v>
      </c>
      <c r="V98" s="31"/>
      <c r="X98" s="240" t="str">
        <f t="shared" si="10"/>
        <v>OK</v>
      </c>
      <c r="Y98" s="240" t="str">
        <f t="shared" si="11"/>
        <v>OK</v>
      </c>
      <c r="Z98" s="240" t="str">
        <f t="shared" si="12"/>
        <v>OK</v>
      </c>
      <c r="AA98" s="240" t="str" cm="1">
        <f t="array" ref="AA98">IF(OR(AND(J98="Not accepted",N98:O98&lt;&gt;"",$S98=""),AND(J98="Accepted",S98="")),"ERROR","OK")</f>
        <v>OK</v>
      </c>
      <c r="AB98" s="240" t="str">
        <f t="shared" si="13"/>
        <v>OK</v>
      </c>
      <c r="AC98" s="240" t="str" cm="1">
        <f t="array" ref="AC98">IF(AND(F98:H98&lt;&gt;"",I98=""),"ERROR","OK")</f>
        <v>OK</v>
      </c>
      <c r="AD98" s="240" t="str">
        <f t="shared" si="14"/>
        <v>OK</v>
      </c>
      <c r="AE98" s="240" t="str">
        <f t="shared" si="15"/>
        <v>OK</v>
      </c>
      <c r="AF98" s="240" t="str" cm="1">
        <f t="array" aca="1" ref="AF98" ca="1" xml:space="preserve">
IF(AND($G98&lt;&gt;"",$F98=""),"ERROR",
IF(OR($F98:$G98="",AND($G98="",$F98&lt;&gt;"")),"OK",
IF(COUNTIF(INDIRECT(IFERROR(LEFT($F98,FIND(" ",$F98)-1),$F98)), $G98)&gt;0, "OK", "ERROR")))</f>
        <v>OK</v>
      </c>
    </row>
    <row r="99" spans="1:32" s="240" customFormat="1">
      <c r="A99" s="48"/>
      <c r="B99" s="31"/>
      <c r="C99" s="48"/>
      <c r="D99" s="47"/>
      <c r="E99" s="47"/>
      <c r="F99" s="31"/>
      <c r="G99" s="31"/>
      <c r="H99" s="31"/>
      <c r="I99" s="47"/>
      <c r="J99" s="31"/>
      <c r="K99" s="47"/>
      <c r="L99" s="47"/>
      <c r="M99" s="47"/>
      <c r="N99" s="31"/>
      <c r="O99" s="47"/>
      <c r="P99" s="31"/>
      <c r="Q99" s="31"/>
      <c r="R99" s="31"/>
      <c r="S99" s="31"/>
      <c r="T99" s="270">
        <f t="shared" si="8"/>
        <v>0</v>
      </c>
      <c r="U99" s="270">
        <f t="shared" si="9"/>
        <v>0</v>
      </c>
      <c r="V99" s="31"/>
      <c r="X99" s="240" t="str">
        <f t="shared" si="10"/>
        <v>OK</v>
      </c>
      <c r="Y99" s="240" t="str">
        <f t="shared" si="11"/>
        <v>OK</v>
      </c>
      <c r="Z99" s="240" t="str">
        <f t="shared" si="12"/>
        <v>OK</v>
      </c>
      <c r="AA99" s="240" t="str" cm="1">
        <f t="array" ref="AA99">IF(OR(AND(J99="Not accepted",N99:O99&lt;&gt;"",$S99=""),AND(J99="Accepted",S99="")),"ERROR","OK")</f>
        <v>OK</v>
      </c>
      <c r="AB99" s="240" t="str">
        <f t="shared" si="13"/>
        <v>OK</v>
      </c>
      <c r="AC99" s="240" t="str" cm="1">
        <f t="array" ref="AC99">IF(AND(F99:H99&lt;&gt;"",I99=""),"ERROR","OK")</f>
        <v>OK</v>
      </c>
      <c r="AD99" s="240" t="str">
        <f t="shared" si="14"/>
        <v>OK</v>
      </c>
      <c r="AE99" s="240" t="str">
        <f t="shared" si="15"/>
        <v>OK</v>
      </c>
      <c r="AF99" s="240" t="str" cm="1">
        <f t="array" aca="1" ref="AF99" ca="1" xml:space="preserve">
IF(AND($G99&lt;&gt;"",$F99=""),"ERROR",
IF(OR($F99:$G99="",AND($G99="",$F99&lt;&gt;"")),"OK",
IF(COUNTIF(INDIRECT(IFERROR(LEFT($F99,FIND(" ",$F99)-1),$F99)), $G99)&gt;0, "OK", "ERROR")))</f>
        <v>OK</v>
      </c>
    </row>
    <row r="100" spans="1:32" s="240" customFormat="1">
      <c r="A100" s="48"/>
      <c r="B100" s="31"/>
      <c r="C100" s="48"/>
      <c r="D100" s="47"/>
      <c r="E100" s="47"/>
      <c r="F100" s="31"/>
      <c r="G100" s="31"/>
      <c r="H100" s="31"/>
      <c r="I100" s="47"/>
      <c r="J100" s="31"/>
      <c r="K100" s="47"/>
      <c r="L100" s="47"/>
      <c r="M100" s="47"/>
      <c r="N100" s="31"/>
      <c r="O100" s="47"/>
      <c r="P100" s="31"/>
      <c r="Q100" s="31"/>
      <c r="R100" s="31"/>
      <c r="S100" s="31"/>
      <c r="T100" s="270">
        <f t="shared" si="8"/>
        <v>0</v>
      </c>
      <c r="U100" s="270">
        <f t="shared" si="9"/>
        <v>0</v>
      </c>
      <c r="V100" s="31"/>
      <c r="X100" s="240" t="str">
        <f t="shared" si="10"/>
        <v>OK</v>
      </c>
      <c r="Y100" s="240" t="str">
        <f t="shared" si="11"/>
        <v>OK</v>
      </c>
      <c r="Z100" s="240" t="str">
        <f t="shared" si="12"/>
        <v>OK</v>
      </c>
      <c r="AA100" s="240" t="str" cm="1">
        <f t="array" ref="AA100">IF(OR(AND(J100="Not accepted",N100:O100&lt;&gt;"",$S100=""),AND(J100="Accepted",S100="")),"ERROR","OK")</f>
        <v>OK</v>
      </c>
      <c r="AB100" s="240" t="str">
        <f t="shared" si="13"/>
        <v>OK</v>
      </c>
      <c r="AC100" s="240" t="str" cm="1">
        <f t="array" ref="AC100">IF(AND(F100:H100&lt;&gt;"",I100=""),"ERROR","OK")</f>
        <v>OK</v>
      </c>
      <c r="AD100" s="240" t="str">
        <f t="shared" si="14"/>
        <v>OK</v>
      </c>
      <c r="AE100" s="240" t="str">
        <f t="shared" si="15"/>
        <v>OK</v>
      </c>
      <c r="AF100" s="240" t="str" cm="1">
        <f t="array" aca="1" ref="AF100" ca="1" xml:space="preserve">
IF(AND($G100&lt;&gt;"",$F100=""),"ERROR",
IF(OR($F100:$G100="",AND($G100="",$F100&lt;&gt;"")),"OK",
IF(COUNTIF(INDIRECT(IFERROR(LEFT($F100,FIND(" ",$F100)-1),$F100)), $G100)&gt;0, "OK", "ERROR")))</f>
        <v>OK</v>
      </c>
    </row>
    <row r="101" spans="1:32" s="240" customFormat="1">
      <c r="A101" s="48"/>
      <c r="B101" s="31"/>
      <c r="C101" s="48"/>
      <c r="D101" s="47"/>
      <c r="E101" s="47"/>
      <c r="F101" s="31"/>
      <c r="G101" s="31"/>
      <c r="H101" s="31"/>
      <c r="I101" s="47"/>
      <c r="J101" s="31"/>
      <c r="K101" s="47"/>
      <c r="L101" s="47"/>
      <c r="M101" s="47"/>
      <c r="N101" s="31"/>
      <c r="O101" s="47"/>
      <c r="P101" s="31"/>
      <c r="Q101" s="31"/>
      <c r="R101" s="31"/>
      <c r="S101" s="31"/>
      <c r="T101" s="270">
        <f t="shared" si="8"/>
        <v>0</v>
      </c>
      <c r="U101" s="270">
        <f t="shared" si="9"/>
        <v>0</v>
      </c>
      <c r="V101" s="31"/>
      <c r="X101" s="240" t="str">
        <f t="shared" si="10"/>
        <v>OK</v>
      </c>
      <c r="Y101" s="240" t="str">
        <f t="shared" si="11"/>
        <v>OK</v>
      </c>
      <c r="Z101" s="240" t="str">
        <f t="shared" si="12"/>
        <v>OK</v>
      </c>
      <c r="AA101" s="240" t="str" cm="1">
        <f t="array" ref="AA101">IF(OR(AND(J101="Not accepted",N101:O101&lt;&gt;"",$S101=""),AND(J101="Accepted",S101="")),"ERROR","OK")</f>
        <v>OK</v>
      </c>
      <c r="AB101" s="240" t="str">
        <f t="shared" si="13"/>
        <v>OK</v>
      </c>
      <c r="AC101" s="240" t="str" cm="1">
        <f t="array" ref="AC101">IF(AND(F101:H101&lt;&gt;"",I101=""),"ERROR","OK")</f>
        <v>OK</v>
      </c>
      <c r="AD101" s="240" t="str">
        <f t="shared" si="14"/>
        <v>OK</v>
      </c>
      <c r="AE101" s="240" t="str">
        <f t="shared" si="15"/>
        <v>OK</v>
      </c>
      <c r="AF101" s="240" t="str" cm="1">
        <f t="array" aca="1" ref="AF101" ca="1" xml:space="preserve">
IF(AND($G101&lt;&gt;"",$F101=""),"ERROR",
IF(OR($F101:$G101="",AND($G101="",$F101&lt;&gt;"")),"OK",
IF(COUNTIF(INDIRECT(IFERROR(LEFT($F101,FIND(" ",$F101)-1),$F101)), $G101)&gt;0, "OK", "ERROR")))</f>
        <v>OK</v>
      </c>
    </row>
    <row r="102" spans="1:32" s="240" customFormat="1">
      <c r="A102" s="48"/>
      <c r="B102" s="31"/>
      <c r="C102" s="48"/>
      <c r="D102" s="47"/>
      <c r="E102" s="47"/>
      <c r="F102" s="31"/>
      <c r="G102" s="31"/>
      <c r="H102" s="31"/>
      <c r="I102" s="47"/>
      <c r="J102" s="31"/>
      <c r="K102" s="47"/>
      <c r="L102" s="47"/>
      <c r="M102" s="47"/>
      <c r="N102" s="31"/>
      <c r="O102" s="47"/>
      <c r="P102" s="31"/>
      <c r="Q102" s="31"/>
      <c r="R102" s="31"/>
      <c r="S102" s="31"/>
      <c r="T102" s="270">
        <f t="shared" si="8"/>
        <v>0</v>
      </c>
      <c r="U102" s="270">
        <f t="shared" si="9"/>
        <v>0</v>
      </c>
      <c r="V102" s="31"/>
      <c r="X102" s="240" t="str">
        <f t="shared" si="10"/>
        <v>OK</v>
      </c>
      <c r="Y102" s="240" t="str">
        <f t="shared" si="11"/>
        <v>OK</v>
      </c>
      <c r="Z102" s="240" t="str">
        <f t="shared" si="12"/>
        <v>OK</v>
      </c>
      <c r="AA102" s="240" t="str" cm="1">
        <f t="array" ref="AA102">IF(OR(AND(J102="Not accepted",N102:O102&lt;&gt;"",$S102=""),AND(J102="Accepted",S102="")),"ERROR","OK")</f>
        <v>OK</v>
      </c>
      <c r="AB102" s="240" t="str">
        <f t="shared" si="13"/>
        <v>OK</v>
      </c>
      <c r="AC102" s="240" t="str" cm="1">
        <f t="array" ref="AC102">IF(AND(F102:H102&lt;&gt;"",I102=""),"ERROR","OK")</f>
        <v>OK</v>
      </c>
      <c r="AD102" s="240" t="str">
        <f t="shared" si="14"/>
        <v>OK</v>
      </c>
      <c r="AE102" s="240" t="str">
        <f t="shared" si="15"/>
        <v>OK</v>
      </c>
      <c r="AF102" s="240" t="str" cm="1">
        <f t="array" aca="1" ref="AF102" ca="1" xml:space="preserve">
IF(AND($G102&lt;&gt;"",$F102=""),"ERROR",
IF(OR($F102:$G102="",AND($G102="",$F102&lt;&gt;"")),"OK",
IF(COUNTIF(INDIRECT(IFERROR(LEFT($F102,FIND(" ",$F102)-1),$F102)), $G102)&gt;0, "OK", "ERROR")))</f>
        <v>OK</v>
      </c>
    </row>
    <row r="103" spans="1:32" s="240" customFormat="1">
      <c r="A103" s="48"/>
      <c r="B103" s="31"/>
      <c r="C103" s="48"/>
      <c r="D103" s="47"/>
      <c r="E103" s="47"/>
      <c r="F103" s="31"/>
      <c r="G103" s="31"/>
      <c r="H103" s="31"/>
      <c r="I103" s="47"/>
      <c r="J103" s="31"/>
      <c r="K103" s="47"/>
      <c r="L103" s="47"/>
      <c r="M103" s="47"/>
      <c r="N103" s="31"/>
      <c r="O103" s="47"/>
      <c r="P103" s="31"/>
      <c r="Q103" s="31"/>
      <c r="R103" s="31"/>
      <c r="S103" s="31"/>
      <c r="T103" s="270">
        <f t="shared" si="8"/>
        <v>0</v>
      </c>
      <c r="U103" s="270">
        <f t="shared" si="9"/>
        <v>0</v>
      </c>
      <c r="V103" s="31"/>
      <c r="X103" s="240" t="str">
        <f t="shared" si="10"/>
        <v>OK</v>
      </c>
      <c r="Y103" s="240" t="str">
        <f t="shared" si="11"/>
        <v>OK</v>
      </c>
      <c r="Z103" s="240" t="str">
        <f t="shared" si="12"/>
        <v>OK</v>
      </c>
      <c r="AA103" s="240" t="str" cm="1">
        <f t="array" ref="AA103">IF(OR(AND(J103="Not accepted",N103:O103&lt;&gt;"",$S103=""),AND(J103="Accepted",S103="")),"ERROR","OK")</f>
        <v>OK</v>
      </c>
      <c r="AB103" s="240" t="str">
        <f t="shared" si="13"/>
        <v>OK</v>
      </c>
      <c r="AC103" s="240" t="str" cm="1">
        <f t="array" ref="AC103">IF(AND(F103:H103&lt;&gt;"",I103=""),"ERROR","OK")</f>
        <v>OK</v>
      </c>
      <c r="AD103" s="240" t="str">
        <f t="shared" si="14"/>
        <v>OK</v>
      </c>
      <c r="AE103" s="240" t="str">
        <f t="shared" si="15"/>
        <v>OK</v>
      </c>
      <c r="AF103" s="240" t="str" cm="1">
        <f t="array" aca="1" ref="AF103" ca="1" xml:space="preserve">
IF(AND($G103&lt;&gt;"",$F103=""),"ERROR",
IF(OR($F103:$G103="",AND($G103="",$F103&lt;&gt;"")),"OK",
IF(COUNTIF(INDIRECT(IFERROR(LEFT($F103,FIND(" ",$F103)-1),$F103)), $G103)&gt;0, "OK", "ERROR")))</f>
        <v>OK</v>
      </c>
    </row>
    <row r="104" spans="1:32" s="240" customFormat="1">
      <c r="A104" s="48"/>
      <c r="B104" s="31"/>
      <c r="C104" s="48"/>
      <c r="D104" s="47"/>
      <c r="E104" s="47"/>
      <c r="F104" s="31"/>
      <c r="G104" s="31"/>
      <c r="H104" s="31"/>
      <c r="I104" s="47"/>
      <c r="J104" s="31"/>
      <c r="K104" s="47"/>
      <c r="L104" s="47"/>
      <c r="M104" s="47"/>
      <c r="N104" s="31"/>
      <c r="O104" s="47"/>
      <c r="P104" s="31"/>
      <c r="Q104" s="31"/>
      <c r="R104" s="31"/>
      <c r="S104" s="31"/>
      <c r="T104" s="270">
        <f t="shared" si="8"/>
        <v>0</v>
      </c>
      <c r="U104" s="270">
        <f t="shared" si="9"/>
        <v>0</v>
      </c>
      <c r="V104" s="31"/>
      <c r="X104" s="240" t="str">
        <f t="shared" si="10"/>
        <v>OK</v>
      </c>
      <c r="Y104" s="240" t="str">
        <f t="shared" si="11"/>
        <v>OK</v>
      </c>
      <c r="Z104" s="240" t="str">
        <f t="shared" si="12"/>
        <v>OK</v>
      </c>
      <c r="AA104" s="240" t="str" cm="1">
        <f t="array" ref="AA104">IF(OR(AND(J104="Not accepted",N104:O104&lt;&gt;"",$S104=""),AND(J104="Accepted",S104="")),"ERROR","OK")</f>
        <v>OK</v>
      </c>
      <c r="AB104" s="240" t="str">
        <f t="shared" si="13"/>
        <v>OK</v>
      </c>
      <c r="AC104" s="240" t="str" cm="1">
        <f t="array" ref="AC104">IF(AND(F104:H104&lt;&gt;"",I104=""),"ERROR","OK")</f>
        <v>OK</v>
      </c>
      <c r="AD104" s="240" t="str">
        <f t="shared" si="14"/>
        <v>OK</v>
      </c>
      <c r="AE104" s="240" t="str">
        <f t="shared" si="15"/>
        <v>OK</v>
      </c>
      <c r="AF104" s="240" t="str" cm="1">
        <f t="array" aca="1" ref="AF104" ca="1" xml:space="preserve">
IF(AND($G104&lt;&gt;"",$F104=""),"ERROR",
IF(OR($F104:$G104="",AND($G104="",$F104&lt;&gt;"")),"OK",
IF(COUNTIF(INDIRECT(IFERROR(LEFT($F104,FIND(" ",$F104)-1),$F104)), $G104)&gt;0, "OK", "ERROR")))</f>
        <v>OK</v>
      </c>
    </row>
    <row r="105" spans="1:32" s="240" customFormat="1">
      <c r="A105" s="48"/>
      <c r="B105" s="31"/>
      <c r="C105" s="48"/>
      <c r="D105" s="47"/>
      <c r="E105" s="47"/>
      <c r="F105" s="31"/>
      <c r="G105" s="31"/>
      <c r="H105" s="31"/>
      <c r="I105" s="47"/>
      <c r="J105" s="31"/>
      <c r="K105" s="47"/>
      <c r="L105" s="47"/>
      <c r="M105" s="47"/>
      <c r="N105" s="31"/>
      <c r="O105" s="47"/>
      <c r="P105" s="31"/>
      <c r="Q105" s="31"/>
      <c r="R105" s="31"/>
      <c r="S105" s="31"/>
      <c r="T105" s="270">
        <f t="shared" si="8"/>
        <v>0</v>
      </c>
      <c r="U105" s="270">
        <f t="shared" si="9"/>
        <v>0</v>
      </c>
      <c r="V105" s="31"/>
      <c r="X105" s="240" t="str">
        <f t="shared" si="10"/>
        <v>OK</v>
      </c>
      <c r="Y105" s="240" t="str">
        <f t="shared" si="11"/>
        <v>OK</v>
      </c>
      <c r="Z105" s="240" t="str">
        <f t="shared" si="12"/>
        <v>OK</v>
      </c>
      <c r="AA105" s="240" t="str" cm="1">
        <f t="array" ref="AA105">IF(OR(AND(J105="Not accepted",N105:O105&lt;&gt;"",$S105=""),AND(J105="Accepted",S105="")),"ERROR","OK")</f>
        <v>OK</v>
      </c>
      <c r="AB105" s="240" t="str">
        <f t="shared" si="13"/>
        <v>OK</v>
      </c>
      <c r="AC105" s="240" t="str" cm="1">
        <f t="array" ref="AC105">IF(AND(F105:H105&lt;&gt;"",I105=""),"ERROR","OK")</f>
        <v>OK</v>
      </c>
      <c r="AD105" s="240" t="str">
        <f t="shared" si="14"/>
        <v>OK</v>
      </c>
      <c r="AE105" s="240" t="str">
        <f t="shared" si="15"/>
        <v>OK</v>
      </c>
      <c r="AF105" s="240" t="str" cm="1">
        <f t="array" aca="1" ref="AF105" ca="1" xml:space="preserve">
IF(AND($G105&lt;&gt;"",$F105=""),"ERROR",
IF(OR($F105:$G105="",AND($G105="",$F105&lt;&gt;"")),"OK",
IF(COUNTIF(INDIRECT(IFERROR(LEFT($F105,FIND(" ",$F105)-1),$F105)), $G105)&gt;0, "OK", "ERROR")))</f>
        <v>OK</v>
      </c>
    </row>
    <row r="106" spans="1:32" s="240" customFormat="1">
      <c r="A106" s="48"/>
      <c r="B106" s="31"/>
      <c r="C106" s="48"/>
      <c r="D106" s="47"/>
      <c r="E106" s="47"/>
      <c r="F106" s="31"/>
      <c r="G106" s="31"/>
      <c r="H106" s="31"/>
      <c r="I106" s="47"/>
      <c r="J106" s="31"/>
      <c r="K106" s="47"/>
      <c r="L106" s="47"/>
      <c r="M106" s="47"/>
      <c r="N106" s="31"/>
      <c r="O106" s="47"/>
      <c r="P106" s="31"/>
      <c r="Q106" s="31"/>
      <c r="R106" s="31"/>
      <c r="S106" s="31"/>
      <c r="T106" s="270">
        <f t="shared" si="8"/>
        <v>0</v>
      </c>
      <c r="U106" s="270">
        <f t="shared" si="9"/>
        <v>0</v>
      </c>
      <c r="V106" s="31"/>
      <c r="X106" s="240" t="str">
        <f t="shared" si="10"/>
        <v>OK</v>
      </c>
      <c r="Y106" s="240" t="str">
        <f t="shared" si="11"/>
        <v>OK</v>
      </c>
      <c r="Z106" s="240" t="str">
        <f t="shared" si="12"/>
        <v>OK</v>
      </c>
      <c r="AA106" s="240" t="str" cm="1">
        <f t="array" ref="AA106">IF(OR(AND(J106="Not accepted",N106:O106&lt;&gt;"",$S106=""),AND(J106="Accepted",S106="")),"ERROR","OK")</f>
        <v>OK</v>
      </c>
      <c r="AB106" s="240" t="str">
        <f t="shared" si="13"/>
        <v>OK</v>
      </c>
      <c r="AC106" s="240" t="str" cm="1">
        <f t="array" ref="AC106">IF(AND(F106:H106&lt;&gt;"",I106=""),"ERROR","OK")</f>
        <v>OK</v>
      </c>
      <c r="AD106" s="240" t="str">
        <f t="shared" si="14"/>
        <v>OK</v>
      </c>
      <c r="AE106" s="240" t="str">
        <f t="shared" si="15"/>
        <v>OK</v>
      </c>
      <c r="AF106" s="240" t="str" cm="1">
        <f t="array" aca="1" ref="AF106" ca="1" xml:space="preserve">
IF(AND($G106&lt;&gt;"",$F106=""),"ERROR",
IF(OR($F106:$G106="",AND($G106="",$F106&lt;&gt;"")),"OK",
IF(COUNTIF(INDIRECT(IFERROR(LEFT($F106,FIND(" ",$F106)-1),$F106)), $G106)&gt;0, "OK", "ERROR")))</f>
        <v>OK</v>
      </c>
    </row>
    <row r="107" spans="1:32" s="240" customFormat="1">
      <c r="A107" s="48"/>
      <c r="B107" s="31"/>
      <c r="C107" s="48"/>
      <c r="D107" s="47"/>
      <c r="E107" s="47"/>
      <c r="F107" s="31"/>
      <c r="G107" s="31"/>
      <c r="H107" s="31"/>
      <c r="I107" s="47"/>
      <c r="J107" s="31"/>
      <c r="K107" s="47"/>
      <c r="L107" s="47"/>
      <c r="M107" s="47"/>
      <c r="N107" s="31"/>
      <c r="O107" s="47"/>
      <c r="P107" s="31"/>
      <c r="Q107" s="31"/>
      <c r="R107" s="31"/>
      <c r="S107" s="31"/>
      <c r="T107" s="270">
        <f t="shared" si="8"/>
        <v>0</v>
      </c>
      <c r="U107" s="270">
        <f t="shared" si="9"/>
        <v>0</v>
      </c>
      <c r="V107" s="31"/>
      <c r="X107" s="240" t="str">
        <f t="shared" si="10"/>
        <v>OK</v>
      </c>
      <c r="Y107" s="240" t="str">
        <f t="shared" si="11"/>
        <v>OK</v>
      </c>
      <c r="Z107" s="240" t="str">
        <f t="shared" si="12"/>
        <v>OK</v>
      </c>
      <c r="AA107" s="240" t="str" cm="1">
        <f t="array" ref="AA107">IF(OR(AND(J107="Not accepted",N107:O107&lt;&gt;"",$S107=""),AND(J107="Accepted",S107="")),"ERROR","OK")</f>
        <v>OK</v>
      </c>
      <c r="AB107" s="240" t="str">
        <f t="shared" si="13"/>
        <v>OK</v>
      </c>
      <c r="AC107" s="240" t="str" cm="1">
        <f t="array" ref="AC107">IF(AND(F107:H107&lt;&gt;"",I107=""),"ERROR","OK")</f>
        <v>OK</v>
      </c>
      <c r="AD107" s="240" t="str">
        <f t="shared" si="14"/>
        <v>OK</v>
      </c>
      <c r="AE107" s="240" t="str">
        <f t="shared" si="15"/>
        <v>OK</v>
      </c>
      <c r="AF107" s="240" t="str" cm="1">
        <f t="array" aca="1" ref="AF107" ca="1" xml:space="preserve">
IF(AND($G107&lt;&gt;"",$F107=""),"ERROR",
IF(OR($F107:$G107="",AND($G107="",$F107&lt;&gt;"")),"OK",
IF(COUNTIF(INDIRECT(IFERROR(LEFT($F107,FIND(" ",$F107)-1),$F107)), $G107)&gt;0, "OK", "ERROR")))</f>
        <v>OK</v>
      </c>
    </row>
    <row r="108" spans="1:32" s="240" customFormat="1">
      <c r="A108" s="48"/>
      <c r="B108" s="31"/>
      <c r="C108" s="48"/>
      <c r="D108" s="47"/>
      <c r="E108" s="47"/>
      <c r="F108" s="31"/>
      <c r="G108" s="31"/>
      <c r="H108" s="31"/>
      <c r="I108" s="47"/>
      <c r="J108" s="31"/>
      <c r="K108" s="47"/>
      <c r="L108" s="47"/>
      <c r="M108" s="47"/>
      <c r="N108" s="31"/>
      <c r="O108" s="47"/>
      <c r="P108" s="31"/>
      <c r="Q108" s="31"/>
      <c r="R108" s="31"/>
      <c r="S108" s="31"/>
      <c r="T108" s="270">
        <f t="shared" si="8"/>
        <v>0</v>
      </c>
      <c r="U108" s="270">
        <f t="shared" si="9"/>
        <v>0</v>
      </c>
      <c r="V108" s="31"/>
      <c r="X108" s="240" t="str">
        <f t="shared" si="10"/>
        <v>OK</v>
      </c>
      <c r="Y108" s="240" t="str">
        <f t="shared" si="11"/>
        <v>OK</v>
      </c>
      <c r="Z108" s="240" t="str">
        <f t="shared" si="12"/>
        <v>OK</v>
      </c>
      <c r="AA108" s="240" t="str" cm="1">
        <f t="array" ref="AA108">IF(OR(AND(J108="Not accepted",N108:O108&lt;&gt;"",$S108=""),AND(J108="Accepted",S108="")),"ERROR","OK")</f>
        <v>OK</v>
      </c>
      <c r="AB108" s="240" t="str">
        <f t="shared" si="13"/>
        <v>OK</v>
      </c>
      <c r="AC108" s="240" t="str" cm="1">
        <f t="array" ref="AC108">IF(AND(F108:H108&lt;&gt;"",I108=""),"ERROR","OK")</f>
        <v>OK</v>
      </c>
      <c r="AD108" s="240" t="str">
        <f t="shared" si="14"/>
        <v>OK</v>
      </c>
      <c r="AE108" s="240" t="str">
        <f t="shared" si="15"/>
        <v>OK</v>
      </c>
      <c r="AF108" s="240" t="str" cm="1">
        <f t="array" aca="1" ref="AF108" ca="1" xml:space="preserve">
IF(AND($G108&lt;&gt;"",$F108=""),"ERROR",
IF(OR($F108:$G108="",AND($G108="",$F108&lt;&gt;"")),"OK",
IF(COUNTIF(INDIRECT(IFERROR(LEFT($F108,FIND(" ",$F108)-1),$F108)), $G108)&gt;0, "OK", "ERROR")))</f>
        <v>OK</v>
      </c>
    </row>
    <row r="109" spans="1:32" s="240" customFormat="1">
      <c r="A109" s="48"/>
      <c r="B109" s="31"/>
      <c r="C109" s="48"/>
      <c r="D109" s="47"/>
      <c r="E109" s="47"/>
      <c r="F109" s="31"/>
      <c r="G109" s="31"/>
      <c r="H109" s="31"/>
      <c r="I109" s="47"/>
      <c r="J109" s="31"/>
      <c r="K109" s="47"/>
      <c r="L109" s="47"/>
      <c r="M109" s="47"/>
      <c r="N109" s="31"/>
      <c r="O109" s="47"/>
      <c r="P109" s="31"/>
      <c r="Q109" s="31"/>
      <c r="R109" s="31"/>
      <c r="S109" s="31"/>
      <c r="T109" s="270">
        <f t="shared" si="8"/>
        <v>0</v>
      </c>
      <c r="U109" s="270">
        <f t="shared" si="9"/>
        <v>0</v>
      </c>
      <c r="V109" s="31"/>
      <c r="X109" s="240" t="str">
        <f t="shared" si="10"/>
        <v>OK</v>
      </c>
      <c r="Y109" s="240" t="str">
        <f t="shared" si="11"/>
        <v>OK</v>
      </c>
      <c r="Z109" s="240" t="str">
        <f t="shared" si="12"/>
        <v>OK</v>
      </c>
      <c r="AA109" s="240" t="str" cm="1">
        <f t="array" ref="AA109">IF(OR(AND(J109="Not accepted",N109:O109&lt;&gt;"",$S109=""),AND(J109="Accepted",S109="")),"ERROR","OK")</f>
        <v>OK</v>
      </c>
      <c r="AB109" s="240" t="str">
        <f t="shared" si="13"/>
        <v>OK</v>
      </c>
      <c r="AC109" s="240" t="str" cm="1">
        <f t="array" ref="AC109">IF(AND(F109:H109&lt;&gt;"",I109=""),"ERROR","OK")</f>
        <v>OK</v>
      </c>
      <c r="AD109" s="240" t="str">
        <f t="shared" si="14"/>
        <v>OK</v>
      </c>
      <c r="AE109" s="240" t="str">
        <f t="shared" si="15"/>
        <v>OK</v>
      </c>
      <c r="AF109" s="240" t="str" cm="1">
        <f t="array" aca="1" ref="AF109" ca="1" xml:space="preserve">
IF(AND($G109&lt;&gt;"",$F109=""),"ERROR",
IF(OR($F109:$G109="",AND($G109="",$F109&lt;&gt;"")),"OK",
IF(COUNTIF(INDIRECT(IFERROR(LEFT($F109,FIND(" ",$F109)-1),$F109)), $G109)&gt;0, "OK", "ERROR")))</f>
        <v>OK</v>
      </c>
    </row>
    <row r="110" spans="1:32" s="240" customFormat="1">
      <c r="A110" s="48"/>
      <c r="B110" s="31"/>
      <c r="C110" s="48"/>
      <c r="D110" s="47"/>
      <c r="E110" s="47"/>
      <c r="F110" s="31"/>
      <c r="G110" s="31"/>
      <c r="H110" s="31"/>
      <c r="I110" s="47"/>
      <c r="J110" s="31"/>
      <c r="K110" s="47"/>
      <c r="L110" s="47"/>
      <c r="M110" s="47"/>
      <c r="N110" s="31"/>
      <c r="O110" s="47"/>
      <c r="P110" s="31"/>
      <c r="Q110" s="31"/>
      <c r="R110" s="31"/>
      <c r="S110" s="31"/>
      <c r="T110" s="270">
        <f t="shared" si="8"/>
        <v>0</v>
      </c>
      <c r="U110" s="270">
        <f t="shared" si="9"/>
        <v>0</v>
      </c>
      <c r="V110" s="31"/>
      <c r="X110" s="240" t="str">
        <f t="shared" si="10"/>
        <v>OK</v>
      </c>
      <c r="Y110" s="240" t="str">
        <f t="shared" si="11"/>
        <v>OK</v>
      </c>
      <c r="Z110" s="240" t="str">
        <f t="shared" si="12"/>
        <v>OK</v>
      </c>
      <c r="AA110" s="240" t="str" cm="1">
        <f t="array" ref="AA110">IF(OR(AND(J110="Not accepted",N110:O110&lt;&gt;"",$S110=""),AND(J110="Accepted",S110="")),"ERROR","OK")</f>
        <v>OK</v>
      </c>
      <c r="AB110" s="240" t="str">
        <f t="shared" si="13"/>
        <v>OK</v>
      </c>
      <c r="AC110" s="240" t="str" cm="1">
        <f t="array" ref="AC110">IF(AND(F110:H110&lt;&gt;"",I110=""),"ERROR","OK")</f>
        <v>OK</v>
      </c>
      <c r="AD110" s="240" t="str">
        <f t="shared" si="14"/>
        <v>OK</v>
      </c>
      <c r="AE110" s="240" t="str">
        <f t="shared" si="15"/>
        <v>OK</v>
      </c>
      <c r="AF110" s="240" t="str" cm="1">
        <f t="array" aca="1" ref="AF110" ca="1" xml:space="preserve">
IF(AND($G110&lt;&gt;"",$F110=""),"ERROR",
IF(OR($F110:$G110="",AND($G110="",$F110&lt;&gt;"")),"OK",
IF(COUNTIF(INDIRECT(IFERROR(LEFT($F110,FIND(" ",$F110)-1),$F110)), $G110)&gt;0, "OK", "ERROR")))</f>
        <v>OK</v>
      </c>
    </row>
    <row r="111" spans="1:32" s="240" customFormat="1">
      <c r="A111" s="48"/>
      <c r="B111" s="31"/>
      <c r="C111" s="48"/>
      <c r="D111" s="47"/>
      <c r="E111" s="47"/>
      <c r="F111" s="31"/>
      <c r="G111" s="31"/>
      <c r="H111" s="31"/>
      <c r="I111" s="47"/>
      <c r="J111" s="31"/>
      <c r="K111" s="47"/>
      <c r="L111" s="47"/>
      <c r="M111" s="47"/>
      <c r="N111" s="31"/>
      <c r="O111" s="47"/>
      <c r="P111" s="31"/>
      <c r="Q111" s="31"/>
      <c r="R111" s="31"/>
      <c r="S111" s="31"/>
      <c r="T111" s="270">
        <f t="shared" si="8"/>
        <v>0</v>
      </c>
      <c r="U111" s="270">
        <f t="shared" si="9"/>
        <v>0</v>
      </c>
      <c r="V111" s="31"/>
      <c r="X111" s="240" t="str">
        <f t="shared" si="10"/>
        <v>OK</v>
      </c>
      <c r="Y111" s="240" t="str">
        <f t="shared" si="11"/>
        <v>OK</v>
      </c>
      <c r="Z111" s="240" t="str">
        <f t="shared" si="12"/>
        <v>OK</v>
      </c>
      <c r="AA111" s="240" t="str" cm="1">
        <f t="array" ref="AA111">IF(OR(AND(J111="Not accepted",N111:O111&lt;&gt;"",$S111=""),AND(J111="Accepted",S111="")),"ERROR","OK")</f>
        <v>OK</v>
      </c>
      <c r="AB111" s="240" t="str">
        <f t="shared" si="13"/>
        <v>OK</v>
      </c>
      <c r="AC111" s="240" t="str" cm="1">
        <f t="array" ref="AC111">IF(AND(F111:H111&lt;&gt;"",I111=""),"ERROR","OK")</f>
        <v>OK</v>
      </c>
      <c r="AD111" s="240" t="str">
        <f t="shared" si="14"/>
        <v>OK</v>
      </c>
      <c r="AE111" s="240" t="str">
        <f t="shared" si="15"/>
        <v>OK</v>
      </c>
      <c r="AF111" s="240" t="str" cm="1">
        <f t="array" aca="1" ref="AF111" ca="1" xml:space="preserve">
IF(AND($G111&lt;&gt;"",$F111=""),"ERROR",
IF(OR($F111:$G111="",AND($G111="",$F111&lt;&gt;"")),"OK",
IF(COUNTIF(INDIRECT(IFERROR(LEFT($F111,FIND(" ",$F111)-1),$F111)), $G111)&gt;0, "OK", "ERROR")))</f>
        <v>OK</v>
      </c>
    </row>
    <row r="112" spans="1:32" s="240" customFormat="1">
      <c r="A112" s="48"/>
      <c r="B112" s="31"/>
      <c r="C112" s="48"/>
      <c r="D112" s="47"/>
      <c r="E112" s="47"/>
      <c r="F112" s="31"/>
      <c r="G112" s="31"/>
      <c r="H112" s="31"/>
      <c r="I112" s="47"/>
      <c r="J112" s="31"/>
      <c r="K112" s="47"/>
      <c r="L112" s="47"/>
      <c r="M112" s="47"/>
      <c r="N112" s="31"/>
      <c r="O112" s="47"/>
      <c r="P112" s="31"/>
      <c r="Q112" s="31"/>
      <c r="R112" s="31"/>
      <c r="S112" s="31"/>
      <c r="T112" s="270">
        <f t="shared" si="8"/>
        <v>0</v>
      </c>
      <c r="U112" s="270">
        <f t="shared" si="9"/>
        <v>0</v>
      </c>
      <c r="V112" s="31"/>
      <c r="X112" s="240" t="str">
        <f t="shared" si="10"/>
        <v>OK</v>
      </c>
      <c r="Y112" s="240" t="str">
        <f t="shared" si="11"/>
        <v>OK</v>
      </c>
      <c r="Z112" s="240" t="str">
        <f t="shared" si="12"/>
        <v>OK</v>
      </c>
      <c r="AA112" s="240" t="str" cm="1">
        <f t="array" ref="AA112">IF(OR(AND(J112="Not accepted",N112:O112&lt;&gt;"",$S112=""),AND(J112="Accepted",S112="")),"ERROR","OK")</f>
        <v>OK</v>
      </c>
      <c r="AB112" s="240" t="str">
        <f t="shared" si="13"/>
        <v>OK</v>
      </c>
      <c r="AC112" s="240" t="str" cm="1">
        <f t="array" ref="AC112">IF(AND(F112:H112&lt;&gt;"",I112=""),"ERROR","OK")</f>
        <v>OK</v>
      </c>
      <c r="AD112" s="240" t="str">
        <f t="shared" si="14"/>
        <v>OK</v>
      </c>
      <c r="AE112" s="240" t="str">
        <f t="shared" si="15"/>
        <v>OK</v>
      </c>
      <c r="AF112" s="240" t="str" cm="1">
        <f t="array" aca="1" ref="AF112" ca="1" xml:space="preserve">
IF(AND($G112&lt;&gt;"",$F112=""),"ERROR",
IF(OR($F112:$G112="",AND($G112="",$F112&lt;&gt;"")),"OK",
IF(COUNTIF(INDIRECT(IFERROR(LEFT($F112,FIND(" ",$F112)-1),$F112)), $G112)&gt;0, "OK", "ERROR")))</f>
        <v>OK</v>
      </c>
    </row>
    <row r="113" spans="1:32" s="240" customFormat="1">
      <c r="A113" s="48"/>
      <c r="B113" s="31"/>
      <c r="C113" s="48"/>
      <c r="D113" s="47"/>
      <c r="E113" s="47"/>
      <c r="F113" s="31"/>
      <c r="G113" s="31"/>
      <c r="H113" s="31"/>
      <c r="I113" s="47"/>
      <c r="J113" s="31"/>
      <c r="K113" s="47"/>
      <c r="L113" s="47"/>
      <c r="M113" s="47"/>
      <c r="N113" s="31"/>
      <c r="O113" s="47"/>
      <c r="P113" s="31"/>
      <c r="Q113" s="31"/>
      <c r="R113" s="31"/>
      <c r="S113" s="31"/>
      <c r="T113" s="270">
        <f t="shared" si="8"/>
        <v>0</v>
      </c>
      <c r="U113" s="270">
        <f t="shared" si="9"/>
        <v>0</v>
      </c>
      <c r="V113" s="31"/>
      <c r="X113" s="240" t="str">
        <f t="shared" si="10"/>
        <v>OK</v>
      </c>
      <c r="Y113" s="240" t="str">
        <f t="shared" si="11"/>
        <v>OK</v>
      </c>
      <c r="Z113" s="240" t="str">
        <f t="shared" si="12"/>
        <v>OK</v>
      </c>
      <c r="AA113" s="240" t="str" cm="1">
        <f t="array" ref="AA113">IF(OR(AND(J113="Not accepted",N113:O113&lt;&gt;"",$S113=""),AND(J113="Accepted",S113="")),"ERROR","OK")</f>
        <v>OK</v>
      </c>
      <c r="AB113" s="240" t="str">
        <f t="shared" si="13"/>
        <v>OK</v>
      </c>
      <c r="AC113" s="240" t="str" cm="1">
        <f t="array" ref="AC113">IF(AND(F113:H113&lt;&gt;"",I113=""),"ERROR","OK")</f>
        <v>OK</v>
      </c>
      <c r="AD113" s="240" t="str">
        <f t="shared" si="14"/>
        <v>OK</v>
      </c>
      <c r="AE113" s="240" t="str">
        <f t="shared" si="15"/>
        <v>OK</v>
      </c>
      <c r="AF113" s="240" t="str" cm="1">
        <f t="array" aca="1" ref="AF113" ca="1" xml:space="preserve">
IF(AND($G113&lt;&gt;"",$F113=""),"ERROR",
IF(OR($F113:$G113="",AND($G113="",$F113&lt;&gt;"")),"OK",
IF(COUNTIF(INDIRECT(IFERROR(LEFT($F113,FIND(" ",$F113)-1),$F113)), $G113)&gt;0, "OK", "ERROR")))</f>
        <v>OK</v>
      </c>
    </row>
    <row r="114" spans="1:32" s="240" customFormat="1">
      <c r="A114" s="48"/>
      <c r="B114" s="31"/>
      <c r="C114" s="48"/>
      <c r="D114" s="47"/>
      <c r="E114" s="47"/>
      <c r="F114" s="31"/>
      <c r="G114" s="31"/>
      <c r="H114" s="31"/>
      <c r="I114" s="47"/>
      <c r="J114" s="31"/>
      <c r="K114" s="47"/>
      <c r="L114" s="47"/>
      <c r="M114" s="47"/>
      <c r="N114" s="31"/>
      <c r="O114" s="47"/>
      <c r="P114" s="31"/>
      <c r="Q114" s="31"/>
      <c r="R114" s="31"/>
      <c r="S114" s="31"/>
      <c r="T114" s="270">
        <f t="shared" si="8"/>
        <v>0</v>
      </c>
      <c r="U114" s="270">
        <f t="shared" si="9"/>
        <v>0</v>
      </c>
      <c r="V114" s="31"/>
      <c r="X114" s="240" t="str">
        <f t="shared" si="10"/>
        <v>OK</v>
      </c>
      <c r="Y114" s="240" t="str">
        <f t="shared" si="11"/>
        <v>OK</v>
      </c>
      <c r="Z114" s="240" t="str">
        <f t="shared" si="12"/>
        <v>OK</v>
      </c>
      <c r="AA114" s="240" t="str" cm="1">
        <f t="array" ref="AA114">IF(OR(AND(J114="Not accepted",N114:O114&lt;&gt;"",$S114=""),AND(J114="Accepted",S114="")),"ERROR","OK")</f>
        <v>OK</v>
      </c>
      <c r="AB114" s="240" t="str">
        <f t="shared" si="13"/>
        <v>OK</v>
      </c>
      <c r="AC114" s="240" t="str" cm="1">
        <f t="array" ref="AC114">IF(AND(F114:H114&lt;&gt;"",I114=""),"ERROR","OK")</f>
        <v>OK</v>
      </c>
      <c r="AD114" s="240" t="str">
        <f t="shared" si="14"/>
        <v>OK</v>
      </c>
      <c r="AE114" s="240" t="str">
        <f t="shared" si="15"/>
        <v>OK</v>
      </c>
      <c r="AF114" s="240" t="str" cm="1">
        <f t="array" aca="1" ref="AF114" ca="1" xml:space="preserve">
IF(AND($G114&lt;&gt;"",$F114=""),"ERROR",
IF(OR($F114:$G114="",AND($G114="",$F114&lt;&gt;"")),"OK",
IF(COUNTIF(INDIRECT(IFERROR(LEFT($F114,FIND(" ",$F114)-1),$F114)), $G114)&gt;0, "OK", "ERROR")))</f>
        <v>OK</v>
      </c>
    </row>
    <row r="115" spans="1:32" s="240" customFormat="1">
      <c r="A115" s="48"/>
      <c r="B115" s="31"/>
      <c r="C115" s="48"/>
      <c r="D115" s="47"/>
      <c r="E115" s="47"/>
      <c r="F115" s="31"/>
      <c r="G115" s="31"/>
      <c r="H115" s="31"/>
      <c r="I115" s="47"/>
      <c r="J115" s="31"/>
      <c r="K115" s="47"/>
      <c r="L115" s="47"/>
      <c r="M115" s="47"/>
      <c r="N115" s="31"/>
      <c r="O115" s="47"/>
      <c r="P115" s="31"/>
      <c r="Q115" s="31"/>
      <c r="R115" s="31"/>
      <c r="S115" s="31"/>
      <c r="T115" s="270">
        <f t="shared" si="8"/>
        <v>0</v>
      </c>
      <c r="U115" s="270">
        <f t="shared" si="9"/>
        <v>0</v>
      </c>
      <c r="V115" s="31"/>
      <c r="X115" s="240" t="str">
        <f t="shared" si="10"/>
        <v>OK</v>
      </c>
      <c r="Y115" s="240" t="str">
        <f t="shared" si="11"/>
        <v>OK</v>
      </c>
      <c r="Z115" s="240" t="str">
        <f t="shared" si="12"/>
        <v>OK</v>
      </c>
      <c r="AA115" s="240" t="str" cm="1">
        <f t="array" ref="AA115">IF(OR(AND(J115="Not accepted",N115:O115&lt;&gt;"",$S115=""),AND(J115="Accepted",S115="")),"ERROR","OK")</f>
        <v>OK</v>
      </c>
      <c r="AB115" s="240" t="str">
        <f t="shared" si="13"/>
        <v>OK</v>
      </c>
      <c r="AC115" s="240" t="str" cm="1">
        <f t="array" ref="AC115">IF(AND(F115:H115&lt;&gt;"",I115=""),"ERROR","OK")</f>
        <v>OK</v>
      </c>
      <c r="AD115" s="240" t="str">
        <f t="shared" si="14"/>
        <v>OK</v>
      </c>
      <c r="AE115" s="240" t="str">
        <f t="shared" si="15"/>
        <v>OK</v>
      </c>
      <c r="AF115" s="240" t="str" cm="1">
        <f t="array" aca="1" ref="AF115" ca="1" xml:space="preserve">
IF(AND($G115&lt;&gt;"",$F115=""),"ERROR",
IF(OR($F115:$G115="",AND($G115="",$F115&lt;&gt;"")),"OK",
IF(COUNTIF(INDIRECT(IFERROR(LEFT($F115,FIND(" ",$F115)-1),$F115)), $G115)&gt;0, "OK", "ERROR")))</f>
        <v>OK</v>
      </c>
    </row>
    <row r="116" spans="1:32" s="240" customFormat="1">
      <c r="A116" s="48"/>
      <c r="B116" s="31"/>
      <c r="C116" s="48"/>
      <c r="D116" s="47"/>
      <c r="E116" s="47"/>
      <c r="F116" s="31"/>
      <c r="G116" s="31"/>
      <c r="H116" s="31"/>
      <c r="I116" s="47"/>
      <c r="J116" s="31"/>
      <c r="K116" s="47"/>
      <c r="L116" s="47"/>
      <c r="M116" s="47"/>
      <c r="N116" s="31"/>
      <c r="O116" s="47"/>
      <c r="P116" s="31"/>
      <c r="Q116" s="31"/>
      <c r="R116" s="31"/>
      <c r="S116" s="31"/>
      <c r="T116" s="270">
        <f t="shared" si="8"/>
        <v>0</v>
      </c>
      <c r="U116" s="270">
        <f t="shared" si="9"/>
        <v>0</v>
      </c>
      <c r="V116" s="31"/>
      <c r="X116" s="240" t="str">
        <f t="shared" si="10"/>
        <v>OK</v>
      </c>
      <c r="Y116" s="240" t="str">
        <f t="shared" si="11"/>
        <v>OK</v>
      </c>
      <c r="Z116" s="240" t="str">
        <f t="shared" si="12"/>
        <v>OK</v>
      </c>
      <c r="AA116" s="240" t="str" cm="1">
        <f t="array" ref="AA116">IF(OR(AND(J116="Not accepted",N116:O116&lt;&gt;"",$S116=""),AND(J116="Accepted",S116="")),"ERROR","OK")</f>
        <v>OK</v>
      </c>
      <c r="AB116" s="240" t="str">
        <f t="shared" si="13"/>
        <v>OK</v>
      </c>
      <c r="AC116" s="240" t="str" cm="1">
        <f t="array" ref="AC116">IF(AND(F116:H116&lt;&gt;"",I116=""),"ERROR","OK")</f>
        <v>OK</v>
      </c>
      <c r="AD116" s="240" t="str">
        <f t="shared" si="14"/>
        <v>OK</v>
      </c>
      <c r="AE116" s="240" t="str">
        <f t="shared" si="15"/>
        <v>OK</v>
      </c>
      <c r="AF116" s="240" t="str" cm="1">
        <f t="array" aca="1" ref="AF116" ca="1" xml:space="preserve">
IF(AND($G116&lt;&gt;"",$F116=""),"ERROR",
IF(OR($F116:$G116="",AND($G116="",$F116&lt;&gt;"")),"OK",
IF(COUNTIF(INDIRECT(IFERROR(LEFT($F116,FIND(" ",$F116)-1),$F116)), $G116)&gt;0, "OK", "ERROR")))</f>
        <v>OK</v>
      </c>
    </row>
    <row r="117" spans="1:32" s="240" customFormat="1">
      <c r="A117" s="48"/>
      <c r="B117" s="31"/>
      <c r="C117" s="48"/>
      <c r="D117" s="47"/>
      <c r="E117" s="47"/>
      <c r="F117" s="31"/>
      <c r="G117" s="31"/>
      <c r="H117" s="31"/>
      <c r="I117" s="47"/>
      <c r="J117" s="31"/>
      <c r="K117" s="47"/>
      <c r="L117" s="47"/>
      <c r="M117" s="47"/>
      <c r="N117" s="31"/>
      <c r="O117" s="47"/>
      <c r="P117" s="31"/>
      <c r="Q117" s="31"/>
      <c r="R117" s="31"/>
      <c r="S117" s="31"/>
      <c r="T117" s="270">
        <f t="shared" si="8"/>
        <v>0</v>
      </c>
      <c r="U117" s="270">
        <f t="shared" si="9"/>
        <v>0</v>
      </c>
      <c r="V117" s="31"/>
      <c r="X117" s="240" t="str">
        <f t="shared" si="10"/>
        <v>OK</v>
      </c>
      <c r="Y117" s="240" t="str">
        <f t="shared" si="11"/>
        <v>OK</v>
      </c>
      <c r="Z117" s="240" t="str">
        <f t="shared" si="12"/>
        <v>OK</v>
      </c>
      <c r="AA117" s="240" t="str" cm="1">
        <f t="array" ref="AA117">IF(OR(AND(J117="Not accepted",N117:O117&lt;&gt;"",$S117=""),AND(J117="Accepted",S117="")),"ERROR","OK")</f>
        <v>OK</v>
      </c>
      <c r="AB117" s="240" t="str">
        <f t="shared" si="13"/>
        <v>OK</v>
      </c>
      <c r="AC117" s="240" t="str" cm="1">
        <f t="array" ref="AC117">IF(AND(F117:H117&lt;&gt;"",I117=""),"ERROR","OK")</f>
        <v>OK</v>
      </c>
      <c r="AD117" s="240" t="str">
        <f t="shared" si="14"/>
        <v>OK</v>
      </c>
      <c r="AE117" s="240" t="str">
        <f t="shared" si="15"/>
        <v>OK</v>
      </c>
      <c r="AF117" s="240" t="str" cm="1">
        <f t="array" aca="1" ref="AF117" ca="1" xml:space="preserve">
IF(AND($G117&lt;&gt;"",$F117=""),"ERROR",
IF(OR($F117:$G117="",AND($G117="",$F117&lt;&gt;"")),"OK",
IF(COUNTIF(INDIRECT(IFERROR(LEFT($F117,FIND(" ",$F117)-1),$F117)), $G117)&gt;0, "OK", "ERROR")))</f>
        <v>OK</v>
      </c>
    </row>
    <row r="118" spans="1:32" s="240" customFormat="1">
      <c r="A118" s="48"/>
      <c r="B118" s="31"/>
      <c r="C118" s="48"/>
      <c r="D118" s="47"/>
      <c r="E118" s="47"/>
      <c r="F118" s="31"/>
      <c r="G118" s="31"/>
      <c r="H118" s="31"/>
      <c r="I118" s="47"/>
      <c r="J118" s="31"/>
      <c r="K118" s="47"/>
      <c r="L118" s="47"/>
      <c r="M118" s="47"/>
      <c r="N118" s="31"/>
      <c r="O118" s="47"/>
      <c r="P118" s="31"/>
      <c r="Q118" s="31"/>
      <c r="R118" s="31"/>
      <c r="S118" s="31"/>
      <c r="T118" s="270">
        <f t="shared" si="8"/>
        <v>0</v>
      </c>
      <c r="U118" s="270">
        <f t="shared" si="9"/>
        <v>0</v>
      </c>
      <c r="V118" s="31"/>
      <c r="X118" s="240" t="str">
        <f t="shared" si="10"/>
        <v>OK</v>
      </c>
      <c r="Y118" s="240" t="str">
        <f t="shared" si="11"/>
        <v>OK</v>
      </c>
      <c r="Z118" s="240" t="str">
        <f t="shared" si="12"/>
        <v>OK</v>
      </c>
      <c r="AA118" s="240" t="str" cm="1">
        <f t="array" ref="AA118">IF(OR(AND(J118="Not accepted",N118:O118&lt;&gt;"",$S118=""),AND(J118="Accepted",S118="")),"ERROR","OK")</f>
        <v>OK</v>
      </c>
      <c r="AB118" s="240" t="str">
        <f t="shared" si="13"/>
        <v>OK</v>
      </c>
      <c r="AC118" s="240" t="str" cm="1">
        <f t="array" ref="AC118">IF(AND(F118:H118&lt;&gt;"",I118=""),"ERROR","OK")</f>
        <v>OK</v>
      </c>
      <c r="AD118" s="240" t="str">
        <f t="shared" si="14"/>
        <v>OK</v>
      </c>
      <c r="AE118" s="240" t="str">
        <f t="shared" si="15"/>
        <v>OK</v>
      </c>
      <c r="AF118" s="240" t="str" cm="1">
        <f t="array" aca="1" ref="AF118" ca="1" xml:space="preserve">
IF(AND($G118&lt;&gt;"",$F118=""),"ERROR",
IF(OR($F118:$G118="",AND($G118="",$F118&lt;&gt;"")),"OK",
IF(COUNTIF(INDIRECT(IFERROR(LEFT($F118,FIND(" ",$F118)-1),$F118)), $G118)&gt;0, "OK", "ERROR")))</f>
        <v>OK</v>
      </c>
    </row>
    <row r="119" spans="1:32" s="240" customFormat="1">
      <c r="A119" s="48"/>
      <c r="B119" s="31"/>
      <c r="C119" s="48"/>
      <c r="D119" s="47"/>
      <c r="E119" s="47"/>
      <c r="F119" s="31"/>
      <c r="G119" s="31"/>
      <c r="H119" s="31"/>
      <c r="I119" s="47"/>
      <c r="J119" s="31"/>
      <c r="K119" s="47"/>
      <c r="L119" s="47"/>
      <c r="M119" s="47"/>
      <c r="N119" s="31"/>
      <c r="O119" s="47"/>
      <c r="P119" s="31"/>
      <c r="Q119" s="31"/>
      <c r="R119" s="31"/>
      <c r="S119" s="31"/>
      <c r="T119" s="270">
        <f t="shared" si="8"/>
        <v>0</v>
      </c>
      <c r="U119" s="270">
        <f t="shared" si="9"/>
        <v>0</v>
      </c>
      <c r="V119" s="31"/>
      <c r="X119" s="240" t="str">
        <f t="shared" si="10"/>
        <v>OK</v>
      </c>
      <c r="Y119" s="240" t="str">
        <f t="shared" si="11"/>
        <v>OK</v>
      </c>
      <c r="Z119" s="240" t="str">
        <f t="shared" si="12"/>
        <v>OK</v>
      </c>
      <c r="AA119" s="240" t="str" cm="1">
        <f t="array" ref="AA119">IF(OR(AND(J119="Not accepted",N119:O119&lt;&gt;"",$S119=""),AND(J119="Accepted",S119="")),"ERROR","OK")</f>
        <v>OK</v>
      </c>
      <c r="AB119" s="240" t="str">
        <f t="shared" si="13"/>
        <v>OK</v>
      </c>
      <c r="AC119" s="240" t="str" cm="1">
        <f t="array" ref="AC119">IF(AND(F119:H119&lt;&gt;"",I119=""),"ERROR","OK")</f>
        <v>OK</v>
      </c>
      <c r="AD119" s="240" t="str">
        <f t="shared" si="14"/>
        <v>OK</v>
      </c>
      <c r="AE119" s="240" t="str">
        <f t="shared" si="15"/>
        <v>OK</v>
      </c>
      <c r="AF119" s="240" t="str" cm="1">
        <f t="array" aca="1" ref="AF119" ca="1" xml:space="preserve">
IF(AND($G119&lt;&gt;"",$F119=""),"ERROR",
IF(OR($F119:$G119="",AND($G119="",$F119&lt;&gt;"")),"OK",
IF(COUNTIF(INDIRECT(IFERROR(LEFT($F119,FIND(" ",$F119)-1),$F119)), $G119)&gt;0, "OK", "ERROR")))</f>
        <v>OK</v>
      </c>
    </row>
    <row r="120" spans="1:32" s="240" customFormat="1">
      <c r="A120" s="48"/>
      <c r="B120" s="31"/>
      <c r="C120" s="48"/>
      <c r="D120" s="47"/>
      <c r="E120" s="47"/>
      <c r="F120" s="31"/>
      <c r="G120" s="31"/>
      <c r="H120" s="31"/>
      <c r="I120" s="47"/>
      <c r="J120" s="31"/>
      <c r="K120" s="47"/>
      <c r="L120" s="47"/>
      <c r="M120" s="47"/>
      <c r="N120" s="31"/>
      <c r="O120" s="47"/>
      <c r="P120" s="31"/>
      <c r="Q120" s="31"/>
      <c r="R120" s="31"/>
      <c r="S120" s="31"/>
      <c r="T120" s="270">
        <f t="shared" si="8"/>
        <v>0</v>
      </c>
      <c r="U120" s="270">
        <f t="shared" si="9"/>
        <v>0</v>
      </c>
      <c r="V120" s="31"/>
      <c r="X120" s="240" t="str">
        <f t="shared" si="10"/>
        <v>OK</v>
      </c>
      <c r="Y120" s="240" t="str">
        <f t="shared" si="11"/>
        <v>OK</v>
      </c>
      <c r="Z120" s="240" t="str">
        <f t="shared" si="12"/>
        <v>OK</v>
      </c>
      <c r="AA120" s="240" t="str" cm="1">
        <f t="array" ref="AA120">IF(OR(AND(J120="Not accepted",N120:O120&lt;&gt;"",$S120=""),AND(J120="Accepted",S120="")),"ERROR","OK")</f>
        <v>OK</v>
      </c>
      <c r="AB120" s="240" t="str">
        <f t="shared" si="13"/>
        <v>OK</v>
      </c>
      <c r="AC120" s="240" t="str" cm="1">
        <f t="array" ref="AC120">IF(AND(F120:H120&lt;&gt;"",I120=""),"ERROR","OK")</f>
        <v>OK</v>
      </c>
      <c r="AD120" s="240" t="str">
        <f t="shared" si="14"/>
        <v>OK</v>
      </c>
      <c r="AE120" s="240" t="str">
        <f t="shared" si="15"/>
        <v>OK</v>
      </c>
      <c r="AF120" s="240" t="str" cm="1">
        <f t="array" aca="1" ref="AF120" ca="1" xml:space="preserve">
IF(AND($G120&lt;&gt;"",$F120=""),"ERROR",
IF(OR($F120:$G120="",AND($G120="",$F120&lt;&gt;"")),"OK",
IF(COUNTIF(INDIRECT(IFERROR(LEFT($F120,FIND(" ",$F120)-1),$F120)), $G120)&gt;0, "OK", "ERROR")))</f>
        <v>OK</v>
      </c>
    </row>
    <row r="121" spans="1:32" s="240" customFormat="1">
      <c r="A121" s="48"/>
      <c r="B121" s="31"/>
      <c r="C121" s="48"/>
      <c r="D121" s="47"/>
      <c r="E121" s="47"/>
      <c r="F121" s="31"/>
      <c r="G121" s="31"/>
      <c r="H121" s="31"/>
      <c r="I121" s="47"/>
      <c r="J121" s="31"/>
      <c r="K121" s="47"/>
      <c r="L121" s="47"/>
      <c r="M121" s="47"/>
      <c r="N121" s="31"/>
      <c r="O121" s="47"/>
      <c r="P121" s="31"/>
      <c r="Q121" s="31"/>
      <c r="R121" s="31"/>
      <c r="S121" s="31"/>
      <c r="T121" s="270">
        <f t="shared" si="8"/>
        <v>0</v>
      </c>
      <c r="U121" s="270">
        <f t="shared" si="9"/>
        <v>0</v>
      </c>
      <c r="V121" s="31"/>
      <c r="X121" s="240" t="str">
        <f t="shared" si="10"/>
        <v>OK</v>
      </c>
      <c r="Y121" s="240" t="str">
        <f t="shared" si="11"/>
        <v>OK</v>
      </c>
      <c r="Z121" s="240" t="str">
        <f t="shared" si="12"/>
        <v>OK</v>
      </c>
      <c r="AA121" s="240" t="str" cm="1">
        <f t="array" ref="AA121">IF(OR(AND(J121="Not accepted",N121:O121&lt;&gt;"",$S121=""),AND(J121="Accepted",S121="")),"ERROR","OK")</f>
        <v>OK</v>
      </c>
      <c r="AB121" s="240" t="str">
        <f t="shared" si="13"/>
        <v>OK</v>
      </c>
      <c r="AC121" s="240" t="str" cm="1">
        <f t="array" ref="AC121">IF(AND(F121:H121&lt;&gt;"",I121=""),"ERROR","OK")</f>
        <v>OK</v>
      </c>
      <c r="AD121" s="240" t="str">
        <f t="shared" si="14"/>
        <v>OK</v>
      </c>
      <c r="AE121" s="240" t="str">
        <f t="shared" si="15"/>
        <v>OK</v>
      </c>
      <c r="AF121" s="240" t="str" cm="1">
        <f t="array" aca="1" ref="AF121" ca="1" xml:space="preserve">
IF(AND($G121&lt;&gt;"",$F121=""),"ERROR",
IF(OR($F121:$G121="",AND($G121="",$F121&lt;&gt;"")),"OK",
IF(COUNTIF(INDIRECT(IFERROR(LEFT($F121,FIND(" ",$F121)-1),$F121)), $G121)&gt;0, "OK", "ERROR")))</f>
        <v>OK</v>
      </c>
    </row>
    <row r="122" spans="1:32" s="240" customFormat="1">
      <c r="A122" s="48"/>
      <c r="B122" s="31"/>
      <c r="C122" s="48"/>
      <c r="D122" s="47"/>
      <c r="E122" s="47"/>
      <c r="F122" s="31"/>
      <c r="G122" s="31"/>
      <c r="H122" s="31"/>
      <c r="I122" s="47"/>
      <c r="J122" s="31"/>
      <c r="K122" s="47"/>
      <c r="L122" s="47"/>
      <c r="M122" s="47"/>
      <c r="N122" s="31"/>
      <c r="O122" s="47"/>
      <c r="P122" s="31"/>
      <c r="Q122" s="31"/>
      <c r="R122" s="31"/>
      <c r="S122" s="31"/>
      <c r="T122" s="270">
        <f t="shared" si="8"/>
        <v>0</v>
      </c>
      <c r="U122" s="270">
        <f t="shared" si="9"/>
        <v>0</v>
      </c>
      <c r="V122" s="31"/>
      <c r="X122" s="240" t="str">
        <f t="shared" si="10"/>
        <v>OK</v>
      </c>
      <c r="Y122" s="240" t="str">
        <f t="shared" si="11"/>
        <v>OK</v>
      </c>
      <c r="Z122" s="240" t="str">
        <f t="shared" si="12"/>
        <v>OK</v>
      </c>
      <c r="AA122" s="240" t="str" cm="1">
        <f t="array" ref="AA122">IF(OR(AND(J122="Not accepted",N122:O122&lt;&gt;"",$S122=""),AND(J122="Accepted",S122="")),"ERROR","OK")</f>
        <v>OK</v>
      </c>
      <c r="AB122" s="240" t="str">
        <f t="shared" si="13"/>
        <v>OK</v>
      </c>
      <c r="AC122" s="240" t="str" cm="1">
        <f t="array" ref="AC122">IF(AND(F122:H122&lt;&gt;"",I122=""),"ERROR","OK")</f>
        <v>OK</v>
      </c>
      <c r="AD122" s="240" t="str">
        <f t="shared" si="14"/>
        <v>OK</v>
      </c>
      <c r="AE122" s="240" t="str">
        <f t="shared" si="15"/>
        <v>OK</v>
      </c>
      <c r="AF122" s="240" t="str" cm="1">
        <f t="array" aca="1" ref="AF122" ca="1" xml:space="preserve">
IF(AND($G122&lt;&gt;"",$F122=""),"ERROR",
IF(OR($F122:$G122="",AND($G122="",$F122&lt;&gt;"")),"OK",
IF(COUNTIF(INDIRECT(IFERROR(LEFT($F122,FIND(" ",$F122)-1),$F122)), $G122)&gt;0, "OK", "ERROR")))</f>
        <v>OK</v>
      </c>
    </row>
    <row r="123" spans="1:32" s="240" customFormat="1">
      <c r="A123" s="48"/>
      <c r="B123" s="31"/>
      <c r="C123" s="48"/>
      <c r="D123" s="47"/>
      <c r="E123" s="47"/>
      <c r="F123" s="31"/>
      <c r="G123" s="31"/>
      <c r="H123" s="31"/>
      <c r="I123" s="47"/>
      <c r="J123" s="31"/>
      <c r="K123" s="47"/>
      <c r="L123" s="47"/>
      <c r="M123" s="47"/>
      <c r="N123" s="31"/>
      <c r="O123" s="47"/>
      <c r="P123" s="31"/>
      <c r="Q123" s="31"/>
      <c r="R123" s="31"/>
      <c r="S123" s="31"/>
      <c r="T123" s="270">
        <f t="shared" si="8"/>
        <v>0</v>
      </c>
      <c r="U123" s="270">
        <f t="shared" si="9"/>
        <v>0</v>
      </c>
      <c r="V123" s="31"/>
      <c r="X123" s="240" t="str">
        <f t="shared" si="10"/>
        <v>OK</v>
      </c>
      <c r="Y123" s="240" t="str">
        <f t="shared" si="11"/>
        <v>OK</v>
      </c>
      <c r="Z123" s="240" t="str">
        <f t="shared" si="12"/>
        <v>OK</v>
      </c>
      <c r="AA123" s="240" t="str" cm="1">
        <f t="array" ref="AA123">IF(OR(AND(J123="Not accepted",N123:O123&lt;&gt;"",$S123=""),AND(J123="Accepted",S123="")),"ERROR","OK")</f>
        <v>OK</v>
      </c>
      <c r="AB123" s="240" t="str">
        <f t="shared" si="13"/>
        <v>OK</v>
      </c>
      <c r="AC123" s="240" t="str" cm="1">
        <f t="array" ref="AC123">IF(AND(F123:H123&lt;&gt;"",I123=""),"ERROR","OK")</f>
        <v>OK</v>
      </c>
      <c r="AD123" s="240" t="str">
        <f t="shared" si="14"/>
        <v>OK</v>
      </c>
      <c r="AE123" s="240" t="str">
        <f t="shared" si="15"/>
        <v>OK</v>
      </c>
      <c r="AF123" s="240" t="str" cm="1">
        <f t="array" aca="1" ref="AF123" ca="1" xml:space="preserve">
IF(AND($G123&lt;&gt;"",$F123=""),"ERROR",
IF(OR($F123:$G123="",AND($G123="",$F123&lt;&gt;"")),"OK",
IF(COUNTIF(INDIRECT(IFERROR(LEFT($F123,FIND(" ",$F123)-1),$F123)), $G123)&gt;0, "OK", "ERROR")))</f>
        <v>OK</v>
      </c>
    </row>
    <row r="124" spans="1:32" s="240" customFormat="1">
      <c r="A124" s="48"/>
      <c r="B124" s="31"/>
      <c r="C124" s="48"/>
      <c r="D124" s="47"/>
      <c r="E124" s="47"/>
      <c r="F124" s="31"/>
      <c r="G124" s="31"/>
      <c r="H124" s="31"/>
      <c r="I124" s="47"/>
      <c r="J124" s="31"/>
      <c r="K124" s="47"/>
      <c r="L124" s="47"/>
      <c r="M124" s="47"/>
      <c r="N124" s="31"/>
      <c r="O124" s="47"/>
      <c r="P124" s="31"/>
      <c r="Q124" s="31"/>
      <c r="R124" s="31"/>
      <c r="S124" s="31"/>
      <c r="T124" s="270">
        <f t="shared" si="8"/>
        <v>0</v>
      </c>
      <c r="U124" s="270">
        <f t="shared" si="9"/>
        <v>0</v>
      </c>
      <c r="V124" s="31"/>
      <c r="X124" s="240" t="str">
        <f t="shared" si="10"/>
        <v>OK</v>
      </c>
      <c r="Y124" s="240" t="str">
        <f t="shared" si="11"/>
        <v>OK</v>
      </c>
      <c r="Z124" s="240" t="str">
        <f t="shared" si="12"/>
        <v>OK</v>
      </c>
      <c r="AA124" s="240" t="str" cm="1">
        <f t="array" ref="AA124">IF(OR(AND(J124="Not accepted",N124:O124&lt;&gt;"",$S124=""),AND(J124="Accepted",S124="")),"ERROR","OK")</f>
        <v>OK</v>
      </c>
      <c r="AB124" s="240" t="str">
        <f t="shared" si="13"/>
        <v>OK</v>
      </c>
      <c r="AC124" s="240" t="str" cm="1">
        <f t="array" ref="AC124">IF(AND(F124:H124&lt;&gt;"",I124=""),"ERROR","OK")</f>
        <v>OK</v>
      </c>
      <c r="AD124" s="240" t="str">
        <f t="shared" si="14"/>
        <v>OK</v>
      </c>
      <c r="AE124" s="240" t="str">
        <f t="shared" si="15"/>
        <v>OK</v>
      </c>
      <c r="AF124" s="240" t="str" cm="1">
        <f t="array" aca="1" ref="AF124" ca="1" xml:space="preserve">
IF(AND($G124&lt;&gt;"",$F124=""),"ERROR",
IF(OR($F124:$G124="",AND($G124="",$F124&lt;&gt;"")),"OK",
IF(COUNTIF(INDIRECT(IFERROR(LEFT($F124,FIND(" ",$F124)-1),$F124)), $G124)&gt;0, "OK", "ERROR")))</f>
        <v>OK</v>
      </c>
    </row>
    <row r="125" spans="1:32" s="240" customFormat="1">
      <c r="A125" s="48"/>
      <c r="B125" s="31"/>
      <c r="C125" s="48"/>
      <c r="D125" s="47"/>
      <c r="E125" s="47"/>
      <c r="F125" s="31"/>
      <c r="G125" s="31"/>
      <c r="H125" s="31"/>
      <c r="I125" s="47"/>
      <c r="J125" s="31"/>
      <c r="K125" s="47"/>
      <c r="L125" s="47"/>
      <c r="M125" s="47"/>
      <c r="N125" s="31"/>
      <c r="O125" s="47"/>
      <c r="P125" s="31"/>
      <c r="Q125" s="31"/>
      <c r="R125" s="31"/>
      <c r="S125" s="31"/>
      <c r="T125" s="270">
        <f t="shared" si="8"/>
        <v>0</v>
      </c>
      <c r="U125" s="270">
        <f t="shared" si="9"/>
        <v>0</v>
      </c>
      <c r="V125" s="31"/>
      <c r="X125" s="240" t="str">
        <f t="shared" si="10"/>
        <v>OK</v>
      </c>
      <c r="Y125" s="240" t="str">
        <f t="shared" si="11"/>
        <v>OK</v>
      </c>
      <c r="Z125" s="240" t="str">
        <f t="shared" si="12"/>
        <v>OK</v>
      </c>
      <c r="AA125" s="240" t="str" cm="1">
        <f t="array" ref="AA125">IF(OR(AND(J125="Not accepted",N125:O125&lt;&gt;"",$S125=""),AND(J125="Accepted",S125="")),"ERROR","OK")</f>
        <v>OK</v>
      </c>
      <c r="AB125" s="240" t="str">
        <f t="shared" si="13"/>
        <v>OK</v>
      </c>
      <c r="AC125" s="240" t="str" cm="1">
        <f t="array" ref="AC125">IF(AND(F125:H125&lt;&gt;"",I125=""),"ERROR","OK")</f>
        <v>OK</v>
      </c>
      <c r="AD125" s="240" t="str">
        <f t="shared" si="14"/>
        <v>OK</v>
      </c>
      <c r="AE125" s="240" t="str">
        <f t="shared" si="15"/>
        <v>OK</v>
      </c>
      <c r="AF125" s="240" t="str" cm="1">
        <f t="array" aca="1" ref="AF125" ca="1" xml:space="preserve">
IF(AND($G125&lt;&gt;"",$F125=""),"ERROR",
IF(OR($F125:$G125="",AND($G125="",$F125&lt;&gt;"")),"OK",
IF(COUNTIF(INDIRECT(IFERROR(LEFT($F125,FIND(" ",$F125)-1),$F125)), $G125)&gt;0, "OK", "ERROR")))</f>
        <v>OK</v>
      </c>
    </row>
    <row r="126" spans="1:32" s="240" customFormat="1">
      <c r="A126" s="48"/>
      <c r="B126" s="31"/>
      <c r="C126" s="48"/>
      <c r="D126" s="47"/>
      <c r="E126" s="47"/>
      <c r="F126" s="31"/>
      <c r="G126" s="31"/>
      <c r="H126" s="31"/>
      <c r="I126" s="47"/>
      <c r="J126" s="31"/>
      <c r="K126" s="47"/>
      <c r="L126" s="47"/>
      <c r="M126" s="47"/>
      <c r="N126" s="31"/>
      <c r="O126" s="47"/>
      <c r="P126" s="31"/>
      <c r="Q126" s="31"/>
      <c r="R126" s="31"/>
      <c r="S126" s="31"/>
      <c r="T126" s="270">
        <f t="shared" si="8"/>
        <v>0</v>
      </c>
      <c r="U126" s="270">
        <f t="shared" si="9"/>
        <v>0</v>
      </c>
      <c r="V126" s="31"/>
      <c r="X126" s="240" t="str">
        <f t="shared" si="10"/>
        <v>OK</v>
      </c>
      <c r="Y126" s="240" t="str">
        <f t="shared" si="11"/>
        <v>OK</v>
      </c>
      <c r="Z126" s="240" t="str">
        <f t="shared" si="12"/>
        <v>OK</v>
      </c>
      <c r="AA126" s="240" t="str" cm="1">
        <f t="array" ref="AA126">IF(OR(AND(J126="Not accepted",N126:O126&lt;&gt;"",$S126=""),AND(J126="Accepted",S126="")),"ERROR","OK")</f>
        <v>OK</v>
      </c>
      <c r="AB126" s="240" t="str">
        <f t="shared" si="13"/>
        <v>OK</v>
      </c>
      <c r="AC126" s="240" t="str" cm="1">
        <f t="array" ref="AC126">IF(AND(F126:H126&lt;&gt;"",I126=""),"ERROR","OK")</f>
        <v>OK</v>
      </c>
      <c r="AD126" s="240" t="str">
        <f t="shared" si="14"/>
        <v>OK</v>
      </c>
      <c r="AE126" s="240" t="str">
        <f t="shared" si="15"/>
        <v>OK</v>
      </c>
      <c r="AF126" s="240" t="str" cm="1">
        <f t="array" aca="1" ref="AF126" ca="1" xml:space="preserve">
IF(AND($G126&lt;&gt;"",$F126=""),"ERROR",
IF(OR($F126:$G126="",AND($G126="",$F126&lt;&gt;"")),"OK",
IF(COUNTIF(INDIRECT(IFERROR(LEFT($F126,FIND(" ",$F126)-1),$F126)), $G126)&gt;0, "OK", "ERROR")))</f>
        <v>OK</v>
      </c>
    </row>
    <row r="127" spans="1:32" s="240" customFormat="1">
      <c r="A127" s="48"/>
      <c r="B127" s="31"/>
      <c r="C127" s="48"/>
      <c r="D127" s="47"/>
      <c r="E127" s="47"/>
      <c r="F127" s="31"/>
      <c r="G127" s="31"/>
      <c r="H127" s="31"/>
      <c r="I127" s="47"/>
      <c r="J127" s="31"/>
      <c r="K127" s="47"/>
      <c r="L127" s="47"/>
      <c r="M127" s="47"/>
      <c r="N127" s="31"/>
      <c r="O127" s="47"/>
      <c r="P127" s="31"/>
      <c r="Q127" s="31"/>
      <c r="R127" s="31"/>
      <c r="S127" s="31"/>
      <c r="T127" s="270">
        <f t="shared" si="8"/>
        <v>0</v>
      </c>
      <c r="U127" s="270">
        <f t="shared" si="9"/>
        <v>0</v>
      </c>
      <c r="V127" s="31"/>
      <c r="X127" s="240" t="str">
        <f t="shared" si="10"/>
        <v>OK</v>
      </c>
      <c r="Y127" s="240" t="str">
        <f t="shared" si="11"/>
        <v>OK</v>
      </c>
      <c r="Z127" s="240" t="str">
        <f t="shared" si="12"/>
        <v>OK</v>
      </c>
      <c r="AA127" s="240" t="str" cm="1">
        <f t="array" ref="AA127">IF(OR(AND(J127="Not accepted",N127:O127&lt;&gt;"",$S127=""),AND(J127="Accepted",S127="")),"ERROR","OK")</f>
        <v>OK</v>
      </c>
      <c r="AB127" s="240" t="str">
        <f t="shared" si="13"/>
        <v>OK</v>
      </c>
      <c r="AC127" s="240" t="str" cm="1">
        <f t="array" ref="AC127">IF(AND(F127:H127&lt;&gt;"",I127=""),"ERROR","OK")</f>
        <v>OK</v>
      </c>
      <c r="AD127" s="240" t="str">
        <f t="shared" si="14"/>
        <v>OK</v>
      </c>
      <c r="AE127" s="240" t="str">
        <f t="shared" si="15"/>
        <v>OK</v>
      </c>
      <c r="AF127" s="240" t="str" cm="1">
        <f t="array" aca="1" ref="AF127" ca="1" xml:space="preserve">
IF(AND($G127&lt;&gt;"",$F127=""),"ERROR",
IF(OR($F127:$G127="",AND($G127="",$F127&lt;&gt;"")),"OK",
IF(COUNTIF(INDIRECT(IFERROR(LEFT($F127,FIND(" ",$F127)-1),$F127)), $G127)&gt;0, "OK", "ERROR")))</f>
        <v>OK</v>
      </c>
    </row>
    <row r="128" spans="1:32" s="240" customFormat="1">
      <c r="A128" s="48"/>
      <c r="B128" s="31"/>
      <c r="C128" s="48"/>
      <c r="D128" s="47"/>
      <c r="E128" s="47"/>
      <c r="F128" s="31"/>
      <c r="G128" s="31"/>
      <c r="H128" s="31"/>
      <c r="I128" s="47"/>
      <c r="J128" s="31"/>
      <c r="K128" s="47"/>
      <c r="L128" s="47"/>
      <c r="M128" s="47"/>
      <c r="N128" s="31"/>
      <c r="O128" s="47"/>
      <c r="P128" s="31"/>
      <c r="Q128" s="31"/>
      <c r="R128" s="31"/>
      <c r="S128" s="31"/>
      <c r="T128" s="270">
        <f t="shared" si="8"/>
        <v>0</v>
      </c>
      <c r="U128" s="270">
        <f t="shared" si="9"/>
        <v>0</v>
      </c>
      <c r="V128" s="31"/>
      <c r="X128" s="240" t="str">
        <f t="shared" si="10"/>
        <v>OK</v>
      </c>
      <c r="Y128" s="240" t="str">
        <f t="shared" si="11"/>
        <v>OK</v>
      </c>
      <c r="Z128" s="240" t="str">
        <f t="shared" si="12"/>
        <v>OK</v>
      </c>
      <c r="AA128" s="240" t="str" cm="1">
        <f t="array" ref="AA128">IF(OR(AND(J128="Not accepted",N128:O128&lt;&gt;"",$S128=""),AND(J128="Accepted",S128="")),"ERROR","OK")</f>
        <v>OK</v>
      </c>
      <c r="AB128" s="240" t="str">
        <f t="shared" si="13"/>
        <v>OK</v>
      </c>
      <c r="AC128" s="240" t="str" cm="1">
        <f t="array" ref="AC128">IF(AND(F128:H128&lt;&gt;"",I128=""),"ERROR","OK")</f>
        <v>OK</v>
      </c>
      <c r="AD128" s="240" t="str">
        <f t="shared" si="14"/>
        <v>OK</v>
      </c>
      <c r="AE128" s="240" t="str">
        <f t="shared" si="15"/>
        <v>OK</v>
      </c>
      <c r="AF128" s="240" t="str" cm="1">
        <f t="array" aca="1" ref="AF128" ca="1" xml:space="preserve">
IF(AND($G128&lt;&gt;"",$F128=""),"ERROR",
IF(OR($F128:$G128="",AND($G128="",$F128&lt;&gt;"")),"OK",
IF(COUNTIF(INDIRECT(IFERROR(LEFT($F128,FIND(" ",$F128)-1),$F128)), $G128)&gt;0, "OK", "ERROR")))</f>
        <v>OK</v>
      </c>
    </row>
    <row r="129" spans="1:32" s="240" customFormat="1">
      <c r="A129" s="48"/>
      <c r="B129" s="31"/>
      <c r="C129" s="48"/>
      <c r="D129" s="47"/>
      <c r="E129" s="47"/>
      <c r="F129" s="31"/>
      <c r="G129" s="31"/>
      <c r="H129" s="31"/>
      <c r="I129" s="47"/>
      <c r="J129" s="31"/>
      <c r="K129" s="47"/>
      <c r="L129" s="47"/>
      <c r="M129" s="47"/>
      <c r="N129" s="31"/>
      <c r="O129" s="47"/>
      <c r="P129" s="31"/>
      <c r="Q129" s="31"/>
      <c r="R129" s="31"/>
      <c r="S129" s="31"/>
      <c r="T129" s="270">
        <f t="shared" si="8"/>
        <v>0</v>
      </c>
      <c r="U129" s="270">
        <f t="shared" si="9"/>
        <v>0</v>
      </c>
      <c r="V129" s="31"/>
      <c r="X129" s="240" t="str">
        <f t="shared" si="10"/>
        <v>OK</v>
      </c>
      <c r="Y129" s="240" t="str">
        <f t="shared" si="11"/>
        <v>OK</v>
      </c>
      <c r="Z129" s="240" t="str">
        <f t="shared" si="12"/>
        <v>OK</v>
      </c>
      <c r="AA129" s="240" t="str" cm="1">
        <f t="array" ref="AA129">IF(OR(AND(J129="Not accepted",N129:O129&lt;&gt;"",$S129=""),AND(J129="Accepted",S129="")),"ERROR","OK")</f>
        <v>OK</v>
      </c>
      <c r="AB129" s="240" t="str">
        <f t="shared" si="13"/>
        <v>OK</v>
      </c>
      <c r="AC129" s="240" t="str" cm="1">
        <f t="array" ref="AC129">IF(AND(F129:H129&lt;&gt;"",I129=""),"ERROR","OK")</f>
        <v>OK</v>
      </c>
      <c r="AD129" s="240" t="str">
        <f t="shared" si="14"/>
        <v>OK</v>
      </c>
      <c r="AE129" s="240" t="str">
        <f t="shared" si="15"/>
        <v>OK</v>
      </c>
      <c r="AF129" s="240" t="str" cm="1">
        <f t="array" aca="1" ref="AF129" ca="1" xml:space="preserve">
IF(AND($G129&lt;&gt;"",$F129=""),"ERROR",
IF(OR($F129:$G129="",AND($G129="",$F129&lt;&gt;"")),"OK",
IF(COUNTIF(INDIRECT(IFERROR(LEFT($F129,FIND(" ",$F129)-1),$F129)), $G129)&gt;0, "OK", "ERROR")))</f>
        <v>OK</v>
      </c>
    </row>
    <row r="130" spans="1:32" s="240" customFormat="1">
      <c r="A130" s="48"/>
      <c r="B130" s="31"/>
      <c r="C130" s="48"/>
      <c r="D130" s="47"/>
      <c r="E130" s="47"/>
      <c r="F130" s="31"/>
      <c r="G130" s="31"/>
      <c r="H130" s="31"/>
      <c r="I130" s="47"/>
      <c r="J130" s="31"/>
      <c r="K130" s="47"/>
      <c r="L130" s="47"/>
      <c r="M130" s="47"/>
      <c r="N130" s="31"/>
      <c r="O130" s="47"/>
      <c r="P130" s="31"/>
      <c r="Q130" s="31"/>
      <c r="R130" s="31"/>
      <c r="S130" s="31"/>
      <c r="T130" s="270">
        <f t="shared" si="8"/>
        <v>0</v>
      </c>
      <c r="U130" s="270">
        <f t="shared" si="9"/>
        <v>0</v>
      </c>
      <c r="V130" s="31"/>
      <c r="X130" s="240" t="str">
        <f t="shared" si="10"/>
        <v>OK</v>
      </c>
      <c r="Y130" s="240" t="str">
        <f t="shared" si="11"/>
        <v>OK</v>
      </c>
      <c r="Z130" s="240" t="str">
        <f t="shared" si="12"/>
        <v>OK</v>
      </c>
      <c r="AA130" s="240" t="str" cm="1">
        <f t="array" ref="AA130">IF(OR(AND(J130="Not accepted",N130:O130&lt;&gt;"",$S130=""),AND(J130="Accepted",S130="")),"ERROR","OK")</f>
        <v>OK</v>
      </c>
      <c r="AB130" s="240" t="str">
        <f t="shared" si="13"/>
        <v>OK</v>
      </c>
      <c r="AC130" s="240" t="str" cm="1">
        <f t="array" ref="AC130">IF(AND(F130:H130&lt;&gt;"",I130=""),"ERROR","OK")</f>
        <v>OK</v>
      </c>
      <c r="AD130" s="240" t="str">
        <f t="shared" si="14"/>
        <v>OK</v>
      </c>
      <c r="AE130" s="240" t="str">
        <f t="shared" si="15"/>
        <v>OK</v>
      </c>
      <c r="AF130" s="240" t="str" cm="1">
        <f t="array" aca="1" ref="AF130" ca="1" xml:space="preserve">
IF(AND($G130&lt;&gt;"",$F130=""),"ERROR",
IF(OR($F130:$G130="",AND($G130="",$F130&lt;&gt;"")),"OK",
IF(COUNTIF(INDIRECT(IFERROR(LEFT($F130,FIND(" ",$F130)-1),$F130)), $G130)&gt;0, "OK", "ERROR")))</f>
        <v>OK</v>
      </c>
    </row>
    <row r="131" spans="1:32" s="240" customFormat="1">
      <c r="A131" s="48"/>
      <c r="B131" s="31"/>
      <c r="C131" s="48"/>
      <c r="D131" s="47"/>
      <c r="E131" s="47"/>
      <c r="F131" s="31"/>
      <c r="G131" s="31"/>
      <c r="H131" s="31"/>
      <c r="I131" s="47"/>
      <c r="J131" s="31"/>
      <c r="K131" s="47"/>
      <c r="L131" s="47"/>
      <c r="M131" s="47"/>
      <c r="N131" s="31"/>
      <c r="O131" s="47"/>
      <c r="P131" s="31"/>
      <c r="Q131" s="31"/>
      <c r="R131" s="31"/>
      <c r="S131" s="31"/>
      <c r="T131" s="270">
        <f t="shared" si="8"/>
        <v>0</v>
      </c>
      <c r="U131" s="270">
        <f t="shared" si="9"/>
        <v>0</v>
      </c>
      <c r="V131" s="31"/>
      <c r="X131" s="240" t="str">
        <f t="shared" si="10"/>
        <v>OK</v>
      </c>
      <c r="Y131" s="240" t="str">
        <f t="shared" si="11"/>
        <v>OK</v>
      </c>
      <c r="Z131" s="240" t="str">
        <f t="shared" si="12"/>
        <v>OK</v>
      </c>
      <c r="AA131" s="240" t="str" cm="1">
        <f t="array" ref="AA131">IF(OR(AND(J131="Not accepted",N131:O131&lt;&gt;"",$S131=""),AND(J131="Accepted",S131="")),"ERROR","OK")</f>
        <v>OK</v>
      </c>
      <c r="AB131" s="240" t="str">
        <f t="shared" si="13"/>
        <v>OK</v>
      </c>
      <c r="AC131" s="240" t="str" cm="1">
        <f t="array" ref="AC131">IF(AND(F131:H131&lt;&gt;"",I131=""),"ERROR","OK")</f>
        <v>OK</v>
      </c>
      <c r="AD131" s="240" t="str">
        <f t="shared" si="14"/>
        <v>OK</v>
      </c>
      <c r="AE131" s="240" t="str">
        <f t="shared" si="15"/>
        <v>OK</v>
      </c>
      <c r="AF131" s="240" t="str" cm="1">
        <f t="array" aca="1" ref="AF131" ca="1" xml:space="preserve">
IF(AND($G131&lt;&gt;"",$F131=""),"ERROR",
IF(OR($F131:$G131="",AND($G131="",$F131&lt;&gt;"")),"OK",
IF(COUNTIF(INDIRECT(IFERROR(LEFT($F131,FIND(" ",$F131)-1),$F131)), $G131)&gt;0, "OK", "ERROR")))</f>
        <v>OK</v>
      </c>
    </row>
    <row r="132" spans="1:32" s="240" customFormat="1">
      <c r="A132" s="48"/>
      <c r="B132" s="31"/>
      <c r="C132" s="48"/>
      <c r="D132" s="47"/>
      <c r="E132" s="47"/>
      <c r="F132" s="31"/>
      <c r="G132" s="31"/>
      <c r="H132" s="31"/>
      <c r="I132" s="47"/>
      <c r="J132" s="31"/>
      <c r="K132" s="47"/>
      <c r="L132" s="47"/>
      <c r="M132" s="47"/>
      <c r="N132" s="31"/>
      <c r="O132" s="47"/>
      <c r="P132" s="31"/>
      <c r="Q132" s="31"/>
      <c r="R132" s="31"/>
      <c r="S132" s="31"/>
      <c r="T132" s="270">
        <f t="shared" si="8"/>
        <v>0</v>
      </c>
      <c r="U132" s="270">
        <f t="shared" si="9"/>
        <v>0</v>
      </c>
      <c r="V132" s="31"/>
      <c r="X132" s="240" t="str">
        <f t="shared" si="10"/>
        <v>OK</v>
      </c>
      <c r="Y132" s="240" t="str">
        <f t="shared" si="11"/>
        <v>OK</v>
      </c>
      <c r="Z132" s="240" t="str">
        <f t="shared" si="12"/>
        <v>OK</v>
      </c>
      <c r="AA132" s="240" t="str" cm="1">
        <f t="array" ref="AA132">IF(OR(AND(J132="Not accepted",N132:O132&lt;&gt;"",$S132=""),AND(J132="Accepted",S132="")),"ERROR","OK")</f>
        <v>OK</v>
      </c>
      <c r="AB132" s="240" t="str">
        <f t="shared" si="13"/>
        <v>OK</v>
      </c>
      <c r="AC132" s="240" t="str" cm="1">
        <f t="array" ref="AC132">IF(AND(F132:H132&lt;&gt;"",I132=""),"ERROR","OK")</f>
        <v>OK</v>
      </c>
      <c r="AD132" s="240" t="str">
        <f t="shared" si="14"/>
        <v>OK</v>
      </c>
      <c r="AE132" s="240" t="str">
        <f t="shared" si="15"/>
        <v>OK</v>
      </c>
      <c r="AF132" s="240" t="str" cm="1">
        <f t="array" aca="1" ref="AF132" ca="1" xml:space="preserve">
IF(AND($G132&lt;&gt;"",$F132=""),"ERROR",
IF(OR($F132:$G132="",AND($G132="",$F132&lt;&gt;"")),"OK",
IF(COUNTIF(INDIRECT(IFERROR(LEFT($F132,FIND(" ",$F132)-1),$F132)), $G132)&gt;0, "OK", "ERROR")))</f>
        <v>OK</v>
      </c>
    </row>
    <row r="133" spans="1:32" s="240" customFormat="1">
      <c r="A133" s="48"/>
      <c r="B133" s="31"/>
      <c r="C133" s="48"/>
      <c r="D133" s="47"/>
      <c r="E133" s="47"/>
      <c r="F133" s="31"/>
      <c r="G133" s="31"/>
      <c r="H133" s="31"/>
      <c r="I133" s="47"/>
      <c r="J133" s="31"/>
      <c r="K133" s="47"/>
      <c r="L133" s="47"/>
      <c r="M133" s="47"/>
      <c r="N133" s="31"/>
      <c r="O133" s="47"/>
      <c r="P133" s="31"/>
      <c r="Q133" s="31"/>
      <c r="R133" s="31"/>
      <c r="S133" s="31"/>
      <c r="T133" s="270">
        <f t="shared" ref="T133:T196" si="16">IF(OR($J133="Accepted",ISBLANK($J133)),IF(AND($G133="Legacy Data",$Q133="Legacy Data"),1,IF(OR($G133="Legacy Data",$Q133="Legacy Data"),1,0)),IF(OR($N133="Agree with original translator",ISBLANK($N133)),IF(AND($G133="Source Text Data",$Q133="Legacy Data"),1,IF(AND($G133="Legacy Data",$Q133="Legacy Data"),1,IF($Q133="Legacy Data",1,0))),IF(AND($G133="Legacy Data",$Q133="Legacy Data"),1,IF(OR($Q133="Legacy Data",ISBLANK($Q133)),IF($G133&lt;&gt;"Legacy Data",IF(AND($G133="Source Text Data",$Q133="Legacy Data"),1,0),1),0))))</f>
        <v>0</v>
      </c>
      <c r="U133" s="270">
        <f t="shared" ref="U133:U196" si="17">IF(OR($J133="Accepted",ISBLANK($J133)),IF(AND($G133="Source Text Data",$Q133="Source Text Data"),1,IF(OR($G133="Source Text Data",$Q133="Source Text Data"),1,0)),IF(OR($N133="Agree with original translator",ISBLANK($N133)),IF(AND($G133="Legacy Data",$Q133="Source Text Data"),1,IF(AND($G133="Source Text Data",$Q133="Source Text Data"),1,IF($Q133="Source Text Data",1,0))),IF(AND($G133="Source Text Data",$Q133="Source Text Data"),1,IF(OR($Q133="Source Text Data",ISBLANK($Q133)),IF($G133&lt;&gt;"Source Text Data",IF(AND($G133="Legacy Data",$Q133="Source Text Data"),1,0),1),0))))</f>
        <v>0</v>
      </c>
      <c r="V133" s="31"/>
      <c r="X133" s="240" t="str">
        <f t="shared" ref="X133:X196" si="18">IF(AND(COUNTBLANK($F133:$H133)&lt;&gt;COLUMNS($F133:$H133),COUNTA($F133:$H133)&lt;&gt;COLUMNS($F133:$H133)),"ERROR","OK")</f>
        <v>OK</v>
      </c>
      <c r="Y133" s="240" t="str">
        <f t="shared" ref="Y133:Y196" si="19">IF(AND($J133="Not accepted",$K133=""),"ERROR","OK")</f>
        <v>OK</v>
      </c>
      <c r="Z133" s="240" t="str">
        <f t="shared" ref="Z133:Z196" si="20">IF(AND($F133&lt;&gt;"",$J133=""),"ERROR","OK")</f>
        <v>OK</v>
      </c>
      <c r="AA133" s="240" t="str" cm="1">
        <f t="array" ref="AA133">IF(OR(AND(J133="Not accepted",N133:O133&lt;&gt;"",$S133=""),AND(J133="Accepted",S133="")),"ERROR","OK")</f>
        <v>OK</v>
      </c>
      <c r="AB133" s="240" t="str">
        <f t="shared" ref="AB133:AB196" si="21">IF(AND($S133="Not Implemented",$V133=""),"ERROR","OK")</f>
        <v>OK</v>
      </c>
      <c r="AC133" s="240" t="str" cm="1">
        <f t="array" ref="AC133">IF(AND(F133:H133&lt;&gt;"",I133=""),"ERROR","OK")</f>
        <v>OK</v>
      </c>
      <c r="AD133" s="240" t="str">
        <f t="shared" ref="AD133:AD196" si="22">IF(AND($N133="",$J133="Not accepted",$K133&lt;&gt;""),"ERROR","OK")</f>
        <v>OK</v>
      </c>
      <c r="AE133" s="240" t="str">
        <f t="shared" ref="AE133:AE196" si="23">IF(AND($O133="",$N133&lt;&gt;""),"ERROR","OK")</f>
        <v>OK</v>
      </c>
      <c r="AF133" s="240" t="str" cm="1">
        <f t="array" aca="1" ref="AF133" ca="1" xml:space="preserve">
IF(AND($G133&lt;&gt;"",$F133=""),"ERROR",
IF(OR($F133:$G133="",AND($G133="",$F133&lt;&gt;"")),"OK",
IF(COUNTIF(INDIRECT(IFERROR(LEFT($F133,FIND(" ",$F133)-1),$F133)), $G133)&gt;0, "OK", "ERROR")))</f>
        <v>OK</v>
      </c>
    </row>
    <row r="134" spans="1:32" s="240" customFormat="1">
      <c r="A134" s="48"/>
      <c r="B134" s="31"/>
      <c r="C134" s="48"/>
      <c r="D134" s="47"/>
      <c r="E134" s="47"/>
      <c r="F134" s="31"/>
      <c r="G134" s="31"/>
      <c r="H134" s="31"/>
      <c r="I134" s="47"/>
      <c r="J134" s="31"/>
      <c r="K134" s="47"/>
      <c r="L134" s="47"/>
      <c r="M134" s="47"/>
      <c r="N134" s="31"/>
      <c r="O134" s="47"/>
      <c r="P134" s="31"/>
      <c r="Q134" s="31"/>
      <c r="R134" s="31"/>
      <c r="S134" s="31"/>
      <c r="T134" s="270">
        <f t="shared" si="16"/>
        <v>0</v>
      </c>
      <c r="U134" s="270">
        <f t="shared" si="17"/>
        <v>0</v>
      </c>
      <c r="V134" s="31"/>
      <c r="X134" s="240" t="str">
        <f t="shared" si="18"/>
        <v>OK</v>
      </c>
      <c r="Y134" s="240" t="str">
        <f t="shared" si="19"/>
        <v>OK</v>
      </c>
      <c r="Z134" s="240" t="str">
        <f t="shared" si="20"/>
        <v>OK</v>
      </c>
      <c r="AA134" s="240" t="str" cm="1">
        <f t="array" ref="AA134">IF(OR(AND(J134="Not accepted",N134:O134&lt;&gt;"",$S134=""),AND(J134="Accepted",S134="")),"ERROR","OK")</f>
        <v>OK</v>
      </c>
      <c r="AB134" s="240" t="str">
        <f t="shared" si="21"/>
        <v>OK</v>
      </c>
      <c r="AC134" s="240" t="str" cm="1">
        <f t="array" ref="AC134">IF(AND(F134:H134&lt;&gt;"",I134=""),"ERROR","OK")</f>
        <v>OK</v>
      </c>
      <c r="AD134" s="240" t="str">
        <f t="shared" si="22"/>
        <v>OK</v>
      </c>
      <c r="AE134" s="240" t="str">
        <f t="shared" si="23"/>
        <v>OK</v>
      </c>
      <c r="AF134" s="240" t="str" cm="1">
        <f t="array" aca="1" ref="AF134" ca="1" xml:space="preserve">
IF(AND($G134&lt;&gt;"",$F134=""),"ERROR",
IF(OR($F134:$G134="",AND($G134="",$F134&lt;&gt;"")),"OK",
IF(COUNTIF(INDIRECT(IFERROR(LEFT($F134,FIND(" ",$F134)-1),$F134)), $G134)&gt;0, "OK", "ERROR")))</f>
        <v>OK</v>
      </c>
    </row>
    <row r="135" spans="1:32" s="240" customFormat="1">
      <c r="A135" s="48"/>
      <c r="B135" s="31"/>
      <c r="C135" s="48"/>
      <c r="D135" s="47"/>
      <c r="E135" s="47"/>
      <c r="F135" s="31"/>
      <c r="G135" s="31"/>
      <c r="H135" s="31"/>
      <c r="I135" s="47"/>
      <c r="J135" s="31"/>
      <c r="K135" s="47"/>
      <c r="L135" s="47"/>
      <c r="M135" s="47"/>
      <c r="N135" s="31"/>
      <c r="O135" s="47"/>
      <c r="P135" s="31"/>
      <c r="Q135" s="31"/>
      <c r="R135" s="31"/>
      <c r="S135" s="31"/>
      <c r="T135" s="270">
        <f t="shared" si="16"/>
        <v>0</v>
      </c>
      <c r="U135" s="270">
        <f t="shared" si="17"/>
        <v>0</v>
      </c>
      <c r="V135" s="31"/>
      <c r="X135" s="240" t="str">
        <f t="shared" si="18"/>
        <v>OK</v>
      </c>
      <c r="Y135" s="240" t="str">
        <f t="shared" si="19"/>
        <v>OK</v>
      </c>
      <c r="Z135" s="240" t="str">
        <f t="shared" si="20"/>
        <v>OK</v>
      </c>
      <c r="AA135" s="240" t="str" cm="1">
        <f t="array" ref="AA135">IF(OR(AND(J135="Not accepted",N135:O135&lt;&gt;"",$S135=""),AND(J135="Accepted",S135="")),"ERROR","OK")</f>
        <v>OK</v>
      </c>
      <c r="AB135" s="240" t="str">
        <f t="shared" si="21"/>
        <v>OK</v>
      </c>
      <c r="AC135" s="240" t="str" cm="1">
        <f t="array" ref="AC135">IF(AND(F135:H135&lt;&gt;"",I135=""),"ERROR","OK")</f>
        <v>OK</v>
      </c>
      <c r="AD135" s="240" t="str">
        <f t="shared" si="22"/>
        <v>OK</v>
      </c>
      <c r="AE135" s="240" t="str">
        <f t="shared" si="23"/>
        <v>OK</v>
      </c>
      <c r="AF135" s="240" t="str" cm="1">
        <f t="array" aca="1" ref="AF135" ca="1" xml:space="preserve">
IF(AND($G135&lt;&gt;"",$F135=""),"ERROR",
IF(OR($F135:$G135="",AND($G135="",$F135&lt;&gt;"")),"OK",
IF(COUNTIF(INDIRECT(IFERROR(LEFT($F135,FIND(" ",$F135)-1),$F135)), $G135)&gt;0, "OK", "ERROR")))</f>
        <v>OK</v>
      </c>
    </row>
    <row r="136" spans="1:32" s="240" customFormat="1">
      <c r="A136" s="48"/>
      <c r="B136" s="31"/>
      <c r="C136" s="48"/>
      <c r="D136" s="47"/>
      <c r="E136" s="47"/>
      <c r="F136" s="31"/>
      <c r="G136" s="31"/>
      <c r="H136" s="31"/>
      <c r="I136" s="47"/>
      <c r="J136" s="31"/>
      <c r="K136" s="47"/>
      <c r="L136" s="47"/>
      <c r="M136" s="47"/>
      <c r="N136" s="31"/>
      <c r="O136" s="47"/>
      <c r="P136" s="31"/>
      <c r="Q136" s="31"/>
      <c r="R136" s="31"/>
      <c r="S136" s="31"/>
      <c r="T136" s="270">
        <f t="shared" si="16"/>
        <v>0</v>
      </c>
      <c r="U136" s="270">
        <f t="shared" si="17"/>
        <v>0</v>
      </c>
      <c r="V136" s="31"/>
      <c r="X136" s="240" t="str">
        <f t="shared" si="18"/>
        <v>OK</v>
      </c>
      <c r="Y136" s="240" t="str">
        <f t="shared" si="19"/>
        <v>OK</v>
      </c>
      <c r="Z136" s="240" t="str">
        <f t="shared" si="20"/>
        <v>OK</v>
      </c>
      <c r="AA136" s="240" t="str" cm="1">
        <f t="array" ref="AA136">IF(OR(AND(J136="Not accepted",N136:O136&lt;&gt;"",$S136=""),AND(J136="Accepted",S136="")),"ERROR","OK")</f>
        <v>OK</v>
      </c>
      <c r="AB136" s="240" t="str">
        <f t="shared" si="21"/>
        <v>OK</v>
      </c>
      <c r="AC136" s="240" t="str" cm="1">
        <f t="array" ref="AC136">IF(AND(F136:H136&lt;&gt;"",I136=""),"ERROR","OK")</f>
        <v>OK</v>
      </c>
      <c r="AD136" s="240" t="str">
        <f t="shared" si="22"/>
        <v>OK</v>
      </c>
      <c r="AE136" s="240" t="str">
        <f t="shared" si="23"/>
        <v>OK</v>
      </c>
      <c r="AF136" s="240" t="str" cm="1">
        <f t="array" aca="1" ref="AF136" ca="1" xml:space="preserve">
IF(AND($G136&lt;&gt;"",$F136=""),"ERROR",
IF(OR($F136:$G136="",AND($G136="",$F136&lt;&gt;"")),"OK",
IF(COUNTIF(INDIRECT(IFERROR(LEFT($F136,FIND(" ",$F136)-1),$F136)), $G136)&gt;0, "OK", "ERROR")))</f>
        <v>OK</v>
      </c>
    </row>
    <row r="137" spans="1:32" s="240" customFormat="1">
      <c r="A137" s="48"/>
      <c r="B137" s="31"/>
      <c r="C137" s="48"/>
      <c r="D137" s="47"/>
      <c r="E137" s="47"/>
      <c r="F137" s="31"/>
      <c r="G137" s="31"/>
      <c r="H137" s="31"/>
      <c r="I137" s="47"/>
      <c r="J137" s="31"/>
      <c r="K137" s="47"/>
      <c r="L137" s="47"/>
      <c r="M137" s="47"/>
      <c r="N137" s="31"/>
      <c r="O137" s="47"/>
      <c r="P137" s="31"/>
      <c r="Q137" s="31"/>
      <c r="R137" s="31"/>
      <c r="S137" s="31"/>
      <c r="T137" s="270">
        <f t="shared" si="16"/>
        <v>0</v>
      </c>
      <c r="U137" s="270">
        <f t="shared" si="17"/>
        <v>0</v>
      </c>
      <c r="V137" s="31"/>
      <c r="X137" s="240" t="str">
        <f t="shared" si="18"/>
        <v>OK</v>
      </c>
      <c r="Y137" s="240" t="str">
        <f t="shared" si="19"/>
        <v>OK</v>
      </c>
      <c r="Z137" s="240" t="str">
        <f t="shared" si="20"/>
        <v>OK</v>
      </c>
      <c r="AA137" s="240" t="str" cm="1">
        <f t="array" ref="AA137">IF(OR(AND(J137="Not accepted",N137:O137&lt;&gt;"",$S137=""),AND(J137="Accepted",S137="")),"ERROR","OK")</f>
        <v>OK</v>
      </c>
      <c r="AB137" s="240" t="str">
        <f t="shared" si="21"/>
        <v>OK</v>
      </c>
      <c r="AC137" s="240" t="str" cm="1">
        <f t="array" ref="AC137">IF(AND(F137:H137&lt;&gt;"",I137=""),"ERROR","OK")</f>
        <v>OK</v>
      </c>
      <c r="AD137" s="240" t="str">
        <f t="shared" si="22"/>
        <v>OK</v>
      </c>
      <c r="AE137" s="240" t="str">
        <f t="shared" si="23"/>
        <v>OK</v>
      </c>
      <c r="AF137" s="240" t="str" cm="1">
        <f t="array" aca="1" ref="AF137" ca="1" xml:space="preserve">
IF(AND($G137&lt;&gt;"",$F137=""),"ERROR",
IF(OR($F137:$G137="",AND($G137="",$F137&lt;&gt;"")),"OK",
IF(COUNTIF(INDIRECT(IFERROR(LEFT($F137,FIND(" ",$F137)-1),$F137)), $G137)&gt;0, "OK", "ERROR")))</f>
        <v>OK</v>
      </c>
    </row>
    <row r="138" spans="1:32" s="240" customFormat="1">
      <c r="A138" s="48"/>
      <c r="B138" s="31"/>
      <c r="C138" s="48"/>
      <c r="D138" s="47"/>
      <c r="E138" s="47"/>
      <c r="F138" s="31"/>
      <c r="G138" s="31"/>
      <c r="H138" s="31"/>
      <c r="I138" s="47"/>
      <c r="J138" s="31"/>
      <c r="K138" s="47"/>
      <c r="L138" s="47"/>
      <c r="M138" s="47"/>
      <c r="N138" s="31"/>
      <c r="O138" s="47"/>
      <c r="P138" s="31"/>
      <c r="Q138" s="31"/>
      <c r="R138" s="31"/>
      <c r="S138" s="31"/>
      <c r="T138" s="270">
        <f t="shared" si="16"/>
        <v>0</v>
      </c>
      <c r="U138" s="270">
        <f t="shared" si="17"/>
        <v>0</v>
      </c>
      <c r="V138" s="31"/>
      <c r="X138" s="240" t="str">
        <f t="shared" si="18"/>
        <v>OK</v>
      </c>
      <c r="Y138" s="240" t="str">
        <f t="shared" si="19"/>
        <v>OK</v>
      </c>
      <c r="Z138" s="240" t="str">
        <f t="shared" si="20"/>
        <v>OK</v>
      </c>
      <c r="AA138" s="240" t="str" cm="1">
        <f t="array" ref="AA138">IF(OR(AND(J138="Not accepted",N138:O138&lt;&gt;"",$S138=""),AND(J138="Accepted",S138="")),"ERROR","OK")</f>
        <v>OK</v>
      </c>
      <c r="AB138" s="240" t="str">
        <f t="shared" si="21"/>
        <v>OK</v>
      </c>
      <c r="AC138" s="240" t="str" cm="1">
        <f t="array" ref="AC138">IF(AND(F138:H138&lt;&gt;"",I138=""),"ERROR","OK")</f>
        <v>OK</v>
      </c>
      <c r="AD138" s="240" t="str">
        <f t="shared" si="22"/>
        <v>OK</v>
      </c>
      <c r="AE138" s="240" t="str">
        <f t="shared" si="23"/>
        <v>OK</v>
      </c>
      <c r="AF138" s="240" t="str" cm="1">
        <f t="array" aca="1" ref="AF138" ca="1" xml:space="preserve">
IF(AND($G138&lt;&gt;"",$F138=""),"ERROR",
IF(OR($F138:$G138="",AND($G138="",$F138&lt;&gt;"")),"OK",
IF(COUNTIF(INDIRECT(IFERROR(LEFT($F138,FIND(" ",$F138)-1),$F138)), $G138)&gt;0, "OK", "ERROR")))</f>
        <v>OK</v>
      </c>
    </row>
    <row r="139" spans="1:32" s="240" customFormat="1">
      <c r="A139" s="48"/>
      <c r="B139" s="31"/>
      <c r="C139" s="48"/>
      <c r="D139" s="47"/>
      <c r="E139" s="47"/>
      <c r="F139" s="31"/>
      <c r="G139" s="31"/>
      <c r="H139" s="31"/>
      <c r="I139" s="47"/>
      <c r="J139" s="31"/>
      <c r="K139" s="47"/>
      <c r="L139" s="47"/>
      <c r="M139" s="47"/>
      <c r="N139" s="31"/>
      <c r="O139" s="47"/>
      <c r="P139" s="31"/>
      <c r="Q139" s="31"/>
      <c r="R139" s="31"/>
      <c r="S139" s="31"/>
      <c r="T139" s="270">
        <f t="shared" si="16"/>
        <v>0</v>
      </c>
      <c r="U139" s="270">
        <f t="shared" si="17"/>
        <v>0</v>
      </c>
      <c r="V139" s="31"/>
      <c r="X139" s="240" t="str">
        <f t="shared" si="18"/>
        <v>OK</v>
      </c>
      <c r="Y139" s="240" t="str">
        <f t="shared" si="19"/>
        <v>OK</v>
      </c>
      <c r="Z139" s="240" t="str">
        <f t="shared" si="20"/>
        <v>OK</v>
      </c>
      <c r="AA139" s="240" t="str" cm="1">
        <f t="array" ref="AA139">IF(OR(AND(J139="Not accepted",N139:O139&lt;&gt;"",$S139=""),AND(J139="Accepted",S139="")),"ERROR","OK")</f>
        <v>OK</v>
      </c>
      <c r="AB139" s="240" t="str">
        <f t="shared" si="21"/>
        <v>OK</v>
      </c>
      <c r="AC139" s="240" t="str" cm="1">
        <f t="array" ref="AC139">IF(AND(F139:H139&lt;&gt;"",I139=""),"ERROR","OK")</f>
        <v>OK</v>
      </c>
      <c r="AD139" s="240" t="str">
        <f t="shared" si="22"/>
        <v>OK</v>
      </c>
      <c r="AE139" s="240" t="str">
        <f t="shared" si="23"/>
        <v>OK</v>
      </c>
      <c r="AF139" s="240" t="str" cm="1">
        <f t="array" aca="1" ref="AF139" ca="1" xml:space="preserve">
IF(AND($G139&lt;&gt;"",$F139=""),"ERROR",
IF(OR($F139:$G139="",AND($G139="",$F139&lt;&gt;"")),"OK",
IF(COUNTIF(INDIRECT(IFERROR(LEFT($F139,FIND(" ",$F139)-1),$F139)), $G139)&gt;0, "OK", "ERROR")))</f>
        <v>OK</v>
      </c>
    </row>
    <row r="140" spans="1:32" s="240" customFormat="1">
      <c r="A140" s="48"/>
      <c r="B140" s="31"/>
      <c r="C140" s="48"/>
      <c r="D140" s="47"/>
      <c r="E140" s="47"/>
      <c r="F140" s="31"/>
      <c r="G140" s="31"/>
      <c r="H140" s="31"/>
      <c r="I140" s="47"/>
      <c r="J140" s="31"/>
      <c r="K140" s="47"/>
      <c r="L140" s="47"/>
      <c r="M140" s="47"/>
      <c r="N140" s="31"/>
      <c r="O140" s="47"/>
      <c r="P140" s="31"/>
      <c r="Q140" s="31"/>
      <c r="R140" s="31"/>
      <c r="S140" s="31"/>
      <c r="T140" s="270">
        <f t="shared" si="16"/>
        <v>0</v>
      </c>
      <c r="U140" s="270">
        <f t="shared" si="17"/>
        <v>0</v>
      </c>
      <c r="V140" s="31"/>
      <c r="X140" s="240" t="str">
        <f t="shared" si="18"/>
        <v>OK</v>
      </c>
      <c r="Y140" s="240" t="str">
        <f t="shared" si="19"/>
        <v>OK</v>
      </c>
      <c r="Z140" s="240" t="str">
        <f t="shared" si="20"/>
        <v>OK</v>
      </c>
      <c r="AA140" s="240" t="str" cm="1">
        <f t="array" ref="AA140">IF(OR(AND(J140="Not accepted",N140:O140&lt;&gt;"",$S140=""),AND(J140="Accepted",S140="")),"ERROR","OK")</f>
        <v>OK</v>
      </c>
      <c r="AB140" s="240" t="str">
        <f t="shared" si="21"/>
        <v>OK</v>
      </c>
      <c r="AC140" s="240" t="str" cm="1">
        <f t="array" ref="AC140">IF(AND(F140:H140&lt;&gt;"",I140=""),"ERROR","OK")</f>
        <v>OK</v>
      </c>
      <c r="AD140" s="240" t="str">
        <f t="shared" si="22"/>
        <v>OK</v>
      </c>
      <c r="AE140" s="240" t="str">
        <f t="shared" si="23"/>
        <v>OK</v>
      </c>
      <c r="AF140" s="240" t="str" cm="1">
        <f t="array" aca="1" ref="AF140" ca="1" xml:space="preserve">
IF(AND($G140&lt;&gt;"",$F140=""),"ERROR",
IF(OR($F140:$G140="",AND($G140="",$F140&lt;&gt;"")),"OK",
IF(COUNTIF(INDIRECT(IFERROR(LEFT($F140,FIND(" ",$F140)-1),$F140)), $G140)&gt;0, "OK", "ERROR")))</f>
        <v>OK</v>
      </c>
    </row>
    <row r="141" spans="1:32" s="240" customFormat="1">
      <c r="A141" s="48"/>
      <c r="B141" s="31"/>
      <c r="C141" s="48"/>
      <c r="D141" s="47"/>
      <c r="E141" s="47"/>
      <c r="F141" s="31"/>
      <c r="G141" s="31"/>
      <c r="H141" s="31"/>
      <c r="I141" s="47"/>
      <c r="J141" s="31"/>
      <c r="K141" s="47"/>
      <c r="L141" s="47"/>
      <c r="M141" s="47"/>
      <c r="N141" s="31"/>
      <c r="O141" s="47"/>
      <c r="P141" s="31"/>
      <c r="Q141" s="31"/>
      <c r="R141" s="31"/>
      <c r="S141" s="31"/>
      <c r="T141" s="270">
        <f t="shared" si="16"/>
        <v>0</v>
      </c>
      <c r="U141" s="270">
        <f t="shared" si="17"/>
        <v>0</v>
      </c>
      <c r="V141" s="31"/>
      <c r="X141" s="240" t="str">
        <f t="shared" si="18"/>
        <v>OK</v>
      </c>
      <c r="Y141" s="240" t="str">
        <f t="shared" si="19"/>
        <v>OK</v>
      </c>
      <c r="Z141" s="240" t="str">
        <f t="shared" si="20"/>
        <v>OK</v>
      </c>
      <c r="AA141" s="240" t="str" cm="1">
        <f t="array" ref="AA141">IF(OR(AND(J141="Not accepted",N141:O141&lt;&gt;"",$S141=""),AND(J141="Accepted",S141="")),"ERROR","OK")</f>
        <v>OK</v>
      </c>
      <c r="AB141" s="240" t="str">
        <f t="shared" si="21"/>
        <v>OK</v>
      </c>
      <c r="AC141" s="240" t="str" cm="1">
        <f t="array" ref="AC141">IF(AND(F141:H141&lt;&gt;"",I141=""),"ERROR","OK")</f>
        <v>OK</v>
      </c>
      <c r="AD141" s="240" t="str">
        <f t="shared" si="22"/>
        <v>OK</v>
      </c>
      <c r="AE141" s="240" t="str">
        <f t="shared" si="23"/>
        <v>OK</v>
      </c>
      <c r="AF141" s="240" t="str" cm="1">
        <f t="array" aca="1" ref="AF141" ca="1" xml:space="preserve">
IF(AND($G141&lt;&gt;"",$F141=""),"ERROR",
IF(OR($F141:$G141="",AND($G141="",$F141&lt;&gt;"")),"OK",
IF(COUNTIF(INDIRECT(IFERROR(LEFT($F141,FIND(" ",$F141)-1),$F141)), $G141)&gt;0, "OK", "ERROR")))</f>
        <v>OK</v>
      </c>
    </row>
    <row r="142" spans="1:32" s="240" customFormat="1">
      <c r="A142" s="48"/>
      <c r="B142" s="31"/>
      <c r="C142" s="48"/>
      <c r="D142" s="47"/>
      <c r="E142" s="47"/>
      <c r="F142" s="31"/>
      <c r="G142" s="31"/>
      <c r="H142" s="31"/>
      <c r="I142" s="47"/>
      <c r="J142" s="31"/>
      <c r="K142" s="47"/>
      <c r="L142" s="47"/>
      <c r="M142" s="47"/>
      <c r="N142" s="31"/>
      <c r="O142" s="47"/>
      <c r="P142" s="31"/>
      <c r="Q142" s="31"/>
      <c r="R142" s="31"/>
      <c r="S142" s="31"/>
      <c r="T142" s="270">
        <f t="shared" si="16"/>
        <v>0</v>
      </c>
      <c r="U142" s="270">
        <f t="shared" si="17"/>
        <v>0</v>
      </c>
      <c r="V142" s="31"/>
      <c r="X142" s="240" t="str">
        <f t="shared" si="18"/>
        <v>OK</v>
      </c>
      <c r="Y142" s="240" t="str">
        <f t="shared" si="19"/>
        <v>OK</v>
      </c>
      <c r="Z142" s="240" t="str">
        <f t="shared" si="20"/>
        <v>OK</v>
      </c>
      <c r="AA142" s="240" t="str" cm="1">
        <f t="array" ref="AA142">IF(OR(AND(J142="Not accepted",N142:O142&lt;&gt;"",$S142=""),AND(J142="Accepted",S142="")),"ERROR","OK")</f>
        <v>OK</v>
      </c>
      <c r="AB142" s="240" t="str">
        <f t="shared" si="21"/>
        <v>OK</v>
      </c>
      <c r="AC142" s="240" t="str" cm="1">
        <f t="array" ref="AC142">IF(AND(F142:H142&lt;&gt;"",I142=""),"ERROR","OK")</f>
        <v>OK</v>
      </c>
      <c r="AD142" s="240" t="str">
        <f t="shared" si="22"/>
        <v>OK</v>
      </c>
      <c r="AE142" s="240" t="str">
        <f t="shared" si="23"/>
        <v>OK</v>
      </c>
      <c r="AF142" s="240" t="str" cm="1">
        <f t="array" aca="1" ref="AF142" ca="1" xml:space="preserve">
IF(AND($G142&lt;&gt;"",$F142=""),"ERROR",
IF(OR($F142:$G142="",AND($G142="",$F142&lt;&gt;"")),"OK",
IF(COUNTIF(INDIRECT(IFERROR(LEFT($F142,FIND(" ",$F142)-1),$F142)), $G142)&gt;0, "OK", "ERROR")))</f>
        <v>OK</v>
      </c>
    </row>
    <row r="143" spans="1:32" s="240" customFormat="1">
      <c r="A143" s="48"/>
      <c r="B143" s="31"/>
      <c r="C143" s="48"/>
      <c r="D143" s="47"/>
      <c r="E143" s="47"/>
      <c r="F143" s="31"/>
      <c r="G143" s="31"/>
      <c r="H143" s="31"/>
      <c r="I143" s="47"/>
      <c r="J143" s="31"/>
      <c r="K143" s="47"/>
      <c r="L143" s="47"/>
      <c r="M143" s="47"/>
      <c r="N143" s="31"/>
      <c r="O143" s="47"/>
      <c r="P143" s="31"/>
      <c r="Q143" s="31"/>
      <c r="R143" s="31"/>
      <c r="S143" s="31"/>
      <c r="T143" s="270">
        <f t="shared" si="16"/>
        <v>0</v>
      </c>
      <c r="U143" s="270">
        <f t="shared" si="17"/>
        <v>0</v>
      </c>
      <c r="V143" s="31"/>
      <c r="X143" s="240" t="str">
        <f t="shared" si="18"/>
        <v>OK</v>
      </c>
      <c r="Y143" s="240" t="str">
        <f t="shared" si="19"/>
        <v>OK</v>
      </c>
      <c r="Z143" s="240" t="str">
        <f t="shared" si="20"/>
        <v>OK</v>
      </c>
      <c r="AA143" s="240" t="str" cm="1">
        <f t="array" ref="AA143">IF(OR(AND(J143="Not accepted",N143:O143&lt;&gt;"",$S143=""),AND(J143="Accepted",S143="")),"ERROR","OK")</f>
        <v>OK</v>
      </c>
      <c r="AB143" s="240" t="str">
        <f t="shared" si="21"/>
        <v>OK</v>
      </c>
      <c r="AC143" s="240" t="str" cm="1">
        <f t="array" ref="AC143">IF(AND(F143:H143&lt;&gt;"",I143=""),"ERROR","OK")</f>
        <v>OK</v>
      </c>
      <c r="AD143" s="240" t="str">
        <f t="shared" si="22"/>
        <v>OK</v>
      </c>
      <c r="AE143" s="240" t="str">
        <f t="shared" si="23"/>
        <v>OK</v>
      </c>
      <c r="AF143" s="240" t="str" cm="1">
        <f t="array" aca="1" ref="AF143" ca="1" xml:space="preserve">
IF(AND($G143&lt;&gt;"",$F143=""),"ERROR",
IF(OR($F143:$G143="",AND($G143="",$F143&lt;&gt;"")),"OK",
IF(COUNTIF(INDIRECT(IFERROR(LEFT($F143,FIND(" ",$F143)-1),$F143)), $G143)&gt;0, "OK", "ERROR")))</f>
        <v>OK</v>
      </c>
    </row>
    <row r="144" spans="1:32" s="240" customFormat="1">
      <c r="A144" s="48"/>
      <c r="B144" s="31"/>
      <c r="C144" s="48"/>
      <c r="D144" s="47"/>
      <c r="E144" s="47"/>
      <c r="F144" s="31"/>
      <c r="G144" s="31"/>
      <c r="H144" s="31"/>
      <c r="I144" s="47"/>
      <c r="J144" s="31"/>
      <c r="K144" s="47"/>
      <c r="L144" s="47"/>
      <c r="M144" s="47"/>
      <c r="N144" s="31"/>
      <c r="O144" s="47"/>
      <c r="P144" s="31"/>
      <c r="Q144" s="31"/>
      <c r="R144" s="31"/>
      <c r="S144" s="31"/>
      <c r="T144" s="270">
        <f t="shared" si="16"/>
        <v>0</v>
      </c>
      <c r="U144" s="270">
        <f t="shared" si="17"/>
        <v>0</v>
      </c>
      <c r="V144" s="31"/>
      <c r="X144" s="240" t="str">
        <f t="shared" si="18"/>
        <v>OK</v>
      </c>
      <c r="Y144" s="240" t="str">
        <f t="shared" si="19"/>
        <v>OK</v>
      </c>
      <c r="Z144" s="240" t="str">
        <f t="shared" si="20"/>
        <v>OK</v>
      </c>
      <c r="AA144" s="240" t="str" cm="1">
        <f t="array" ref="AA144">IF(OR(AND(J144="Not accepted",N144:O144&lt;&gt;"",$S144=""),AND(J144="Accepted",S144="")),"ERROR","OK")</f>
        <v>OK</v>
      </c>
      <c r="AB144" s="240" t="str">
        <f t="shared" si="21"/>
        <v>OK</v>
      </c>
      <c r="AC144" s="240" t="str" cm="1">
        <f t="array" ref="AC144">IF(AND(F144:H144&lt;&gt;"",I144=""),"ERROR","OK")</f>
        <v>OK</v>
      </c>
      <c r="AD144" s="240" t="str">
        <f t="shared" si="22"/>
        <v>OK</v>
      </c>
      <c r="AE144" s="240" t="str">
        <f t="shared" si="23"/>
        <v>OK</v>
      </c>
      <c r="AF144" s="240" t="str" cm="1">
        <f t="array" aca="1" ref="AF144" ca="1" xml:space="preserve">
IF(AND($G144&lt;&gt;"",$F144=""),"ERROR",
IF(OR($F144:$G144="",AND($G144="",$F144&lt;&gt;"")),"OK",
IF(COUNTIF(INDIRECT(IFERROR(LEFT($F144,FIND(" ",$F144)-1),$F144)), $G144)&gt;0, "OK", "ERROR")))</f>
        <v>OK</v>
      </c>
    </row>
    <row r="145" spans="1:32" s="240" customFormat="1">
      <c r="A145" s="48"/>
      <c r="B145" s="31"/>
      <c r="C145" s="48"/>
      <c r="D145" s="47"/>
      <c r="E145" s="47"/>
      <c r="F145" s="31"/>
      <c r="G145" s="31"/>
      <c r="H145" s="31"/>
      <c r="I145" s="47"/>
      <c r="J145" s="31"/>
      <c r="K145" s="47"/>
      <c r="L145" s="47"/>
      <c r="M145" s="47"/>
      <c r="N145" s="31"/>
      <c r="O145" s="47"/>
      <c r="P145" s="31"/>
      <c r="Q145" s="31"/>
      <c r="R145" s="31"/>
      <c r="S145" s="31"/>
      <c r="T145" s="270">
        <f t="shared" si="16"/>
        <v>0</v>
      </c>
      <c r="U145" s="270">
        <f t="shared" si="17"/>
        <v>0</v>
      </c>
      <c r="V145" s="31"/>
      <c r="X145" s="240" t="str">
        <f t="shared" si="18"/>
        <v>OK</v>
      </c>
      <c r="Y145" s="240" t="str">
        <f t="shared" si="19"/>
        <v>OK</v>
      </c>
      <c r="Z145" s="240" t="str">
        <f t="shared" si="20"/>
        <v>OK</v>
      </c>
      <c r="AA145" s="240" t="str" cm="1">
        <f t="array" ref="AA145">IF(OR(AND(J145="Not accepted",N145:O145&lt;&gt;"",$S145=""),AND(J145="Accepted",S145="")),"ERROR","OK")</f>
        <v>OK</v>
      </c>
      <c r="AB145" s="240" t="str">
        <f t="shared" si="21"/>
        <v>OK</v>
      </c>
      <c r="AC145" s="240" t="str" cm="1">
        <f t="array" ref="AC145">IF(AND(F145:H145&lt;&gt;"",I145=""),"ERROR","OK")</f>
        <v>OK</v>
      </c>
      <c r="AD145" s="240" t="str">
        <f t="shared" si="22"/>
        <v>OK</v>
      </c>
      <c r="AE145" s="240" t="str">
        <f t="shared" si="23"/>
        <v>OK</v>
      </c>
      <c r="AF145" s="240" t="str" cm="1">
        <f t="array" aca="1" ref="AF145" ca="1" xml:space="preserve">
IF(AND($G145&lt;&gt;"",$F145=""),"ERROR",
IF(OR($F145:$G145="",AND($G145="",$F145&lt;&gt;"")),"OK",
IF(COUNTIF(INDIRECT(IFERROR(LEFT($F145,FIND(" ",$F145)-1),$F145)), $G145)&gt;0, "OK", "ERROR")))</f>
        <v>OK</v>
      </c>
    </row>
    <row r="146" spans="1:32" s="240" customFormat="1">
      <c r="A146" s="48"/>
      <c r="B146" s="31"/>
      <c r="C146" s="48"/>
      <c r="D146" s="47"/>
      <c r="E146" s="47"/>
      <c r="F146" s="31"/>
      <c r="G146" s="31"/>
      <c r="H146" s="31"/>
      <c r="I146" s="47"/>
      <c r="J146" s="31"/>
      <c r="K146" s="47"/>
      <c r="L146" s="47"/>
      <c r="M146" s="47"/>
      <c r="N146" s="31"/>
      <c r="O146" s="47"/>
      <c r="P146" s="31"/>
      <c r="Q146" s="31"/>
      <c r="R146" s="31"/>
      <c r="S146" s="31"/>
      <c r="T146" s="270">
        <f t="shared" si="16"/>
        <v>0</v>
      </c>
      <c r="U146" s="270">
        <f t="shared" si="17"/>
        <v>0</v>
      </c>
      <c r="V146" s="31"/>
      <c r="X146" s="240" t="str">
        <f t="shared" si="18"/>
        <v>OK</v>
      </c>
      <c r="Y146" s="240" t="str">
        <f t="shared" si="19"/>
        <v>OK</v>
      </c>
      <c r="Z146" s="240" t="str">
        <f t="shared" si="20"/>
        <v>OK</v>
      </c>
      <c r="AA146" s="240" t="str" cm="1">
        <f t="array" ref="AA146">IF(OR(AND(J146="Not accepted",N146:O146&lt;&gt;"",$S146=""),AND(J146="Accepted",S146="")),"ERROR","OK")</f>
        <v>OK</v>
      </c>
      <c r="AB146" s="240" t="str">
        <f t="shared" si="21"/>
        <v>OK</v>
      </c>
      <c r="AC146" s="240" t="str" cm="1">
        <f t="array" ref="AC146">IF(AND(F146:H146&lt;&gt;"",I146=""),"ERROR","OK")</f>
        <v>OK</v>
      </c>
      <c r="AD146" s="240" t="str">
        <f t="shared" si="22"/>
        <v>OK</v>
      </c>
      <c r="AE146" s="240" t="str">
        <f t="shared" si="23"/>
        <v>OK</v>
      </c>
      <c r="AF146" s="240" t="str" cm="1">
        <f t="array" aca="1" ref="AF146" ca="1" xml:space="preserve">
IF(AND($G146&lt;&gt;"",$F146=""),"ERROR",
IF(OR($F146:$G146="",AND($G146="",$F146&lt;&gt;"")),"OK",
IF(COUNTIF(INDIRECT(IFERROR(LEFT($F146,FIND(" ",$F146)-1),$F146)), $G146)&gt;0, "OK", "ERROR")))</f>
        <v>OK</v>
      </c>
    </row>
    <row r="147" spans="1:32" s="240" customFormat="1">
      <c r="A147" s="48"/>
      <c r="B147" s="31"/>
      <c r="C147" s="48"/>
      <c r="D147" s="47"/>
      <c r="E147" s="47"/>
      <c r="F147" s="31"/>
      <c r="G147" s="31"/>
      <c r="H147" s="31"/>
      <c r="I147" s="47"/>
      <c r="J147" s="31"/>
      <c r="K147" s="47"/>
      <c r="L147" s="47"/>
      <c r="M147" s="47"/>
      <c r="N147" s="31"/>
      <c r="O147" s="47"/>
      <c r="P147" s="31"/>
      <c r="Q147" s="31"/>
      <c r="R147" s="31"/>
      <c r="S147" s="31"/>
      <c r="T147" s="270">
        <f t="shared" si="16"/>
        <v>0</v>
      </c>
      <c r="U147" s="270">
        <f t="shared" si="17"/>
        <v>0</v>
      </c>
      <c r="V147" s="31"/>
      <c r="X147" s="240" t="str">
        <f t="shared" si="18"/>
        <v>OK</v>
      </c>
      <c r="Y147" s="240" t="str">
        <f t="shared" si="19"/>
        <v>OK</v>
      </c>
      <c r="Z147" s="240" t="str">
        <f t="shared" si="20"/>
        <v>OK</v>
      </c>
      <c r="AA147" s="240" t="str" cm="1">
        <f t="array" ref="AA147">IF(OR(AND(J147="Not accepted",N147:O147&lt;&gt;"",$S147=""),AND(J147="Accepted",S147="")),"ERROR","OK")</f>
        <v>OK</v>
      </c>
      <c r="AB147" s="240" t="str">
        <f t="shared" si="21"/>
        <v>OK</v>
      </c>
      <c r="AC147" s="240" t="str" cm="1">
        <f t="array" ref="AC147">IF(AND(F147:H147&lt;&gt;"",I147=""),"ERROR","OK")</f>
        <v>OK</v>
      </c>
      <c r="AD147" s="240" t="str">
        <f t="shared" si="22"/>
        <v>OK</v>
      </c>
      <c r="AE147" s="240" t="str">
        <f t="shared" si="23"/>
        <v>OK</v>
      </c>
      <c r="AF147" s="240" t="str" cm="1">
        <f t="array" aca="1" ref="AF147" ca="1" xml:space="preserve">
IF(AND($G147&lt;&gt;"",$F147=""),"ERROR",
IF(OR($F147:$G147="",AND($G147="",$F147&lt;&gt;"")),"OK",
IF(COUNTIF(INDIRECT(IFERROR(LEFT($F147,FIND(" ",$F147)-1),$F147)), $G147)&gt;0, "OK", "ERROR")))</f>
        <v>OK</v>
      </c>
    </row>
    <row r="148" spans="1:32" s="240" customFormat="1">
      <c r="A148" s="48"/>
      <c r="B148" s="31"/>
      <c r="C148" s="48"/>
      <c r="D148" s="47"/>
      <c r="E148" s="47"/>
      <c r="F148" s="31"/>
      <c r="G148" s="31"/>
      <c r="H148" s="31"/>
      <c r="I148" s="47"/>
      <c r="J148" s="31"/>
      <c r="K148" s="47"/>
      <c r="L148" s="47"/>
      <c r="M148" s="47"/>
      <c r="N148" s="31"/>
      <c r="O148" s="47"/>
      <c r="P148" s="31"/>
      <c r="Q148" s="31"/>
      <c r="R148" s="31"/>
      <c r="S148" s="31"/>
      <c r="T148" s="270">
        <f t="shared" si="16"/>
        <v>0</v>
      </c>
      <c r="U148" s="270">
        <f t="shared" si="17"/>
        <v>0</v>
      </c>
      <c r="V148" s="31"/>
      <c r="X148" s="240" t="str">
        <f t="shared" si="18"/>
        <v>OK</v>
      </c>
      <c r="Y148" s="240" t="str">
        <f t="shared" si="19"/>
        <v>OK</v>
      </c>
      <c r="Z148" s="240" t="str">
        <f t="shared" si="20"/>
        <v>OK</v>
      </c>
      <c r="AA148" s="240" t="str" cm="1">
        <f t="array" ref="AA148">IF(OR(AND(J148="Not accepted",N148:O148&lt;&gt;"",$S148=""),AND(J148="Accepted",S148="")),"ERROR","OK")</f>
        <v>OK</v>
      </c>
      <c r="AB148" s="240" t="str">
        <f t="shared" si="21"/>
        <v>OK</v>
      </c>
      <c r="AC148" s="240" t="str" cm="1">
        <f t="array" ref="AC148">IF(AND(F148:H148&lt;&gt;"",I148=""),"ERROR","OK")</f>
        <v>OK</v>
      </c>
      <c r="AD148" s="240" t="str">
        <f t="shared" si="22"/>
        <v>OK</v>
      </c>
      <c r="AE148" s="240" t="str">
        <f t="shared" si="23"/>
        <v>OK</v>
      </c>
      <c r="AF148" s="240" t="str" cm="1">
        <f t="array" aca="1" ref="AF148" ca="1" xml:space="preserve">
IF(AND($G148&lt;&gt;"",$F148=""),"ERROR",
IF(OR($F148:$G148="",AND($G148="",$F148&lt;&gt;"")),"OK",
IF(COUNTIF(INDIRECT(IFERROR(LEFT($F148,FIND(" ",$F148)-1),$F148)), $G148)&gt;0, "OK", "ERROR")))</f>
        <v>OK</v>
      </c>
    </row>
    <row r="149" spans="1:32" s="240" customFormat="1">
      <c r="A149" s="48"/>
      <c r="B149" s="31"/>
      <c r="C149" s="48"/>
      <c r="D149" s="47"/>
      <c r="E149" s="47"/>
      <c r="F149" s="31"/>
      <c r="G149" s="31"/>
      <c r="H149" s="31"/>
      <c r="I149" s="47"/>
      <c r="J149" s="31"/>
      <c r="K149" s="47"/>
      <c r="L149" s="47"/>
      <c r="M149" s="47"/>
      <c r="N149" s="31"/>
      <c r="O149" s="47"/>
      <c r="P149" s="31"/>
      <c r="Q149" s="31"/>
      <c r="R149" s="31"/>
      <c r="S149" s="31"/>
      <c r="T149" s="270">
        <f t="shared" si="16"/>
        <v>0</v>
      </c>
      <c r="U149" s="270">
        <f t="shared" si="17"/>
        <v>0</v>
      </c>
      <c r="V149" s="31"/>
      <c r="X149" s="240" t="str">
        <f t="shared" si="18"/>
        <v>OK</v>
      </c>
      <c r="Y149" s="240" t="str">
        <f t="shared" si="19"/>
        <v>OK</v>
      </c>
      <c r="Z149" s="240" t="str">
        <f t="shared" si="20"/>
        <v>OK</v>
      </c>
      <c r="AA149" s="240" t="str" cm="1">
        <f t="array" ref="AA149">IF(OR(AND(J149="Not accepted",N149:O149&lt;&gt;"",$S149=""),AND(J149="Accepted",S149="")),"ERROR","OK")</f>
        <v>OK</v>
      </c>
      <c r="AB149" s="240" t="str">
        <f t="shared" si="21"/>
        <v>OK</v>
      </c>
      <c r="AC149" s="240" t="str" cm="1">
        <f t="array" ref="AC149">IF(AND(F149:H149&lt;&gt;"",I149=""),"ERROR","OK")</f>
        <v>OK</v>
      </c>
      <c r="AD149" s="240" t="str">
        <f t="shared" si="22"/>
        <v>OK</v>
      </c>
      <c r="AE149" s="240" t="str">
        <f t="shared" si="23"/>
        <v>OK</v>
      </c>
      <c r="AF149" s="240" t="str" cm="1">
        <f t="array" aca="1" ref="AF149" ca="1" xml:space="preserve">
IF(AND($G149&lt;&gt;"",$F149=""),"ERROR",
IF(OR($F149:$G149="",AND($G149="",$F149&lt;&gt;"")),"OK",
IF(COUNTIF(INDIRECT(IFERROR(LEFT($F149,FIND(" ",$F149)-1),$F149)), $G149)&gt;0, "OK", "ERROR")))</f>
        <v>OK</v>
      </c>
    </row>
    <row r="150" spans="1:32" s="240" customFormat="1">
      <c r="A150" s="48"/>
      <c r="B150" s="31"/>
      <c r="C150" s="48"/>
      <c r="D150" s="47"/>
      <c r="E150" s="47"/>
      <c r="F150" s="31"/>
      <c r="G150" s="31"/>
      <c r="H150" s="31"/>
      <c r="I150" s="47"/>
      <c r="J150" s="31"/>
      <c r="K150" s="47"/>
      <c r="L150" s="47"/>
      <c r="M150" s="47"/>
      <c r="N150" s="31"/>
      <c r="O150" s="47"/>
      <c r="P150" s="31"/>
      <c r="Q150" s="31"/>
      <c r="R150" s="31"/>
      <c r="S150" s="31"/>
      <c r="T150" s="270">
        <f t="shared" si="16"/>
        <v>0</v>
      </c>
      <c r="U150" s="270">
        <f t="shared" si="17"/>
        <v>0</v>
      </c>
      <c r="V150" s="31"/>
      <c r="X150" s="240" t="str">
        <f t="shared" si="18"/>
        <v>OK</v>
      </c>
      <c r="Y150" s="240" t="str">
        <f t="shared" si="19"/>
        <v>OK</v>
      </c>
      <c r="Z150" s="240" t="str">
        <f t="shared" si="20"/>
        <v>OK</v>
      </c>
      <c r="AA150" s="240" t="str" cm="1">
        <f t="array" ref="AA150">IF(OR(AND(J150="Not accepted",N150:O150&lt;&gt;"",$S150=""),AND(J150="Accepted",S150="")),"ERROR","OK")</f>
        <v>OK</v>
      </c>
      <c r="AB150" s="240" t="str">
        <f t="shared" si="21"/>
        <v>OK</v>
      </c>
      <c r="AC150" s="240" t="str" cm="1">
        <f t="array" ref="AC150">IF(AND(F150:H150&lt;&gt;"",I150=""),"ERROR","OK")</f>
        <v>OK</v>
      </c>
      <c r="AD150" s="240" t="str">
        <f t="shared" si="22"/>
        <v>OK</v>
      </c>
      <c r="AE150" s="240" t="str">
        <f t="shared" si="23"/>
        <v>OK</v>
      </c>
      <c r="AF150" s="240" t="str" cm="1">
        <f t="array" aca="1" ref="AF150" ca="1" xml:space="preserve">
IF(AND($G150&lt;&gt;"",$F150=""),"ERROR",
IF(OR($F150:$G150="",AND($G150="",$F150&lt;&gt;"")),"OK",
IF(COUNTIF(INDIRECT(IFERROR(LEFT($F150,FIND(" ",$F150)-1),$F150)), $G150)&gt;0, "OK", "ERROR")))</f>
        <v>OK</v>
      </c>
    </row>
    <row r="151" spans="1:32" s="240" customFormat="1">
      <c r="A151" s="48"/>
      <c r="B151" s="31"/>
      <c r="C151" s="48"/>
      <c r="D151" s="47"/>
      <c r="E151" s="47"/>
      <c r="F151" s="31"/>
      <c r="G151" s="31"/>
      <c r="H151" s="31"/>
      <c r="I151" s="47"/>
      <c r="J151" s="31"/>
      <c r="K151" s="47"/>
      <c r="L151" s="47"/>
      <c r="M151" s="47"/>
      <c r="N151" s="31"/>
      <c r="O151" s="47"/>
      <c r="P151" s="31"/>
      <c r="Q151" s="31"/>
      <c r="R151" s="31"/>
      <c r="S151" s="31"/>
      <c r="T151" s="270">
        <f t="shared" si="16"/>
        <v>0</v>
      </c>
      <c r="U151" s="270">
        <f t="shared" si="17"/>
        <v>0</v>
      </c>
      <c r="V151" s="31"/>
      <c r="X151" s="240" t="str">
        <f t="shared" si="18"/>
        <v>OK</v>
      </c>
      <c r="Y151" s="240" t="str">
        <f t="shared" si="19"/>
        <v>OK</v>
      </c>
      <c r="Z151" s="240" t="str">
        <f t="shared" si="20"/>
        <v>OK</v>
      </c>
      <c r="AA151" s="240" t="str" cm="1">
        <f t="array" ref="AA151">IF(OR(AND(J151="Not accepted",N151:O151&lt;&gt;"",$S151=""),AND(J151="Accepted",S151="")),"ERROR","OK")</f>
        <v>OK</v>
      </c>
      <c r="AB151" s="240" t="str">
        <f t="shared" si="21"/>
        <v>OK</v>
      </c>
      <c r="AC151" s="240" t="str" cm="1">
        <f t="array" ref="AC151">IF(AND(F151:H151&lt;&gt;"",I151=""),"ERROR","OK")</f>
        <v>OK</v>
      </c>
      <c r="AD151" s="240" t="str">
        <f t="shared" si="22"/>
        <v>OK</v>
      </c>
      <c r="AE151" s="240" t="str">
        <f t="shared" si="23"/>
        <v>OK</v>
      </c>
      <c r="AF151" s="240" t="str" cm="1">
        <f t="array" aca="1" ref="AF151" ca="1" xml:space="preserve">
IF(AND($G151&lt;&gt;"",$F151=""),"ERROR",
IF(OR($F151:$G151="",AND($G151="",$F151&lt;&gt;"")),"OK",
IF(COUNTIF(INDIRECT(IFERROR(LEFT($F151,FIND(" ",$F151)-1),$F151)), $G151)&gt;0, "OK", "ERROR")))</f>
        <v>OK</v>
      </c>
    </row>
    <row r="152" spans="1:32" s="240" customFormat="1">
      <c r="A152" s="48"/>
      <c r="B152" s="31"/>
      <c r="C152" s="48"/>
      <c r="D152" s="47"/>
      <c r="E152" s="47"/>
      <c r="F152" s="31"/>
      <c r="G152" s="31"/>
      <c r="H152" s="31"/>
      <c r="I152" s="47"/>
      <c r="J152" s="31"/>
      <c r="K152" s="47"/>
      <c r="L152" s="47"/>
      <c r="M152" s="47"/>
      <c r="N152" s="31"/>
      <c r="O152" s="47"/>
      <c r="P152" s="31"/>
      <c r="Q152" s="31"/>
      <c r="R152" s="31"/>
      <c r="S152" s="31"/>
      <c r="T152" s="270">
        <f t="shared" si="16"/>
        <v>0</v>
      </c>
      <c r="U152" s="270">
        <f t="shared" si="17"/>
        <v>0</v>
      </c>
      <c r="V152" s="31"/>
      <c r="X152" s="240" t="str">
        <f t="shared" si="18"/>
        <v>OK</v>
      </c>
      <c r="Y152" s="240" t="str">
        <f t="shared" si="19"/>
        <v>OK</v>
      </c>
      <c r="Z152" s="240" t="str">
        <f t="shared" si="20"/>
        <v>OK</v>
      </c>
      <c r="AA152" s="240" t="str" cm="1">
        <f t="array" ref="AA152">IF(OR(AND(J152="Not accepted",N152:O152&lt;&gt;"",$S152=""),AND(J152="Accepted",S152="")),"ERROR","OK")</f>
        <v>OK</v>
      </c>
      <c r="AB152" s="240" t="str">
        <f t="shared" si="21"/>
        <v>OK</v>
      </c>
      <c r="AC152" s="240" t="str" cm="1">
        <f t="array" ref="AC152">IF(AND(F152:H152&lt;&gt;"",I152=""),"ERROR","OK")</f>
        <v>OK</v>
      </c>
      <c r="AD152" s="240" t="str">
        <f t="shared" si="22"/>
        <v>OK</v>
      </c>
      <c r="AE152" s="240" t="str">
        <f t="shared" si="23"/>
        <v>OK</v>
      </c>
      <c r="AF152" s="240" t="str" cm="1">
        <f t="array" aca="1" ref="AF152" ca="1" xml:space="preserve">
IF(AND($G152&lt;&gt;"",$F152=""),"ERROR",
IF(OR($F152:$G152="",AND($G152="",$F152&lt;&gt;"")),"OK",
IF(COUNTIF(INDIRECT(IFERROR(LEFT($F152,FIND(" ",$F152)-1),$F152)), $G152)&gt;0, "OK", "ERROR")))</f>
        <v>OK</v>
      </c>
    </row>
    <row r="153" spans="1:32" s="240" customFormat="1">
      <c r="A153" s="48"/>
      <c r="B153" s="31"/>
      <c r="C153" s="48"/>
      <c r="D153" s="47"/>
      <c r="E153" s="47"/>
      <c r="F153" s="31"/>
      <c r="G153" s="31"/>
      <c r="H153" s="31"/>
      <c r="I153" s="47"/>
      <c r="J153" s="31"/>
      <c r="K153" s="47"/>
      <c r="L153" s="47"/>
      <c r="M153" s="47"/>
      <c r="N153" s="31"/>
      <c r="O153" s="47"/>
      <c r="P153" s="31"/>
      <c r="Q153" s="31"/>
      <c r="R153" s="31"/>
      <c r="S153" s="31"/>
      <c r="T153" s="270">
        <f t="shared" si="16"/>
        <v>0</v>
      </c>
      <c r="U153" s="270">
        <f t="shared" si="17"/>
        <v>0</v>
      </c>
      <c r="V153" s="31"/>
      <c r="X153" s="240" t="str">
        <f t="shared" si="18"/>
        <v>OK</v>
      </c>
      <c r="Y153" s="240" t="str">
        <f t="shared" si="19"/>
        <v>OK</v>
      </c>
      <c r="Z153" s="240" t="str">
        <f t="shared" si="20"/>
        <v>OK</v>
      </c>
      <c r="AA153" s="240" t="str" cm="1">
        <f t="array" ref="AA153">IF(OR(AND(J153="Not accepted",N153:O153&lt;&gt;"",$S153=""),AND(J153="Accepted",S153="")),"ERROR","OK")</f>
        <v>OK</v>
      </c>
      <c r="AB153" s="240" t="str">
        <f t="shared" si="21"/>
        <v>OK</v>
      </c>
      <c r="AC153" s="240" t="str" cm="1">
        <f t="array" ref="AC153">IF(AND(F153:H153&lt;&gt;"",I153=""),"ERROR","OK")</f>
        <v>OK</v>
      </c>
      <c r="AD153" s="240" t="str">
        <f t="shared" si="22"/>
        <v>OK</v>
      </c>
      <c r="AE153" s="240" t="str">
        <f t="shared" si="23"/>
        <v>OK</v>
      </c>
      <c r="AF153" s="240" t="str" cm="1">
        <f t="array" aca="1" ref="AF153" ca="1" xml:space="preserve">
IF(AND($G153&lt;&gt;"",$F153=""),"ERROR",
IF(OR($F153:$G153="",AND($G153="",$F153&lt;&gt;"")),"OK",
IF(COUNTIF(INDIRECT(IFERROR(LEFT($F153,FIND(" ",$F153)-1),$F153)), $G153)&gt;0, "OK", "ERROR")))</f>
        <v>OK</v>
      </c>
    </row>
    <row r="154" spans="1:32" s="240" customFormat="1">
      <c r="A154" s="48"/>
      <c r="B154" s="31"/>
      <c r="C154" s="48"/>
      <c r="D154" s="47"/>
      <c r="E154" s="47"/>
      <c r="F154" s="31"/>
      <c r="G154" s="31"/>
      <c r="H154" s="31"/>
      <c r="I154" s="47"/>
      <c r="J154" s="31"/>
      <c r="K154" s="47"/>
      <c r="L154" s="47"/>
      <c r="M154" s="47"/>
      <c r="N154" s="31"/>
      <c r="O154" s="47"/>
      <c r="P154" s="31"/>
      <c r="Q154" s="31"/>
      <c r="R154" s="31"/>
      <c r="S154" s="31"/>
      <c r="T154" s="270">
        <f t="shared" si="16"/>
        <v>0</v>
      </c>
      <c r="U154" s="270">
        <f t="shared" si="17"/>
        <v>0</v>
      </c>
      <c r="V154" s="31"/>
      <c r="X154" s="240" t="str">
        <f t="shared" si="18"/>
        <v>OK</v>
      </c>
      <c r="Y154" s="240" t="str">
        <f t="shared" si="19"/>
        <v>OK</v>
      </c>
      <c r="Z154" s="240" t="str">
        <f t="shared" si="20"/>
        <v>OK</v>
      </c>
      <c r="AA154" s="240" t="str" cm="1">
        <f t="array" ref="AA154">IF(OR(AND(J154="Not accepted",N154:O154&lt;&gt;"",$S154=""),AND(J154="Accepted",S154="")),"ERROR","OK")</f>
        <v>OK</v>
      </c>
      <c r="AB154" s="240" t="str">
        <f t="shared" si="21"/>
        <v>OK</v>
      </c>
      <c r="AC154" s="240" t="str" cm="1">
        <f t="array" ref="AC154">IF(AND(F154:H154&lt;&gt;"",I154=""),"ERROR","OK")</f>
        <v>OK</v>
      </c>
      <c r="AD154" s="240" t="str">
        <f t="shared" si="22"/>
        <v>OK</v>
      </c>
      <c r="AE154" s="240" t="str">
        <f t="shared" si="23"/>
        <v>OK</v>
      </c>
      <c r="AF154" s="240" t="str" cm="1">
        <f t="array" aca="1" ref="AF154" ca="1" xml:space="preserve">
IF(AND($G154&lt;&gt;"",$F154=""),"ERROR",
IF(OR($F154:$G154="",AND($G154="",$F154&lt;&gt;"")),"OK",
IF(COUNTIF(INDIRECT(IFERROR(LEFT($F154,FIND(" ",$F154)-1),$F154)), $G154)&gt;0, "OK", "ERROR")))</f>
        <v>OK</v>
      </c>
    </row>
    <row r="155" spans="1:32" s="240" customFormat="1">
      <c r="A155" s="48"/>
      <c r="B155" s="31"/>
      <c r="C155" s="48"/>
      <c r="D155" s="47"/>
      <c r="E155" s="47"/>
      <c r="F155" s="31"/>
      <c r="G155" s="31"/>
      <c r="H155" s="31"/>
      <c r="I155" s="47"/>
      <c r="J155" s="31"/>
      <c r="K155" s="47"/>
      <c r="L155" s="47"/>
      <c r="M155" s="47"/>
      <c r="N155" s="31"/>
      <c r="O155" s="47"/>
      <c r="P155" s="31"/>
      <c r="Q155" s="31"/>
      <c r="R155" s="31"/>
      <c r="S155" s="31"/>
      <c r="T155" s="270">
        <f t="shared" si="16"/>
        <v>0</v>
      </c>
      <c r="U155" s="270">
        <f t="shared" si="17"/>
        <v>0</v>
      </c>
      <c r="V155" s="31"/>
      <c r="X155" s="240" t="str">
        <f t="shared" si="18"/>
        <v>OK</v>
      </c>
      <c r="Y155" s="240" t="str">
        <f t="shared" si="19"/>
        <v>OK</v>
      </c>
      <c r="Z155" s="240" t="str">
        <f t="shared" si="20"/>
        <v>OK</v>
      </c>
      <c r="AA155" s="240" t="str" cm="1">
        <f t="array" ref="AA155">IF(OR(AND(J155="Not accepted",N155:O155&lt;&gt;"",$S155=""),AND(J155="Accepted",S155="")),"ERROR","OK")</f>
        <v>OK</v>
      </c>
      <c r="AB155" s="240" t="str">
        <f t="shared" si="21"/>
        <v>OK</v>
      </c>
      <c r="AC155" s="240" t="str" cm="1">
        <f t="array" ref="AC155">IF(AND(F155:H155&lt;&gt;"",I155=""),"ERROR","OK")</f>
        <v>OK</v>
      </c>
      <c r="AD155" s="240" t="str">
        <f t="shared" si="22"/>
        <v>OK</v>
      </c>
      <c r="AE155" s="240" t="str">
        <f t="shared" si="23"/>
        <v>OK</v>
      </c>
      <c r="AF155" s="240" t="str" cm="1">
        <f t="array" aca="1" ref="AF155" ca="1" xml:space="preserve">
IF(AND($G155&lt;&gt;"",$F155=""),"ERROR",
IF(OR($F155:$G155="",AND($G155="",$F155&lt;&gt;"")),"OK",
IF(COUNTIF(INDIRECT(IFERROR(LEFT($F155,FIND(" ",$F155)-1),$F155)), $G155)&gt;0, "OK", "ERROR")))</f>
        <v>OK</v>
      </c>
    </row>
    <row r="156" spans="1:32" s="240" customFormat="1">
      <c r="A156" s="48"/>
      <c r="B156" s="31"/>
      <c r="C156" s="48"/>
      <c r="D156" s="47"/>
      <c r="E156" s="47"/>
      <c r="F156" s="31"/>
      <c r="G156" s="31"/>
      <c r="H156" s="31"/>
      <c r="I156" s="47"/>
      <c r="J156" s="31"/>
      <c r="K156" s="47"/>
      <c r="L156" s="47"/>
      <c r="M156" s="47"/>
      <c r="N156" s="31"/>
      <c r="O156" s="47"/>
      <c r="P156" s="31"/>
      <c r="Q156" s="31"/>
      <c r="R156" s="31"/>
      <c r="S156" s="31"/>
      <c r="T156" s="270">
        <f t="shared" si="16"/>
        <v>0</v>
      </c>
      <c r="U156" s="270">
        <f t="shared" si="17"/>
        <v>0</v>
      </c>
      <c r="V156" s="31"/>
      <c r="X156" s="240" t="str">
        <f t="shared" si="18"/>
        <v>OK</v>
      </c>
      <c r="Y156" s="240" t="str">
        <f t="shared" si="19"/>
        <v>OK</v>
      </c>
      <c r="Z156" s="240" t="str">
        <f t="shared" si="20"/>
        <v>OK</v>
      </c>
      <c r="AA156" s="240" t="str" cm="1">
        <f t="array" ref="AA156">IF(OR(AND(J156="Not accepted",N156:O156&lt;&gt;"",$S156=""),AND(J156="Accepted",S156="")),"ERROR","OK")</f>
        <v>OK</v>
      </c>
      <c r="AB156" s="240" t="str">
        <f t="shared" si="21"/>
        <v>OK</v>
      </c>
      <c r="AC156" s="240" t="str" cm="1">
        <f t="array" ref="AC156">IF(AND(F156:H156&lt;&gt;"",I156=""),"ERROR","OK")</f>
        <v>OK</v>
      </c>
      <c r="AD156" s="240" t="str">
        <f t="shared" si="22"/>
        <v>OK</v>
      </c>
      <c r="AE156" s="240" t="str">
        <f t="shared" si="23"/>
        <v>OK</v>
      </c>
      <c r="AF156" s="240" t="str" cm="1">
        <f t="array" aca="1" ref="AF156" ca="1" xml:space="preserve">
IF(AND($G156&lt;&gt;"",$F156=""),"ERROR",
IF(OR($F156:$G156="",AND($G156="",$F156&lt;&gt;"")),"OK",
IF(COUNTIF(INDIRECT(IFERROR(LEFT($F156,FIND(" ",$F156)-1),$F156)), $G156)&gt;0, "OK", "ERROR")))</f>
        <v>OK</v>
      </c>
    </row>
    <row r="157" spans="1:32" s="240" customFormat="1">
      <c r="A157" s="48"/>
      <c r="B157" s="31"/>
      <c r="C157" s="48"/>
      <c r="D157" s="47"/>
      <c r="E157" s="47"/>
      <c r="F157" s="31"/>
      <c r="G157" s="31"/>
      <c r="H157" s="31"/>
      <c r="I157" s="47"/>
      <c r="J157" s="31"/>
      <c r="K157" s="47"/>
      <c r="L157" s="47"/>
      <c r="M157" s="47"/>
      <c r="N157" s="31"/>
      <c r="O157" s="47"/>
      <c r="P157" s="31"/>
      <c r="Q157" s="31"/>
      <c r="R157" s="31"/>
      <c r="S157" s="31"/>
      <c r="T157" s="270">
        <f t="shared" si="16"/>
        <v>0</v>
      </c>
      <c r="U157" s="270">
        <f t="shared" si="17"/>
        <v>0</v>
      </c>
      <c r="V157" s="31"/>
      <c r="X157" s="240" t="str">
        <f t="shared" si="18"/>
        <v>OK</v>
      </c>
      <c r="Y157" s="240" t="str">
        <f t="shared" si="19"/>
        <v>OK</v>
      </c>
      <c r="Z157" s="240" t="str">
        <f t="shared" si="20"/>
        <v>OK</v>
      </c>
      <c r="AA157" s="240" t="str" cm="1">
        <f t="array" ref="AA157">IF(OR(AND(J157="Not accepted",N157:O157&lt;&gt;"",$S157=""),AND(J157="Accepted",S157="")),"ERROR","OK")</f>
        <v>OK</v>
      </c>
      <c r="AB157" s="240" t="str">
        <f t="shared" si="21"/>
        <v>OK</v>
      </c>
      <c r="AC157" s="240" t="str" cm="1">
        <f t="array" ref="AC157">IF(AND(F157:H157&lt;&gt;"",I157=""),"ERROR","OK")</f>
        <v>OK</v>
      </c>
      <c r="AD157" s="240" t="str">
        <f t="shared" si="22"/>
        <v>OK</v>
      </c>
      <c r="AE157" s="240" t="str">
        <f t="shared" si="23"/>
        <v>OK</v>
      </c>
      <c r="AF157" s="240" t="str" cm="1">
        <f t="array" aca="1" ref="AF157" ca="1" xml:space="preserve">
IF(AND($G157&lt;&gt;"",$F157=""),"ERROR",
IF(OR($F157:$G157="",AND($G157="",$F157&lt;&gt;"")),"OK",
IF(COUNTIF(INDIRECT(IFERROR(LEFT($F157,FIND(" ",$F157)-1),$F157)), $G157)&gt;0, "OK", "ERROR")))</f>
        <v>OK</v>
      </c>
    </row>
    <row r="158" spans="1:32" s="240" customFormat="1">
      <c r="A158" s="48"/>
      <c r="B158" s="31"/>
      <c r="C158" s="48"/>
      <c r="D158" s="47"/>
      <c r="E158" s="47"/>
      <c r="F158" s="31"/>
      <c r="G158" s="31"/>
      <c r="H158" s="31"/>
      <c r="I158" s="47"/>
      <c r="J158" s="31"/>
      <c r="K158" s="47"/>
      <c r="L158" s="47"/>
      <c r="M158" s="47"/>
      <c r="N158" s="31"/>
      <c r="O158" s="47"/>
      <c r="P158" s="31"/>
      <c r="Q158" s="31"/>
      <c r="R158" s="31"/>
      <c r="S158" s="31"/>
      <c r="T158" s="270">
        <f t="shared" si="16"/>
        <v>0</v>
      </c>
      <c r="U158" s="270">
        <f t="shared" si="17"/>
        <v>0</v>
      </c>
      <c r="V158" s="31"/>
      <c r="X158" s="240" t="str">
        <f t="shared" si="18"/>
        <v>OK</v>
      </c>
      <c r="Y158" s="240" t="str">
        <f t="shared" si="19"/>
        <v>OK</v>
      </c>
      <c r="Z158" s="240" t="str">
        <f t="shared" si="20"/>
        <v>OK</v>
      </c>
      <c r="AA158" s="240" t="str" cm="1">
        <f t="array" ref="AA158">IF(OR(AND(J158="Not accepted",N158:O158&lt;&gt;"",$S158=""),AND(J158="Accepted",S158="")),"ERROR","OK")</f>
        <v>OK</v>
      </c>
      <c r="AB158" s="240" t="str">
        <f t="shared" si="21"/>
        <v>OK</v>
      </c>
      <c r="AC158" s="240" t="str" cm="1">
        <f t="array" ref="AC158">IF(AND(F158:H158&lt;&gt;"",I158=""),"ERROR","OK")</f>
        <v>OK</v>
      </c>
      <c r="AD158" s="240" t="str">
        <f t="shared" si="22"/>
        <v>OK</v>
      </c>
      <c r="AE158" s="240" t="str">
        <f t="shared" si="23"/>
        <v>OK</v>
      </c>
      <c r="AF158" s="240" t="str" cm="1">
        <f t="array" aca="1" ref="AF158" ca="1" xml:space="preserve">
IF(AND($G158&lt;&gt;"",$F158=""),"ERROR",
IF(OR($F158:$G158="",AND($G158="",$F158&lt;&gt;"")),"OK",
IF(COUNTIF(INDIRECT(IFERROR(LEFT($F158,FIND(" ",$F158)-1),$F158)), $G158)&gt;0, "OK", "ERROR")))</f>
        <v>OK</v>
      </c>
    </row>
    <row r="159" spans="1:32" s="240" customFormat="1">
      <c r="A159" s="48"/>
      <c r="B159" s="31"/>
      <c r="C159" s="48"/>
      <c r="D159" s="47"/>
      <c r="E159" s="47"/>
      <c r="F159" s="31"/>
      <c r="G159" s="31"/>
      <c r="H159" s="31"/>
      <c r="I159" s="47"/>
      <c r="J159" s="31"/>
      <c r="K159" s="47"/>
      <c r="L159" s="47"/>
      <c r="M159" s="47"/>
      <c r="N159" s="31"/>
      <c r="O159" s="47"/>
      <c r="P159" s="31"/>
      <c r="Q159" s="31"/>
      <c r="R159" s="31"/>
      <c r="S159" s="31"/>
      <c r="T159" s="270">
        <f t="shared" si="16"/>
        <v>0</v>
      </c>
      <c r="U159" s="270">
        <f t="shared" si="17"/>
        <v>0</v>
      </c>
      <c r="V159" s="31"/>
      <c r="X159" s="240" t="str">
        <f t="shared" si="18"/>
        <v>OK</v>
      </c>
      <c r="Y159" s="240" t="str">
        <f t="shared" si="19"/>
        <v>OK</v>
      </c>
      <c r="Z159" s="240" t="str">
        <f t="shared" si="20"/>
        <v>OK</v>
      </c>
      <c r="AA159" s="240" t="str" cm="1">
        <f t="array" ref="AA159">IF(OR(AND(J159="Not accepted",N159:O159&lt;&gt;"",$S159=""),AND(J159="Accepted",S159="")),"ERROR","OK")</f>
        <v>OK</v>
      </c>
      <c r="AB159" s="240" t="str">
        <f t="shared" si="21"/>
        <v>OK</v>
      </c>
      <c r="AC159" s="240" t="str" cm="1">
        <f t="array" ref="AC159">IF(AND(F159:H159&lt;&gt;"",I159=""),"ERROR","OK")</f>
        <v>OK</v>
      </c>
      <c r="AD159" s="240" t="str">
        <f t="shared" si="22"/>
        <v>OK</v>
      </c>
      <c r="AE159" s="240" t="str">
        <f t="shared" si="23"/>
        <v>OK</v>
      </c>
      <c r="AF159" s="240" t="str" cm="1">
        <f t="array" aca="1" ref="AF159" ca="1" xml:space="preserve">
IF(AND($G159&lt;&gt;"",$F159=""),"ERROR",
IF(OR($F159:$G159="",AND($G159="",$F159&lt;&gt;"")),"OK",
IF(COUNTIF(INDIRECT(IFERROR(LEFT($F159,FIND(" ",$F159)-1),$F159)), $G159)&gt;0, "OK", "ERROR")))</f>
        <v>OK</v>
      </c>
    </row>
    <row r="160" spans="1:32" s="240" customFormat="1">
      <c r="A160" s="48"/>
      <c r="B160" s="31"/>
      <c r="C160" s="48"/>
      <c r="D160" s="47"/>
      <c r="E160" s="47"/>
      <c r="F160" s="31"/>
      <c r="G160" s="31"/>
      <c r="H160" s="31"/>
      <c r="I160" s="47"/>
      <c r="J160" s="31"/>
      <c r="K160" s="47"/>
      <c r="L160" s="47"/>
      <c r="M160" s="47"/>
      <c r="N160" s="31"/>
      <c r="O160" s="47"/>
      <c r="P160" s="31"/>
      <c r="Q160" s="31"/>
      <c r="R160" s="31"/>
      <c r="S160" s="31"/>
      <c r="T160" s="270">
        <f t="shared" si="16"/>
        <v>0</v>
      </c>
      <c r="U160" s="270">
        <f t="shared" si="17"/>
        <v>0</v>
      </c>
      <c r="V160" s="31"/>
      <c r="X160" s="240" t="str">
        <f t="shared" si="18"/>
        <v>OK</v>
      </c>
      <c r="Y160" s="240" t="str">
        <f t="shared" si="19"/>
        <v>OK</v>
      </c>
      <c r="Z160" s="240" t="str">
        <f t="shared" si="20"/>
        <v>OK</v>
      </c>
      <c r="AA160" s="240" t="str" cm="1">
        <f t="array" ref="AA160">IF(OR(AND(J160="Not accepted",N160:O160&lt;&gt;"",$S160=""),AND(J160="Accepted",S160="")),"ERROR","OK")</f>
        <v>OK</v>
      </c>
      <c r="AB160" s="240" t="str">
        <f t="shared" si="21"/>
        <v>OK</v>
      </c>
      <c r="AC160" s="240" t="str" cm="1">
        <f t="array" ref="AC160">IF(AND(F160:H160&lt;&gt;"",I160=""),"ERROR","OK")</f>
        <v>OK</v>
      </c>
      <c r="AD160" s="240" t="str">
        <f t="shared" si="22"/>
        <v>OK</v>
      </c>
      <c r="AE160" s="240" t="str">
        <f t="shared" si="23"/>
        <v>OK</v>
      </c>
      <c r="AF160" s="240" t="str" cm="1">
        <f t="array" aca="1" ref="AF160" ca="1" xml:space="preserve">
IF(AND($G160&lt;&gt;"",$F160=""),"ERROR",
IF(OR($F160:$G160="",AND($G160="",$F160&lt;&gt;"")),"OK",
IF(COUNTIF(INDIRECT(IFERROR(LEFT($F160,FIND(" ",$F160)-1),$F160)), $G160)&gt;0, "OK", "ERROR")))</f>
        <v>OK</v>
      </c>
    </row>
    <row r="161" spans="1:32" s="240" customFormat="1">
      <c r="A161" s="48"/>
      <c r="B161" s="31"/>
      <c r="C161" s="48"/>
      <c r="D161" s="47"/>
      <c r="E161" s="47"/>
      <c r="F161" s="31"/>
      <c r="G161" s="31"/>
      <c r="H161" s="31"/>
      <c r="I161" s="47"/>
      <c r="J161" s="31"/>
      <c r="K161" s="47"/>
      <c r="L161" s="47"/>
      <c r="M161" s="47"/>
      <c r="N161" s="31"/>
      <c r="O161" s="47"/>
      <c r="P161" s="31"/>
      <c r="Q161" s="31"/>
      <c r="R161" s="31"/>
      <c r="S161" s="31"/>
      <c r="T161" s="270">
        <f t="shared" si="16"/>
        <v>0</v>
      </c>
      <c r="U161" s="270">
        <f t="shared" si="17"/>
        <v>0</v>
      </c>
      <c r="V161" s="31"/>
      <c r="X161" s="240" t="str">
        <f t="shared" si="18"/>
        <v>OK</v>
      </c>
      <c r="Y161" s="240" t="str">
        <f t="shared" si="19"/>
        <v>OK</v>
      </c>
      <c r="Z161" s="240" t="str">
        <f t="shared" si="20"/>
        <v>OK</v>
      </c>
      <c r="AA161" s="240" t="str" cm="1">
        <f t="array" ref="AA161">IF(OR(AND(J161="Not accepted",N161:O161&lt;&gt;"",$S161=""),AND(J161="Accepted",S161="")),"ERROR","OK")</f>
        <v>OK</v>
      </c>
      <c r="AB161" s="240" t="str">
        <f t="shared" si="21"/>
        <v>OK</v>
      </c>
      <c r="AC161" s="240" t="str" cm="1">
        <f t="array" ref="AC161">IF(AND(F161:H161&lt;&gt;"",I161=""),"ERROR","OK")</f>
        <v>OK</v>
      </c>
      <c r="AD161" s="240" t="str">
        <f t="shared" si="22"/>
        <v>OK</v>
      </c>
      <c r="AE161" s="240" t="str">
        <f t="shared" si="23"/>
        <v>OK</v>
      </c>
      <c r="AF161" s="240" t="str" cm="1">
        <f t="array" aca="1" ref="AF161" ca="1" xml:space="preserve">
IF(AND($G161&lt;&gt;"",$F161=""),"ERROR",
IF(OR($F161:$G161="",AND($G161="",$F161&lt;&gt;"")),"OK",
IF(COUNTIF(INDIRECT(IFERROR(LEFT($F161,FIND(" ",$F161)-1),$F161)), $G161)&gt;0, "OK", "ERROR")))</f>
        <v>OK</v>
      </c>
    </row>
    <row r="162" spans="1:32" s="240" customFormat="1">
      <c r="A162" s="48"/>
      <c r="B162" s="31"/>
      <c r="C162" s="48"/>
      <c r="D162" s="47"/>
      <c r="E162" s="47"/>
      <c r="F162" s="31"/>
      <c r="G162" s="31"/>
      <c r="H162" s="31"/>
      <c r="I162" s="47"/>
      <c r="J162" s="31"/>
      <c r="K162" s="47"/>
      <c r="L162" s="47"/>
      <c r="M162" s="47"/>
      <c r="N162" s="31"/>
      <c r="O162" s="47"/>
      <c r="P162" s="31"/>
      <c r="Q162" s="31"/>
      <c r="R162" s="31"/>
      <c r="S162" s="31"/>
      <c r="T162" s="270">
        <f t="shared" si="16"/>
        <v>0</v>
      </c>
      <c r="U162" s="270">
        <f t="shared" si="17"/>
        <v>0</v>
      </c>
      <c r="V162" s="31"/>
      <c r="X162" s="240" t="str">
        <f t="shared" si="18"/>
        <v>OK</v>
      </c>
      <c r="Y162" s="240" t="str">
        <f t="shared" si="19"/>
        <v>OK</v>
      </c>
      <c r="Z162" s="240" t="str">
        <f t="shared" si="20"/>
        <v>OK</v>
      </c>
      <c r="AA162" s="240" t="str" cm="1">
        <f t="array" ref="AA162">IF(OR(AND(J162="Not accepted",N162:O162&lt;&gt;"",$S162=""),AND(J162="Accepted",S162="")),"ERROR","OK")</f>
        <v>OK</v>
      </c>
      <c r="AB162" s="240" t="str">
        <f t="shared" si="21"/>
        <v>OK</v>
      </c>
      <c r="AC162" s="240" t="str" cm="1">
        <f t="array" ref="AC162">IF(AND(F162:H162&lt;&gt;"",I162=""),"ERROR","OK")</f>
        <v>OK</v>
      </c>
      <c r="AD162" s="240" t="str">
        <f t="shared" si="22"/>
        <v>OK</v>
      </c>
      <c r="AE162" s="240" t="str">
        <f t="shared" si="23"/>
        <v>OK</v>
      </c>
      <c r="AF162" s="240" t="str" cm="1">
        <f t="array" aca="1" ref="AF162" ca="1" xml:space="preserve">
IF(AND($G162&lt;&gt;"",$F162=""),"ERROR",
IF(OR($F162:$G162="",AND($G162="",$F162&lt;&gt;"")),"OK",
IF(COUNTIF(INDIRECT(IFERROR(LEFT($F162,FIND(" ",$F162)-1),$F162)), $G162)&gt;0, "OK", "ERROR")))</f>
        <v>OK</v>
      </c>
    </row>
    <row r="163" spans="1:32" s="240" customFormat="1">
      <c r="A163" s="48"/>
      <c r="B163" s="31"/>
      <c r="C163" s="48"/>
      <c r="D163" s="47"/>
      <c r="E163" s="47"/>
      <c r="F163" s="31"/>
      <c r="G163" s="31"/>
      <c r="H163" s="31"/>
      <c r="I163" s="47"/>
      <c r="J163" s="31"/>
      <c r="K163" s="47"/>
      <c r="L163" s="47"/>
      <c r="M163" s="47"/>
      <c r="N163" s="31"/>
      <c r="O163" s="47"/>
      <c r="P163" s="31"/>
      <c r="Q163" s="31"/>
      <c r="R163" s="31"/>
      <c r="S163" s="31"/>
      <c r="T163" s="270">
        <f t="shared" si="16"/>
        <v>0</v>
      </c>
      <c r="U163" s="270">
        <f t="shared" si="17"/>
        <v>0</v>
      </c>
      <c r="V163" s="31"/>
      <c r="X163" s="240" t="str">
        <f t="shared" si="18"/>
        <v>OK</v>
      </c>
      <c r="Y163" s="240" t="str">
        <f t="shared" si="19"/>
        <v>OK</v>
      </c>
      <c r="Z163" s="240" t="str">
        <f t="shared" si="20"/>
        <v>OK</v>
      </c>
      <c r="AA163" s="240" t="str" cm="1">
        <f t="array" ref="AA163">IF(OR(AND(J163="Not accepted",N163:O163&lt;&gt;"",$S163=""),AND(J163="Accepted",S163="")),"ERROR","OK")</f>
        <v>OK</v>
      </c>
      <c r="AB163" s="240" t="str">
        <f t="shared" si="21"/>
        <v>OK</v>
      </c>
      <c r="AC163" s="240" t="str" cm="1">
        <f t="array" ref="AC163">IF(AND(F163:H163&lt;&gt;"",I163=""),"ERROR","OK")</f>
        <v>OK</v>
      </c>
      <c r="AD163" s="240" t="str">
        <f t="shared" si="22"/>
        <v>OK</v>
      </c>
      <c r="AE163" s="240" t="str">
        <f t="shared" si="23"/>
        <v>OK</v>
      </c>
      <c r="AF163" s="240" t="str" cm="1">
        <f t="array" aca="1" ref="AF163" ca="1" xml:space="preserve">
IF(AND($G163&lt;&gt;"",$F163=""),"ERROR",
IF(OR($F163:$G163="",AND($G163="",$F163&lt;&gt;"")),"OK",
IF(COUNTIF(INDIRECT(IFERROR(LEFT($F163,FIND(" ",$F163)-1),$F163)), $G163)&gt;0, "OK", "ERROR")))</f>
        <v>OK</v>
      </c>
    </row>
    <row r="164" spans="1:32" s="240" customFormat="1">
      <c r="A164" s="48"/>
      <c r="B164" s="31"/>
      <c r="C164" s="48"/>
      <c r="D164" s="47"/>
      <c r="E164" s="47"/>
      <c r="F164" s="31"/>
      <c r="G164" s="31"/>
      <c r="H164" s="31"/>
      <c r="I164" s="47"/>
      <c r="J164" s="31"/>
      <c r="K164" s="47"/>
      <c r="L164" s="47"/>
      <c r="M164" s="47"/>
      <c r="N164" s="31"/>
      <c r="O164" s="47"/>
      <c r="P164" s="31"/>
      <c r="Q164" s="31"/>
      <c r="R164" s="31"/>
      <c r="S164" s="31"/>
      <c r="T164" s="270">
        <f t="shared" si="16"/>
        <v>0</v>
      </c>
      <c r="U164" s="270">
        <f t="shared" si="17"/>
        <v>0</v>
      </c>
      <c r="V164" s="31"/>
      <c r="X164" s="240" t="str">
        <f t="shared" si="18"/>
        <v>OK</v>
      </c>
      <c r="Y164" s="240" t="str">
        <f t="shared" si="19"/>
        <v>OK</v>
      </c>
      <c r="Z164" s="240" t="str">
        <f t="shared" si="20"/>
        <v>OK</v>
      </c>
      <c r="AA164" s="240" t="str" cm="1">
        <f t="array" ref="AA164">IF(OR(AND(J164="Not accepted",N164:O164&lt;&gt;"",$S164=""),AND(J164="Accepted",S164="")),"ERROR","OK")</f>
        <v>OK</v>
      </c>
      <c r="AB164" s="240" t="str">
        <f t="shared" si="21"/>
        <v>OK</v>
      </c>
      <c r="AC164" s="240" t="str" cm="1">
        <f t="array" ref="AC164">IF(AND(F164:H164&lt;&gt;"",I164=""),"ERROR","OK")</f>
        <v>OK</v>
      </c>
      <c r="AD164" s="240" t="str">
        <f t="shared" si="22"/>
        <v>OK</v>
      </c>
      <c r="AE164" s="240" t="str">
        <f t="shared" si="23"/>
        <v>OK</v>
      </c>
      <c r="AF164" s="240" t="str" cm="1">
        <f t="array" aca="1" ref="AF164" ca="1" xml:space="preserve">
IF(AND($G164&lt;&gt;"",$F164=""),"ERROR",
IF(OR($F164:$G164="",AND($G164="",$F164&lt;&gt;"")),"OK",
IF(COUNTIF(INDIRECT(IFERROR(LEFT($F164,FIND(" ",$F164)-1),$F164)), $G164)&gt;0, "OK", "ERROR")))</f>
        <v>OK</v>
      </c>
    </row>
    <row r="165" spans="1:32" s="240" customFormat="1">
      <c r="A165" s="48"/>
      <c r="B165" s="31"/>
      <c r="C165" s="48"/>
      <c r="D165" s="47"/>
      <c r="E165" s="47"/>
      <c r="F165" s="31"/>
      <c r="G165" s="31"/>
      <c r="H165" s="31"/>
      <c r="I165" s="47"/>
      <c r="J165" s="31"/>
      <c r="K165" s="47"/>
      <c r="L165" s="47"/>
      <c r="M165" s="47"/>
      <c r="N165" s="31"/>
      <c r="O165" s="47"/>
      <c r="P165" s="31"/>
      <c r="Q165" s="31"/>
      <c r="R165" s="31"/>
      <c r="S165" s="31"/>
      <c r="T165" s="270">
        <f t="shared" si="16"/>
        <v>0</v>
      </c>
      <c r="U165" s="270">
        <f t="shared" si="17"/>
        <v>0</v>
      </c>
      <c r="V165" s="31"/>
      <c r="X165" s="240" t="str">
        <f t="shared" si="18"/>
        <v>OK</v>
      </c>
      <c r="Y165" s="240" t="str">
        <f t="shared" si="19"/>
        <v>OK</v>
      </c>
      <c r="Z165" s="240" t="str">
        <f t="shared" si="20"/>
        <v>OK</v>
      </c>
      <c r="AA165" s="240" t="str" cm="1">
        <f t="array" ref="AA165">IF(OR(AND(J165="Not accepted",N165:O165&lt;&gt;"",$S165=""),AND(J165="Accepted",S165="")),"ERROR","OK")</f>
        <v>OK</v>
      </c>
      <c r="AB165" s="240" t="str">
        <f t="shared" si="21"/>
        <v>OK</v>
      </c>
      <c r="AC165" s="240" t="str" cm="1">
        <f t="array" ref="AC165">IF(AND(F165:H165&lt;&gt;"",I165=""),"ERROR","OK")</f>
        <v>OK</v>
      </c>
      <c r="AD165" s="240" t="str">
        <f t="shared" si="22"/>
        <v>OK</v>
      </c>
      <c r="AE165" s="240" t="str">
        <f t="shared" si="23"/>
        <v>OK</v>
      </c>
      <c r="AF165" s="240" t="str" cm="1">
        <f t="array" aca="1" ref="AF165" ca="1" xml:space="preserve">
IF(AND($G165&lt;&gt;"",$F165=""),"ERROR",
IF(OR($F165:$G165="",AND($G165="",$F165&lt;&gt;"")),"OK",
IF(COUNTIF(INDIRECT(IFERROR(LEFT($F165,FIND(" ",$F165)-1),$F165)), $G165)&gt;0, "OK", "ERROR")))</f>
        <v>OK</v>
      </c>
    </row>
    <row r="166" spans="1:32" s="240" customFormat="1">
      <c r="A166" s="48"/>
      <c r="B166" s="31"/>
      <c r="C166" s="48"/>
      <c r="D166" s="47"/>
      <c r="E166" s="47"/>
      <c r="F166" s="31"/>
      <c r="G166" s="31"/>
      <c r="H166" s="31"/>
      <c r="I166" s="47"/>
      <c r="J166" s="31"/>
      <c r="K166" s="47"/>
      <c r="L166" s="47"/>
      <c r="M166" s="47"/>
      <c r="N166" s="31"/>
      <c r="O166" s="47"/>
      <c r="P166" s="31"/>
      <c r="Q166" s="31"/>
      <c r="R166" s="31"/>
      <c r="S166" s="31"/>
      <c r="T166" s="270">
        <f t="shared" si="16"/>
        <v>0</v>
      </c>
      <c r="U166" s="270">
        <f t="shared" si="17"/>
        <v>0</v>
      </c>
      <c r="V166" s="31"/>
      <c r="X166" s="240" t="str">
        <f t="shared" si="18"/>
        <v>OK</v>
      </c>
      <c r="Y166" s="240" t="str">
        <f t="shared" si="19"/>
        <v>OK</v>
      </c>
      <c r="Z166" s="240" t="str">
        <f t="shared" si="20"/>
        <v>OK</v>
      </c>
      <c r="AA166" s="240" t="str" cm="1">
        <f t="array" ref="AA166">IF(OR(AND(J166="Not accepted",N166:O166&lt;&gt;"",$S166=""),AND(J166="Accepted",S166="")),"ERROR","OK")</f>
        <v>OK</v>
      </c>
      <c r="AB166" s="240" t="str">
        <f t="shared" si="21"/>
        <v>OK</v>
      </c>
      <c r="AC166" s="240" t="str" cm="1">
        <f t="array" ref="AC166">IF(AND(F166:H166&lt;&gt;"",I166=""),"ERROR","OK")</f>
        <v>OK</v>
      </c>
      <c r="AD166" s="240" t="str">
        <f t="shared" si="22"/>
        <v>OK</v>
      </c>
      <c r="AE166" s="240" t="str">
        <f t="shared" si="23"/>
        <v>OK</v>
      </c>
      <c r="AF166" s="240" t="str" cm="1">
        <f t="array" aca="1" ref="AF166" ca="1" xml:space="preserve">
IF(AND($G166&lt;&gt;"",$F166=""),"ERROR",
IF(OR($F166:$G166="",AND($G166="",$F166&lt;&gt;"")),"OK",
IF(COUNTIF(INDIRECT(IFERROR(LEFT($F166,FIND(" ",$F166)-1),$F166)), $G166)&gt;0, "OK", "ERROR")))</f>
        <v>OK</v>
      </c>
    </row>
    <row r="167" spans="1:32" s="240" customFormat="1">
      <c r="A167" s="48"/>
      <c r="B167" s="31"/>
      <c r="C167" s="48"/>
      <c r="D167" s="47"/>
      <c r="E167" s="47"/>
      <c r="F167" s="31"/>
      <c r="G167" s="31"/>
      <c r="H167" s="31"/>
      <c r="I167" s="47"/>
      <c r="J167" s="31"/>
      <c r="K167" s="47"/>
      <c r="L167" s="47"/>
      <c r="M167" s="47"/>
      <c r="N167" s="31"/>
      <c r="O167" s="47"/>
      <c r="P167" s="31"/>
      <c r="Q167" s="31"/>
      <c r="R167" s="31"/>
      <c r="S167" s="31"/>
      <c r="T167" s="270">
        <f t="shared" si="16"/>
        <v>0</v>
      </c>
      <c r="U167" s="270">
        <f t="shared" si="17"/>
        <v>0</v>
      </c>
      <c r="V167" s="31"/>
      <c r="X167" s="240" t="str">
        <f t="shared" si="18"/>
        <v>OK</v>
      </c>
      <c r="Y167" s="240" t="str">
        <f t="shared" si="19"/>
        <v>OK</v>
      </c>
      <c r="Z167" s="240" t="str">
        <f t="shared" si="20"/>
        <v>OK</v>
      </c>
      <c r="AA167" s="240" t="str" cm="1">
        <f t="array" ref="AA167">IF(OR(AND(J167="Not accepted",N167:O167&lt;&gt;"",$S167=""),AND(J167="Accepted",S167="")),"ERROR","OK")</f>
        <v>OK</v>
      </c>
      <c r="AB167" s="240" t="str">
        <f t="shared" si="21"/>
        <v>OK</v>
      </c>
      <c r="AC167" s="240" t="str" cm="1">
        <f t="array" ref="AC167">IF(AND(F167:H167&lt;&gt;"",I167=""),"ERROR","OK")</f>
        <v>OK</v>
      </c>
      <c r="AD167" s="240" t="str">
        <f t="shared" si="22"/>
        <v>OK</v>
      </c>
      <c r="AE167" s="240" t="str">
        <f t="shared" si="23"/>
        <v>OK</v>
      </c>
      <c r="AF167" s="240" t="str" cm="1">
        <f t="array" aca="1" ref="AF167" ca="1" xml:space="preserve">
IF(AND($G167&lt;&gt;"",$F167=""),"ERROR",
IF(OR($F167:$G167="",AND($G167="",$F167&lt;&gt;"")),"OK",
IF(COUNTIF(INDIRECT(IFERROR(LEFT($F167,FIND(" ",$F167)-1),$F167)), $G167)&gt;0, "OK", "ERROR")))</f>
        <v>OK</v>
      </c>
    </row>
    <row r="168" spans="1:32" s="240" customFormat="1">
      <c r="A168" s="48"/>
      <c r="B168" s="31"/>
      <c r="C168" s="48"/>
      <c r="D168" s="47"/>
      <c r="E168" s="47"/>
      <c r="F168" s="31"/>
      <c r="G168" s="31"/>
      <c r="H168" s="31"/>
      <c r="I168" s="47"/>
      <c r="J168" s="31"/>
      <c r="K168" s="47"/>
      <c r="L168" s="47"/>
      <c r="M168" s="47"/>
      <c r="N168" s="31"/>
      <c r="O168" s="47"/>
      <c r="P168" s="31"/>
      <c r="Q168" s="31"/>
      <c r="R168" s="31"/>
      <c r="S168" s="31"/>
      <c r="T168" s="270">
        <f t="shared" si="16"/>
        <v>0</v>
      </c>
      <c r="U168" s="270">
        <f t="shared" si="17"/>
        <v>0</v>
      </c>
      <c r="V168" s="31"/>
      <c r="X168" s="240" t="str">
        <f t="shared" si="18"/>
        <v>OK</v>
      </c>
      <c r="Y168" s="240" t="str">
        <f t="shared" si="19"/>
        <v>OK</v>
      </c>
      <c r="Z168" s="240" t="str">
        <f t="shared" si="20"/>
        <v>OK</v>
      </c>
      <c r="AA168" s="240" t="str" cm="1">
        <f t="array" ref="AA168">IF(OR(AND(J168="Not accepted",N168:O168&lt;&gt;"",$S168=""),AND(J168="Accepted",S168="")),"ERROR","OK")</f>
        <v>OK</v>
      </c>
      <c r="AB168" s="240" t="str">
        <f t="shared" si="21"/>
        <v>OK</v>
      </c>
      <c r="AC168" s="240" t="str" cm="1">
        <f t="array" ref="AC168">IF(AND(F168:H168&lt;&gt;"",I168=""),"ERROR","OK")</f>
        <v>OK</v>
      </c>
      <c r="AD168" s="240" t="str">
        <f t="shared" si="22"/>
        <v>OK</v>
      </c>
      <c r="AE168" s="240" t="str">
        <f t="shared" si="23"/>
        <v>OK</v>
      </c>
      <c r="AF168" s="240" t="str" cm="1">
        <f t="array" aca="1" ref="AF168" ca="1" xml:space="preserve">
IF(AND($G168&lt;&gt;"",$F168=""),"ERROR",
IF(OR($F168:$G168="",AND($G168="",$F168&lt;&gt;"")),"OK",
IF(COUNTIF(INDIRECT(IFERROR(LEFT($F168,FIND(" ",$F168)-1),$F168)), $G168)&gt;0, "OK", "ERROR")))</f>
        <v>OK</v>
      </c>
    </row>
    <row r="169" spans="1:32" s="240" customFormat="1">
      <c r="A169" s="48"/>
      <c r="B169" s="31"/>
      <c r="C169" s="48"/>
      <c r="D169" s="47"/>
      <c r="E169" s="47"/>
      <c r="F169" s="31"/>
      <c r="G169" s="31"/>
      <c r="H169" s="31"/>
      <c r="I169" s="47"/>
      <c r="J169" s="31"/>
      <c r="K169" s="47"/>
      <c r="L169" s="47"/>
      <c r="M169" s="47"/>
      <c r="N169" s="31"/>
      <c r="O169" s="47"/>
      <c r="P169" s="31"/>
      <c r="Q169" s="31"/>
      <c r="R169" s="31"/>
      <c r="S169" s="31"/>
      <c r="T169" s="270">
        <f t="shared" si="16"/>
        <v>0</v>
      </c>
      <c r="U169" s="270">
        <f t="shared" si="17"/>
        <v>0</v>
      </c>
      <c r="V169" s="31"/>
      <c r="X169" s="240" t="str">
        <f t="shared" si="18"/>
        <v>OK</v>
      </c>
      <c r="Y169" s="240" t="str">
        <f t="shared" si="19"/>
        <v>OK</v>
      </c>
      <c r="Z169" s="240" t="str">
        <f t="shared" si="20"/>
        <v>OK</v>
      </c>
      <c r="AA169" s="240" t="str" cm="1">
        <f t="array" ref="AA169">IF(OR(AND(J169="Not accepted",N169:O169&lt;&gt;"",$S169=""),AND(J169="Accepted",S169="")),"ERROR","OK")</f>
        <v>OK</v>
      </c>
      <c r="AB169" s="240" t="str">
        <f t="shared" si="21"/>
        <v>OK</v>
      </c>
      <c r="AC169" s="240" t="str" cm="1">
        <f t="array" ref="AC169">IF(AND(F169:H169&lt;&gt;"",I169=""),"ERROR","OK")</f>
        <v>OK</v>
      </c>
      <c r="AD169" s="240" t="str">
        <f t="shared" si="22"/>
        <v>OK</v>
      </c>
      <c r="AE169" s="240" t="str">
        <f t="shared" si="23"/>
        <v>OK</v>
      </c>
      <c r="AF169" s="240" t="str" cm="1">
        <f t="array" aca="1" ref="AF169" ca="1" xml:space="preserve">
IF(AND($G169&lt;&gt;"",$F169=""),"ERROR",
IF(OR($F169:$G169="",AND($G169="",$F169&lt;&gt;"")),"OK",
IF(COUNTIF(INDIRECT(IFERROR(LEFT($F169,FIND(" ",$F169)-1),$F169)), $G169)&gt;0, "OK", "ERROR")))</f>
        <v>OK</v>
      </c>
    </row>
    <row r="170" spans="1:32" s="240" customFormat="1">
      <c r="A170" s="48"/>
      <c r="B170" s="31"/>
      <c r="C170" s="48"/>
      <c r="D170" s="47"/>
      <c r="E170" s="47"/>
      <c r="F170" s="31"/>
      <c r="G170" s="31"/>
      <c r="H170" s="31"/>
      <c r="I170" s="47"/>
      <c r="J170" s="31"/>
      <c r="K170" s="47"/>
      <c r="L170" s="47"/>
      <c r="M170" s="47"/>
      <c r="N170" s="31"/>
      <c r="O170" s="47"/>
      <c r="P170" s="31"/>
      <c r="Q170" s="31"/>
      <c r="R170" s="31"/>
      <c r="S170" s="31"/>
      <c r="T170" s="270">
        <f t="shared" si="16"/>
        <v>0</v>
      </c>
      <c r="U170" s="270">
        <f t="shared" si="17"/>
        <v>0</v>
      </c>
      <c r="V170" s="31"/>
      <c r="X170" s="240" t="str">
        <f t="shared" si="18"/>
        <v>OK</v>
      </c>
      <c r="Y170" s="240" t="str">
        <f t="shared" si="19"/>
        <v>OK</v>
      </c>
      <c r="Z170" s="240" t="str">
        <f t="shared" si="20"/>
        <v>OK</v>
      </c>
      <c r="AA170" s="240" t="str" cm="1">
        <f t="array" ref="AA170">IF(OR(AND(J170="Not accepted",N170:O170&lt;&gt;"",$S170=""),AND(J170="Accepted",S170="")),"ERROR","OK")</f>
        <v>OK</v>
      </c>
      <c r="AB170" s="240" t="str">
        <f t="shared" si="21"/>
        <v>OK</v>
      </c>
      <c r="AC170" s="240" t="str" cm="1">
        <f t="array" ref="AC170">IF(AND(F170:H170&lt;&gt;"",I170=""),"ERROR","OK")</f>
        <v>OK</v>
      </c>
      <c r="AD170" s="240" t="str">
        <f t="shared" si="22"/>
        <v>OK</v>
      </c>
      <c r="AE170" s="240" t="str">
        <f t="shared" si="23"/>
        <v>OK</v>
      </c>
      <c r="AF170" s="240" t="str" cm="1">
        <f t="array" aca="1" ref="AF170" ca="1" xml:space="preserve">
IF(AND($G170&lt;&gt;"",$F170=""),"ERROR",
IF(OR($F170:$G170="",AND($G170="",$F170&lt;&gt;"")),"OK",
IF(COUNTIF(INDIRECT(IFERROR(LEFT($F170,FIND(" ",$F170)-1),$F170)), $G170)&gt;0, "OK", "ERROR")))</f>
        <v>OK</v>
      </c>
    </row>
    <row r="171" spans="1:32" s="240" customFormat="1">
      <c r="A171" s="48"/>
      <c r="B171" s="31"/>
      <c r="C171" s="48"/>
      <c r="D171" s="47"/>
      <c r="E171" s="47"/>
      <c r="F171" s="31"/>
      <c r="G171" s="31"/>
      <c r="H171" s="31"/>
      <c r="I171" s="47"/>
      <c r="J171" s="31"/>
      <c r="K171" s="47"/>
      <c r="L171" s="47"/>
      <c r="M171" s="47"/>
      <c r="N171" s="31"/>
      <c r="O171" s="47"/>
      <c r="P171" s="31"/>
      <c r="Q171" s="31"/>
      <c r="R171" s="31"/>
      <c r="S171" s="31"/>
      <c r="T171" s="270">
        <f t="shared" si="16"/>
        <v>0</v>
      </c>
      <c r="U171" s="270">
        <f t="shared" si="17"/>
        <v>0</v>
      </c>
      <c r="V171" s="31"/>
      <c r="X171" s="240" t="str">
        <f t="shared" si="18"/>
        <v>OK</v>
      </c>
      <c r="Y171" s="240" t="str">
        <f t="shared" si="19"/>
        <v>OK</v>
      </c>
      <c r="Z171" s="240" t="str">
        <f t="shared" si="20"/>
        <v>OK</v>
      </c>
      <c r="AA171" s="240" t="str" cm="1">
        <f t="array" ref="AA171">IF(OR(AND(J171="Not accepted",N171:O171&lt;&gt;"",$S171=""),AND(J171="Accepted",S171="")),"ERROR","OK")</f>
        <v>OK</v>
      </c>
      <c r="AB171" s="240" t="str">
        <f t="shared" si="21"/>
        <v>OK</v>
      </c>
      <c r="AC171" s="240" t="str" cm="1">
        <f t="array" ref="AC171">IF(AND(F171:H171&lt;&gt;"",I171=""),"ERROR","OK")</f>
        <v>OK</v>
      </c>
      <c r="AD171" s="240" t="str">
        <f t="shared" si="22"/>
        <v>OK</v>
      </c>
      <c r="AE171" s="240" t="str">
        <f t="shared" si="23"/>
        <v>OK</v>
      </c>
      <c r="AF171" s="240" t="str" cm="1">
        <f t="array" aca="1" ref="AF171" ca="1" xml:space="preserve">
IF(AND($G171&lt;&gt;"",$F171=""),"ERROR",
IF(OR($F171:$G171="",AND($G171="",$F171&lt;&gt;"")),"OK",
IF(COUNTIF(INDIRECT(IFERROR(LEFT($F171,FIND(" ",$F171)-1),$F171)), $G171)&gt;0, "OK", "ERROR")))</f>
        <v>OK</v>
      </c>
    </row>
    <row r="172" spans="1:32" s="240" customFormat="1">
      <c r="A172" s="48"/>
      <c r="B172" s="31"/>
      <c r="C172" s="48"/>
      <c r="D172" s="47"/>
      <c r="E172" s="47"/>
      <c r="F172" s="31"/>
      <c r="G172" s="31"/>
      <c r="H172" s="31"/>
      <c r="I172" s="47"/>
      <c r="J172" s="31"/>
      <c r="K172" s="47"/>
      <c r="L172" s="47"/>
      <c r="M172" s="47"/>
      <c r="N172" s="31"/>
      <c r="O172" s="47"/>
      <c r="P172" s="31"/>
      <c r="Q172" s="31"/>
      <c r="R172" s="31"/>
      <c r="S172" s="31"/>
      <c r="T172" s="270">
        <f t="shared" si="16"/>
        <v>0</v>
      </c>
      <c r="U172" s="270">
        <f t="shared" si="17"/>
        <v>0</v>
      </c>
      <c r="V172" s="31"/>
      <c r="X172" s="240" t="str">
        <f t="shared" si="18"/>
        <v>OK</v>
      </c>
      <c r="Y172" s="240" t="str">
        <f t="shared" si="19"/>
        <v>OK</v>
      </c>
      <c r="Z172" s="240" t="str">
        <f t="shared" si="20"/>
        <v>OK</v>
      </c>
      <c r="AA172" s="240" t="str" cm="1">
        <f t="array" ref="AA172">IF(OR(AND(J172="Not accepted",N172:O172&lt;&gt;"",$S172=""),AND(J172="Accepted",S172="")),"ERROR","OK")</f>
        <v>OK</v>
      </c>
      <c r="AB172" s="240" t="str">
        <f t="shared" si="21"/>
        <v>OK</v>
      </c>
      <c r="AC172" s="240" t="str" cm="1">
        <f t="array" ref="AC172">IF(AND(F172:H172&lt;&gt;"",I172=""),"ERROR","OK")</f>
        <v>OK</v>
      </c>
      <c r="AD172" s="240" t="str">
        <f t="shared" si="22"/>
        <v>OK</v>
      </c>
      <c r="AE172" s="240" t="str">
        <f t="shared" si="23"/>
        <v>OK</v>
      </c>
      <c r="AF172" s="240" t="str" cm="1">
        <f t="array" aca="1" ref="AF172" ca="1" xml:space="preserve">
IF(AND($G172&lt;&gt;"",$F172=""),"ERROR",
IF(OR($F172:$G172="",AND($G172="",$F172&lt;&gt;"")),"OK",
IF(COUNTIF(INDIRECT(IFERROR(LEFT($F172,FIND(" ",$F172)-1),$F172)), $G172)&gt;0, "OK", "ERROR")))</f>
        <v>OK</v>
      </c>
    </row>
    <row r="173" spans="1:32" s="240" customFormat="1">
      <c r="A173" s="48"/>
      <c r="B173" s="31"/>
      <c r="C173" s="48"/>
      <c r="D173" s="47"/>
      <c r="E173" s="47"/>
      <c r="F173" s="31"/>
      <c r="G173" s="31"/>
      <c r="H173" s="31"/>
      <c r="I173" s="47"/>
      <c r="J173" s="31"/>
      <c r="K173" s="47"/>
      <c r="L173" s="47"/>
      <c r="M173" s="47"/>
      <c r="N173" s="31"/>
      <c r="O173" s="47"/>
      <c r="P173" s="31"/>
      <c r="Q173" s="31"/>
      <c r="R173" s="31"/>
      <c r="S173" s="31"/>
      <c r="T173" s="270">
        <f t="shared" si="16"/>
        <v>0</v>
      </c>
      <c r="U173" s="270">
        <f t="shared" si="17"/>
        <v>0</v>
      </c>
      <c r="V173" s="31"/>
      <c r="X173" s="240" t="str">
        <f t="shared" si="18"/>
        <v>OK</v>
      </c>
      <c r="Y173" s="240" t="str">
        <f t="shared" si="19"/>
        <v>OK</v>
      </c>
      <c r="Z173" s="240" t="str">
        <f t="shared" si="20"/>
        <v>OK</v>
      </c>
      <c r="AA173" s="240" t="str" cm="1">
        <f t="array" ref="AA173">IF(OR(AND(J173="Not accepted",N173:O173&lt;&gt;"",$S173=""),AND(J173="Accepted",S173="")),"ERROR","OK")</f>
        <v>OK</v>
      </c>
      <c r="AB173" s="240" t="str">
        <f t="shared" si="21"/>
        <v>OK</v>
      </c>
      <c r="AC173" s="240" t="str" cm="1">
        <f t="array" ref="AC173">IF(AND(F173:H173&lt;&gt;"",I173=""),"ERROR","OK")</f>
        <v>OK</v>
      </c>
      <c r="AD173" s="240" t="str">
        <f t="shared" si="22"/>
        <v>OK</v>
      </c>
      <c r="AE173" s="240" t="str">
        <f t="shared" si="23"/>
        <v>OK</v>
      </c>
      <c r="AF173" s="240" t="str" cm="1">
        <f t="array" aca="1" ref="AF173" ca="1" xml:space="preserve">
IF(AND($G173&lt;&gt;"",$F173=""),"ERROR",
IF(OR($F173:$G173="",AND($G173="",$F173&lt;&gt;"")),"OK",
IF(COUNTIF(INDIRECT(IFERROR(LEFT($F173,FIND(" ",$F173)-1),$F173)), $G173)&gt;0, "OK", "ERROR")))</f>
        <v>OK</v>
      </c>
    </row>
    <row r="174" spans="1:32" s="240" customFormat="1">
      <c r="A174" s="48"/>
      <c r="B174" s="31"/>
      <c r="C174" s="48"/>
      <c r="D174" s="47"/>
      <c r="E174" s="47"/>
      <c r="F174" s="31"/>
      <c r="G174" s="31"/>
      <c r="H174" s="31"/>
      <c r="I174" s="47"/>
      <c r="J174" s="31"/>
      <c r="K174" s="47"/>
      <c r="L174" s="47"/>
      <c r="M174" s="47"/>
      <c r="N174" s="31"/>
      <c r="O174" s="47"/>
      <c r="P174" s="31"/>
      <c r="Q174" s="31"/>
      <c r="R174" s="31"/>
      <c r="S174" s="31"/>
      <c r="T174" s="270">
        <f t="shared" si="16"/>
        <v>0</v>
      </c>
      <c r="U174" s="270">
        <f t="shared" si="17"/>
        <v>0</v>
      </c>
      <c r="V174" s="31"/>
      <c r="X174" s="240" t="str">
        <f t="shared" si="18"/>
        <v>OK</v>
      </c>
      <c r="Y174" s="240" t="str">
        <f t="shared" si="19"/>
        <v>OK</v>
      </c>
      <c r="Z174" s="240" t="str">
        <f t="shared" si="20"/>
        <v>OK</v>
      </c>
      <c r="AA174" s="240" t="str" cm="1">
        <f t="array" ref="AA174">IF(OR(AND(J174="Not accepted",N174:O174&lt;&gt;"",$S174=""),AND(J174="Accepted",S174="")),"ERROR","OK")</f>
        <v>OK</v>
      </c>
      <c r="AB174" s="240" t="str">
        <f t="shared" si="21"/>
        <v>OK</v>
      </c>
      <c r="AC174" s="240" t="str" cm="1">
        <f t="array" ref="AC174">IF(AND(F174:H174&lt;&gt;"",I174=""),"ERROR","OK")</f>
        <v>OK</v>
      </c>
      <c r="AD174" s="240" t="str">
        <f t="shared" si="22"/>
        <v>OK</v>
      </c>
      <c r="AE174" s="240" t="str">
        <f t="shared" si="23"/>
        <v>OK</v>
      </c>
      <c r="AF174" s="240" t="str" cm="1">
        <f t="array" aca="1" ref="AF174" ca="1" xml:space="preserve">
IF(AND($G174&lt;&gt;"",$F174=""),"ERROR",
IF(OR($F174:$G174="",AND($G174="",$F174&lt;&gt;"")),"OK",
IF(COUNTIF(INDIRECT(IFERROR(LEFT($F174,FIND(" ",$F174)-1),$F174)), $G174)&gt;0, "OK", "ERROR")))</f>
        <v>OK</v>
      </c>
    </row>
    <row r="175" spans="1:32" s="240" customFormat="1">
      <c r="A175" s="48"/>
      <c r="B175" s="31"/>
      <c r="C175" s="48"/>
      <c r="D175" s="47"/>
      <c r="E175" s="47"/>
      <c r="F175" s="31"/>
      <c r="G175" s="31"/>
      <c r="H175" s="31"/>
      <c r="I175" s="47"/>
      <c r="J175" s="31"/>
      <c r="K175" s="47"/>
      <c r="L175" s="47"/>
      <c r="M175" s="47"/>
      <c r="N175" s="31"/>
      <c r="O175" s="47"/>
      <c r="P175" s="31"/>
      <c r="Q175" s="31"/>
      <c r="R175" s="31"/>
      <c r="S175" s="31"/>
      <c r="T175" s="270">
        <f t="shared" si="16"/>
        <v>0</v>
      </c>
      <c r="U175" s="270">
        <f t="shared" si="17"/>
        <v>0</v>
      </c>
      <c r="V175" s="31"/>
      <c r="X175" s="240" t="str">
        <f t="shared" si="18"/>
        <v>OK</v>
      </c>
      <c r="Y175" s="240" t="str">
        <f t="shared" si="19"/>
        <v>OK</v>
      </c>
      <c r="Z175" s="240" t="str">
        <f t="shared" si="20"/>
        <v>OK</v>
      </c>
      <c r="AA175" s="240" t="str" cm="1">
        <f t="array" ref="AA175">IF(OR(AND(J175="Not accepted",N175:O175&lt;&gt;"",$S175=""),AND(J175="Accepted",S175="")),"ERROR","OK")</f>
        <v>OK</v>
      </c>
      <c r="AB175" s="240" t="str">
        <f t="shared" si="21"/>
        <v>OK</v>
      </c>
      <c r="AC175" s="240" t="str" cm="1">
        <f t="array" ref="AC175">IF(AND(F175:H175&lt;&gt;"",I175=""),"ERROR","OK")</f>
        <v>OK</v>
      </c>
      <c r="AD175" s="240" t="str">
        <f t="shared" si="22"/>
        <v>OK</v>
      </c>
      <c r="AE175" s="240" t="str">
        <f t="shared" si="23"/>
        <v>OK</v>
      </c>
      <c r="AF175" s="240" t="str" cm="1">
        <f t="array" aca="1" ref="AF175" ca="1" xml:space="preserve">
IF(AND($G175&lt;&gt;"",$F175=""),"ERROR",
IF(OR($F175:$G175="",AND($G175="",$F175&lt;&gt;"")),"OK",
IF(COUNTIF(INDIRECT(IFERROR(LEFT($F175,FIND(" ",$F175)-1),$F175)), $G175)&gt;0, "OK", "ERROR")))</f>
        <v>OK</v>
      </c>
    </row>
    <row r="176" spans="1:32" s="240" customFormat="1">
      <c r="A176" s="48"/>
      <c r="B176" s="31"/>
      <c r="C176" s="48"/>
      <c r="D176" s="47"/>
      <c r="E176" s="47"/>
      <c r="F176" s="31"/>
      <c r="G176" s="31"/>
      <c r="H176" s="31"/>
      <c r="I176" s="47"/>
      <c r="J176" s="31"/>
      <c r="K176" s="47"/>
      <c r="L176" s="47"/>
      <c r="M176" s="47"/>
      <c r="N176" s="31"/>
      <c r="O176" s="47"/>
      <c r="P176" s="31"/>
      <c r="Q176" s="31"/>
      <c r="R176" s="31"/>
      <c r="S176" s="31"/>
      <c r="T176" s="270">
        <f t="shared" si="16"/>
        <v>0</v>
      </c>
      <c r="U176" s="270">
        <f t="shared" si="17"/>
        <v>0</v>
      </c>
      <c r="V176" s="31"/>
      <c r="X176" s="240" t="str">
        <f t="shared" si="18"/>
        <v>OK</v>
      </c>
      <c r="Y176" s="240" t="str">
        <f t="shared" si="19"/>
        <v>OK</v>
      </c>
      <c r="Z176" s="240" t="str">
        <f t="shared" si="20"/>
        <v>OK</v>
      </c>
      <c r="AA176" s="240" t="str" cm="1">
        <f t="array" ref="AA176">IF(OR(AND(J176="Not accepted",N176:O176&lt;&gt;"",$S176=""),AND(J176="Accepted",S176="")),"ERROR","OK")</f>
        <v>OK</v>
      </c>
      <c r="AB176" s="240" t="str">
        <f t="shared" si="21"/>
        <v>OK</v>
      </c>
      <c r="AC176" s="240" t="str" cm="1">
        <f t="array" ref="AC176">IF(AND(F176:H176&lt;&gt;"",I176=""),"ERROR","OK")</f>
        <v>OK</v>
      </c>
      <c r="AD176" s="240" t="str">
        <f t="shared" si="22"/>
        <v>OK</v>
      </c>
      <c r="AE176" s="240" t="str">
        <f t="shared" si="23"/>
        <v>OK</v>
      </c>
      <c r="AF176" s="240" t="str" cm="1">
        <f t="array" aca="1" ref="AF176" ca="1" xml:space="preserve">
IF(AND($G176&lt;&gt;"",$F176=""),"ERROR",
IF(OR($F176:$G176="",AND($G176="",$F176&lt;&gt;"")),"OK",
IF(COUNTIF(INDIRECT(IFERROR(LEFT($F176,FIND(" ",$F176)-1),$F176)), $G176)&gt;0, "OK", "ERROR")))</f>
        <v>OK</v>
      </c>
    </row>
    <row r="177" spans="1:32" s="240" customFormat="1">
      <c r="A177" s="48"/>
      <c r="B177" s="31"/>
      <c r="C177" s="48"/>
      <c r="D177" s="47"/>
      <c r="E177" s="47"/>
      <c r="F177" s="31"/>
      <c r="G177" s="31"/>
      <c r="H177" s="31"/>
      <c r="I177" s="47"/>
      <c r="J177" s="31"/>
      <c r="K177" s="47"/>
      <c r="L177" s="47"/>
      <c r="M177" s="47"/>
      <c r="N177" s="31"/>
      <c r="O177" s="47"/>
      <c r="P177" s="31"/>
      <c r="Q177" s="31"/>
      <c r="R177" s="31"/>
      <c r="S177" s="31"/>
      <c r="T177" s="270">
        <f t="shared" si="16"/>
        <v>0</v>
      </c>
      <c r="U177" s="270">
        <f t="shared" si="17"/>
        <v>0</v>
      </c>
      <c r="V177" s="31"/>
      <c r="X177" s="240" t="str">
        <f t="shared" si="18"/>
        <v>OK</v>
      </c>
      <c r="Y177" s="240" t="str">
        <f t="shared" si="19"/>
        <v>OK</v>
      </c>
      <c r="Z177" s="240" t="str">
        <f t="shared" si="20"/>
        <v>OK</v>
      </c>
      <c r="AA177" s="240" t="str" cm="1">
        <f t="array" ref="AA177">IF(OR(AND(J177="Not accepted",N177:O177&lt;&gt;"",$S177=""),AND(J177="Accepted",S177="")),"ERROR","OK")</f>
        <v>OK</v>
      </c>
      <c r="AB177" s="240" t="str">
        <f t="shared" si="21"/>
        <v>OK</v>
      </c>
      <c r="AC177" s="240" t="str" cm="1">
        <f t="array" ref="AC177">IF(AND(F177:H177&lt;&gt;"",I177=""),"ERROR","OK")</f>
        <v>OK</v>
      </c>
      <c r="AD177" s="240" t="str">
        <f t="shared" si="22"/>
        <v>OK</v>
      </c>
      <c r="AE177" s="240" t="str">
        <f t="shared" si="23"/>
        <v>OK</v>
      </c>
      <c r="AF177" s="240" t="str" cm="1">
        <f t="array" aca="1" ref="AF177" ca="1" xml:space="preserve">
IF(AND($G177&lt;&gt;"",$F177=""),"ERROR",
IF(OR($F177:$G177="",AND($G177="",$F177&lt;&gt;"")),"OK",
IF(COUNTIF(INDIRECT(IFERROR(LEFT($F177,FIND(" ",$F177)-1),$F177)), $G177)&gt;0, "OK", "ERROR")))</f>
        <v>OK</v>
      </c>
    </row>
    <row r="178" spans="1:32" s="240" customFormat="1">
      <c r="A178" s="48"/>
      <c r="B178" s="31"/>
      <c r="C178" s="48"/>
      <c r="D178" s="47"/>
      <c r="E178" s="47"/>
      <c r="F178" s="31"/>
      <c r="G178" s="31"/>
      <c r="H178" s="31"/>
      <c r="I178" s="47"/>
      <c r="J178" s="31"/>
      <c r="K178" s="47"/>
      <c r="L178" s="47"/>
      <c r="M178" s="47"/>
      <c r="N178" s="31"/>
      <c r="O178" s="47"/>
      <c r="P178" s="31"/>
      <c r="Q178" s="31"/>
      <c r="R178" s="31"/>
      <c r="S178" s="31"/>
      <c r="T178" s="270">
        <f t="shared" si="16"/>
        <v>0</v>
      </c>
      <c r="U178" s="270">
        <f t="shared" si="17"/>
        <v>0</v>
      </c>
      <c r="V178" s="31"/>
      <c r="X178" s="240" t="str">
        <f t="shared" si="18"/>
        <v>OK</v>
      </c>
      <c r="Y178" s="240" t="str">
        <f t="shared" si="19"/>
        <v>OK</v>
      </c>
      <c r="Z178" s="240" t="str">
        <f t="shared" si="20"/>
        <v>OK</v>
      </c>
      <c r="AA178" s="240" t="str" cm="1">
        <f t="array" ref="AA178">IF(OR(AND(J178="Not accepted",N178:O178&lt;&gt;"",$S178=""),AND(J178="Accepted",S178="")),"ERROR","OK")</f>
        <v>OK</v>
      </c>
      <c r="AB178" s="240" t="str">
        <f t="shared" si="21"/>
        <v>OK</v>
      </c>
      <c r="AC178" s="240" t="str" cm="1">
        <f t="array" ref="AC178">IF(AND(F178:H178&lt;&gt;"",I178=""),"ERROR","OK")</f>
        <v>OK</v>
      </c>
      <c r="AD178" s="240" t="str">
        <f t="shared" si="22"/>
        <v>OK</v>
      </c>
      <c r="AE178" s="240" t="str">
        <f t="shared" si="23"/>
        <v>OK</v>
      </c>
      <c r="AF178" s="240" t="str" cm="1">
        <f t="array" aca="1" ref="AF178" ca="1" xml:space="preserve">
IF(AND($G178&lt;&gt;"",$F178=""),"ERROR",
IF(OR($F178:$G178="",AND($G178="",$F178&lt;&gt;"")),"OK",
IF(COUNTIF(INDIRECT(IFERROR(LEFT($F178,FIND(" ",$F178)-1),$F178)), $G178)&gt;0, "OK", "ERROR")))</f>
        <v>OK</v>
      </c>
    </row>
    <row r="179" spans="1:32" s="240" customFormat="1">
      <c r="A179" s="48"/>
      <c r="B179" s="31"/>
      <c r="C179" s="48"/>
      <c r="D179" s="47"/>
      <c r="E179" s="47"/>
      <c r="F179" s="31"/>
      <c r="G179" s="31"/>
      <c r="H179" s="31"/>
      <c r="I179" s="47"/>
      <c r="J179" s="31"/>
      <c r="K179" s="47"/>
      <c r="L179" s="47"/>
      <c r="M179" s="47"/>
      <c r="N179" s="31"/>
      <c r="O179" s="47"/>
      <c r="P179" s="31"/>
      <c r="Q179" s="31"/>
      <c r="R179" s="31"/>
      <c r="S179" s="31"/>
      <c r="T179" s="270">
        <f t="shared" si="16"/>
        <v>0</v>
      </c>
      <c r="U179" s="270">
        <f t="shared" si="17"/>
        <v>0</v>
      </c>
      <c r="V179" s="31"/>
      <c r="X179" s="240" t="str">
        <f t="shared" si="18"/>
        <v>OK</v>
      </c>
      <c r="Y179" s="240" t="str">
        <f t="shared" si="19"/>
        <v>OK</v>
      </c>
      <c r="Z179" s="240" t="str">
        <f t="shared" si="20"/>
        <v>OK</v>
      </c>
      <c r="AA179" s="240" t="str" cm="1">
        <f t="array" ref="AA179">IF(OR(AND(J179="Not accepted",N179:O179&lt;&gt;"",$S179=""),AND(J179="Accepted",S179="")),"ERROR","OK")</f>
        <v>OK</v>
      </c>
      <c r="AB179" s="240" t="str">
        <f t="shared" si="21"/>
        <v>OK</v>
      </c>
      <c r="AC179" s="240" t="str" cm="1">
        <f t="array" ref="AC179">IF(AND(F179:H179&lt;&gt;"",I179=""),"ERROR","OK")</f>
        <v>OK</v>
      </c>
      <c r="AD179" s="240" t="str">
        <f t="shared" si="22"/>
        <v>OK</v>
      </c>
      <c r="AE179" s="240" t="str">
        <f t="shared" si="23"/>
        <v>OK</v>
      </c>
      <c r="AF179" s="240" t="str" cm="1">
        <f t="array" aca="1" ref="AF179" ca="1" xml:space="preserve">
IF(AND($G179&lt;&gt;"",$F179=""),"ERROR",
IF(OR($F179:$G179="",AND($G179="",$F179&lt;&gt;"")),"OK",
IF(COUNTIF(INDIRECT(IFERROR(LEFT($F179,FIND(" ",$F179)-1),$F179)), $G179)&gt;0, "OK", "ERROR")))</f>
        <v>OK</v>
      </c>
    </row>
    <row r="180" spans="1:32" s="240" customFormat="1">
      <c r="A180" s="48"/>
      <c r="B180" s="31"/>
      <c r="C180" s="48"/>
      <c r="D180" s="47"/>
      <c r="E180" s="47"/>
      <c r="F180" s="31"/>
      <c r="G180" s="31"/>
      <c r="H180" s="31"/>
      <c r="I180" s="47"/>
      <c r="J180" s="31"/>
      <c r="K180" s="47"/>
      <c r="L180" s="47"/>
      <c r="M180" s="47"/>
      <c r="N180" s="31"/>
      <c r="O180" s="47"/>
      <c r="P180" s="31"/>
      <c r="Q180" s="31"/>
      <c r="R180" s="31"/>
      <c r="S180" s="31"/>
      <c r="T180" s="270">
        <f t="shared" si="16"/>
        <v>0</v>
      </c>
      <c r="U180" s="270">
        <f t="shared" si="17"/>
        <v>0</v>
      </c>
      <c r="V180" s="31"/>
      <c r="X180" s="240" t="str">
        <f t="shared" si="18"/>
        <v>OK</v>
      </c>
      <c r="Y180" s="240" t="str">
        <f t="shared" si="19"/>
        <v>OK</v>
      </c>
      <c r="Z180" s="240" t="str">
        <f t="shared" si="20"/>
        <v>OK</v>
      </c>
      <c r="AA180" s="240" t="str" cm="1">
        <f t="array" ref="AA180">IF(OR(AND(J180="Not accepted",N180:O180&lt;&gt;"",$S180=""),AND(J180="Accepted",S180="")),"ERROR","OK")</f>
        <v>OK</v>
      </c>
      <c r="AB180" s="240" t="str">
        <f t="shared" si="21"/>
        <v>OK</v>
      </c>
      <c r="AC180" s="240" t="str" cm="1">
        <f t="array" ref="AC180">IF(AND(F180:H180&lt;&gt;"",I180=""),"ERROR","OK")</f>
        <v>OK</v>
      </c>
      <c r="AD180" s="240" t="str">
        <f t="shared" si="22"/>
        <v>OK</v>
      </c>
      <c r="AE180" s="240" t="str">
        <f t="shared" si="23"/>
        <v>OK</v>
      </c>
      <c r="AF180" s="240" t="str" cm="1">
        <f t="array" aca="1" ref="AF180" ca="1" xml:space="preserve">
IF(AND($G180&lt;&gt;"",$F180=""),"ERROR",
IF(OR($F180:$G180="",AND($G180="",$F180&lt;&gt;"")),"OK",
IF(COUNTIF(INDIRECT(IFERROR(LEFT($F180,FIND(" ",$F180)-1),$F180)), $G180)&gt;0, "OK", "ERROR")))</f>
        <v>OK</v>
      </c>
    </row>
    <row r="181" spans="1:32" s="240" customFormat="1">
      <c r="A181" s="48"/>
      <c r="B181" s="31"/>
      <c r="C181" s="48"/>
      <c r="D181" s="47"/>
      <c r="E181" s="47"/>
      <c r="F181" s="31"/>
      <c r="G181" s="31"/>
      <c r="H181" s="31"/>
      <c r="I181" s="47"/>
      <c r="J181" s="31"/>
      <c r="K181" s="47"/>
      <c r="L181" s="47"/>
      <c r="M181" s="47"/>
      <c r="N181" s="31"/>
      <c r="O181" s="47"/>
      <c r="P181" s="31"/>
      <c r="Q181" s="31"/>
      <c r="R181" s="31"/>
      <c r="S181" s="31"/>
      <c r="T181" s="270">
        <f t="shared" si="16"/>
        <v>0</v>
      </c>
      <c r="U181" s="270">
        <f t="shared" si="17"/>
        <v>0</v>
      </c>
      <c r="V181" s="31"/>
      <c r="X181" s="240" t="str">
        <f t="shared" si="18"/>
        <v>OK</v>
      </c>
      <c r="Y181" s="240" t="str">
        <f t="shared" si="19"/>
        <v>OK</v>
      </c>
      <c r="Z181" s="240" t="str">
        <f t="shared" si="20"/>
        <v>OK</v>
      </c>
      <c r="AA181" s="240" t="str" cm="1">
        <f t="array" ref="AA181">IF(OR(AND(J181="Not accepted",N181:O181&lt;&gt;"",$S181=""),AND(J181="Accepted",S181="")),"ERROR","OK")</f>
        <v>OK</v>
      </c>
      <c r="AB181" s="240" t="str">
        <f t="shared" si="21"/>
        <v>OK</v>
      </c>
      <c r="AC181" s="240" t="str" cm="1">
        <f t="array" ref="AC181">IF(AND(F181:H181&lt;&gt;"",I181=""),"ERROR","OK")</f>
        <v>OK</v>
      </c>
      <c r="AD181" s="240" t="str">
        <f t="shared" si="22"/>
        <v>OK</v>
      </c>
      <c r="AE181" s="240" t="str">
        <f t="shared" si="23"/>
        <v>OK</v>
      </c>
      <c r="AF181" s="240" t="str" cm="1">
        <f t="array" aca="1" ref="AF181" ca="1" xml:space="preserve">
IF(AND($G181&lt;&gt;"",$F181=""),"ERROR",
IF(OR($F181:$G181="",AND($G181="",$F181&lt;&gt;"")),"OK",
IF(COUNTIF(INDIRECT(IFERROR(LEFT($F181,FIND(" ",$F181)-1),$F181)), $G181)&gt;0, "OK", "ERROR")))</f>
        <v>OK</v>
      </c>
    </row>
    <row r="182" spans="1:32" s="240" customFormat="1">
      <c r="A182" s="48"/>
      <c r="B182" s="31"/>
      <c r="C182" s="48"/>
      <c r="D182" s="47"/>
      <c r="E182" s="47"/>
      <c r="F182" s="31"/>
      <c r="G182" s="31"/>
      <c r="H182" s="31"/>
      <c r="I182" s="47"/>
      <c r="J182" s="31"/>
      <c r="K182" s="47"/>
      <c r="L182" s="47"/>
      <c r="M182" s="47"/>
      <c r="N182" s="31"/>
      <c r="O182" s="47"/>
      <c r="P182" s="31"/>
      <c r="Q182" s="31"/>
      <c r="R182" s="31"/>
      <c r="S182" s="31"/>
      <c r="T182" s="270">
        <f t="shared" si="16"/>
        <v>0</v>
      </c>
      <c r="U182" s="270">
        <f t="shared" si="17"/>
        <v>0</v>
      </c>
      <c r="V182" s="31"/>
      <c r="X182" s="240" t="str">
        <f t="shared" si="18"/>
        <v>OK</v>
      </c>
      <c r="Y182" s="240" t="str">
        <f t="shared" si="19"/>
        <v>OK</v>
      </c>
      <c r="Z182" s="240" t="str">
        <f t="shared" si="20"/>
        <v>OK</v>
      </c>
      <c r="AA182" s="240" t="str" cm="1">
        <f t="array" ref="AA182">IF(OR(AND(J182="Not accepted",N182:O182&lt;&gt;"",$S182=""),AND(J182="Accepted",S182="")),"ERROR","OK")</f>
        <v>OK</v>
      </c>
      <c r="AB182" s="240" t="str">
        <f t="shared" si="21"/>
        <v>OK</v>
      </c>
      <c r="AC182" s="240" t="str" cm="1">
        <f t="array" ref="AC182">IF(AND(F182:H182&lt;&gt;"",I182=""),"ERROR","OK")</f>
        <v>OK</v>
      </c>
      <c r="AD182" s="240" t="str">
        <f t="shared" si="22"/>
        <v>OK</v>
      </c>
      <c r="AE182" s="240" t="str">
        <f t="shared" si="23"/>
        <v>OK</v>
      </c>
      <c r="AF182" s="240" t="str" cm="1">
        <f t="array" aca="1" ref="AF182" ca="1" xml:space="preserve">
IF(AND($G182&lt;&gt;"",$F182=""),"ERROR",
IF(OR($F182:$G182="",AND($G182="",$F182&lt;&gt;"")),"OK",
IF(COUNTIF(INDIRECT(IFERROR(LEFT($F182,FIND(" ",$F182)-1),$F182)), $G182)&gt;0, "OK", "ERROR")))</f>
        <v>OK</v>
      </c>
    </row>
    <row r="183" spans="1:32" s="240" customFormat="1">
      <c r="A183" s="48"/>
      <c r="B183" s="31"/>
      <c r="C183" s="48"/>
      <c r="D183" s="47"/>
      <c r="E183" s="47"/>
      <c r="F183" s="31"/>
      <c r="G183" s="31"/>
      <c r="H183" s="31"/>
      <c r="I183" s="47"/>
      <c r="J183" s="31"/>
      <c r="K183" s="47"/>
      <c r="L183" s="47"/>
      <c r="M183" s="47"/>
      <c r="N183" s="31"/>
      <c r="O183" s="47"/>
      <c r="P183" s="31"/>
      <c r="Q183" s="31"/>
      <c r="R183" s="31"/>
      <c r="S183" s="31"/>
      <c r="T183" s="270">
        <f t="shared" si="16"/>
        <v>0</v>
      </c>
      <c r="U183" s="270">
        <f t="shared" si="17"/>
        <v>0</v>
      </c>
      <c r="V183" s="31"/>
      <c r="X183" s="240" t="str">
        <f t="shared" si="18"/>
        <v>OK</v>
      </c>
      <c r="Y183" s="240" t="str">
        <f t="shared" si="19"/>
        <v>OK</v>
      </c>
      <c r="Z183" s="240" t="str">
        <f t="shared" si="20"/>
        <v>OK</v>
      </c>
      <c r="AA183" s="240" t="str" cm="1">
        <f t="array" ref="AA183">IF(OR(AND(J183="Not accepted",N183:O183&lt;&gt;"",$S183=""),AND(J183="Accepted",S183="")),"ERROR","OK")</f>
        <v>OK</v>
      </c>
      <c r="AB183" s="240" t="str">
        <f t="shared" si="21"/>
        <v>OK</v>
      </c>
      <c r="AC183" s="240" t="str" cm="1">
        <f t="array" ref="AC183">IF(AND(F183:H183&lt;&gt;"",I183=""),"ERROR","OK")</f>
        <v>OK</v>
      </c>
      <c r="AD183" s="240" t="str">
        <f t="shared" si="22"/>
        <v>OK</v>
      </c>
      <c r="AE183" s="240" t="str">
        <f t="shared" si="23"/>
        <v>OK</v>
      </c>
      <c r="AF183" s="240" t="str" cm="1">
        <f t="array" aca="1" ref="AF183" ca="1" xml:space="preserve">
IF(AND($G183&lt;&gt;"",$F183=""),"ERROR",
IF(OR($F183:$G183="",AND($G183="",$F183&lt;&gt;"")),"OK",
IF(COUNTIF(INDIRECT(IFERROR(LEFT($F183,FIND(" ",$F183)-1),$F183)), $G183)&gt;0, "OK", "ERROR")))</f>
        <v>OK</v>
      </c>
    </row>
    <row r="184" spans="1:32" s="240" customFormat="1">
      <c r="A184" s="48"/>
      <c r="B184" s="31"/>
      <c r="C184" s="48"/>
      <c r="D184" s="47"/>
      <c r="E184" s="47"/>
      <c r="F184" s="31"/>
      <c r="G184" s="31"/>
      <c r="H184" s="31"/>
      <c r="I184" s="47"/>
      <c r="J184" s="31"/>
      <c r="K184" s="47"/>
      <c r="L184" s="47"/>
      <c r="M184" s="47"/>
      <c r="N184" s="31"/>
      <c r="O184" s="47"/>
      <c r="P184" s="31"/>
      <c r="Q184" s="31"/>
      <c r="R184" s="31"/>
      <c r="S184" s="31"/>
      <c r="T184" s="270">
        <f t="shared" si="16"/>
        <v>0</v>
      </c>
      <c r="U184" s="270">
        <f t="shared" si="17"/>
        <v>0</v>
      </c>
      <c r="V184" s="31"/>
      <c r="X184" s="240" t="str">
        <f t="shared" si="18"/>
        <v>OK</v>
      </c>
      <c r="Y184" s="240" t="str">
        <f t="shared" si="19"/>
        <v>OK</v>
      </c>
      <c r="Z184" s="240" t="str">
        <f t="shared" si="20"/>
        <v>OK</v>
      </c>
      <c r="AA184" s="240" t="str" cm="1">
        <f t="array" ref="AA184">IF(OR(AND(J184="Not accepted",N184:O184&lt;&gt;"",$S184=""),AND(J184="Accepted",S184="")),"ERROR","OK")</f>
        <v>OK</v>
      </c>
      <c r="AB184" s="240" t="str">
        <f t="shared" si="21"/>
        <v>OK</v>
      </c>
      <c r="AC184" s="240" t="str" cm="1">
        <f t="array" ref="AC184">IF(AND(F184:H184&lt;&gt;"",I184=""),"ERROR","OK")</f>
        <v>OK</v>
      </c>
      <c r="AD184" s="240" t="str">
        <f t="shared" si="22"/>
        <v>OK</v>
      </c>
      <c r="AE184" s="240" t="str">
        <f t="shared" si="23"/>
        <v>OK</v>
      </c>
      <c r="AF184" s="240" t="str" cm="1">
        <f t="array" aca="1" ref="AF184" ca="1" xml:space="preserve">
IF(AND($G184&lt;&gt;"",$F184=""),"ERROR",
IF(OR($F184:$G184="",AND($G184="",$F184&lt;&gt;"")),"OK",
IF(COUNTIF(INDIRECT(IFERROR(LEFT($F184,FIND(" ",$F184)-1),$F184)), $G184)&gt;0, "OK", "ERROR")))</f>
        <v>OK</v>
      </c>
    </row>
    <row r="185" spans="1:32" s="240" customFormat="1">
      <c r="A185" s="48"/>
      <c r="B185" s="31"/>
      <c r="C185" s="48"/>
      <c r="D185" s="47"/>
      <c r="E185" s="47"/>
      <c r="F185" s="31"/>
      <c r="G185" s="31"/>
      <c r="H185" s="31"/>
      <c r="I185" s="47"/>
      <c r="J185" s="31"/>
      <c r="K185" s="47"/>
      <c r="L185" s="47"/>
      <c r="M185" s="47"/>
      <c r="N185" s="31"/>
      <c r="O185" s="47"/>
      <c r="P185" s="31"/>
      <c r="Q185" s="31"/>
      <c r="R185" s="31"/>
      <c r="S185" s="31"/>
      <c r="T185" s="270">
        <f t="shared" si="16"/>
        <v>0</v>
      </c>
      <c r="U185" s="270">
        <f t="shared" si="17"/>
        <v>0</v>
      </c>
      <c r="V185" s="31"/>
      <c r="X185" s="240" t="str">
        <f t="shared" si="18"/>
        <v>OK</v>
      </c>
      <c r="Y185" s="240" t="str">
        <f t="shared" si="19"/>
        <v>OK</v>
      </c>
      <c r="Z185" s="240" t="str">
        <f t="shared" si="20"/>
        <v>OK</v>
      </c>
      <c r="AA185" s="240" t="str" cm="1">
        <f t="array" ref="AA185">IF(OR(AND(J185="Not accepted",N185:O185&lt;&gt;"",$S185=""),AND(J185="Accepted",S185="")),"ERROR","OK")</f>
        <v>OK</v>
      </c>
      <c r="AB185" s="240" t="str">
        <f t="shared" si="21"/>
        <v>OK</v>
      </c>
      <c r="AC185" s="240" t="str" cm="1">
        <f t="array" ref="AC185">IF(AND(F185:H185&lt;&gt;"",I185=""),"ERROR","OK")</f>
        <v>OK</v>
      </c>
      <c r="AD185" s="240" t="str">
        <f t="shared" si="22"/>
        <v>OK</v>
      </c>
      <c r="AE185" s="240" t="str">
        <f t="shared" si="23"/>
        <v>OK</v>
      </c>
      <c r="AF185" s="240" t="str" cm="1">
        <f t="array" aca="1" ref="AF185" ca="1" xml:space="preserve">
IF(AND($G185&lt;&gt;"",$F185=""),"ERROR",
IF(OR($F185:$G185="",AND($G185="",$F185&lt;&gt;"")),"OK",
IF(COUNTIF(INDIRECT(IFERROR(LEFT($F185,FIND(" ",$F185)-1),$F185)), $G185)&gt;0, "OK", "ERROR")))</f>
        <v>OK</v>
      </c>
    </row>
    <row r="186" spans="1:32" s="240" customFormat="1">
      <c r="A186" s="48"/>
      <c r="B186" s="31"/>
      <c r="C186" s="48"/>
      <c r="D186" s="47"/>
      <c r="E186" s="47"/>
      <c r="F186" s="31"/>
      <c r="G186" s="31"/>
      <c r="H186" s="31"/>
      <c r="I186" s="47"/>
      <c r="J186" s="31"/>
      <c r="K186" s="47"/>
      <c r="L186" s="47"/>
      <c r="M186" s="47"/>
      <c r="N186" s="31"/>
      <c r="O186" s="47"/>
      <c r="P186" s="31"/>
      <c r="Q186" s="31"/>
      <c r="R186" s="31"/>
      <c r="S186" s="31"/>
      <c r="T186" s="270">
        <f t="shared" si="16"/>
        <v>0</v>
      </c>
      <c r="U186" s="270">
        <f t="shared" si="17"/>
        <v>0</v>
      </c>
      <c r="V186" s="31"/>
      <c r="X186" s="240" t="str">
        <f t="shared" si="18"/>
        <v>OK</v>
      </c>
      <c r="Y186" s="240" t="str">
        <f t="shared" si="19"/>
        <v>OK</v>
      </c>
      <c r="Z186" s="240" t="str">
        <f t="shared" si="20"/>
        <v>OK</v>
      </c>
      <c r="AA186" s="240" t="str" cm="1">
        <f t="array" ref="AA186">IF(OR(AND(J186="Not accepted",N186:O186&lt;&gt;"",$S186=""),AND(J186="Accepted",S186="")),"ERROR","OK")</f>
        <v>OK</v>
      </c>
      <c r="AB186" s="240" t="str">
        <f t="shared" si="21"/>
        <v>OK</v>
      </c>
      <c r="AC186" s="240" t="str" cm="1">
        <f t="array" ref="AC186">IF(AND(F186:H186&lt;&gt;"",I186=""),"ERROR","OK")</f>
        <v>OK</v>
      </c>
      <c r="AD186" s="240" t="str">
        <f t="shared" si="22"/>
        <v>OK</v>
      </c>
      <c r="AE186" s="240" t="str">
        <f t="shared" si="23"/>
        <v>OK</v>
      </c>
      <c r="AF186" s="240" t="str" cm="1">
        <f t="array" aca="1" ref="AF186" ca="1" xml:space="preserve">
IF(AND($G186&lt;&gt;"",$F186=""),"ERROR",
IF(OR($F186:$G186="",AND($G186="",$F186&lt;&gt;"")),"OK",
IF(COUNTIF(INDIRECT(IFERROR(LEFT($F186,FIND(" ",$F186)-1),$F186)), $G186)&gt;0, "OK", "ERROR")))</f>
        <v>OK</v>
      </c>
    </row>
    <row r="187" spans="1:32" s="240" customFormat="1">
      <c r="A187" s="48"/>
      <c r="B187" s="31"/>
      <c r="C187" s="48"/>
      <c r="D187" s="47"/>
      <c r="E187" s="47"/>
      <c r="F187" s="31"/>
      <c r="G187" s="31"/>
      <c r="H187" s="31"/>
      <c r="I187" s="47"/>
      <c r="J187" s="31"/>
      <c r="K187" s="47"/>
      <c r="L187" s="47"/>
      <c r="M187" s="47"/>
      <c r="N187" s="31"/>
      <c r="O187" s="47"/>
      <c r="P187" s="31"/>
      <c r="Q187" s="31"/>
      <c r="R187" s="31"/>
      <c r="S187" s="31"/>
      <c r="T187" s="270">
        <f t="shared" si="16"/>
        <v>0</v>
      </c>
      <c r="U187" s="270">
        <f t="shared" si="17"/>
        <v>0</v>
      </c>
      <c r="V187" s="31"/>
      <c r="X187" s="240" t="str">
        <f t="shared" si="18"/>
        <v>OK</v>
      </c>
      <c r="Y187" s="240" t="str">
        <f t="shared" si="19"/>
        <v>OK</v>
      </c>
      <c r="Z187" s="240" t="str">
        <f t="shared" si="20"/>
        <v>OK</v>
      </c>
      <c r="AA187" s="240" t="str" cm="1">
        <f t="array" ref="AA187">IF(OR(AND(J187="Not accepted",N187:O187&lt;&gt;"",$S187=""),AND(J187="Accepted",S187="")),"ERROR","OK")</f>
        <v>OK</v>
      </c>
      <c r="AB187" s="240" t="str">
        <f t="shared" si="21"/>
        <v>OK</v>
      </c>
      <c r="AC187" s="240" t="str" cm="1">
        <f t="array" ref="AC187">IF(AND(F187:H187&lt;&gt;"",I187=""),"ERROR","OK")</f>
        <v>OK</v>
      </c>
      <c r="AD187" s="240" t="str">
        <f t="shared" si="22"/>
        <v>OK</v>
      </c>
      <c r="AE187" s="240" t="str">
        <f t="shared" si="23"/>
        <v>OK</v>
      </c>
      <c r="AF187" s="240" t="str" cm="1">
        <f t="array" aca="1" ref="AF187" ca="1" xml:space="preserve">
IF(AND($G187&lt;&gt;"",$F187=""),"ERROR",
IF(OR($F187:$G187="",AND($G187="",$F187&lt;&gt;"")),"OK",
IF(COUNTIF(INDIRECT(IFERROR(LEFT($F187,FIND(" ",$F187)-1),$F187)), $G187)&gt;0, "OK", "ERROR")))</f>
        <v>OK</v>
      </c>
    </row>
    <row r="188" spans="1:32" s="240" customFormat="1">
      <c r="A188" s="48"/>
      <c r="B188" s="31"/>
      <c r="C188" s="48"/>
      <c r="D188" s="47"/>
      <c r="E188" s="47"/>
      <c r="F188" s="31"/>
      <c r="G188" s="31"/>
      <c r="H188" s="31"/>
      <c r="I188" s="47"/>
      <c r="J188" s="31"/>
      <c r="K188" s="47"/>
      <c r="L188" s="47"/>
      <c r="M188" s="47"/>
      <c r="N188" s="31"/>
      <c r="O188" s="47"/>
      <c r="P188" s="31"/>
      <c r="Q188" s="31"/>
      <c r="R188" s="31"/>
      <c r="S188" s="31"/>
      <c r="T188" s="270">
        <f t="shared" si="16"/>
        <v>0</v>
      </c>
      <c r="U188" s="270">
        <f t="shared" si="17"/>
        <v>0</v>
      </c>
      <c r="V188" s="31"/>
      <c r="X188" s="240" t="str">
        <f t="shared" si="18"/>
        <v>OK</v>
      </c>
      <c r="Y188" s="240" t="str">
        <f t="shared" si="19"/>
        <v>OK</v>
      </c>
      <c r="Z188" s="240" t="str">
        <f t="shared" si="20"/>
        <v>OK</v>
      </c>
      <c r="AA188" s="240" t="str" cm="1">
        <f t="array" ref="AA188">IF(OR(AND(J188="Not accepted",N188:O188&lt;&gt;"",$S188=""),AND(J188="Accepted",S188="")),"ERROR","OK")</f>
        <v>OK</v>
      </c>
      <c r="AB188" s="240" t="str">
        <f t="shared" si="21"/>
        <v>OK</v>
      </c>
      <c r="AC188" s="240" t="str" cm="1">
        <f t="array" ref="AC188">IF(AND(F188:H188&lt;&gt;"",I188=""),"ERROR","OK")</f>
        <v>OK</v>
      </c>
      <c r="AD188" s="240" t="str">
        <f t="shared" si="22"/>
        <v>OK</v>
      </c>
      <c r="AE188" s="240" t="str">
        <f t="shared" si="23"/>
        <v>OK</v>
      </c>
      <c r="AF188" s="240" t="str" cm="1">
        <f t="array" aca="1" ref="AF188" ca="1" xml:space="preserve">
IF(AND($G188&lt;&gt;"",$F188=""),"ERROR",
IF(OR($F188:$G188="",AND($G188="",$F188&lt;&gt;"")),"OK",
IF(COUNTIF(INDIRECT(IFERROR(LEFT($F188,FIND(" ",$F188)-1),$F188)), $G188)&gt;0, "OK", "ERROR")))</f>
        <v>OK</v>
      </c>
    </row>
    <row r="189" spans="1:32" s="240" customFormat="1">
      <c r="A189" s="48"/>
      <c r="B189" s="31"/>
      <c r="C189" s="48"/>
      <c r="D189" s="47"/>
      <c r="E189" s="47"/>
      <c r="F189" s="31"/>
      <c r="G189" s="31"/>
      <c r="H189" s="31"/>
      <c r="I189" s="47"/>
      <c r="J189" s="31"/>
      <c r="K189" s="47"/>
      <c r="L189" s="47"/>
      <c r="M189" s="47"/>
      <c r="N189" s="31"/>
      <c r="O189" s="47"/>
      <c r="P189" s="31"/>
      <c r="Q189" s="31"/>
      <c r="R189" s="31"/>
      <c r="S189" s="31"/>
      <c r="T189" s="270">
        <f t="shared" si="16"/>
        <v>0</v>
      </c>
      <c r="U189" s="270">
        <f t="shared" si="17"/>
        <v>0</v>
      </c>
      <c r="V189" s="31"/>
      <c r="X189" s="240" t="str">
        <f t="shared" si="18"/>
        <v>OK</v>
      </c>
      <c r="Y189" s="240" t="str">
        <f t="shared" si="19"/>
        <v>OK</v>
      </c>
      <c r="Z189" s="240" t="str">
        <f t="shared" si="20"/>
        <v>OK</v>
      </c>
      <c r="AA189" s="240" t="str" cm="1">
        <f t="array" ref="AA189">IF(OR(AND(J189="Not accepted",N189:O189&lt;&gt;"",$S189=""),AND(J189="Accepted",S189="")),"ERROR","OK")</f>
        <v>OK</v>
      </c>
      <c r="AB189" s="240" t="str">
        <f t="shared" si="21"/>
        <v>OK</v>
      </c>
      <c r="AC189" s="240" t="str" cm="1">
        <f t="array" ref="AC189">IF(AND(F189:H189&lt;&gt;"",I189=""),"ERROR","OK")</f>
        <v>OK</v>
      </c>
      <c r="AD189" s="240" t="str">
        <f t="shared" si="22"/>
        <v>OK</v>
      </c>
      <c r="AE189" s="240" t="str">
        <f t="shared" si="23"/>
        <v>OK</v>
      </c>
      <c r="AF189" s="240" t="str" cm="1">
        <f t="array" aca="1" ref="AF189" ca="1" xml:space="preserve">
IF(AND($G189&lt;&gt;"",$F189=""),"ERROR",
IF(OR($F189:$G189="",AND($G189="",$F189&lt;&gt;"")),"OK",
IF(COUNTIF(INDIRECT(IFERROR(LEFT($F189,FIND(" ",$F189)-1),$F189)), $G189)&gt;0, "OK", "ERROR")))</f>
        <v>OK</v>
      </c>
    </row>
    <row r="190" spans="1:32" s="240" customFormat="1">
      <c r="A190" s="48"/>
      <c r="B190" s="31"/>
      <c r="C190" s="48"/>
      <c r="D190" s="47"/>
      <c r="E190" s="47"/>
      <c r="F190" s="31"/>
      <c r="G190" s="31"/>
      <c r="H190" s="31"/>
      <c r="I190" s="47"/>
      <c r="J190" s="31"/>
      <c r="K190" s="47"/>
      <c r="L190" s="47"/>
      <c r="M190" s="47"/>
      <c r="N190" s="31"/>
      <c r="O190" s="47"/>
      <c r="P190" s="31"/>
      <c r="Q190" s="31"/>
      <c r="R190" s="31"/>
      <c r="S190" s="31"/>
      <c r="T190" s="270">
        <f t="shared" si="16"/>
        <v>0</v>
      </c>
      <c r="U190" s="270">
        <f t="shared" si="17"/>
        <v>0</v>
      </c>
      <c r="V190" s="31"/>
      <c r="X190" s="240" t="str">
        <f t="shared" si="18"/>
        <v>OK</v>
      </c>
      <c r="Y190" s="240" t="str">
        <f t="shared" si="19"/>
        <v>OK</v>
      </c>
      <c r="Z190" s="240" t="str">
        <f t="shared" si="20"/>
        <v>OK</v>
      </c>
      <c r="AA190" s="240" t="str" cm="1">
        <f t="array" ref="AA190">IF(OR(AND(J190="Not accepted",N190:O190&lt;&gt;"",$S190=""),AND(J190="Accepted",S190="")),"ERROR","OK")</f>
        <v>OK</v>
      </c>
      <c r="AB190" s="240" t="str">
        <f t="shared" si="21"/>
        <v>OK</v>
      </c>
      <c r="AC190" s="240" t="str" cm="1">
        <f t="array" ref="AC190">IF(AND(F190:H190&lt;&gt;"",I190=""),"ERROR","OK")</f>
        <v>OK</v>
      </c>
      <c r="AD190" s="240" t="str">
        <f t="shared" si="22"/>
        <v>OK</v>
      </c>
      <c r="AE190" s="240" t="str">
        <f t="shared" si="23"/>
        <v>OK</v>
      </c>
      <c r="AF190" s="240" t="str" cm="1">
        <f t="array" aca="1" ref="AF190" ca="1" xml:space="preserve">
IF(AND($G190&lt;&gt;"",$F190=""),"ERROR",
IF(OR($F190:$G190="",AND($G190="",$F190&lt;&gt;"")),"OK",
IF(COUNTIF(INDIRECT(IFERROR(LEFT($F190,FIND(" ",$F190)-1),$F190)), $G190)&gt;0, "OK", "ERROR")))</f>
        <v>OK</v>
      </c>
    </row>
    <row r="191" spans="1:32" s="240" customFormat="1">
      <c r="A191" s="48"/>
      <c r="B191" s="31"/>
      <c r="C191" s="48"/>
      <c r="D191" s="47"/>
      <c r="E191" s="47"/>
      <c r="F191" s="31"/>
      <c r="G191" s="31"/>
      <c r="H191" s="31"/>
      <c r="I191" s="47"/>
      <c r="J191" s="31"/>
      <c r="K191" s="47"/>
      <c r="L191" s="47"/>
      <c r="M191" s="47"/>
      <c r="N191" s="31"/>
      <c r="O191" s="47"/>
      <c r="P191" s="31"/>
      <c r="Q191" s="31"/>
      <c r="R191" s="31"/>
      <c r="S191" s="31"/>
      <c r="T191" s="270">
        <f t="shared" si="16"/>
        <v>0</v>
      </c>
      <c r="U191" s="270">
        <f t="shared" si="17"/>
        <v>0</v>
      </c>
      <c r="V191" s="31"/>
      <c r="X191" s="240" t="str">
        <f t="shared" si="18"/>
        <v>OK</v>
      </c>
      <c r="Y191" s="240" t="str">
        <f t="shared" si="19"/>
        <v>OK</v>
      </c>
      <c r="Z191" s="240" t="str">
        <f t="shared" si="20"/>
        <v>OK</v>
      </c>
      <c r="AA191" s="240" t="str" cm="1">
        <f t="array" ref="AA191">IF(OR(AND(J191="Not accepted",N191:O191&lt;&gt;"",$S191=""),AND(J191="Accepted",S191="")),"ERROR","OK")</f>
        <v>OK</v>
      </c>
      <c r="AB191" s="240" t="str">
        <f t="shared" si="21"/>
        <v>OK</v>
      </c>
      <c r="AC191" s="240" t="str" cm="1">
        <f t="array" ref="AC191">IF(AND(F191:H191&lt;&gt;"",I191=""),"ERROR","OK")</f>
        <v>OK</v>
      </c>
      <c r="AD191" s="240" t="str">
        <f t="shared" si="22"/>
        <v>OK</v>
      </c>
      <c r="AE191" s="240" t="str">
        <f t="shared" si="23"/>
        <v>OK</v>
      </c>
      <c r="AF191" s="240" t="str" cm="1">
        <f t="array" aca="1" ref="AF191" ca="1" xml:space="preserve">
IF(AND($G191&lt;&gt;"",$F191=""),"ERROR",
IF(OR($F191:$G191="",AND($G191="",$F191&lt;&gt;"")),"OK",
IF(COUNTIF(INDIRECT(IFERROR(LEFT($F191,FIND(" ",$F191)-1),$F191)), $G191)&gt;0, "OK", "ERROR")))</f>
        <v>OK</v>
      </c>
    </row>
    <row r="192" spans="1:32" s="240" customFormat="1">
      <c r="A192" s="48"/>
      <c r="B192" s="31"/>
      <c r="C192" s="48"/>
      <c r="D192" s="47"/>
      <c r="E192" s="47"/>
      <c r="F192" s="31"/>
      <c r="G192" s="31"/>
      <c r="H192" s="31"/>
      <c r="I192" s="47"/>
      <c r="J192" s="31"/>
      <c r="K192" s="47"/>
      <c r="L192" s="47"/>
      <c r="M192" s="47"/>
      <c r="N192" s="31"/>
      <c r="O192" s="47"/>
      <c r="P192" s="31"/>
      <c r="Q192" s="31"/>
      <c r="R192" s="31"/>
      <c r="S192" s="31"/>
      <c r="T192" s="270">
        <f t="shared" si="16"/>
        <v>0</v>
      </c>
      <c r="U192" s="270">
        <f t="shared" si="17"/>
        <v>0</v>
      </c>
      <c r="V192" s="31"/>
      <c r="X192" s="240" t="str">
        <f t="shared" si="18"/>
        <v>OK</v>
      </c>
      <c r="Y192" s="240" t="str">
        <f t="shared" si="19"/>
        <v>OK</v>
      </c>
      <c r="Z192" s="240" t="str">
        <f t="shared" si="20"/>
        <v>OK</v>
      </c>
      <c r="AA192" s="240" t="str" cm="1">
        <f t="array" ref="AA192">IF(OR(AND(J192="Not accepted",N192:O192&lt;&gt;"",$S192=""),AND(J192="Accepted",S192="")),"ERROR","OK")</f>
        <v>OK</v>
      </c>
      <c r="AB192" s="240" t="str">
        <f t="shared" si="21"/>
        <v>OK</v>
      </c>
      <c r="AC192" s="240" t="str" cm="1">
        <f t="array" ref="AC192">IF(AND(F192:H192&lt;&gt;"",I192=""),"ERROR","OK")</f>
        <v>OK</v>
      </c>
      <c r="AD192" s="240" t="str">
        <f t="shared" si="22"/>
        <v>OK</v>
      </c>
      <c r="AE192" s="240" t="str">
        <f t="shared" si="23"/>
        <v>OK</v>
      </c>
      <c r="AF192" s="240" t="str" cm="1">
        <f t="array" aca="1" ref="AF192" ca="1" xml:space="preserve">
IF(AND($G192&lt;&gt;"",$F192=""),"ERROR",
IF(OR($F192:$G192="",AND($G192="",$F192&lt;&gt;"")),"OK",
IF(COUNTIF(INDIRECT(IFERROR(LEFT($F192,FIND(" ",$F192)-1),$F192)), $G192)&gt;0, "OK", "ERROR")))</f>
        <v>OK</v>
      </c>
    </row>
    <row r="193" spans="1:32" s="240" customFormat="1">
      <c r="A193" s="48"/>
      <c r="B193" s="31"/>
      <c r="C193" s="48"/>
      <c r="D193" s="47"/>
      <c r="E193" s="47"/>
      <c r="F193" s="31"/>
      <c r="G193" s="31"/>
      <c r="H193" s="31"/>
      <c r="I193" s="47"/>
      <c r="J193" s="31"/>
      <c r="K193" s="47"/>
      <c r="L193" s="47"/>
      <c r="M193" s="47"/>
      <c r="N193" s="31"/>
      <c r="O193" s="47"/>
      <c r="P193" s="31"/>
      <c r="Q193" s="31"/>
      <c r="R193" s="31"/>
      <c r="S193" s="31"/>
      <c r="T193" s="270">
        <f t="shared" si="16"/>
        <v>0</v>
      </c>
      <c r="U193" s="270">
        <f t="shared" si="17"/>
        <v>0</v>
      </c>
      <c r="V193" s="31"/>
      <c r="X193" s="240" t="str">
        <f t="shared" si="18"/>
        <v>OK</v>
      </c>
      <c r="Y193" s="240" t="str">
        <f t="shared" si="19"/>
        <v>OK</v>
      </c>
      <c r="Z193" s="240" t="str">
        <f t="shared" si="20"/>
        <v>OK</v>
      </c>
      <c r="AA193" s="240" t="str" cm="1">
        <f t="array" ref="AA193">IF(OR(AND(J193="Not accepted",N193:O193&lt;&gt;"",$S193=""),AND(J193="Accepted",S193="")),"ERROR","OK")</f>
        <v>OK</v>
      </c>
      <c r="AB193" s="240" t="str">
        <f t="shared" si="21"/>
        <v>OK</v>
      </c>
      <c r="AC193" s="240" t="str" cm="1">
        <f t="array" ref="AC193">IF(AND(F193:H193&lt;&gt;"",I193=""),"ERROR","OK")</f>
        <v>OK</v>
      </c>
      <c r="AD193" s="240" t="str">
        <f t="shared" si="22"/>
        <v>OK</v>
      </c>
      <c r="AE193" s="240" t="str">
        <f t="shared" si="23"/>
        <v>OK</v>
      </c>
      <c r="AF193" s="240" t="str" cm="1">
        <f t="array" aca="1" ref="AF193" ca="1" xml:space="preserve">
IF(AND($G193&lt;&gt;"",$F193=""),"ERROR",
IF(OR($F193:$G193="",AND($G193="",$F193&lt;&gt;"")),"OK",
IF(COUNTIF(INDIRECT(IFERROR(LEFT($F193,FIND(" ",$F193)-1),$F193)), $G193)&gt;0, "OK", "ERROR")))</f>
        <v>OK</v>
      </c>
    </row>
    <row r="194" spans="1:32" s="240" customFormat="1">
      <c r="A194" s="48"/>
      <c r="B194" s="31"/>
      <c r="C194" s="48"/>
      <c r="D194" s="47"/>
      <c r="E194" s="47"/>
      <c r="F194" s="31"/>
      <c r="G194" s="31"/>
      <c r="H194" s="31"/>
      <c r="I194" s="47"/>
      <c r="J194" s="31"/>
      <c r="K194" s="47"/>
      <c r="L194" s="47"/>
      <c r="M194" s="47"/>
      <c r="N194" s="31"/>
      <c r="O194" s="47"/>
      <c r="P194" s="31"/>
      <c r="Q194" s="31"/>
      <c r="R194" s="31"/>
      <c r="S194" s="31"/>
      <c r="T194" s="270">
        <f t="shared" si="16"/>
        <v>0</v>
      </c>
      <c r="U194" s="270">
        <f t="shared" si="17"/>
        <v>0</v>
      </c>
      <c r="V194" s="31"/>
      <c r="X194" s="240" t="str">
        <f t="shared" si="18"/>
        <v>OK</v>
      </c>
      <c r="Y194" s="240" t="str">
        <f t="shared" si="19"/>
        <v>OK</v>
      </c>
      <c r="Z194" s="240" t="str">
        <f t="shared" si="20"/>
        <v>OK</v>
      </c>
      <c r="AA194" s="240" t="str" cm="1">
        <f t="array" ref="AA194">IF(OR(AND(J194="Not accepted",N194:O194&lt;&gt;"",$S194=""),AND(J194="Accepted",S194="")),"ERROR","OK")</f>
        <v>OK</v>
      </c>
      <c r="AB194" s="240" t="str">
        <f t="shared" si="21"/>
        <v>OK</v>
      </c>
      <c r="AC194" s="240" t="str" cm="1">
        <f t="array" ref="AC194">IF(AND(F194:H194&lt;&gt;"",I194=""),"ERROR","OK")</f>
        <v>OK</v>
      </c>
      <c r="AD194" s="240" t="str">
        <f t="shared" si="22"/>
        <v>OK</v>
      </c>
      <c r="AE194" s="240" t="str">
        <f t="shared" si="23"/>
        <v>OK</v>
      </c>
      <c r="AF194" s="240" t="str" cm="1">
        <f t="array" aca="1" ref="AF194" ca="1" xml:space="preserve">
IF(AND($G194&lt;&gt;"",$F194=""),"ERROR",
IF(OR($F194:$G194="",AND($G194="",$F194&lt;&gt;"")),"OK",
IF(COUNTIF(INDIRECT(IFERROR(LEFT($F194,FIND(" ",$F194)-1),$F194)), $G194)&gt;0, "OK", "ERROR")))</f>
        <v>OK</v>
      </c>
    </row>
    <row r="195" spans="1:32" s="240" customFormat="1">
      <c r="A195" s="48"/>
      <c r="B195" s="31"/>
      <c r="C195" s="48"/>
      <c r="D195" s="47"/>
      <c r="E195" s="47"/>
      <c r="F195" s="31"/>
      <c r="G195" s="31"/>
      <c r="H195" s="31"/>
      <c r="I195" s="47"/>
      <c r="J195" s="31"/>
      <c r="K195" s="47"/>
      <c r="L195" s="47"/>
      <c r="M195" s="47"/>
      <c r="N195" s="31"/>
      <c r="O195" s="47"/>
      <c r="P195" s="31"/>
      <c r="Q195" s="31"/>
      <c r="R195" s="31"/>
      <c r="S195" s="31"/>
      <c r="T195" s="270">
        <f t="shared" si="16"/>
        <v>0</v>
      </c>
      <c r="U195" s="270">
        <f t="shared" si="17"/>
        <v>0</v>
      </c>
      <c r="V195" s="31"/>
      <c r="X195" s="240" t="str">
        <f t="shared" si="18"/>
        <v>OK</v>
      </c>
      <c r="Y195" s="240" t="str">
        <f t="shared" si="19"/>
        <v>OK</v>
      </c>
      <c r="Z195" s="240" t="str">
        <f t="shared" si="20"/>
        <v>OK</v>
      </c>
      <c r="AA195" s="240" t="str" cm="1">
        <f t="array" ref="AA195">IF(OR(AND(J195="Not accepted",N195:O195&lt;&gt;"",$S195=""),AND(J195="Accepted",S195="")),"ERROR","OK")</f>
        <v>OK</v>
      </c>
      <c r="AB195" s="240" t="str">
        <f t="shared" si="21"/>
        <v>OK</v>
      </c>
      <c r="AC195" s="240" t="str" cm="1">
        <f t="array" ref="AC195">IF(AND(F195:H195&lt;&gt;"",I195=""),"ERROR","OK")</f>
        <v>OK</v>
      </c>
      <c r="AD195" s="240" t="str">
        <f t="shared" si="22"/>
        <v>OK</v>
      </c>
      <c r="AE195" s="240" t="str">
        <f t="shared" si="23"/>
        <v>OK</v>
      </c>
      <c r="AF195" s="240" t="str" cm="1">
        <f t="array" aca="1" ref="AF195" ca="1" xml:space="preserve">
IF(AND($G195&lt;&gt;"",$F195=""),"ERROR",
IF(OR($F195:$G195="",AND($G195="",$F195&lt;&gt;"")),"OK",
IF(COUNTIF(INDIRECT(IFERROR(LEFT($F195,FIND(" ",$F195)-1),$F195)), $G195)&gt;0, "OK", "ERROR")))</f>
        <v>OK</v>
      </c>
    </row>
    <row r="196" spans="1:32" s="240" customFormat="1">
      <c r="A196" s="48"/>
      <c r="B196" s="31"/>
      <c r="C196" s="48"/>
      <c r="D196" s="47"/>
      <c r="E196" s="47"/>
      <c r="F196" s="31"/>
      <c r="G196" s="31"/>
      <c r="H196" s="31"/>
      <c r="I196" s="47"/>
      <c r="J196" s="31"/>
      <c r="K196" s="47"/>
      <c r="L196" s="47"/>
      <c r="M196" s="47"/>
      <c r="N196" s="31"/>
      <c r="O196" s="47"/>
      <c r="P196" s="31"/>
      <c r="Q196" s="31"/>
      <c r="R196" s="31"/>
      <c r="S196" s="31"/>
      <c r="T196" s="270">
        <f t="shared" si="16"/>
        <v>0</v>
      </c>
      <c r="U196" s="270">
        <f t="shared" si="17"/>
        <v>0</v>
      </c>
      <c r="V196" s="31"/>
      <c r="X196" s="240" t="str">
        <f t="shared" si="18"/>
        <v>OK</v>
      </c>
      <c r="Y196" s="240" t="str">
        <f t="shared" si="19"/>
        <v>OK</v>
      </c>
      <c r="Z196" s="240" t="str">
        <f t="shared" si="20"/>
        <v>OK</v>
      </c>
      <c r="AA196" s="240" t="str" cm="1">
        <f t="array" ref="AA196">IF(OR(AND(J196="Not accepted",N196:O196&lt;&gt;"",$S196=""),AND(J196="Accepted",S196="")),"ERROR","OK")</f>
        <v>OK</v>
      </c>
      <c r="AB196" s="240" t="str">
        <f t="shared" si="21"/>
        <v>OK</v>
      </c>
      <c r="AC196" s="240" t="str" cm="1">
        <f t="array" ref="AC196">IF(AND(F196:H196&lt;&gt;"",I196=""),"ERROR","OK")</f>
        <v>OK</v>
      </c>
      <c r="AD196" s="240" t="str">
        <f t="shared" si="22"/>
        <v>OK</v>
      </c>
      <c r="AE196" s="240" t="str">
        <f t="shared" si="23"/>
        <v>OK</v>
      </c>
      <c r="AF196" s="240" t="str" cm="1">
        <f t="array" aca="1" ref="AF196" ca="1" xml:space="preserve">
IF(AND($G196&lt;&gt;"",$F196=""),"ERROR",
IF(OR($F196:$G196="",AND($G196="",$F196&lt;&gt;"")),"OK",
IF(COUNTIF(INDIRECT(IFERROR(LEFT($F196,FIND(" ",$F196)-1),$F196)), $G196)&gt;0, "OK", "ERROR")))</f>
        <v>OK</v>
      </c>
    </row>
    <row r="197" spans="1:32" s="240" customFormat="1">
      <c r="A197" s="48"/>
      <c r="B197" s="31"/>
      <c r="C197" s="48"/>
      <c r="D197" s="47"/>
      <c r="E197" s="47"/>
      <c r="F197" s="31"/>
      <c r="G197" s="31"/>
      <c r="H197" s="31"/>
      <c r="I197" s="47"/>
      <c r="J197" s="31"/>
      <c r="K197" s="47"/>
      <c r="L197" s="47"/>
      <c r="M197" s="47"/>
      <c r="N197" s="31"/>
      <c r="O197" s="47"/>
      <c r="P197" s="31"/>
      <c r="Q197" s="31"/>
      <c r="R197" s="31"/>
      <c r="S197" s="31"/>
      <c r="T197" s="270">
        <f t="shared" ref="T197:T260" si="24">IF(OR($J197="Accepted",ISBLANK($J197)),IF(AND($G197="Legacy Data",$Q197="Legacy Data"),1,IF(OR($G197="Legacy Data",$Q197="Legacy Data"),1,0)),IF(OR($N197="Agree with original translator",ISBLANK($N197)),IF(AND($G197="Source Text Data",$Q197="Legacy Data"),1,IF(AND($G197="Legacy Data",$Q197="Legacy Data"),1,IF($Q197="Legacy Data",1,0))),IF(AND($G197="Legacy Data",$Q197="Legacy Data"),1,IF(OR($Q197="Legacy Data",ISBLANK($Q197)),IF($G197&lt;&gt;"Legacy Data",IF(AND($G197="Source Text Data",$Q197="Legacy Data"),1,0),1),0))))</f>
        <v>0</v>
      </c>
      <c r="U197" s="270">
        <f t="shared" ref="U197:U260" si="25">IF(OR($J197="Accepted",ISBLANK($J197)),IF(AND($G197="Source Text Data",$Q197="Source Text Data"),1,IF(OR($G197="Source Text Data",$Q197="Source Text Data"),1,0)),IF(OR($N197="Agree with original translator",ISBLANK($N197)),IF(AND($G197="Legacy Data",$Q197="Source Text Data"),1,IF(AND($G197="Source Text Data",$Q197="Source Text Data"),1,IF($Q197="Source Text Data",1,0))),IF(AND($G197="Source Text Data",$Q197="Source Text Data"),1,IF(OR($Q197="Source Text Data",ISBLANK($Q197)),IF($G197&lt;&gt;"Source Text Data",IF(AND($G197="Legacy Data",$Q197="Source Text Data"),1,0),1),0))))</f>
        <v>0</v>
      </c>
      <c r="V197" s="31"/>
      <c r="X197" s="240" t="str">
        <f t="shared" ref="X197:X260" si="26">IF(AND(COUNTBLANK($F197:$H197)&lt;&gt;COLUMNS($F197:$H197),COUNTA($F197:$H197)&lt;&gt;COLUMNS($F197:$H197)),"ERROR","OK")</f>
        <v>OK</v>
      </c>
      <c r="Y197" s="240" t="str">
        <f t="shared" ref="Y197:Y260" si="27">IF(AND($J197="Not accepted",$K197=""),"ERROR","OK")</f>
        <v>OK</v>
      </c>
      <c r="Z197" s="240" t="str">
        <f t="shared" ref="Z197:Z260" si="28">IF(AND($F197&lt;&gt;"",$J197=""),"ERROR","OK")</f>
        <v>OK</v>
      </c>
      <c r="AA197" s="240" t="str" cm="1">
        <f t="array" ref="AA197">IF(OR(AND(J197="Not accepted",N197:O197&lt;&gt;"",$S197=""),AND(J197="Accepted",S197="")),"ERROR","OK")</f>
        <v>OK</v>
      </c>
      <c r="AB197" s="240" t="str">
        <f t="shared" ref="AB197:AB260" si="29">IF(AND($S197="Not Implemented",$V197=""),"ERROR","OK")</f>
        <v>OK</v>
      </c>
      <c r="AC197" s="240" t="str" cm="1">
        <f t="array" ref="AC197">IF(AND(F197:H197&lt;&gt;"",I197=""),"ERROR","OK")</f>
        <v>OK</v>
      </c>
      <c r="AD197" s="240" t="str">
        <f t="shared" ref="AD197:AD260" si="30">IF(AND($N197="",$J197="Not accepted",$K197&lt;&gt;""),"ERROR","OK")</f>
        <v>OK</v>
      </c>
      <c r="AE197" s="240" t="str">
        <f t="shared" ref="AE197:AE260" si="31">IF(AND($O197="",$N197&lt;&gt;""),"ERROR","OK")</f>
        <v>OK</v>
      </c>
      <c r="AF197" s="240" t="str" cm="1">
        <f t="array" aca="1" ref="AF197" ca="1" xml:space="preserve">
IF(AND($G197&lt;&gt;"",$F197=""),"ERROR",
IF(OR($F197:$G197="",AND($G197="",$F197&lt;&gt;"")),"OK",
IF(COUNTIF(INDIRECT(IFERROR(LEFT($F197,FIND(" ",$F197)-1),$F197)), $G197)&gt;0, "OK", "ERROR")))</f>
        <v>OK</v>
      </c>
    </row>
    <row r="198" spans="1:32" s="240" customFormat="1">
      <c r="A198" s="48"/>
      <c r="B198" s="31"/>
      <c r="C198" s="48"/>
      <c r="D198" s="47"/>
      <c r="E198" s="47"/>
      <c r="F198" s="31"/>
      <c r="G198" s="31"/>
      <c r="H198" s="31"/>
      <c r="I198" s="47"/>
      <c r="J198" s="31"/>
      <c r="K198" s="47"/>
      <c r="L198" s="47"/>
      <c r="M198" s="47"/>
      <c r="N198" s="31"/>
      <c r="O198" s="47"/>
      <c r="P198" s="31"/>
      <c r="Q198" s="31"/>
      <c r="R198" s="31"/>
      <c r="S198" s="31"/>
      <c r="T198" s="270">
        <f t="shared" si="24"/>
        <v>0</v>
      </c>
      <c r="U198" s="270">
        <f t="shared" si="25"/>
        <v>0</v>
      </c>
      <c r="V198" s="31"/>
      <c r="X198" s="240" t="str">
        <f t="shared" si="26"/>
        <v>OK</v>
      </c>
      <c r="Y198" s="240" t="str">
        <f t="shared" si="27"/>
        <v>OK</v>
      </c>
      <c r="Z198" s="240" t="str">
        <f t="shared" si="28"/>
        <v>OK</v>
      </c>
      <c r="AA198" s="240" t="str" cm="1">
        <f t="array" ref="AA198">IF(OR(AND(J198="Not accepted",N198:O198&lt;&gt;"",$S198=""),AND(J198="Accepted",S198="")),"ERROR","OK")</f>
        <v>OK</v>
      </c>
      <c r="AB198" s="240" t="str">
        <f t="shared" si="29"/>
        <v>OK</v>
      </c>
      <c r="AC198" s="240" t="str" cm="1">
        <f t="array" ref="AC198">IF(AND(F198:H198&lt;&gt;"",I198=""),"ERROR","OK")</f>
        <v>OK</v>
      </c>
      <c r="AD198" s="240" t="str">
        <f t="shared" si="30"/>
        <v>OK</v>
      </c>
      <c r="AE198" s="240" t="str">
        <f t="shared" si="31"/>
        <v>OK</v>
      </c>
      <c r="AF198" s="240" t="str" cm="1">
        <f t="array" aca="1" ref="AF198" ca="1" xml:space="preserve">
IF(AND($G198&lt;&gt;"",$F198=""),"ERROR",
IF(OR($F198:$G198="",AND($G198="",$F198&lt;&gt;"")),"OK",
IF(COUNTIF(INDIRECT(IFERROR(LEFT($F198,FIND(" ",$F198)-1),$F198)), $G198)&gt;0, "OK", "ERROR")))</f>
        <v>OK</v>
      </c>
    </row>
    <row r="199" spans="1:32" s="240" customFormat="1">
      <c r="A199" s="48"/>
      <c r="B199" s="31"/>
      <c r="C199" s="48"/>
      <c r="D199" s="47"/>
      <c r="E199" s="47"/>
      <c r="F199" s="31"/>
      <c r="G199" s="31"/>
      <c r="H199" s="31"/>
      <c r="I199" s="47"/>
      <c r="J199" s="31"/>
      <c r="K199" s="47"/>
      <c r="L199" s="47"/>
      <c r="M199" s="47"/>
      <c r="N199" s="31"/>
      <c r="O199" s="47"/>
      <c r="P199" s="31"/>
      <c r="Q199" s="31"/>
      <c r="R199" s="31"/>
      <c r="S199" s="31"/>
      <c r="T199" s="270">
        <f t="shared" si="24"/>
        <v>0</v>
      </c>
      <c r="U199" s="270">
        <f t="shared" si="25"/>
        <v>0</v>
      </c>
      <c r="V199" s="31"/>
      <c r="X199" s="240" t="str">
        <f t="shared" si="26"/>
        <v>OK</v>
      </c>
      <c r="Y199" s="240" t="str">
        <f t="shared" si="27"/>
        <v>OK</v>
      </c>
      <c r="Z199" s="240" t="str">
        <f t="shared" si="28"/>
        <v>OK</v>
      </c>
      <c r="AA199" s="240" t="str" cm="1">
        <f t="array" ref="AA199">IF(OR(AND(J199="Not accepted",N199:O199&lt;&gt;"",$S199=""),AND(J199="Accepted",S199="")),"ERROR","OK")</f>
        <v>OK</v>
      </c>
      <c r="AB199" s="240" t="str">
        <f t="shared" si="29"/>
        <v>OK</v>
      </c>
      <c r="AC199" s="240" t="str" cm="1">
        <f t="array" ref="AC199">IF(AND(F199:H199&lt;&gt;"",I199=""),"ERROR","OK")</f>
        <v>OK</v>
      </c>
      <c r="AD199" s="240" t="str">
        <f t="shared" si="30"/>
        <v>OK</v>
      </c>
      <c r="AE199" s="240" t="str">
        <f t="shared" si="31"/>
        <v>OK</v>
      </c>
      <c r="AF199" s="240" t="str" cm="1">
        <f t="array" aca="1" ref="AF199" ca="1" xml:space="preserve">
IF(AND($G199&lt;&gt;"",$F199=""),"ERROR",
IF(OR($F199:$G199="",AND($G199="",$F199&lt;&gt;"")),"OK",
IF(COUNTIF(INDIRECT(IFERROR(LEFT($F199,FIND(" ",$F199)-1),$F199)), $G199)&gt;0, "OK", "ERROR")))</f>
        <v>OK</v>
      </c>
    </row>
    <row r="200" spans="1:32" s="240" customFormat="1">
      <c r="A200" s="48"/>
      <c r="B200" s="31"/>
      <c r="C200" s="48"/>
      <c r="D200" s="47"/>
      <c r="E200" s="47"/>
      <c r="F200" s="31"/>
      <c r="G200" s="31"/>
      <c r="H200" s="31"/>
      <c r="I200" s="47"/>
      <c r="J200" s="31"/>
      <c r="K200" s="47"/>
      <c r="L200" s="47"/>
      <c r="M200" s="47"/>
      <c r="N200" s="31"/>
      <c r="O200" s="47"/>
      <c r="P200" s="31"/>
      <c r="Q200" s="31"/>
      <c r="R200" s="31"/>
      <c r="S200" s="31"/>
      <c r="T200" s="270">
        <f t="shared" si="24"/>
        <v>0</v>
      </c>
      <c r="U200" s="270">
        <f t="shared" si="25"/>
        <v>0</v>
      </c>
      <c r="V200" s="31"/>
      <c r="X200" s="240" t="str">
        <f t="shared" si="26"/>
        <v>OK</v>
      </c>
      <c r="Y200" s="240" t="str">
        <f t="shared" si="27"/>
        <v>OK</v>
      </c>
      <c r="Z200" s="240" t="str">
        <f t="shared" si="28"/>
        <v>OK</v>
      </c>
      <c r="AA200" s="240" t="str" cm="1">
        <f t="array" ref="AA200">IF(OR(AND(J200="Not accepted",N200:O200&lt;&gt;"",$S200=""),AND(J200="Accepted",S200="")),"ERROR","OK")</f>
        <v>OK</v>
      </c>
      <c r="AB200" s="240" t="str">
        <f t="shared" si="29"/>
        <v>OK</v>
      </c>
      <c r="AC200" s="240" t="str" cm="1">
        <f t="array" ref="AC200">IF(AND(F200:H200&lt;&gt;"",I200=""),"ERROR","OK")</f>
        <v>OK</v>
      </c>
      <c r="AD200" s="240" t="str">
        <f t="shared" si="30"/>
        <v>OK</v>
      </c>
      <c r="AE200" s="240" t="str">
        <f t="shared" si="31"/>
        <v>OK</v>
      </c>
      <c r="AF200" s="240" t="str" cm="1">
        <f t="array" aca="1" ref="AF200" ca="1" xml:space="preserve">
IF(AND($G200&lt;&gt;"",$F200=""),"ERROR",
IF(OR($F200:$G200="",AND($G200="",$F200&lt;&gt;"")),"OK",
IF(COUNTIF(INDIRECT(IFERROR(LEFT($F200,FIND(" ",$F200)-1),$F200)), $G200)&gt;0, "OK", "ERROR")))</f>
        <v>OK</v>
      </c>
    </row>
    <row r="201" spans="1:32" s="240" customFormat="1">
      <c r="A201" s="48"/>
      <c r="B201" s="31"/>
      <c r="C201" s="48"/>
      <c r="D201" s="47"/>
      <c r="E201" s="47"/>
      <c r="F201" s="31"/>
      <c r="G201" s="31"/>
      <c r="H201" s="31"/>
      <c r="I201" s="47"/>
      <c r="J201" s="31"/>
      <c r="K201" s="47"/>
      <c r="L201" s="47"/>
      <c r="M201" s="47"/>
      <c r="N201" s="31"/>
      <c r="O201" s="47"/>
      <c r="P201" s="31"/>
      <c r="Q201" s="31"/>
      <c r="R201" s="31"/>
      <c r="S201" s="31"/>
      <c r="T201" s="270">
        <f t="shared" si="24"/>
        <v>0</v>
      </c>
      <c r="U201" s="270">
        <f t="shared" si="25"/>
        <v>0</v>
      </c>
      <c r="V201" s="31"/>
      <c r="X201" s="240" t="str">
        <f t="shared" si="26"/>
        <v>OK</v>
      </c>
      <c r="Y201" s="240" t="str">
        <f t="shared" si="27"/>
        <v>OK</v>
      </c>
      <c r="Z201" s="240" t="str">
        <f t="shared" si="28"/>
        <v>OK</v>
      </c>
      <c r="AA201" s="240" t="str" cm="1">
        <f t="array" ref="AA201">IF(OR(AND(J201="Not accepted",N201:O201&lt;&gt;"",$S201=""),AND(J201="Accepted",S201="")),"ERROR","OK")</f>
        <v>OK</v>
      </c>
      <c r="AB201" s="240" t="str">
        <f t="shared" si="29"/>
        <v>OK</v>
      </c>
      <c r="AC201" s="240" t="str" cm="1">
        <f t="array" ref="AC201">IF(AND(F201:H201&lt;&gt;"",I201=""),"ERROR","OK")</f>
        <v>OK</v>
      </c>
      <c r="AD201" s="240" t="str">
        <f t="shared" si="30"/>
        <v>OK</v>
      </c>
      <c r="AE201" s="240" t="str">
        <f t="shared" si="31"/>
        <v>OK</v>
      </c>
      <c r="AF201" s="240" t="str" cm="1">
        <f t="array" aca="1" ref="AF201" ca="1" xml:space="preserve">
IF(AND($G201&lt;&gt;"",$F201=""),"ERROR",
IF(OR($F201:$G201="",AND($G201="",$F201&lt;&gt;"")),"OK",
IF(COUNTIF(INDIRECT(IFERROR(LEFT($F201,FIND(" ",$F201)-1),$F201)), $G201)&gt;0, "OK", "ERROR")))</f>
        <v>OK</v>
      </c>
    </row>
    <row r="202" spans="1:32" s="240" customFormat="1">
      <c r="A202" s="48"/>
      <c r="B202" s="31"/>
      <c r="C202" s="48"/>
      <c r="D202" s="47"/>
      <c r="E202" s="47"/>
      <c r="F202" s="31"/>
      <c r="G202" s="31"/>
      <c r="H202" s="31"/>
      <c r="I202" s="47"/>
      <c r="J202" s="31"/>
      <c r="K202" s="47"/>
      <c r="L202" s="47"/>
      <c r="M202" s="47"/>
      <c r="N202" s="31"/>
      <c r="O202" s="47"/>
      <c r="P202" s="31"/>
      <c r="Q202" s="31"/>
      <c r="R202" s="31"/>
      <c r="S202" s="31"/>
      <c r="T202" s="270">
        <f t="shared" si="24"/>
        <v>0</v>
      </c>
      <c r="U202" s="270">
        <f t="shared" si="25"/>
        <v>0</v>
      </c>
      <c r="V202" s="31"/>
      <c r="X202" s="240" t="str">
        <f t="shared" si="26"/>
        <v>OK</v>
      </c>
      <c r="Y202" s="240" t="str">
        <f t="shared" si="27"/>
        <v>OK</v>
      </c>
      <c r="Z202" s="240" t="str">
        <f t="shared" si="28"/>
        <v>OK</v>
      </c>
      <c r="AA202" s="240" t="str" cm="1">
        <f t="array" ref="AA202">IF(OR(AND(J202="Not accepted",N202:O202&lt;&gt;"",$S202=""),AND(J202="Accepted",S202="")),"ERROR","OK")</f>
        <v>OK</v>
      </c>
      <c r="AB202" s="240" t="str">
        <f t="shared" si="29"/>
        <v>OK</v>
      </c>
      <c r="AC202" s="240" t="str" cm="1">
        <f t="array" ref="AC202">IF(AND(F202:H202&lt;&gt;"",I202=""),"ERROR","OK")</f>
        <v>OK</v>
      </c>
      <c r="AD202" s="240" t="str">
        <f t="shared" si="30"/>
        <v>OK</v>
      </c>
      <c r="AE202" s="240" t="str">
        <f t="shared" si="31"/>
        <v>OK</v>
      </c>
      <c r="AF202" s="240" t="str" cm="1">
        <f t="array" aca="1" ref="AF202" ca="1" xml:space="preserve">
IF(AND($G202&lt;&gt;"",$F202=""),"ERROR",
IF(OR($F202:$G202="",AND($G202="",$F202&lt;&gt;"")),"OK",
IF(COUNTIF(INDIRECT(IFERROR(LEFT($F202,FIND(" ",$F202)-1),$F202)), $G202)&gt;0, "OK", "ERROR")))</f>
        <v>OK</v>
      </c>
    </row>
    <row r="203" spans="1:32" s="240" customFormat="1">
      <c r="A203" s="48"/>
      <c r="B203" s="31"/>
      <c r="C203" s="48"/>
      <c r="D203" s="47"/>
      <c r="E203" s="47"/>
      <c r="F203" s="31"/>
      <c r="G203" s="31"/>
      <c r="H203" s="31"/>
      <c r="I203" s="47"/>
      <c r="J203" s="31"/>
      <c r="K203" s="47"/>
      <c r="L203" s="47"/>
      <c r="M203" s="47"/>
      <c r="N203" s="31"/>
      <c r="O203" s="47"/>
      <c r="P203" s="31"/>
      <c r="Q203" s="31"/>
      <c r="R203" s="31"/>
      <c r="S203" s="31"/>
      <c r="T203" s="270">
        <f t="shared" si="24"/>
        <v>0</v>
      </c>
      <c r="U203" s="270">
        <f t="shared" si="25"/>
        <v>0</v>
      </c>
      <c r="V203" s="31"/>
      <c r="X203" s="240" t="str">
        <f t="shared" si="26"/>
        <v>OK</v>
      </c>
      <c r="Y203" s="240" t="str">
        <f t="shared" si="27"/>
        <v>OK</v>
      </c>
      <c r="Z203" s="240" t="str">
        <f t="shared" si="28"/>
        <v>OK</v>
      </c>
      <c r="AA203" s="240" t="str" cm="1">
        <f t="array" ref="AA203">IF(OR(AND(J203="Not accepted",N203:O203&lt;&gt;"",$S203=""),AND(J203="Accepted",S203="")),"ERROR","OK")</f>
        <v>OK</v>
      </c>
      <c r="AB203" s="240" t="str">
        <f t="shared" si="29"/>
        <v>OK</v>
      </c>
      <c r="AC203" s="240" t="str" cm="1">
        <f t="array" ref="AC203">IF(AND(F203:H203&lt;&gt;"",I203=""),"ERROR","OK")</f>
        <v>OK</v>
      </c>
      <c r="AD203" s="240" t="str">
        <f t="shared" si="30"/>
        <v>OK</v>
      </c>
      <c r="AE203" s="240" t="str">
        <f t="shared" si="31"/>
        <v>OK</v>
      </c>
      <c r="AF203" s="240" t="str" cm="1">
        <f t="array" aca="1" ref="AF203" ca="1" xml:space="preserve">
IF(AND($G203&lt;&gt;"",$F203=""),"ERROR",
IF(OR($F203:$G203="",AND($G203="",$F203&lt;&gt;"")),"OK",
IF(COUNTIF(INDIRECT(IFERROR(LEFT($F203,FIND(" ",$F203)-1),$F203)), $G203)&gt;0, "OK", "ERROR")))</f>
        <v>OK</v>
      </c>
    </row>
    <row r="204" spans="1:32" s="240" customFormat="1">
      <c r="A204" s="48"/>
      <c r="B204" s="31"/>
      <c r="C204" s="48"/>
      <c r="D204" s="47"/>
      <c r="E204" s="47"/>
      <c r="F204" s="31"/>
      <c r="G204" s="31"/>
      <c r="H204" s="31"/>
      <c r="I204" s="47"/>
      <c r="J204" s="31"/>
      <c r="K204" s="47"/>
      <c r="L204" s="47"/>
      <c r="M204" s="47"/>
      <c r="N204" s="31"/>
      <c r="O204" s="47"/>
      <c r="P204" s="31"/>
      <c r="Q204" s="31"/>
      <c r="R204" s="31"/>
      <c r="S204" s="31"/>
      <c r="T204" s="270">
        <f t="shared" si="24"/>
        <v>0</v>
      </c>
      <c r="U204" s="270">
        <f t="shared" si="25"/>
        <v>0</v>
      </c>
      <c r="V204" s="31"/>
      <c r="X204" s="240" t="str">
        <f t="shared" si="26"/>
        <v>OK</v>
      </c>
      <c r="Y204" s="240" t="str">
        <f t="shared" si="27"/>
        <v>OK</v>
      </c>
      <c r="Z204" s="240" t="str">
        <f t="shared" si="28"/>
        <v>OK</v>
      </c>
      <c r="AA204" s="240" t="str" cm="1">
        <f t="array" ref="AA204">IF(OR(AND(J204="Not accepted",N204:O204&lt;&gt;"",$S204=""),AND(J204="Accepted",S204="")),"ERROR","OK")</f>
        <v>OK</v>
      </c>
      <c r="AB204" s="240" t="str">
        <f t="shared" si="29"/>
        <v>OK</v>
      </c>
      <c r="AC204" s="240" t="str" cm="1">
        <f t="array" ref="AC204">IF(AND(F204:H204&lt;&gt;"",I204=""),"ERROR","OK")</f>
        <v>OK</v>
      </c>
      <c r="AD204" s="240" t="str">
        <f t="shared" si="30"/>
        <v>OK</v>
      </c>
      <c r="AE204" s="240" t="str">
        <f t="shared" si="31"/>
        <v>OK</v>
      </c>
      <c r="AF204" s="240" t="str" cm="1">
        <f t="array" aca="1" ref="AF204" ca="1" xml:space="preserve">
IF(AND($G204&lt;&gt;"",$F204=""),"ERROR",
IF(OR($F204:$G204="",AND($G204="",$F204&lt;&gt;"")),"OK",
IF(COUNTIF(INDIRECT(IFERROR(LEFT($F204,FIND(" ",$F204)-1),$F204)), $G204)&gt;0, "OK", "ERROR")))</f>
        <v>OK</v>
      </c>
    </row>
    <row r="205" spans="1:32" s="240" customFormat="1">
      <c r="A205" s="48"/>
      <c r="B205" s="31"/>
      <c r="C205" s="48"/>
      <c r="D205" s="47"/>
      <c r="E205" s="47"/>
      <c r="F205" s="31"/>
      <c r="G205" s="31"/>
      <c r="H205" s="31"/>
      <c r="I205" s="47"/>
      <c r="J205" s="31"/>
      <c r="K205" s="47"/>
      <c r="L205" s="47"/>
      <c r="M205" s="47"/>
      <c r="N205" s="31"/>
      <c r="O205" s="47"/>
      <c r="P205" s="31"/>
      <c r="Q205" s="31"/>
      <c r="R205" s="31"/>
      <c r="S205" s="31"/>
      <c r="T205" s="270">
        <f t="shared" si="24"/>
        <v>0</v>
      </c>
      <c r="U205" s="270">
        <f t="shared" si="25"/>
        <v>0</v>
      </c>
      <c r="V205" s="31"/>
      <c r="X205" s="240" t="str">
        <f t="shared" si="26"/>
        <v>OK</v>
      </c>
      <c r="Y205" s="240" t="str">
        <f t="shared" si="27"/>
        <v>OK</v>
      </c>
      <c r="Z205" s="240" t="str">
        <f t="shared" si="28"/>
        <v>OK</v>
      </c>
      <c r="AA205" s="240" t="str" cm="1">
        <f t="array" ref="AA205">IF(OR(AND(J205="Not accepted",N205:O205&lt;&gt;"",$S205=""),AND(J205="Accepted",S205="")),"ERROR","OK")</f>
        <v>OK</v>
      </c>
      <c r="AB205" s="240" t="str">
        <f t="shared" si="29"/>
        <v>OK</v>
      </c>
      <c r="AC205" s="240" t="str" cm="1">
        <f t="array" ref="AC205">IF(AND(F205:H205&lt;&gt;"",I205=""),"ERROR","OK")</f>
        <v>OK</v>
      </c>
      <c r="AD205" s="240" t="str">
        <f t="shared" si="30"/>
        <v>OK</v>
      </c>
      <c r="AE205" s="240" t="str">
        <f t="shared" si="31"/>
        <v>OK</v>
      </c>
      <c r="AF205" s="240" t="str" cm="1">
        <f t="array" aca="1" ref="AF205" ca="1" xml:space="preserve">
IF(AND($G205&lt;&gt;"",$F205=""),"ERROR",
IF(OR($F205:$G205="",AND($G205="",$F205&lt;&gt;"")),"OK",
IF(COUNTIF(INDIRECT(IFERROR(LEFT($F205,FIND(" ",$F205)-1),$F205)), $G205)&gt;0, "OK", "ERROR")))</f>
        <v>OK</v>
      </c>
    </row>
    <row r="206" spans="1:32" s="240" customFormat="1">
      <c r="A206" s="48"/>
      <c r="B206" s="31"/>
      <c r="C206" s="48"/>
      <c r="D206" s="47"/>
      <c r="E206" s="47"/>
      <c r="F206" s="31"/>
      <c r="G206" s="31"/>
      <c r="H206" s="31"/>
      <c r="I206" s="47"/>
      <c r="J206" s="31"/>
      <c r="K206" s="47"/>
      <c r="L206" s="47"/>
      <c r="M206" s="47"/>
      <c r="N206" s="31"/>
      <c r="O206" s="47"/>
      <c r="P206" s="31"/>
      <c r="Q206" s="31"/>
      <c r="R206" s="31"/>
      <c r="S206" s="31"/>
      <c r="T206" s="270">
        <f t="shared" si="24"/>
        <v>0</v>
      </c>
      <c r="U206" s="270">
        <f t="shared" si="25"/>
        <v>0</v>
      </c>
      <c r="V206" s="31"/>
      <c r="X206" s="240" t="str">
        <f t="shared" si="26"/>
        <v>OK</v>
      </c>
      <c r="Y206" s="240" t="str">
        <f t="shared" si="27"/>
        <v>OK</v>
      </c>
      <c r="Z206" s="240" t="str">
        <f t="shared" si="28"/>
        <v>OK</v>
      </c>
      <c r="AA206" s="240" t="str" cm="1">
        <f t="array" ref="AA206">IF(OR(AND(J206="Not accepted",N206:O206&lt;&gt;"",$S206=""),AND(J206="Accepted",S206="")),"ERROR","OK")</f>
        <v>OK</v>
      </c>
      <c r="AB206" s="240" t="str">
        <f t="shared" si="29"/>
        <v>OK</v>
      </c>
      <c r="AC206" s="240" t="str" cm="1">
        <f t="array" ref="AC206">IF(AND(F206:H206&lt;&gt;"",I206=""),"ERROR","OK")</f>
        <v>OK</v>
      </c>
      <c r="AD206" s="240" t="str">
        <f t="shared" si="30"/>
        <v>OK</v>
      </c>
      <c r="AE206" s="240" t="str">
        <f t="shared" si="31"/>
        <v>OK</v>
      </c>
      <c r="AF206" s="240" t="str" cm="1">
        <f t="array" aca="1" ref="AF206" ca="1" xml:space="preserve">
IF(AND($G206&lt;&gt;"",$F206=""),"ERROR",
IF(OR($F206:$G206="",AND($G206="",$F206&lt;&gt;"")),"OK",
IF(COUNTIF(INDIRECT(IFERROR(LEFT($F206,FIND(" ",$F206)-1),$F206)), $G206)&gt;0, "OK", "ERROR")))</f>
        <v>OK</v>
      </c>
    </row>
    <row r="207" spans="1:32" s="240" customFormat="1">
      <c r="A207" s="48"/>
      <c r="B207" s="31"/>
      <c r="C207" s="48"/>
      <c r="D207" s="47"/>
      <c r="E207" s="47"/>
      <c r="F207" s="31"/>
      <c r="G207" s="31"/>
      <c r="H207" s="31"/>
      <c r="I207" s="47"/>
      <c r="J207" s="31"/>
      <c r="K207" s="47"/>
      <c r="L207" s="47"/>
      <c r="M207" s="47"/>
      <c r="N207" s="31"/>
      <c r="O207" s="47"/>
      <c r="P207" s="31"/>
      <c r="Q207" s="31"/>
      <c r="R207" s="31"/>
      <c r="S207" s="31"/>
      <c r="T207" s="270">
        <f t="shared" si="24"/>
        <v>0</v>
      </c>
      <c r="U207" s="270">
        <f t="shared" si="25"/>
        <v>0</v>
      </c>
      <c r="V207" s="31"/>
      <c r="X207" s="240" t="str">
        <f t="shared" si="26"/>
        <v>OK</v>
      </c>
      <c r="Y207" s="240" t="str">
        <f t="shared" si="27"/>
        <v>OK</v>
      </c>
      <c r="Z207" s="240" t="str">
        <f t="shared" si="28"/>
        <v>OK</v>
      </c>
      <c r="AA207" s="240" t="str" cm="1">
        <f t="array" ref="AA207">IF(OR(AND(J207="Not accepted",N207:O207&lt;&gt;"",$S207=""),AND(J207="Accepted",S207="")),"ERROR","OK")</f>
        <v>OK</v>
      </c>
      <c r="AB207" s="240" t="str">
        <f t="shared" si="29"/>
        <v>OK</v>
      </c>
      <c r="AC207" s="240" t="str" cm="1">
        <f t="array" ref="AC207">IF(AND(F207:H207&lt;&gt;"",I207=""),"ERROR","OK")</f>
        <v>OK</v>
      </c>
      <c r="AD207" s="240" t="str">
        <f t="shared" si="30"/>
        <v>OK</v>
      </c>
      <c r="AE207" s="240" t="str">
        <f t="shared" si="31"/>
        <v>OK</v>
      </c>
      <c r="AF207" s="240" t="str" cm="1">
        <f t="array" aca="1" ref="AF207" ca="1" xml:space="preserve">
IF(AND($G207&lt;&gt;"",$F207=""),"ERROR",
IF(OR($F207:$G207="",AND($G207="",$F207&lt;&gt;"")),"OK",
IF(COUNTIF(INDIRECT(IFERROR(LEFT($F207,FIND(" ",$F207)-1),$F207)), $G207)&gt;0, "OK", "ERROR")))</f>
        <v>OK</v>
      </c>
    </row>
    <row r="208" spans="1:32" s="240" customFormat="1">
      <c r="A208" s="48"/>
      <c r="B208" s="31"/>
      <c r="C208" s="48"/>
      <c r="D208" s="47"/>
      <c r="E208" s="47"/>
      <c r="F208" s="31"/>
      <c r="G208" s="31"/>
      <c r="H208" s="31"/>
      <c r="I208" s="47"/>
      <c r="J208" s="31"/>
      <c r="K208" s="47"/>
      <c r="L208" s="47"/>
      <c r="M208" s="47"/>
      <c r="N208" s="31"/>
      <c r="O208" s="47"/>
      <c r="P208" s="31"/>
      <c r="Q208" s="31"/>
      <c r="R208" s="31"/>
      <c r="S208" s="31"/>
      <c r="T208" s="270">
        <f t="shared" si="24"/>
        <v>0</v>
      </c>
      <c r="U208" s="270">
        <f t="shared" si="25"/>
        <v>0</v>
      </c>
      <c r="V208" s="31"/>
      <c r="X208" s="240" t="str">
        <f t="shared" si="26"/>
        <v>OK</v>
      </c>
      <c r="Y208" s="240" t="str">
        <f t="shared" si="27"/>
        <v>OK</v>
      </c>
      <c r="Z208" s="240" t="str">
        <f t="shared" si="28"/>
        <v>OK</v>
      </c>
      <c r="AA208" s="240" t="str" cm="1">
        <f t="array" ref="AA208">IF(OR(AND(J208="Not accepted",N208:O208&lt;&gt;"",$S208=""),AND(J208="Accepted",S208="")),"ERROR","OK")</f>
        <v>OK</v>
      </c>
      <c r="AB208" s="240" t="str">
        <f t="shared" si="29"/>
        <v>OK</v>
      </c>
      <c r="AC208" s="240" t="str" cm="1">
        <f t="array" ref="AC208">IF(AND(F208:H208&lt;&gt;"",I208=""),"ERROR","OK")</f>
        <v>OK</v>
      </c>
      <c r="AD208" s="240" t="str">
        <f t="shared" si="30"/>
        <v>OK</v>
      </c>
      <c r="AE208" s="240" t="str">
        <f t="shared" si="31"/>
        <v>OK</v>
      </c>
      <c r="AF208" s="240" t="str" cm="1">
        <f t="array" aca="1" ref="AF208" ca="1" xml:space="preserve">
IF(AND($G208&lt;&gt;"",$F208=""),"ERROR",
IF(OR($F208:$G208="",AND($G208="",$F208&lt;&gt;"")),"OK",
IF(COUNTIF(INDIRECT(IFERROR(LEFT($F208,FIND(" ",$F208)-1),$F208)), $G208)&gt;0, "OK", "ERROR")))</f>
        <v>OK</v>
      </c>
    </row>
    <row r="209" spans="1:32" s="240" customFormat="1">
      <c r="A209" s="48"/>
      <c r="B209" s="31"/>
      <c r="C209" s="48"/>
      <c r="D209" s="47"/>
      <c r="E209" s="47"/>
      <c r="F209" s="31"/>
      <c r="G209" s="31"/>
      <c r="H209" s="31"/>
      <c r="I209" s="47"/>
      <c r="J209" s="31"/>
      <c r="K209" s="47"/>
      <c r="L209" s="47"/>
      <c r="M209" s="47"/>
      <c r="N209" s="31"/>
      <c r="O209" s="47"/>
      <c r="P209" s="31"/>
      <c r="Q209" s="31"/>
      <c r="R209" s="31"/>
      <c r="S209" s="31"/>
      <c r="T209" s="270">
        <f t="shared" si="24"/>
        <v>0</v>
      </c>
      <c r="U209" s="270">
        <f t="shared" si="25"/>
        <v>0</v>
      </c>
      <c r="V209" s="31"/>
      <c r="X209" s="240" t="str">
        <f t="shared" si="26"/>
        <v>OK</v>
      </c>
      <c r="Y209" s="240" t="str">
        <f t="shared" si="27"/>
        <v>OK</v>
      </c>
      <c r="Z209" s="240" t="str">
        <f t="shared" si="28"/>
        <v>OK</v>
      </c>
      <c r="AA209" s="240" t="str" cm="1">
        <f t="array" ref="AA209">IF(OR(AND(J209="Not accepted",N209:O209&lt;&gt;"",$S209=""),AND(J209="Accepted",S209="")),"ERROR","OK")</f>
        <v>OK</v>
      </c>
      <c r="AB209" s="240" t="str">
        <f t="shared" si="29"/>
        <v>OK</v>
      </c>
      <c r="AC209" s="240" t="str" cm="1">
        <f t="array" ref="AC209">IF(AND(F209:H209&lt;&gt;"",I209=""),"ERROR","OK")</f>
        <v>OK</v>
      </c>
      <c r="AD209" s="240" t="str">
        <f t="shared" si="30"/>
        <v>OK</v>
      </c>
      <c r="AE209" s="240" t="str">
        <f t="shared" si="31"/>
        <v>OK</v>
      </c>
      <c r="AF209" s="240" t="str" cm="1">
        <f t="array" aca="1" ref="AF209" ca="1" xml:space="preserve">
IF(AND($G209&lt;&gt;"",$F209=""),"ERROR",
IF(OR($F209:$G209="",AND($G209="",$F209&lt;&gt;"")),"OK",
IF(COUNTIF(INDIRECT(IFERROR(LEFT($F209,FIND(" ",$F209)-1),$F209)), $G209)&gt;0, "OK", "ERROR")))</f>
        <v>OK</v>
      </c>
    </row>
    <row r="210" spans="1:32" s="240" customFormat="1">
      <c r="A210" s="48"/>
      <c r="B210" s="31"/>
      <c r="C210" s="48"/>
      <c r="D210" s="47"/>
      <c r="E210" s="47"/>
      <c r="F210" s="31"/>
      <c r="G210" s="31"/>
      <c r="H210" s="31"/>
      <c r="I210" s="47"/>
      <c r="J210" s="31"/>
      <c r="K210" s="47"/>
      <c r="L210" s="47"/>
      <c r="M210" s="47"/>
      <c r="N210" s="31"/>
      <c r="O210" s="47"/>
      <c r="P210" s="31"/>
      <c r="Q210" s="31"/>
      <c r="R210" s="31"/>
      <c r="S210" s="31"/>
      <c r="T210" s="270">
        <f t="shared" si="24"/>
        <v>0</v>
      </c>
      <c r="U210" s="270">
        <f t="shared" si="25"/>
        <v>0</v>
      </c>
      <c r="V210" s="31"/>
      <c r="X210" s="240" t="str">
        <f t="shared" si="26"/>
        <v>OK</v>
      </c>
      <c r="Y210" s="240" t="str">
        <f t="shared" si="27"/>
        <v>OK</v>
      </c>
      <c r="Z210" s="240" t="str">
        <f t="shared" si="28"/>
        <v>OK</v>
      </c>
      <c r="AA210" s="240" t="str" cm="1">
        <f t="array" ref="AA210">IF(OR(AND(J210="Not accepted",N210:O210&lt;&gt;"",$S210=""),AND(J210="Accepted",S210="")),"ERROR","OK")</f>
        <v>OK</v>
      </c>
      <c r="AB210" s="240" t="str">
        <f t="shared" si="29"/>
        <v>OK</v>
      </c>
      <c r="AC210" s="240" t="str" cm="1">
        <f t="array" ref="AC210">IF(AND(F210:H210&lt;&gt;"",I210=""),"ERROR","OK")</f>
        <v>OK</v>
      </c>
      <c r="AD210" s="240" t="str">
        <f t="shared" si="30"/>
        <v>OK</v>
      </c>
      <c r="AE210" s="240" t="str">
        <f t="shared" si="31"/>
        <v>OK</v>
      </c>
      <c r="AF210" s="240" t="str" cm="1">
        <f t="array" aca="1" ref="AF210" ca="1" xml:space="preserve">
IF(AND($G210&lt;&gt;"",$F210=""),"ERROR",
IF(OR($F210:$G210="",AND($G210="",$F210&lt;&gt;"")),"OK",
IF(COUNTIF(INDIRECT(IFERROR(LEFT($F210,FIND(" ",$F210)-1),$F210)), $G210)&gt;0, "OK", "ERROR")))</f>
        <v>OK</v>
      </c>
    </row>
    <row r="211" spans="1:32" s="240" customFormat="1">
      <c r="A211" s="48"/>
      <c r="B211" s="31"/>
      <c r="C211" s="48"/>
      <c r="D211" s="47"/>
      <c r="E211" s="47"/>
      <c r="F211" s="31"/>
      <c r="G211" s="31"/>
      <c r="H211" s="31"/>
      <c r="I211" s="47"/>
      <c r="J211" s="31"/>
      <c r="K211" s="47"/>
      <c r="L211" s="47"/>
      <c r="M211" s="47"/>
      <c r="N211" s="31"/>
      <c r="O211" s="47"/>
      <c r="P211" s="31"/>
      <c r="Q211" s="31"/>
      <c r="R211" s="31"/>
      <c r="S211" s="31"/>
      <c r="T211" s="270">
        <f t="shared" si="24"/>
        <v>0</v>
      </c>
      <c r="U211" s="270">
        <f t="shared" si="25"/>
        <v>0</v>
      </c>
      <c r="V211" s="31"/>
      <c r="X211" s="240" t="str">
        <f t="shared" si="26"/>
        <v>OK</v>
      </c>
      <c r="Y211" s="240" t="str">
        <f t="shared" si="27"/>
        <v>OK</v>
      </c>
      <c r="Z211" s="240" t="str">
        <f t="shared" si="28"/>
        <v>OK</v>
      </c>
      <c r="AA211" s="240" t="str" cm="1">
        <f t="array" ref="AA211">IF(OR(AND(J211="Not accepted",N211:O211&lt;&gt;"",$S211=""),AND(J211="Accepted",S211="")),"ERROR","OK")</f>
        <v>OK</v>
      </c>
      <c r="AB211" s="240" t="str">
        <f t="shared" si="29"/>
        <v>OK</v>
      </c>
      <c r="AC211" s="240" t="str" cm="1">
        <f t="array" ref="AC211">IF(AND(F211:H211&lt;&gt;"",I211=""),"ERROR","OK")</f>
        <v>OK</v>
      </c>
      <c r="AD211" s="240" t="str">
        <f t="shared" si="30"/>
        <v>OK</v>
      </c>
      <c r="AE211" s="240" t="str">
        <f t="shared" si="31"/>
        <v>OK</v>
      </c>
      <c r="AF211" s="240" t="str" cm="1">
        <f t="array" aca="1" ref="AF211" ca="1" xml:space="preserve">
IF(AND($G211&lt;&gt;"",$F211=""),"ERROR",
IF(OR($F211:$G211="",AND($G211="",$F211&lt;&gt;"")),"OK",
IF(COUNTIF(INDIRECT(IFERROR(LEFT($F211,FIND(" ",$F211)-1),$F211)), $G211)&gt;0, "OK", "ERROR")))</f>
        <v>OK</v>
      </c>
    </row>
    <row r="212" spans="1:32" s="240" customFormat="1">
      <c r="A212" s="48"/>
      <c r="B212" s="31"/>
      <c r="C212" s="48"/>
      <c r="D212" s="47"/>
      <c r="E212" s="47"/>
      <c r="F212" s="31"/>
      <c r="G212" s="31"/>
      <c r="H212" s="31"/>
      <c r="I212" s="47"/>
      <c r="J212" s="31"/>
      <c r="K212" s="47"/>
      <c r="L212" s="47"/>
      <c r="M212" s="47"/>
      <c r="N212" s="31"/>
      <c r="O212" s="47"/>
      <c r="P212" s="31"/>
      <c r="Q212" s="31"/>
      <c r="R212" s="31"/>
      <c r="S212" s="31"/>
      <c r="T212" s="270">
        <f t="shared" si="24"/>
        <v>0</v>
      </c>
      <c r="U212" s="270">
        <f t="shared" si="25"/>
        <v>0</v>
      </c>
      <c r="V212" s="31"/>
      <c r="X212" s="240" t="str">
        <f t="shared" si="26"/>
        <v>OK</v>
      </c>
      <c r="Y212" s="240" t="str">
        <f t="shared" si="27"/>
        <v>OK</v>
      </c>
      <c r="Z212" s="240" t="str">
        <f t="shared" si="28"/>
        <v>OK</v>
      </c>
      <c r="AA212" s="240" t="str" cm="1">
        <f t="array" ref="AA212">IF(OR(AND(J212="Not accepted",N212:O212&lt;&gt;"",$S212=""),AND(J212="Accepted",S212="")),"ERROR","OK")</f>
        <v>OK</v>
      </c>
      <c r="AB212" s="240" t="str">
        <f t="shared" si="29"/>
        <v>OK</v>
      </c>
      <c r="AC212" s="240" t="str" cm="1">
        <f t="array" ref="AC212">IF(AND(F212:H212&lt;&gt;"",I212=""),"ERROR","OK")</f>
        <v>OK</v>
      </c>
      <c r="AD212" s="240" t="str">
        <f t="shared" si="30"/>
        <v>OK</v>
      </c>
      <c r="AE212" s="240" t="str">
        <f t="shared" si="31"/>
        <v>OK</v>
      </c>
      <c r="AF212" s="240" t="str" cm="1">
        <f t="array" aca="1" ref="AF212" ca="1" xml:space="preserve">
IF(AND($G212&lt;&gt;"",$F212=""),"ERROR",
IF(OR($F212:$G212="",AND($G212="",$F212&lt;&gt;"")),"OK",
IF(COUNTIF(INDIRECT(IFERROR(LEFT($F212,FIND(" ",$F212)-1),$F212)), $G212)&gt;0, "OK", "ERROR")))</f>
        <v>OK</v>
      </c>
    </row>
    <row r="213" spans="1:32" s="240" customFormat="1">
      <c r="A213" s="48"/>
      <c r="B213" s="31"/>
      <c r="C213" s="48"/>
      <c r="D213" s="47"/>
      <c r="E213" s="47"/>
      <c r="F213" s="31"/>
      <c r="G213" s="31"/>
      <c r="H213" s="31"/>
      <c r="I213" s="47"/>
      <c r="J213" s="31"/>
      <c r="K213" s="47"/>
      <c r="L213" s="47"/>
      <c r="M213" s="47"/>
      <c r="N213" s="31"/>
      <c r="O213" s="47"/>
      <c r="P213" s="31"/>
      <c r="Q213" s="31"/>
      <c r="R213" s="31"/>
      <c r="S213" s="31"/>
      <c r="T213" s="270">
        <f t="shared" si="24"/>
        <v>0</v>
      </c>
      <c r="U213" s="270">
        <f t="shared" si="25"/>
        <v>0</v>
      </c>
      <c r="V213" s="31"/>
      <c r="X213" s="240" t="str">
        <f t="shared" si="26"/>
        <v>OK</v>
      </c>
      <c r="Y213" s="240" t="str">
        <f t="shared" si="27"/>
        <v>OK</v>
      </c>
      <c r="Z213" s="240" t="str">
        <f t="shared" si="28"/>
        <v>OK</v>
      </c>
      <c r="AA213" s="240" t="str" cm="1">
        <f t="array" ref="AA213">IF(OR(AND(J213="Not accepted",N213:O213&lt;&gt;"",$S213=""),AND(J213="Accepted",S213="")),"ERROR","OK")</f>
        <v>OK</v>
      </c>
      <c r="AB213" s="240" t="str">
        <f t="shared" si="29"/>
        <v>OK</v>
      </c>
      <c r="AC213" s="240" t="str" cm="1">
        <f t="array" ref="AC213">IF(AND(F213:H213&lt;&gt;"",I213=""),"ERROR","OK")</f>
        <v>OK</v>
      </c>
      <c r="AD213" s="240" t="str">
        <f t="shared" si="30"/>
        <v>OK</v>
      </c>
      <c r="AE213" s="240" t="str">
        <f t="shared" si="31"/>
        <v>OK</v>
      </c>
      <c r="AF213" s="240" t="str" cm="1">
        <f t="array" aca="1" ref="AF213" ca="1" xml:space="preserve">
IF(AND($G213&lt;&gt;"",$F213=""),"ERROR",
IF(OR($F213:$G213="",AND($G213="",$F213&lt;&gt;"")),"OK",
IF(COUNTIF(INDIRECT(IFERROR(LEFT($F213,FIND(" ",$F213)-1),$F213)), $G213)&gt;0, "OK", "ERROR")))</f>
        <v>OK</v>
      </c>
    </row>
    <row r="214" spans="1:32" s="240" customFormat="1">
      <c r="A214" s="48"/>
      <c r="B214" s="31"/>
      <c r="C214" s="48"/>
      <c r="D214" s="47"/>
      <c r="E214" s="47"/>
      <c r="F214" s="31"/>
      <c r="G214" s="31"/>
      <c r="H214" s="31"/>
      <c r="I214" s="47"/>
      <c r="J214" s="31"/>
      <c r="K214" s="47"/>
      <c r="L214" s="47"/>
      <c r="M214" s="47"/>
      <c r="N214" s="31"/>
      <c r="O214" s="47"/>
      <c r="P214" s="31"/>
      <c r="Q214" s="31"/>
      <c r="R214" s="31"/>
      <c r="S214" s="31"/>
      <c r="T214" s="270">
        <f t="shared" si="24"/>
        <v>0</v>
      </c>
      <c r="U214" s="270">
        <f t="shared" si="25"/>
        <v>0</v>
      </c>
      <c r="V214" s="31"/>
      <c r="X214" s="240" t="str">
        <f t="shared" si="26"/>
        <v>OK</v>
      </c>
      <c r="Y214" s="240" t="str">
        <f t="shared" si="27"/>
        <v>OK</v>
      </c>
      <c r="Z214" s="240" t="str">
        <f t="shared" si="28"/>
        <v>OK</v>
      </c>
      <c r="AA214" s="240" t="str" cm="1">
        <f t="array" ref="AA214">IF(OR(AND(J214="Not accepted",N214:O214&lt;&gt;"",$S214=""),AND(J214="Accepted",S214="")),"ERROR","OK")</f>
        <v>OK</v>
      </c>
      <c r="AB214" s="240" t="str">
        <f t="shared" si="29"/>
        <v>OK</v>
      </c>
      <c r="AC214" s="240" t="str" cm="1">
        <f t="array" ref="AC214">IF(AND(F214:H214&lt;&gt;"",I214=""),"ERROR","OK")</f>
        <v>OK</v>
      </c>
      <c r="AD214" s="240" t="str">
        <f t="shared" si="30"/>
        <v>OK</v>
      </c>
      <c r="AE214" s="240" t="str">
        <f t="shared" si="31"/>
        <v>OK</v>
      </c>
      <c r="AF214" s="240" t="str" cm="1">
        <f t="array" aca="1" ref="AF214" ca="1" xml:space="preserve">
IF(AND($G214&lt;&gt;"",$F214=""),"ERROR",
IF(OR($F214:$G214="",AND($G214="",$F214&lt;&gt;"")),"OK",
IF(COUNTIF(INDIRECT(IFERROR(LEFT($F214,FIND(" ",$F214)-1),$F214)), $G214)&gt;0, "OK", "ERROR")))</f>
        <v>OK</v>
      </c>
    </row>
    <row r="215" spans="1:32" s="240" customFormat="1">
      <c r="A215" s="48"/>
      <c r="B215" s="31"/>
      <c r="C215" s="48"/>
      <c r="D215" s="47"/>
      <c r="E215" s="47"/>
      <c r="F215" s="31"/>
      <c r="G215" s="31"/>
      <c r="H215" s="31"/>
      <c r="I215" s="47"/>
      <c r="J215" s="31"/>
      <c r="K215" s="47"/>
      <c r="L215" s="47"/>
      <c r="M215" s="47"/>
      <c r="N215" s="31"/>
      <c r="O215" s="47"/>
      <c r="P215" s="31"/>
      <c r="Q215" s="31"/>
      <c r="R215" s="31"/>
      <c r="S215" s="31"/>
      <c r="T215" s="270">
        <f t="shared" si="24"/>
        <v>0</v>
      </c>
      <c r="U215" s="270">
        <f t="shared" si="25"/>
        <v>0</v>
      </c>
      <c r="V215" s="31"/>
      <c r="X215" s="240" t="str">
        <f t="shared" si="26"/>
        <v>OK</v>
      </c>
      <c r="Y215" s="240" t="str">
        <f t="shared" si="27"/>
        <v>OK</v>
      </c>
      <c r="Z215" s="240" t="str">
        <f t="shared" si="28"/>
        <v>OK</v>
      </c>
      <c r="AA215" s="240" t="str" cm="1">
        <f t="array" ref="AA215">IF(OR(AND(J215="Not accepted",N215:O215&lt;&gt;"",$S215=""),AND(J215="Accepted",S215="")),"ERROR","OK")</f>
        <v>OK</v>
      </c>
      <c r="AB215" s="240" t="str">
        <f t="shared" si="29"/>
        <v>OK</v>
      </c>
      <c r="AC215" s="240" t="str" cm="1">
        <f t="array" ref="AC215">IF(AND(F215:H215&lt;&gt;"",I215=""),"ERROR","OK")</f>
        <v>OK</v>
      </c>
      <c r="AD215" s="240" t="str">
        <f t="shared" si="30"/>
        <v>OK</v>
      </c>
      <c r="AE215" s="240" t="str">
        <f t="shared" si="31"/>
        <v>OK</v>
      </c>
      <c r="AF215" s="240" t="str" cm="1">
        <f t="array" aca="1" ref="AF215" ca="1" xml:space="preserve">
IF(AND($G215&lt;&gt;"",$F215=""),"ERROR",
IF(OR($F215:$G215="",AND($G215="",$F215&lt;&gt;"")),"OK",
IF(COUNTIF(INDIRECT(IFERROR(LEFT($F215,FIND(" ",$F215)-1),$F215)), $G215)&gt;0, "OK", "ERROR")))</f>
        <v>OK</v>
      </c>
    </row>
    <row r="216" spans="1:32" s="240" customFormat="1">
      <c r="A216" s="48"/>
      <c r="B216" s="31"/>
      <c r="C216" s="48"/>
      <c r="D216" s="47"/>
      <c r="E216" s="47"/>
      <c r="F216" s="31"/>
      <c r="G216" s="31"/>
      <c r="H216" s="31"/>
      <c r="I216" s="47"/>
      <c r="J216" s="31"/>
      <c r="K216" s="47"/>
      <c r="L216" s="47"/>
      <c r="M216" s="47"/>
      <c r="N216" s="31"/>
      <c r="O216" s="47"/>
      <c r="P216" s="31"/>
      <c r="Q216" s="31"/>
      <c r="R216" s="31"/>
      <c r="S216" s="31"/>
      <c r="T216" s="270">
        <f t="shared" si="24"/>
        <v>0</v>
      </c>
      <c r="U216" s="270">
        <f t="shared" si="25"/>
        <v>0</v>
      </c>
      <c r="V216" s="31"/>
      <c r="X216" s="240" t="str">
        <f t="shared" si="26"/>
        <v>OK</v>
      </c>
      <c r="Y216" s="240" t="str">
        <f t="shared" si="27"/>
        <v>OK</v>
      </c>
      <c r="Z216" s="240" t="str">
        <f t="shared" si="28"/>
        <v>OK</v>
      </c>
      <c r="AA216" s="240" t="str" cm="1">
        <f t="array" ref="AA216">IF(OR(AND(J216="Not accepted",N216:O216&lt;&gt;"",$S216=""),AND(J216="Accepted",S216="")),"ERROR","OK")</f>
        <v>OK</v>
      </c>
      <c r="AB216" s="240" t="str">
        <f t="shared" si="29"/>
        <v>OK</v>
      </c>
      <c r="AC216" s="240" t="str" cm="1">
        <f t="array" ref="AC216">IF(AND(F216:H216&lt;&gt;"",I216=""),"ERROR","OK")</f>
        <v>OK</v>
      </c>
      <c r="AD216" s="240" t="str">
        <f t="shared" si="30"/>
        <v>OK</v>
      </c>
      <c r="AE216" s="240" t="str">
        <f t="shared" si="31"/>
        <v>OK</v>
      </c>
      <c r="AF216" s="240" t="str" cm="1">
        <f t="array" aca="1" ref="AF216" ca="1" xml:space="preserve">
IF(AND($G216&lt;&gt;"",$F216=""),"ERROR",
IF(OR($F216:$G216="",AND($G216="",$F216&lt;&gt;"")),"OK",
IF(COUNTIF(INDIRECT(IFERROR(LEFT($F216,FIND(" ",$F216)-1),$F216)), $G216)&gt;0, "OK", "ERROR")))</f>
        <v>OK</v>
      </c>
    </row>
    <row r="217" spans="1:32" s="240" customFormat="1">
      <c r="A217" s="48"/>
      <c r="B217" s="31"/>
      <c r="C217" s="48"/>
      <c r="D217" s="47"/>
      <c r="E217" s="47"/>
      <c r="F217" s="31"/>
      <c r="G217" s="31"/>
      <c r="H217" s="31"/>
      <c r="I217" s="47"/>
      <c r="J217" s="31"/>
      <c r="K217" s="47"/>
      <c r="L217" s="47"/>
      <c r="M217" s="47"/>
      <c r="N217" s="31"/>
      <c r="O217" s="47"/>
      <c r="P217" s="31"/>
      <c r="Q217" s="31"/>
      <c r="R217" s="31"/>
      <c r="S217" s="31"/>
      <c r="T217" s="270">
        <f t="shared" si="24"/>
        <v>0</v>
      </c>
      <c r="U217" s="270">
        <f t="shared" si="25"/>
        <v>0</v>
      </c>
      <c r="V217" s="31"/>
      <c r="X217" s="240" t="str">
        <f t="shared" si="26"/>
        <v>OK</v>
      </c>
      <c r="Y217" s="240" t="str">
        <f t="shared" si="27"/>
        <v>OK</v>
      </c>
      <c r="Z217" s="240" t="str">
        <f t="shared" si="28"/>
        <v>OK</v>
      </c>
      <c r="AA217" s="240" t="str" cm="1">
        <f t="array" ref="AA217">IF(OR(AND(J217="Not accepted",N217:O217&lt;&gt;"",$S217=""),AND(J217="Accepted",S217="")),"ERROR","OK")</f>
        <v>OK</v>
      </c>
      <c r="AB217" s="240" t="str">
        <f t="shared" si="29"/>
        <v>OK</v>
      </c>
      <c r="AC217" s="240" t="str" cm="1">
        <f t="array" ref="AC217">IF(AND(F217:H217&lt;&gt;"",I217=""),"ERROR","OK")</f>
        <v>OK</v>
      </c>
      <c r="AD217" s="240" t="str">
        <f t="shared" si="30"/>
        <v>OK</v>
      </c>
      <c r="AE217" s="240" t="str">
        <f t="shared" si="31"/>
        <v>OK</v>
      </c>
      <c r="AF217" s="240" t="str" cm="1">
        <f t="array" aca="1" ref="AF217" ca="1" xml:space="preserve">
IF(AND($G217&lt;&gt;"",$F217=""),"ERROR",
IF(OR($F217:$G217="",AND($G217="",$F217&lt;&gt;"")),"OK",
IF(COUNTIF(INDIRECT(IFERROR(LEFT($F217,FIND(" ",$F217)-1),$F217)), $G217)&gt;0, "OK", "ERROR")))</f>
        <v>OK</v>
      </c>
    </row>
    <row r="218" spans="1:32" s="240" customFormat="1">
      <c r="A218" s="48"/>
      <c r="B218" s="31"/>
      <c r="C218" s="48"/>
      <c r="D218" s="47"/>
      <c r="E218" s="47"/>
      <c r="F218" s="31"/>
      <c r="G218" s="31"/>
      <c r="H218" s="31"/>
      <c r="I218" s="47"/>
      <c r="J218" s="31"/>
      <c r="K218" s="47"/>
      <c r="L218" s="47"/>
      <c r="M218" s="47"/>
      <c r="N218" s="31"/>
      <c r="O218" s="47"/>
      <c r="P218" s="31"/>
      <c r="Q218" s="31"/>
      <c r="R218" s="31"/>
      <c r="S218" s="31"/>
      <c r="T218" s="270">
        <f t="shared" si="24"/>
        <v>0</v>
      </c>
      <c r="U218" s="270">
        <f t="shared" si="25"/>
        <v>0</v>
      </c>
      <c r="V218" s="31"/>
      <c r="X218" s="240" t="str">
        <f t="shared" si="26"/>
        <v>OK</v>
      </c>
      <c r="Y218" s="240" t="str">
        <f t="shared" si="27"/>
        <v>OK</v>
      </c>
      <c r="Z218" s="240" t="str">
        <f t="shared" si="28"/>
        <v>OK</v>
      </c>
      <c r="AA218" s="240" t="str" cm="1">
        <f t="array" ref="AA218">IF(OR(AND(J218="Not accepted",N218:O218&lt;&gt;"",$S218=""),AND(J218="Accepted",S218="")),"ERROR","OK")</f>
        <v>OK</v>
      </c>
      <c r="AB218" s="240" t="str">
        <f t="shared" si="29"/>
        <v>OK</v>
      </c>
      <c r="AC218" s="240" t="str" cm="1">
        <f t="array" ref="AC218">IF(AND(F218:H218&lt;&gt;"",I218=""),"ERROR","OK")</f>
        <v>OK</v>
      </c>
      <c r="AD218" s="240" t="str">
        <f t="shared" si="30"/>
        <v>OK</v>
      </c>
      <c r="AE218" s="240" t="str">
        <f t="shared" si="31"/>
        <v>OK</v>
      </c>
      <c r="AF218" s="240" t="str" cm="1">
        <f t="array" aca="1" ref="AF218" ca="1" xml:space="preserve">
IF(AND($G218&lt;&gt;"",$F218=""),"ERROR",
IF(OR($F218:$G218="",AND($G218="",$F218&lt;&gt;"")),"OK",
IF(COUNTIF(INDIRECT(IFERROR(LEFT($F218,FIND(" ",$F218)-1),$F218)), $G218)&gt;0, "OK", "ERROR")))</f>
        <v>OK</v>
      </c>
    </row>
    <row r="219" spans="1:32" s="240" customFormat="1">
      <c r="A219" s="48"/>
      <c r="B219" s="31"/>
      <c r="C219" s="48"/>
      <c r="D219" s="47"/>
      <c r="E219" s="47"/>
      <c r="F219" s="31"/>
      <c r="G219" s="31"/>
      <c r="H219" s="31"/>
      <c r="I219" s="47"/>
      <c r="J219" s="31"/>
      <c r="K219" s="47"/>
      <c r="L219" s="47"/>
      <c r="M219" s="47"/>
      <c r="N219" s="31"/>
      <c r="O219" s="47"/>
      <c r="P219" s="31"/>
      <c r="Q219" s="31"/>
      <c r="R219" s="31"/>
      <c r="S219" s="31"/>
      <c r="T219" s="270">
        <f t="shared" si="24"/>
        <v>0</v>
      </c>
      <c r="U219" s="270">
        <f t="shared" si="25"/>
        <v>0</v>
      </c>
      <c r="V219" s="31"/>
      <c r="X219" s="240" t="str">
        <f t="shared" si="26"/>
        <v>OK</v>
      </c>
      <c r="Y219" s="240" t="str">
        <f t="shared" si="27"/>
        <v>OK</v>
      </c>
      <c r="Z219" s="240" t="str">
        <f t="shared" si="28"/>
        <v>OK</v>
      </c>
      <c r="AA219" s="240" t="str" cm="1">
        <f t="array" ref="AA219">IF(OR(AND(J219="Not accepted",N219:O219&lt;&gt;"",$S219=""),AND(J219="Accepted",S219="")),"ERROR","OK")</f>
        <v>OK</v>
      </c>
      <c r="AB219" s="240" t="str">
        <f t="shared" si="29"/>
        <v>OK</v>
      </c>
      <c r="AC219" s="240" t="str" cm="1">
        <f t="array" ref="AC219">IF(AND(F219:H219&lt;&gt;"",I219=""),"ERROR","OK")</f>
        <v>OK</v>
      </c>
      <c r="AD219" s="240" t="str">
        <f t="shared" si="30"/>
        <v>OK</v>
      </c>
      <c r="AE219" s="240" t="str">
        <f t="shared" si="31"/>
        <v>OK</v>
      </c>
      <c r="AF219" s="240" t="str" cm="1">
        <f t="array" aca="1" ref="AF219" ca="1" xml:space="preserve">
IF(AND($G219&lt;&gt;"",$F219=""),"ERROR",
IF(OR($F219:$G219="",AND($G219="",$F219&lt;&gt;"")),"OK",
IF(COUNTIF(INDIRECT(IFERROR(LEFT($F219,FIND(" ",$F219)-1),$F219)), $G219)&gt;0, "OK", "ERROR")))</f>
        <v>OK</v>
      </c>
    </row>
    <row r="220" spans="1:32" s="240" customFormat="1">
      <c r="A220" s="48"/>
      <c r="B220" s="31"/>
      <c r="C220" s="48"/>
      <c r="D220" s="47"/>
      <c r="E220" s="47"/>
      <c r="F220" s="31"/>
      <c r="G220" s="31"/>
      <c r="H220" s="31"/>
      <c r="I220" s="47"/>
      <c r="J220" s="31"/>
      <c r="K220" s="47"/>
      <c r="L220" s="47"/>
      <c r="M220" s="47"/>
      <c r="N220" s="31"/>
      <c r="O220" s="47"/>
      <c r="P220" s="31"/>
      <c r="Q220" s="31"/>
      <c r="R220" s="31"/>
      <c r="S220" s="31"/>
      <c r="T220" s="270">
        <f t="shared" si="24"/>
        <v>0</v>
      </c>
      <c r="U220" s="270">
        <f t="shared" si="25"/>
        <v>0</v>
      </c>
      <c r="V220" s="31"/>
      <c r="X220" s="240" t="str">
        <f t="shared" si="26"/>
        <v>OK</v>
      </c>
      <c r="Y220" s="240" t="str">
        <f t="shared" si="27"/>
        <v>OK</v>
      </c>
      <c r="Z220" s="240" t="str">
        <f t="shared" si="28"/>
        <v>OK</v>
      </c>
      <c r="AA220" s="240" t="str" cm="1">
        <f t="array" ref="AA220">IF(OR(AND(J220="Not accepted",N220:O220&lt;&gt;"",$S220=""),AND(J220="Accepted",S220="")),"ERROR","OK")</f>
        <v>OK</v>
      </c>
      <c r="AB220" s="240" t="str">
        <f t="shared" si="29"/>
        <v>OK</v>
      </c>
      <c r="AC220" s="240" t="str" cm="1">
        <f t="array" ref="AC220">IF(AND(F220:H220&lt;&gt;"",I220=""),"ERROR","OK")</f>
        <v>OK</v>
      </c>
      <c r="AD220" s="240" t="str">
        <f t="shared" si="30"/>
        <v>OK</v>
      </c>
      <c r="AE220" s="240" t="str">
        <f t="shared" si="31"/>
        <v>OK</v>
      </c>
      <c r="AF220" s="240" t="str" cm="1">
        <f t="array" aca="1" ref="AF220" ca="1" xml:space="preserve">
IF(AND($G220&lt;&gt;"",$F220=""),"ERROR",
IF(OR($F220:$G220="",AND($G220="",$F220&lt;&gt;"")),"OK",
IF(COUNTIF(INDIRECT(IFERROR(LEFT($F220,FIND(" ",$F220)-1),$F220)), $G220)&gt;0, "OK", "ERROR")))</f>
        <v>OK</v>
      </c>
    </row>
    <row r="221" spans="1:32" s="240" customFormat="1">
      <c r="A221" s="48"/>
      <c r="B221" s="31"/>
      <c r="C221" s="48"/>
      <c r="D221" s="47"/>
      <c r="E221" s="47"/>
      <c r="F221" s="31"/>
      <c r="G221" s="31"/>
      <c r="H221" s="31"/>
      <c r="I221" s="47"/>
      <c r="J221" s="31"/>
      <c r="K221" s="47"/>
      <c r="L221" s="47"/>
      <c r="M221" s="47"/>
      <c r="N221" s="31"/>
      <c r="O221" s="47"/>
      <c r="P221" s="31"/>
      <c r="Q221" s="31"/>
      <c r="R221" s="31"/>
      <c r="S221" s="31"/>
      <c r="T221" s="270">
        <f t="shared" si="24"/>
        <v>0</v>
      </c>
      <c r="U221" s="270">
        <f t="shared" si="25"/>
        <v>0</v>
      </c>
      <c r="V221" s="31"/>
      <c r="X221" s="240" t="str">
        <f t="shared" si="26"/>
        <v>OK</v>
      </c>
      <c r="Y221" s="240" t="str">
        <f t="shared" si="27"/>
        <v>OK</v>
      </c>
      <c r="Z221" s="240" t="str">
        <f t="shared" si="28"/>
        <v>OK</v>
      </c>
      <c r="AA221" s="240" t="str" cm="1">
        <f t="array" ref="AA221">IF(OR(AND(J221="Not accepted",N221:O221&lt;&gt;"",$S221=""),AND(J221="Accepted",S221="")),"ERROR","OK")</f>
        <v>OK</v>
      </c>
      <c r="AB221" s="240" t="str">
        <f t="shared" si="29"/>
        <v>OK</v>
      </c>
      <c r="AC221" s="240" t="str" cm="1">
        <f t="array" ref="AC221">IF(AND(F221:H221&lt;&gt;"",I221=""),"ERROR","OK")</f>
        <v>OK</v>
      </c>
      <c r="AD221" s="240" t="str">
        <f t="shared" si="30"/>
        <v>OK</v>
      </c>
      <c r="AE221" s="240" t="str">
        <f t="shared" si="31"/>
        <v>OK</v>
      </c>
      <c r="AF221" s="240" t="str" cm="1">
        <f t="array" aca="1" ref="AF221" ca="1" xml:space="preserve">
IF(AND($G221&lt;&gt;"",$F221=""),"ERROR",
IF(OR($F221:$G221="",AND($G221="",$F221&lt;&gt;"")),"OK",
IF(COUNTIF(INDIRECT(IFERROR(LEFT($F221,FIND(" ",$F221)-1),$F221)), $G221)&gt;0, "OK", "ERROR")))</f>
        <v>OK</v>
      </c>
    </row>
    <row r="222" spans="1:32" s="240" customFormat="1">
      <c r="A222" s="48"/>
      <c r="B222" s="31"/>
      <c r="C222" s="48"/>
      <c r="D222" s="47"/>
      <c r="E222" s="47"/>
      <c r="F222" s="31"/>
      <c r="G222" s="31"/>
      <c r="H222" s="31"/>
      <c r="I222" s="47"/>
      <c r="J222" s="31"/>
      <c r="K222" s="47"/>
      <c r="L222" s="47"/>
      <c r="M222" s="47"/>
      <c r="N222" s="31"/>
      <c r="O222" s="47"/>
      <c r="P222" s="31"/>
      <c r="Q222" s="31"/>
      <c r="R222" s="31"/>
      <c r="S222" s="31"/>
      <c r="T222" s="270">
        <f t="shared" si="24"/>
        <v>0</v>
      </c>
      <c r="U222" s="270">
        <f t="shared" si="25"/>
        <v>0</v>
      </c>
      <c r="V222" s="31"/>
      <c r="X222" s="240" t="str">
        <f t="shared" si="26"/>
        <v>OK</v>
      </c>
      <c r="Y222" s="240" t="str">
        <f t="shared" si="27"/>
        <v>OK</v>
      </c>
      <c r="Z222" s="240" t="str">
        <f t="shared" si="28"/>
        <v>OK</v>
      </c>
      <c r="AA222" s="240" t="str" cm="1">
        <f t="array" ref="AA222">IF(OR(AND(J222="Not accepted",N222:O222&lt;&gt;"",$S222=""),AND(J222="Accepted",S222="")),"ERROR","OK")</f>
        <v>OK</v>
      </c>
      <c r="AB222" s="240" t="str">
        <f t="shared" si="29"/>
        <v>OK</v>
      </c>
      <c r="AC222" s="240" t="str" cm="1">
        <f t="array" ref="AC222">IF(AND(F222:H222&lt;&gt;"",I222=""),"ERROR","OK")</f>
        <v>OK</v>
      </c>
      <c r="AD222" s="240" t="str">
        <f t="shared" si="30"/>
        <v>OK</v>
      </c>
      <c r="AE222" s="240" t="str">
        <f t="shared" si="31"/>
        <v>OK</v>
      </c>
      <c r="AF222" s="240" t="str" cm="1">
        <f t="array" aca="1" ref="AF222" ca="1" xml:space="preserve">
IF(AND($G222&lt;&gt;"",$F222=""),"ERROR",
IF(OR($F222:$G222="",AND($G222="",$F222&lt;&gt;"")),"OK",
IF(COUNTIF(INDIRECT(IFERROR(LEFT($F222,FIND(" ",$F222)-1),$F222)), $G222)&gt;0, "OK", "ERROR")))</f>
        <v>OK</v>
      </c>
    </row>
    <row r="223" spans="1:32" s="240" customFormat="1">
      <c r="A223" s="48"/>
      <c r="B223" s="31"/>
      <c r="C223" s="48"/>
      <c r="D223" s="47"/>
      <c r="E223" s="47"/>
      <c r="F223" s="31"/>
      <c r="G223" s="31"/>
      <c r="H223" s="31"/>
      <c r="I223" s="47"/>
      <c r="J223" s="31"/>
      <c r="K223" s="47"/>
      <c r="L223" s="47"/>
      <c r="M223" s="47"/>
      <c r="N223" s="31"/>
      <c r="O223" s="47"/>
      <c r="P223" s="31"/>
      <c r="Q223" s="31"/>
      <c r="R223" s="31"/>
      <c r="S223" s="31"/>
      <c r="T223" s="270">
        <f t="shared" si="24"/>
        <v>0</v>
      </c>
      <c r="U223" s="270">
        <f t="shared" si="25"/>
        <v>0</v>
      </c>
      <c r="V223" s="31"/>
      <c r="X223" s="240" t="str">
        <f t="shared" si="26"/>
        <v>OK</v>
      </c>
      <c r="Y223" s="240" t="str">
        <f t="shared" si="27"/>
        <v>OK</v>
      </c>
      <c r="Z223" s="240" t="str">
        <f t="shared" si="28"/>
        <v>OK</v>
      </c>
      <c r="AA223" s="240" t="str" cm="1">
        <f t="array" ref="AA223">IF(OR(AND(J223="Not accepted",N223:O223&lt;&gt;"",$S223=""),AND(J223="Accepted",S223="")),"ERROR","OK")</f>
        <v>OK</v>
      </c>
      <c r="AB223" s="240" t="str">
        <f t="shared" si="29"/>
        <v>OK</v>
      </c>
      <c r="AC223" s="240" t="str" cm="1">
        <f t="array" ref="AC223">IF(AND(F223:H223&lt;&gt;"",I223=""),"ERROR","OK")</f>
        <v>OK</v>
      </c>
      <c r="AD223" s="240" t="str">
        <f t="shared" si="30"/>
        <v>OK</v>
      </c>
      <c r="AE223" s="240" t="str">
        <f t="shared" si="31"/>
        <v>OK</v>
      </c>
      <c r="AF223" s="240" t="str" cm="1">
        <f t="array" aca="1" ref="AF223" ca="1" xml:space="preserve">
IF(AND($G223&lt;&gt;"",$F223=""),"ERROR",
IF(OR($F223:$G223="",AND($G223="",$F223&lt;&gt;"")),"OK",
IF(COUNTIF(INDIRECT(IFERROR(LEFT($F223,FIND(" ",$F223)-1),$F223)), $G223)&gt;0, "OK", "ERROR")))</f>
        <v>OK</v>
      </c>
    </row>
    <row r="224" spans="1:32" s="240" customFormat="1">
      <c r="A224" s="48"/>
      <c r="B224" s="31"/>
      <c r="C224" s="48"/>
      <c r="D224" s="47"/>
      <c r="E224" s="47"/>
      <c r="F224" s="31"/>
      <c r="G224" s="31"/>
      <c r="H224" s="31"/>
      <c r="I224" s="47"/>
      <c r="J224" s="31"/>
      <c r="K224" s="47"/>
      <c r="L224" s="47"/>
      <c r="M224" s="47"/>
      <c r="N224" s="31"/>
      <c r="O224" s="47"/>
      <c r="P224" s="31"/>
      <c r="Q224" s="31"/>
      <c r="R224" s="31"/>
      <c r="S224" s="31"/>
      <c r="T224" s="270">
        <f t="shared" si="24"/>
        <v>0</v>
      </c>
      <c r="U224" s="270">
        <f t="shared" si="25"/>
        <v>0</v>
      </c>
      <c r="V224" s="31"/>
      <c r="X224" s="240" t="str">
        <f t="shared" si="26"/>
        <v>OK</v>
      </c>
      <c r="Y224" s="240" t="str">
        <f t="shared" si="27"/>
        <v>OK</v>
      </c>
      <c r="Z224" s="240" t="str">
        <f t="shared" si="28"/>
        <v>OK</v>
      </c>
      <c r="AA224" s="240" t="str" cm="1">
        <f t="array" ref="AA224">IF(OR(AND(J224="Not accepted",N224:O224&lt;&gt;"",$S224=""),AND(J224="Accepted",S224="")),"ERROR","OK")</f>
        <v>OK</v>
      </c>
      <c r="AB224" s="240" t="str">
        <f t="shared" si="29"/>
        <v>OK</v>
      </c>
      <c r="AC224" s="240" t="str" cm="1">
        <f t="array" ref="AC224">IF(AND(F224:H224&lt;&gt;"",I224=""),"ERROR","OK")</f>
        <v>OK</v>
      </c>
      <c r="AD224" s="240" t="str">
        <f t="shared" si="30"/>
        <v>OK</v>
      </c>
      <c r="AE224" s="240" t="str">
        <f t="shared" si="31"/>
        <v>OK</v>
      </c>
      <c r="AF224" s="240" t="str" cm="1">
        <f t="array" aca="1" ref="AF224" ca="1" xml:space="preserve">
IF(AND($G224&lt;&gt;"",$F224=""),"ERROR",
IF(OR($F224:$G224="",AND($G224="",$F224&lt;&gt;"")),"OK",
IF(COUNTIF(INDIRECT(IFERROR(LEFT($F224,FIND(" ",$F224)-1),$F224)), $G224)&gt;0, "OK", "ERROR")))</f>
        <v>OK</v>
      </c>
    </row>
    <row r="225" spans="1:32" s="240" customFormat="1">
      <c r="A225" s="48"/>
      <c r="B225" s="31"/>
      <c r="C225" s="48"/>
      <c r="D225" s="47"/>
      <c r="E225" s="47"/>
      <c r="F225" s="31"/>
      <c r="G225" s="31"/>
      <c r="H225" s="31"/>
      <c r="I225" s="47"/>
      <c r="J225" s="31"/>
      <c r="K225" s="47"/>
      <c r="L225" s="47"/>
      <c r="M225" s="47"/>
      <c r="N225" s="31"/>
      <c r="O225" s="47"/>
      <c r="P225" s="31"/>
      <c r="Q225" s="31"/>
      <c r="R225" s="31"/>
      <c r="S225" s="31"/>
      <c r="T225" s="270">
        <f t="shared" si="24"/>
        <v>0</v>
      </c>
      <c r="U225" s="270">
        <f t="shared" si="25"/>
        <v>0</v>
      </c>
      <c r="V225" s="31"/>
      <c r="X225" s="240" t="str">
        <f t="shared" si="26"/>
        <v>OK</v>
      </c>
      <c r="Y225" s="240" t="str">
        <f t="shared" si="27"/>
        <v>OK</v>
      </c>
      <c r="Z225" s="240" t="str">
        <f t="shared" si="28"/>
        <v>OK</v>
      </c>
      <c r="AA225" s="240" t="str" cm="1">
        <f t="array" ref="AA225">IF(OR(AND(J225="Not accepted",N225:O225&lt;&gt;"",$S225=""),AND(J225="Accepted",S225="")),"ERROR","OK")</f>
        <v>OK</v>
      </c>
      <c r="AB225" s="240" t="str">
        <f t="shared" si="29"/>
        <v>OK</v>
      </c>
      <c r="AC225" s="240" t="str" cm="1">
        <f t="array" ref="AC225">IF(AND(F225:H225&lt;&gt;"",I225=""),"ERROR","OK")</f>
        <v>OK</v>
      </c>
      <c r="AD225" s="240" t="str">
        <f t="shared" si="30"/>
        <v>OK</v>
      </c>
      <c r="AE225" s="240" t="str">
        <f t="shared" si="31"/>
        <v>OK</v>
      </c>
      <c r="AF225" s="240" t="str" cm="1">
        <f t="array" aca="1" ref="AF225" ca="1" xml:space="preserve">
IF(AND($G225&lt;&gt;"",$F225=""),"ERROR",
IF(OR($F225:$G225="",AND($G225="",$F225&lt;&gt;"")),"OK",
IF(COUNTIF(INDIRECT(IFERROR(LEFT($F225,FIND(" ",$F225)-1),$F225)), $G225)&gt;0, "OK", "ERROR")))</f>
        <v>OK</v>
      </c>
    </row>
    <row r="226" spans="1:32" s="240" customFormat="1">
      <c r="A226" s="48"/>
      <c r="B226" s="31"/>
      <c r="C226" s="48"/>
      <c r="D226" s="47"/>
      <c r="E226" s="47"/>
      <c r="F226" s="31"/>
      <c r="G226" s="31"/>
      <c r="H226" s="31"/>
      <c r="I226" s="47"/>
      <c r="J226" s="31"/>
      <c r="K226" s="47"/>
      <c r="L226" s="47"/>
      <c r="M226" s="47"/>
      <c r="N226" s="31"/>
      <c r="O226" s="47"/>
      <c r="P226" s="31"/>
      <c r="Q226" s="31"/>
      <c r="R226" s="31"/>
      <c r="S226" s="31"/>
      <c r="T226" s="270">
        <f t="shared" si="24"/>
        <v>0</v>
      </c>
      <c r="U226" s="270">
        <f t="shared" si="25"/>
        <v>0</v>
      </c>
      <c r="V226" s="31"/>
      <c r="X226" s="240" t="str">
        <f t="shared" si="26"/>
        <v>OK</v>
      </c>
      <c r="Y226" s="240" t="str">
        <f t="shared" si="27"/>
        <v>OK</v>
      </c>
      <c r="Z226" s="240" t="str">
        <f t="shared" si="28"/>
        <v>OK</v>
      </c>
      <c r="AA226" s="240" t="str" cm="1">
        <f t="array" ref="AA226">IF(OR(AND(J226="Not accepted",N226:O226&lt;&gt;"",$S226=""),AND(J226="Accepted",S226="")),"ERROR","OK")</f>
        <v>OK</v>
      </c>
      <c r="AB226" s="240" t="str">
        <f t="shared" si="29"/>
        <v>OK</v>
      </c>
      <c r="AC226" s="240" t="str" cm="1">
        <f t="array" ref="AC226">IF(AND(F226:H226&lt;&gt;"",I226=""),"ERROR","OK")</f>
        <v>OK</v>
      </c>
      <c r="AD226" s="240" t="str">
        <f t="shared" si="30"/>
        <v>OK</v>
      </c>
      <c r="AE226" s="240" t="str">
        <f t="shared" si="31"/>
        <v>OK</v>
      </c>
      <c r="AF226" s="240" t="str" cm="1">
        <f t="array" aca="1" ref="AF226" ca="1" xml:space="preserve">
IF(AND($G226&lt;&gt;"",$F226=""),"ERROR",
IF(OR($F226:$G226="",AND($G226="",$F226&lt;&gt;"")),"OK",
IF(COUNTIF(INDIRECT(IFERROR(LEFT($F226,FIND(" ",$F226)-1),$F226)), $G226)&gt;0, "OK", "ERROR")))</f>
        <v>OK</v>
      </c>
    </row>
    <row r="227" spans="1:32" s="240" customFormat="1">
      <c r="A227" s="48"/>
      <c r="B227" s="31"/>
      <c r="C227" s="48"/>
      <c r="D227" s="47"/>
      <c r="E227" s="47"/>
      <c r="F227" s="31"/>
      <c r="G227" s="31"/>
      <c r="H227" s="31"/>
      <c r="I227" s="47"/>
      <c r="J227" s="31"/>
      <c r="K227" s="47"/>
      <c r="L227" s="47"/>
      <c r="M227" s="47"/>
      <c r="N227" s="31"/>
      <c r="O227" s="47"/>
      <c r="P227" s="31"/>
      <c r="Q227" s="31"/>
      <c r="R227" s="31"/>
      <c r="S227" s="31"/>
      <c r="T227" s="270">
        <f t="shared" si="24"/>
        <v>0</v>
      </c>
      <c r="U227" s="270">
        <f t="shared" si="25"/>
        <v>0</v>
      </c>
      <c r="V227" s="31"/>
      <c r="X227" s="240" t="str">
        <f t="shared" si="26"/>
        <v>OK</v>
      </c>
      <c r="Y227" s="240" t="str">
        <f t="shared" si="27"/>
        <v>OK</v>
      </c>
      <c r="Z227" s="240" t="str">
        <f t="shared" si="28"/>
        <v>OK</v>
      </c>
      <c r="AA227" s="240" t="str" cm="1">
        <f t="array" ref="AA227">IF(OR(AND(J227="Not accepted",N227:O227&lt;&gt;"",$S227=""),AND(J227="Accepted",S227="")),"ERROR","OK")</f>
        <v>OK</v>
      </c>
      <c r="AB227" s="240" t="str">
        <f t="shared" si="29"/>
        <v>OK</v>
      </c>
      <c r="AC227" s="240" t="str" cm="1">
        <f t="array" ref="AC227">IF(AND(F227:H227&lt;&gt;"",I227=""),"ERROR","OK")</f>
        <v>OK</v>
      </c>
      <c r="AD227" s="240" t="str">
        <f t="shared" si="30"/>
        <v>OK</v>
      </c>
      <c r="AE227" s="240" t="str">
        <f t="shared" si="31"/>
        <v>OK</v>
      </c>
      <c r="AF227" s="240" t="str" cm="1">
        <f t="array" aca="1" ref="AF227" ca="1" xml:space="preserve">
IF(AND($G227&lt;&gt;"",$F227=""),"ERROR",
IF(OR($F227:$G227="",AND($G227="",$F227&lt;&gt;"")),"OK",
IF(COUNTIF(INDIRECT(IFERROR(LEFT($F227,FIND(" ",$F227)-1),$F227)), $G227)&gt;0, "OK", "ERROR")))</f>
        <v>OK</v>
      </c>
    </row>
    <row r="228" spans="1:32" s="240" customFormat="1">
      <c r="A228" s="48"/>
      <c r="B228" s="31"/>
      <c r="C228" s="48"/>
      <c r="D228" s="47"/>
      <c r="E228" s="47"/>
      <c r="F228" s="31"/>
      <c r="G228" s="31"/>
      <c r="H228" s="31"/>
      <c r="I228" s="47"/>
      <c r="J228" s="31"/>
      <c r="K228" s="47"/>
      <c r="L228" s="47"/>
      <c r="M228" s="47"/>
      <c r="N228" s="31"/>
      <c r="O228" s="47"/>
      <c r="P228" s="31"/>
      <c r="Q228" s="31"/>
      <c r="R228" s="31"/>
      <c r="S228" s="31"/>
      <c r="T228" s="270">
        <f t="shared" si="24"/>
        <v>0</v>
      </c>
      <c r="U228" s="270">
        <f t="shared" si="25"/>
        <v>0</v>
      </c>
      <c r="V228" s="31"/>
      <c r="X228" s="240" t="str">
        <f t="shared" si="26"/>
        <v>OK</v>
      </c>
      <c r="Y228" s="240" t="str">
        <f t="shared" si="27"/>
        <v>OK</v>
      </c>
      <c r="Z228" s="240" t="str">
        <f t="shared" si="28"/>
        <v>OK</v>
      </c>
      <c r="AA228" s="240" t="str" cm="1">
        <f t="array" ref="AA228">IF(OR(AND(J228="Not accepted",N228:O228&lt;&gt;"",$S228=""),AND(J228="Accepted",S228="")),"ERROR","OK")</f>
        <v>OK</v>
      </c>
      <c r="AB228" s="240" t="str">
        <f t="shared" si="29"/>
        <v>OK</v>
      </c>
      <c r="AC228" s="240" t="str" cm="1">
        <f t="array" ref="AC228">IF(AND(F228:H228&lt;&gt;"",I228=""),"ERROR","OK")</f>
        <v>OK</v>
      </c>
      <c r="AD228" s="240" t="str">
        <f t="shared" si="30"/>
        <v>OK</v>
      </c>
      <c r="AE228" s="240" t="str">
        <f t="shared" si="31"/>
        <v>OK</v>
      </c>
      <c r="AF228" s="240" t="str" cm="1">
        <f t="array" aca="1" ref="AF228" ca="1" xml:space="preserve">
IF(AND($G228&lt;&gt;"",$F228=""),"ERROR",
IF(OR($F228:$G228="",AND($G228="",$F228&lt;&gt;"")),"OK",
IF(COUNTIF(INDIRECT(IFERROR(LEFT($F228,FIND(" ",$F228)-1),$F228)), $G228)&gt;0, "OK", "ERROR")))</f>
        <v>OK</v>
      </c>
    </row>
    <row r="229" spans="1:32" s="240" customFormat="1">
      <c r="A229" s="48"/>
      <c r="B229" s="31"/>
      <c r="C229" s="48"/>
      <c r="D229" s="47"/>
      <c r="E229" s="47"/>
      <c r="F229" s="31"/>
      <c r="G229" s="31"/>
      <c r="H229" s="31"/>
      <c r="I229" s="47"/>
      <c r="J229" s="31"/>
      <c r="K229" s="47"/>
      <c r="L229" s="47"/>
      <c r="M229" s="47"/>
      <c r="N229" s="31"/>
      <c r="O229" s="47"/>
      <c r="P229" s="31"/>
      <c r="Q229" s="31"/>
      <c r="R229" s="31"/>
      <c r="S229" s="31"/>
      <c r="T229" s="270">
        <f t="shared" si="24"/>
        <v>0</v>
      </c>
      <c r="U229" s="270">
        <f t="shared" si="25"/>
        <v>0</v>
      </c>
      <c r="V229" s="31"/>
      <c r="X229" s="240" t="str">
        <f t="shared" si="26"/>
        <v>OK</v>
      </c>
      <c r="Y229" s="240" t="str">
        <f t="shared" si="27"/>
        <v>OK</v>
      </c>
      <c r="Z229" s="240" t="str">
        <f t="shared" si="28"/>
        <v>OK</v>
      </c>
      <c r="AA229" s="240" t="str" cm="1">
        <f t="array" ref="AA229">IF(OR(AND(J229="Not accepted",N229:O229&lt;&gt;"",$S229=""),AND(J229="Accepted",S229="")),"ERROR","OK")</f>
        <v>OK</v>
      </c>
      <c r="AB229" s="240" t="str">
        <f t="shared" si="29"/>
        <v>OK</v>
      </c>
      <c r="AC229" s="240" t="str" cm="1">
        <f t="array" ref="AC229">IF(AND(F229:H229&lt;&gt;"",I229=""),"ERROR","OK")</f>
        <v>OK</v>
      </c>
      <c r="AD229" s="240" t="str">
        <f t="shared" si="30"/>
        <v>OK</v>
      </c>
      <c r="AE229" s="240" t="str">
        <f t="shared" si="31"/>
        <v>OK</v>
      </c>
      <c r="AF229" s="240" t="str" cm="1">
        <f t="array" aca="1" ref="AF229" ca="1" xml:space="preserve">
IF(AND($G229&lt;&gt;"",$F229=""),"ERROR",
IF(OR($F229:$G229="",AND($G229="",$F229&lt;&gt;"")),"OK",
IF(COUNTIF(INDIRECT(IFERROR(LEFT($F229,FIND(" ",$F229)-1),$F229)), $G229)&gt;0, "OK", "ERROR")))</f>
        <v>OK</v>
      </c>
    </row>
    <row r="230" spans="1:32" s="240" customFormat="1">
      <c r="A230" s="48"/>
      <c r="B230" s="31"/>
      <c r="C230" s="48"/>
      <c r="D230" s="47"/>
      <c r="E230" s="47"/>
      <c r="F230" s="31"/>
      <c r="G230" s="31"/>
      <c r="H230" s="31"/>
      <c r="I230" s="47"/>
      <c r="J230" s="31"/>
      <c r="K230" s="47"/>
      <c r="L230" s="47"/>
      <c r="M230" s="47"/>
      <c r="N230" s="31"/>
      <c r="O230" s="47"/>
      <c r="P230" s="31"/>
      <c r="Q230" s="31"/>
      <c r="R230" s="31"/>
      <c r="S230" s="31"/>
      <c r="T230" s="270">
        <f t="shared" si="24"/>
        <v>0</v>
      </c>
      <c r="U230" s="270">
        <f t="shared" si="25"/>
        <v>0</v>
      </c>
      <c r="V230" s="31"/>
      <c r="X230" s="240" t="str">
        <f t="shared" si="26"/>
        <v>OK</v>
      </c>
      <c r="Y230" s="240" t="str">
        <f t="shared" si="27"/>
        <v>OK</v>
      </c>
      <c r="Z230" s="240" t="str">
        <f t="shared" si="28"/>
        <v>OK</v>
      </c>
      <c r="AA230" s="240" t="str" cm="1">
        <f t="array" ref="AA230">IF(OR(AND(J230="Not accepted",N230:O230&lt;&gt;"",$S230=""),AND(J230="Accepted",S230="")),"ERROR","OK")</f>
        <v>OK</v>
      </c>
      <c r="AB230" s="240" t="str">
        <f t="shared" si="29"/>
        <v>OK</v>
      </c>
      <c r="AC230" s="240" t="str" cm="1">
        <f t="array" ref="AC230">IF(AND(F230:H230&lt;&gt;"",I230=""),"ERROR","OK")</f>
        <v>OK</v>
      </c>
      <c r="AD230" s="240" t="str">
        <f t="shared" si="30"/>
        <v>OK</v>
      </c>
      <c r="AE230" s="240" t="str">
        <f t="shared" si="31"/>
        <v>OK</v>
      </c>
      <c r="AF230" s="240" t="str" cm="1">
        <f t="array" aca="1" ref="AF230" ca="1" xml:space="preserve">
IF(AND($G230&lt;&gt;"",$F230=""),"ERROR",
IF(OR($F230:$G230="",AND($G230="",$F230&lt;&gt;"")),"OK",
IF(COUNTIF(INDIRECT(IFERROR(LEFT($F230,FIND(" ",$F230)-1),$F230)), $G230)&gt;0, "OK", "ERROR")))</f>
        <v>OK</v>
      </c>
    </row>
    <row r="231" spans="1:32" s="240" customFormat="1">
      <c r="A231" s="48"/>
      <c r="B231" s="31"/>
      <c r="C231" s="48"/>
      <c r="D231" s="47"/>
      <c r="E231" s="47"/>
      <c r="F231" s="31"/>
      <c r="G231" s="31"/>
      <c r="H231" s="31"/>
      <c r="I231" s="47"/>
      <c r="J231" s="31"/>
      <c r="K231" s="47"/>
      <c r="L231" s="47"/>
      <c r="M231" s="47"/>
      <c r="N231" s="31"/>
      <c r="O231" s="47"/>
      <c r="P231" s="31"/>
      <c r="Q231" s="31"/>
      <c r="R231" s="31"/>
      <c r="S231" s="31"/>
      <c r="T231" s="270">
        <f t="shared" si="24"/>
        <v>0</v>
      </c>
      <c r="U231" s="270">
        <f t="shared" si="25"/>
        <v>0</v>
      </c>
      <c r="V231" s="31"/>
      <c r="X231" s="240" t="str">
        <f t="shared" si="26"/>
        <v>OK</v>
      </c>
      <c r="Y231" s="240" t="str">
        <f t="shared" si="27"/>
        <v>OK</v>
      </c>
      <c r="Z231" s="240" t="str">
        <f t="shared" si="28"/>
        <v>OK</v>
      </c>
      <c r="AA231" s="240" t="str" cm="1">
        <f t="array" ref="AA231">IF(OR(AND(J231="Not accepted",N231:O231&lt;&gt;"",$S231=""),AND(J231="Accepted",S231="")),"ERROR","OK")</f>
        <v>OK</v>
      </c>
      <c r="AB231" s="240" t="str">
        <f t="shared" si="29"/>
        <v>OK</v>
      </c>
      <c r="AC231" s="240" t="str" cm="1">
        <f t="array" ref="AC231">IF(AND(F231:H231&lt;&gt;"",I231=""),"ERROR","OK")</f>
        <v>OK</v>
      </c>
      <c r="AD231" s="240" t="str">
        <f t="shared" si="30"/>
        <v>OK</v>
      </c>
      <c r="AE231" s="240" t="str">
        <f t="shared" si="31"/>
        <v>OK</v>
      </c>
      <c r="AF231" s="240" t="str" cm="1">
        <f t="array" aca="1" ref="AF231" ca="1" xml:space="preserve">
IF(AND($G231&lt;&gt;"",$F231=""),"ERROR",
IF(OR($F231:$G231="",AND($G231="",$F231&lt;&gt;"")),"OK",
IF(COUNTIF(INDIRECT(IFERROR(LEFT($F231,FIND(" ",$F231)-1),$F231)), $G231)&gt;0, "OK", "ERROR")))</f>
        <v>OK</v>
      </c>
    </row>
    <row r="232" spans="1:32" s="240" customFormat="1">
      <c r="A232" s="48"/>
      <c r="B232" s="31"/>
      <c r="C232" s="48"/>
      <c r="D232" s="47"/>
      <c r="E232" s="47"/>
      <c r="F232" s="31"/>
      <c r="G232" s="31"/>
      <c r="H232" s="31"/>
      <c r="I232" s="47"/>
      <c r="J232" s="31"/>
      <c r="K232" s="47"/>
      <c r="L232" s="47"/>
      <c r="M232" s="47"/>
      <c r="N232" s="31"/>
      <c r="O232" s="47"/>
      <c r="P232" s="31"/>
      <c r="Q232" s="31"/>
      <c r="R232" s="31"/>
      <c r="S232" s="31"/>
      <c r="T232" s="270">
        <f t="shared" si="24"/>
        <v>0</v>
      </c>
      <c r="U232" s="270">
        <f t="shared" si="25"/>
        <v>0</v>
      </c>
      <c r="V232" s="31"/>
      <c r="X232" s="240" t="str">
        <f t="shared" si="26"/>
        <v>OK</v>
      </c>
      <c r="Y232" s="240" t="str">
        <f t="shared" si="27"/>
        <v>OK</v>
      </c>
      <c r="Z232" s="240" t="str">
        <f t="shared" si="28"/>
        <v>OK</v>
      </c>
      <c r="AA232" s="240" t="str" cm="1">
        <f t="array" ref="AA232">IF(OR(AND(J232="Not accepted",N232:O232&lt;&gt;"",$S232=""),AND(J232="Accepted",S232="")),"ERROR","OK")</f>
        <v>OK</v>
      </c>
      <c r="AB232" s="240" t="str">
        <f t="shared" si="29"/>
        <v>OK</v>
      </c>
      <c r="AC232" s="240" t="str" cm="1">
        <f t="array" ref="AC232">IF(AND(F232:H232&lt;&gt;"",I232=""),"ERROR","OK")</f>
        <v>OK</v>
      </c>
      <c r="AD232" s="240" t="str">
        <f t="shared" si="30"/>
        <v>OK</v>
      </c>
      <c r="AE232" s="240" t="str">
        <f t="shared" si="31"/>
        <v>OK</v>
      </c>
      <c r="AF232" s="240" t="str" cm="1">
        <f t="array" aca="1" ref="AF232" ca="1" xml:space="preserve">
IF(AND($G232&lt;&gt;"",$F232=""),"ERROR",
IF(OR($F232:$G232="",AND($G232="",$F232&lt;&gt;"")),"OK",
IF(COUNTIF(INDIRECT(IFERROR(LEFT($F232,FIND(" ",$F232)-1),$F232)), $G232)&gt;0, "OK", "ERROR")))</f>
        <v>OK</v>
      </c>
    </row>
    <row r="233" spans="1:32" s="240" customFormat="1">
      <c r="A233" s="48"/>
      <c r="B233" s="31"/>
      <c r="C233" s="48"/>
      <c r="D233" s="47"/>
      <c r="E233" s="47"/>
      <c r="F233" s="31"/>
      <c r="G233" s="31"/>
      <c r="H233" s="31"/>
      <c r="I233" s="47"/>
      <c r="J233" s="31"/>
      <c r="K233" s="47"/>
      <c r="L233" s="47"/>
      <c r="M233" s="47"/>
      <c r="N233" s="31"/>
      <c r="O233" s="47"/>
      <c r="P233" s="31"/>
      <c r="Q233" s="31"/>
      <c r="R233" s="31"/>
      <c r="S233" s="31"/>
      <c r="T233" s="270">
        <f t="shared" si="24"/>
        <v>0</v>
      </c>
      <c r="U233" s="270">
        <f t="shared" si="25"/>
        <v>0</v>
      </c>
      <c r="V233" s="31"/>
      <c r="X233" s="240" t="str">
        <f t="shared" si="26"/>
        <v>OK</v>
      </c>
      <c r="Y233" s="240" t="str">
        <f t="shared" si="27"/>
        <v>OK</v>
      </c>
      <c r="Z233" s="240" t="str">
        <f t="shared" si="28"/>
        <v>OK</v>
      </c>
      <c r="AA233" s="240" t="str" cm="1">
        <f t="array" ref="AA233">IF(OR(AND(J233="Not accepted",N233:O233&lt;&gt;"",$S233=""),AND(J233="Accepted",S233="")),"ERROR","OK")</f>
        <v>OK</v>
      </c>
      <c r="AB233" s="240" t="str">
        <f t="shared" si="29"/>
        <v>OK</v>
      </c>
      <c r="AC233" s="240" t="str" cm="1">
        <f t="array" ref="AC233">IF(AND(F233:H233&lt;&gt;"",I233=""),"ERROR","OK")</f>
        <v>OK</v>
      </c>
      <c r="AD233" s="240" t="str">
        <f t="shared" si="30"/>
        <v>OK</v>
      </c>
      <c r="AE233" s="240" t="str">
        <f t="shared" si="31"/>
        <v>OK</v>
      </c>
      <c r="AF233" s="240" t="str" cm="1">
        <f t="array" aca="1" ref="AF233" ca="1" xml:space="preserve">
IF(AND($G233&lt;&gt;"",$F233=""),"ERROR",
IF(OR($F233:$G233="",AND($G233="",$F233&lt;&gt;"")),"OK",
IF(COUNTIF(INDIRECT(IFERROR(LEFT($F233,FIND(" ",$F233)-1),$F233)), $G233)&gt;0, "OK", "ERROR")))</f>
        <v>OK</v>
      </c>
    </row>
    <row r="234" spans="1:32" s="240" customFormat="1">
      <c r="A234" s="48"/>
      <c r="B234" s="31"/>
      <c r="C234" s="48"/>
      <c r="D234" s="47"/>
      <c r="E234" s="47"/>
      <c r="F234" s="31"/>
      <c r="G234" s="31"/>
      <c r="H234" s="31"/>
      <c r="I234" s="47"/>
      <c r="J234" s="31"/>
      <c r="K234" s="47"/>
      <c r="L234" s="47"/>
      <c r="M234" s="47"/>
      <c r="N234" s="31"/>
      <c r="O234" s="47"/>
      <c r="P234" s="31"/>
      <c r="Q234" s="31"/>
      <c r="R234" s="31"/>
      <c r="S234" s="31"/>
      <c r="T234" s="270">
        <f t="shared" si="24"/>
        <v>0</v>
      </c>
      <c r="U234" s="270">
        <f t="shared" si="25"/>
        <v>0</v>
      </c>
      <c r="V234" s="31"/>
      <c r="X234" s="240" t="str">
        <f t="shared" si="26"/>
        <v>OK</v>
      </c>
      <c r="Y234" s="240" t="str">
        <f t="shared" si="27"/>
        <v>OK</v>
      </c>
      <c r="Z234" s="240" t="str">
        <f t="shared" si="28"/>
        <v>OK</v>
      </c>
      <c r="AA234" s="240" t="str" cm="1">
        <f t="array" ref="AA234">IF(OR(AND(J234="Not accepted",N234:O234&lt;&gt;"",$S234=""),AND(J234="Accepted",S234="")),"ERROR","OK")</f>
        <v>OK</v>
      </c>
      <c r="AB234" s="240" t="str">
        <f t="shared" si="29"/>
        <v>OK</v>
      </c>
      <c r="AC234" s="240" t="str" cm="1">
        <f t="array" ref="AC234">IF(AND(F234:H234&lt;&gt;"",I234=""),"ERROR","OK")</f>
        <v>OK</v>
      </c>
      <c r="AD234" s="240" t="str">
        <f t="shared" si="30"/>
        <v>OK</v>
      </c>
      <c r="AE234" s="240" t="str">
        <f t="shared" si="31"/>
        <v>OK</v>
      </c>
      <c r="AF234" s="240" t="str" cm="1">
        <f t="array" aca="1" ref="AF234" ca="1" xml:space="preserve">
IF(AND($G234&lt;&gt;"",$F234=""),"ERROR",
IF(OR($F234:$G234="",AND($G234="",$F234&lt;&gt;"")),"OK",
IF(COUNTIF(INDIRECT(IFERROR(LEFT($F234,FIND(" ",$F234)-1),$F234)), $G234)&gt;0, "OK", "ERROR")))</f>
        <v>OK</v>
      </c>
    </row>
    <row r="235" spans="1:32" s="240" customFormat="1">
      <c r="A235" s="48"/>
      <c r="B235" s="31"/>
      <c r="C235" s="48"/>
      <c r="D235" s="47"/>
      <c r="E235" s="47"/>
      <c r="F235" s="31"/>
      <c r="G235" s="31"/>
      <c r="H235" s="31"/>
      <c r="I235" s="47"/>
      <c r="J235" s="31"/>
      <c r="K235" s="47"/>
      <c r="L235" s="47"/>
      <c r="M235" s="47"/>
      <c r="N235" s="31"/>
      <c r="O235" s="47"/>
      <c r="P235" s="31"/>
      <c r="Q235" s="31"/>
      <c r="R235" s="31"/>
      <c r="S235" s="31"/>
      <c r="T235" s="270">
        <f t="shared" si="24"/>
        <v>0</v>
      </c>
      <c r="U235" s="270">
        <f t="shared" si="25"/>
        <v>0</v>
      </c>
      <c r="V235" s="31"/>
      <c r="X235" s="240" t="str">
        <f t="shared" si="26"/>
        <v>OK</v>
      </c>
      <c r="Y235" s="240" t="str">
        <f t="shared" si="27"/>
        <v>OK</v>
      </c>
      <c r="Z235" s="240" t="str">
        <f t="shared" si="28"/>
        <v>OK</v>
      </c>
      <c r="AA235" s="240" t="str" cm="1">
        <f t="array" ref="AA235">IF(OR(AND(J235="Not accepted",N235:O235&lt;&gt;"",$S235=""),AND(J235="Accepted",S235="")),"ERROR","OK")</f>
        <v>OK</v>
      </c>
      <c r="AB235" s="240" t="str">
        <f t="shared" si="29"/>
        <v>OK</v>
      </c>
      <c r="AC235" s="240" t="str" cm="1">
        <f t="array" ref="AC235">IF(AND(F235:H235&lt;&gt;"",I235=""),"ERROR","OK")</f>
        <v>OK</v>
      </c>
      <c r="AD235" s="240" t="str">
        <f t="shared" si="30"/>
        <v>OK</v>
      </c>
      <c r="AE235" s="240" t="str">
        <f t="shared" si="31"/>
        <v>OK</v>
      </c>
      <c r="AF235" s="240" t="str" cm="1">
        <f t="array" aca="1" ref="AF235" ca="1" xml:space="preserve">
IF(AND($G235&lt;&gt;"",$F235=""),"ERROR",
IF(OR($F235:$G235="",AND($G235="",$F235&lt;&gt;"")),"OK",
IF(COUNTIF(INDIRECT(IFERROR(LEFT($F235,FIND(" ",$F235)-1),$F235)), $G235)&gt;0, "OK", "ERROR")))</f>
        <v>OK</v>
      </c>
    </row>
    <row r="236" spans="1:32" s="240" customFormat="1">
      <c r="A236" s="48"/>
      <c r="B236" s="31"/>
      <c r="C236" s="48"/>
      <c r="D236" s="47"/>
      <c r="E236" s="47"/>
      <c r="F236" s="31"/>
      <c r="G236" s="31"/>
      <c r="H236" s="31"/>
      <c r="I236" s="47"/>
      <c r="J236" s="31"/>
      <c r="K236" s="47"/>
      <c r="L236" s="47"/>
      <c r="M236" s="47"/>
      <c r="N236" s="31"/>
      <c r="O236" s="47"/>
      <c r="P236" s="31"/>
      <c r="Q236" s="31"/>
      <c r="R236" s="31"/>
      <c r="S236" s="31"/>
      <c r="T236" s="270">
        <f t="shared" si="24"/>
        <v>0</v>
      </c>
      <c r="U236" s="270">
        <f t="shared" si="25"/>
        <v>0</v>
      </c>
      <c r="V236" s="31"/>
      <c r="X236" s="240" t="str">
        <f t="shared" si="26"/>
        <v>OK</v>
      </c>
      <c r="Y236" s="240" t="str">
        <f t="shared" si="27"/>
        <v>OK</v>
      </c>
      <c r="Z236" s="240" t="str">
        <f t="shared" si="28"/>
        <v>OK</v>
      </c>
      <c r="AA236" s="240" t="str" cm="1">
        <f t="array" ref="AA236">IF(OR(AND(J236="Not accepted",N236:O236&lt;&gt;"",$S236=""),AND(J236="Accepted",S236="")),"ERROR","OK")</f>
        <v>OK</v>
      </c>
      <c r="AB236" s="240" t="str">
        <f t="shared" si="29"/>
        <v>OK</v>
      </c>
      <c r="AC236" s="240" t="str" cm="1">
        <f t="array" ref="AC236">IF(AND(F236:H236&lt;&gt;"",I236=""),"ERROR","OK")</f>
        <v>OK</v>
      </c>
      <c r="AD236" s="240" t="str">
        <f t="shared" si="30"/>
        <v>OK</v>
      </c>
      <c r="AE236" s="240" t="str">
        <f t="shared" si="31"/>
        <v>OK</v>
      </c>
      <c r="AF236" s="240" t="str" cm="1">
        <f t="array" aca="1" ref="AF236" ca="1" xml:space="preserve">
IF(AND($G236&lt;&gt;"",$F236=""),"ERROR",
IF(OR($F236:$G236="",AND($G236="",$F236&lt;&gt;"")),"OK",
IF(COUNTIF(INDIRECT(IFERROR(LEFT($F236,FIND(" ",$F236)-1),$F236)), $G236)&gt;0, "OK", "ERROR")))</f>
        <v>OK</v>
      </c>
    </row>
    <row r="237" spans="1:32" s="240" customFormat="1">
      <c r="A237" s="48"/>
      <c r="B237" s="31"/>
      <c r="C237" s="48"/>
      <c r="D237" s="47"/>
      <c r="E237" s="47"/>
      <c r="F237" s="31"/>
      <c r="G237" s="31"/>
      <c r="H237" s="31"/>
      <c r="I237" s="47"/>
      <c r="J237" s="31"/>
      <c r="K237" s="47"/>
      <c r="L237" s="47"/>
      <c r="M237" s="47"/>
      <c r="N237" s="31"/>
      <c r="O237" s="47"/>
      <c r="P237" s="31"/>
      <c r="Q237" s="31"/>
      <c r="R237" s="31"/>
      <c r="S237" s="31"/>
      <c r="T237" s="270">
        <f t="shared" si="24"/>
        <v>0</v>
      </c>
      <c r="U237" s="270">
        <f t="shared" si="25"/>
        <v>0</v>
      </c>
      <c r="V237" s="31"/>
      <c r="X237" s="240" t="str">
        <f t="shared" si="26"/>
        <v>OK</v>
      </c>
      <c r="Y237" s="240" t="str">
        <f t="shared" si="27"/>
        <v>OK</v>
      </c>
      <c r="Z237" s="240" t="str">
        <f t="shared" si="28"/>
        <v>OK</v>
      </c>
      <c r="AA237" s="240" t="str" cm="1">
        <f t="array" ref="AA237">IF(OR(AND(J237="Not accepted",N237:O237&lt;&gt;"",$S237=""),AND(J237="Accepted",S237="")),"ERROR","OK")</f>
        <v>OK</v>
      </c>
      <c r="AB237" s="240" t="str">
        <f t="shared" si="29"/>
        <v>OK</v>
      </c>
      <c r="AC237" s="240" t="str" cm="1">
        <f t="array" ref="AC237">IF(AND(F237:H237&lt;&gt;"",I237=""),"ERROR","OK")</f>
        <v>OK</v>
      </c>
      <c r="AD237" s="240" t="str">
        <f t="shared" si="30"/>
        <v>OK</v>
      </c>
      <c r="AE237" s="240" t="str">
        <f t="shared" si="31"/>
        <v>OK</v>
      </c>
      <c r="AF237" s="240" t="str" cm="1">
        <f t="array" aca="1" ref="AF237" ca="1" xml:space="preserve">
IF(AND($G237&lt;&gt;"",$F237=""),"ERROR",
IF(OR($F237:$G237="",AND($G237="",$F237&lt;&gt;"")),"OK",
IF(COUNTIF(INDIRECT(IFERROR(LEFT($F237,FIND(" ",$F237)-1),$F237)), $G237)&gt;0, "OK", "ERROR")))</f>
        <v>OK</v>
      </c>
    </row>
    <row r="238" spans="1:32" s="240" customFormat="1">
      <c r="A238" s="48"/>
      <c r="B238" s="31"/>
      <c r="C238" s="48"/>
      <c r="D238" s="47"/>
      <c r="E238" s="47"/>
      <c r="F238" s="31"/>
      <c r="G238" s="31"/>
      <c r="H238" s="31"/>
      <c r="I238" s="47"/>
      <c r="J238" s="31"/>
      <c r="K238" s="47"/>
      <c r="L238" s="47"/>
      <c r="M238" s="47"/>
      <c r="N238" s="31"/>
      <c r="O238" s="47"/>
      <c r="P238" s="31"/>
      <c r="Q238" s="31"/>
      <c r="R238" s="31"/>
      <c r="S238" s="31"/>
      <c r="T238" s="270">
        <f t="shared" si="24"/>
        <v>0</v>
      </c>
      <c r="U238" s="270">
        <f t="shared" si="25"/>
        <v>0</v>
      </c>
      <c r="V238" s="31"/>
      <c r="X238" s="240" t="str">
        <f t="shared" si="26"/>
        <v>OK</v>
      </c>
      <c r="Y238" s="240" t="str">
        <f t="shared" si="27"/>
        <v>OK</v>
      </c>
      <c r="Z238" s="240" t="str">
        <f t="shared" si="28"/>
        <v>OK</v>
      </c>
      <c r="AA238" s="240" t="str" cm="1">
        <f t="array" ref="AA238">IF(OR(AND(J238="Not accepted",N238:O238&lt;&gt;"",$S238=""),AND(J238="Accepted",S238="")),"ERROR","OK")</f>
        <v>OK</v>
      </c>
      <c r="AB238" s="240" t="str">
        <f t="shared" si="29"/>
        <v>OK</v>
      </c>
      <c r="AC238" s="240" t="str" cm="1">
        <f t="array" ref="AC238">IF(AND(F238:H238&lt;&gt;"",I238=""),"ERROR","OK")</f>
        <v>OK</v>
      </c>
      <c r="AD238" s="240" t="str">
        <f t="shared" si="30"/>
        <v>OK</v>
      </c>
      <c r="AE238" s="240" t="str">
        <f t="shared" si="31"/>
        <v>OK</v>
      </c>
      <c r="AF238" s="240" t="str" cm="1">
        <f t="array" aca="1" ref="AF238" ca="1" xml:space="preserve">
IF(AND($G238&lt;&gt;"",$F238=""),"ERROR",
IF(OR($F238:$G238="",AND($G238="",$F238&lt;&gt;"")),"OK",
IF(COUNTIF(INDIRECT(IFERROR(LEFT($F238,FIND(" ",$F238)-1),$F238)), $G238)&gt;0, "OK", "ERROR")))</f>
        <v>OK</v>
      </c>
    </row>
    <row r="239" spans="1:32" s="240" customFormat="1">
      <c r="A239" s="48"/>
      <c r="B239" s="31"/>
      <c r="C239" s="48"/>
      <c r="D239" s="47"/>
      <c r="E239" s="47"/>
      <c r="F239" s="31"/>
      <c r="G239" s="31"/>
      <c r="H239" s="31"/>
      <c r="I239" s="47"/>
      <c r="J239" s="31"/>
      <c r="K239" s="47"/>
      <c r="L239" s="47"/>
      <c r="M239" s="47"/>
      <c r="N239" s="31"/>
      <c r="O239" s="47"/>
      <c r="P239" s="31"/>
      <c r="Q239" s="31"/>
      <c r="R239" s="31"/>
      <c r="S239" s="31"/>
      <c r="T239" s="270">
        <f t="shared" si="24"/>
        <v>0</v>
      </c>
      <c r="U239" s="270">
        <f t="shared" si="25"/>
        <v>0</v>
      </c>
      <c r="V239" s="31"/>
      <c r="X239" s="240" t="str">
        <f t="shared" si="26"/>
        <v>OK</v>
      </c>
      <c r="Y239" s="240" t="str">
        <f t="shared" si="27"/>
        <v>OK</v>
      </c>
      <c r="Z239" s="240" t="str">
        <f t="shared" si="28"/>
        <v>OK</v>
      </c>
      <c r="AA239" s="240" t="str" cm="1">
        <f t="array" ref="AA239">IF(OR(AND(J239="Not accepted",N239:O239&lt;&gt;"",$S239=""),AND(J239="Accepted",S239="")),"ERROR","OK")</f>
        <v>OK</v>
      </c>
      <c r="AB239" s="240" t="str">
        <f t="shared" si="29"/>
        <v>OK</v>
      </c>
      <c r="AC239" s="240" t="str" cm="1">
        <f t="array" ref="AC239">IF(AND(F239:H239&lt;&gt;"",I239=""),"ERROR","OK")</f>
        <v>OK</v>
      </c>
      <c r="AD239" s="240" t="str">
        <f t="shared" si="30"/>
        <v>OK</v>
      </c>
      <c r="AE239" s="240" t="str">
        <f t="shared" si="31"/>
        <v>OK</v>
      </c>
      <c r="AF239" s="240" t="str" cm="1">
        <f t="array" aca="1" ref="AF239" ca="1" xml:space="preserve">
IF(AND($G239&lt;&gt;"",$F239=""),"ERROR",
IF(OR($F239:$G239="",AND($G239="",$F239&lt;&gt;"")),"OK",
IF(COUNTIF(INDIRECT(IFERROR(LEFT($F239,FIND(" ",$F239)-1),$F239)), $G239)&gt;0, "OK", "ERROR")))</f>
        <v>OK</v>
      </c>
    </row>
    <row r="240" spans="1:32" s="240" customFormat="1">
      <c r="A240" s="48"/>
      <c r="B240" s="31"/>
      <c r="C240" s="48"/>
      <c r="D240" s="47"/>
      <c r="E240" s="47"/>
      <c r="F240" s="31"/>
      <c r="G240" s="31"/>
      <c r="H240" s="31"/>
      <c r="I240" s="47"/>
      <c r="J240" s="31"/>
      <c r="K240" s="47"/>
      <c r="L240" s="47"/>
      <c r="M240" s="47"/>
      <c r="N240" s="31"/>
      <c r="O240" s="47"/>
      <c r="P240" s="31"/>
      <c r="Q240" s="31"/>
      <c r="R240" s="31"/>
      <c r="S240" s="31"/>
      <c r="T240" s="270">
        <f t="shared" si="24"/>
        <v>0</v>
      </c>
      <c r="U240" s="270">
        <f t="shared" si="25"/>
        <v>0</v>
      </c>
      <c r="V240" s="31"/>
      <c r="X240" s="240" t="str">
        <f t="shared" si="26"/>
        <v>OK</v>
      </c>
      <c r="Y240" s="240" t="str">
        <f t="shared" si="27"/>
        <v>OK</v>
      </c>
      <c r="Z240" s="240" t="str">
        <f t="shared" si="28"/>
        <v>OK</v>
      </c>
      <c r="AA240" s="240" t="str" cm="1">
        <f t="array" ref="AA240">IF(OR(AND(J240="Not accepted",N240:O240&lt;&gt;"",$S240=""),AND(J240="Accepted",S240="")),"ERROR","OK")</f>
        <v>OK</v>
      </c>
      <c r="AB240" s="240" t="str">
        <f t="shared" si="29"/>
        <v>OK</v>
      </c>
      <c r="AC240" s="240" t="str" cm="1">
        <f t="array" ref="AC240">IF(AND(F240:H240&lt;&gt;"",I240=""),"ERROR","OK")</f>
        <v>OK</v>
      </c>
      <c r="AD240" s="240" t="str">
        <f t="shared" si="30"/>
        <v>OK</v>
      </c>
      <c r="AE240" s="240" t="str">
        <f t="shared" si="31"/>
        <v>OK</v>
      </c>
      <c r="AF240" s="240" t="str" cm="1">
        <f t="array" aca="1" ref="AF240" ca="1" xml:space="preserve">
IF(AND($G240&lt;&gt;"",$F240=""),"ERROR",
IF(OR($F240:$G240="",AND($G240="",$F240&lt;&gt;"")),"OK",
IF(COUNTIF(INDIRECT(IFERROR(LEFT($F240,FIND(" ",$F240)-1),$F240)), $G240)&gt;0, "OK", "ERROR")))</f>
        <v>OK</v>
      </c>
    </row>
    <row r="241" spans="1:32" s="240" customFormat="1">
      <c r="A241" s="48"/>
      <c r="B241" s="31"/>
      <c r="C241" s="48"/>
      <c r="D241" s="47"/>
      <c r="E241" s="47"/>
      <c r="F241" s="31"/>
      <c r="G241" s="31"/>
      <c r="H241" s="31"/>
      <c r="I241" s="47"/>
      <c r="J241" s="31"/>
      <c r="K241" s="47"/>
      <c r="L241" s="47"/>
      <c r="M241" s="47"/>
      <c r="N241" s="31"/>
      <c r="O241" s="47"/>
      <c r="P241" s="31"/>
      <c r="Q241" s="31"/>
      <c r="R241" s="31"/>
      <c r="S241" s="31"/>
      <c r="T241" s="270">
        <f t="shared" si="24"/>
        <v>0</v>
      </c>
      <c r="U241" s="270">
        <f t="shared" si="25"/>
        <v>0</v>
      </c>
      <c r="V241" s="31"/>
      <c r="X241" s="240" t="str">
        <f t="shared" si="26"/>
        <v>OK</v>
      </c>
      <c r="Y241" s="240" t="str">
        <f t="shared" si="27"/>
        <v>OK</v>
      </c>
      <c r="Z241" s="240" t="str">
        <f t="shared" si="28"/>
        <v>OK</v>
      </c>
      <c r="AA241" s="240" t="str" cm="1">
        <f t="array" ref="AA241">IF(OR(AND(J241="Not accepted",N241:O241&lt;&gt;"",$S241=""),AND(J241="Accepted",S241="")),"ERROR","OK")</f>
        <v>OK</v>
      </c>
      <c r="AB241" s="240" t="str">
        <f t="shared" si="29"/>
        <v>OK</v>
      </c>
      <c r="AC241" s="240" t="str" cm="1">
        <f t="array" ref="AC241">IF(AND(F241:H241&lt;&gt;"",I241=""),"ERROR","OK")</f>
        <v>OK</v>
      </c>
      <c r="AD241" s="240" t="str">
        <f t="shared" si="30"/>
        <v>OK</v>
      </c>
      <c r="AE241" s="240" t="str">
        <f t="shared" si="31"/>
        <v>OK</v>
      </c>
      <c r="AF241" s="240" t="str" cm="1">
        <f t="array" aca="1" ref="AF241" ca="1" xml:space="preserve">
IF(AND($G241&lt;&gt;"",$F241=""),"ERROR",
IF(OR($F241:$G241="",AND($G241="",$F241&lt;&gt;"")),"OK",
IF(COUNTIF(INDIRECT(IFERROR(LEFT($F241,FIND(" ",$F241)-1),$F241)), $G241)&gt;0, "OK", "ERROR")))</f>
        <v>OK</v>
      </c>
    </row>
    <row r="242" spans="1:32" s="240" customFormat="1">
      <c r="A242" s="48"/>
      <c r="B242" s="31"/>
      <c r="C242" s="48"/>
      <c r="D242" s="47"/>
      <c r="E242" s="47"/>
      <c r="F242" s="31"/>
      <c r="G242" s="31"/>
      <c r="H242" s="31"/>
      <c r="I242" s="47"/>
      <c r="J242" s="31"/>
      <c r="K242" s="47"/>
      <c r="L242" s="47"/>
      <c r="M242" s="47"/>
      <c r="N242" s="31"/>
      <c r="O242" s="47"/>
      <c r="P242" s="31"/>
      <c r="Q242" s="31"/>
      <c r="R242" s="31"/>
      <c r="S242" s="31"/>
      <c r="T242" s="270">
        <f t="shared" si="24"/>
        <v>0</v>
      </c>
      <c r="U242" s="270">
        <f t="shared" si="25"/>
        <v>0</v>
      </c>
      <c r="V242" s="31"/>
      <c r="X242" s="240" t="str">
        <f t="shared" si="26"/>
        <v>OK</v>
      </c>
      <c r="Y242" s="240" t="str">
        <f t="shared" si="27"/>
        <v>OK</v>
      </c>
      <c r="Z242" s="240" t="str">
        <f t="shared" si="28"/>
        <v>OK</v>
      </c>
      <c r="AA242" s="240" t="str" cm="1">
        <f t="array" ref="AA242">IF(OR(AND(J242="Not accepted",N242:O242&lt;&gt;"",$S242=""),AND(J242="Accepted",S242="")),"ERROR","OK")</f>
        <v>OK</v>
      </c>
      <c r="AB242" s="240" t="str">
        <f t="shared" si="29"/>
        <v>OK</v>
      </c>
      <c r="AC242" s="240" t="str" cm="1">
        <f t="array" ref="AC242">IF(AND(F242:H242&lt;&gt;"",I242=""),"ERROR","OK")</f>
        <v>OK</v>
      </c>
      <c r="AD242" s="240" t="str">
        <f t="shared" si="30"/>
        <v>OK</v>
      </c>
      <c r="AE242" s="240" t="str">
        <f t="shared" si="31"/>
        <v>OK</v>
      </c>
      <c r="AF242" s="240" t="str" cm="1">
        <f t="array" aca="1" ref="AF242" ca="1" xml:space="preserve">
IF(AND($G242&lt;&gt;"",$F242=""),"ERROR",
IF(OR($F242:$G242="",AND($G242="",$F242&lt;&gt;"")),"OK",
IF(COUNTIF(INDIRECT(IFERROR(LEFT($F242,FIND(" ",$F242)-1),$F242)), $G242)&gt;0, "OK", "ERROR")))</f>
        <v>OK</v>
      </c>
    </row>
    <row r="243" spans="1:32" s="240" customFormat="1">
      <c r="A243" s="48"/>
      <c r="B243" s="31"/>
      <c r="C243" s="48"/>
      <c r="D243" s="47"/>
      <c r="E243" s="47"/>
      <c r="F243" s="31"/>
      <c r="G243" s="31"/>
      <c r="H243" s="31"/>
      <c r="I243" s="47"/>
      <c r="J243" s="31"/>
      <c r="K243" s="47"/>
      <c r="L243" s="47"/>
      <c r="M243" s="47"/>
      <c r="N243" s="31"/>
      <c r="O243" s="47"/>
      <c r="P243" s="31"/>
      <c r="Q243" s="31"/>
      <c r="R243" s="31"/>
      <c r="S243" s="31"/>
      <c r="T243" s="270">
        <f t="shared" si="24"/>
        <v>0</v>
      </c>
      <c r="U243" s="270">
        <f t="shared" si="25"/>
        <v>0</v>
      </c>
      <c r="V243" s="31"/>
      <c r="X243" s="240" t="str">
        <f t="shared" si="26"/>
        <v>OK</v>
      </c>
      <c r="Y243" s="240" t="str">
        <f t="shared" si="27"/>
        <v>OK</v>
      </c>
      <c r="Z243" s="240" t="str">
        <f t="shared" si="28"/>
        <v>OK</v>
      </c>
      <c r="AA243" s="240" t="str" cm="1">
        <f t="array" ref="AA243">IF(OR(AND(J243="Not accepted",N243:O243&lt;&gt;"",$S243=""),AND(J243="Accepted",S243="")),"ERROR","OK")</f>
        <v>OK</v>
      </c>
      <c r="AB243" s="240" t="str">
        <f t="shared" si="29"/>
        <v>OK</v>
      </c>
      <c r="AC243" s="240" t="str" cm="1">
        <f t="array" ref="AC243">IF(AND(F243:H243&lt;&gt;"",I243=""),"ERROR","OK")</f>
        <v>OK</v>
      </c>
      <c r="AD243" s="240" t="str">
        <f t="shared" si="30"/>
        <v>OK</v>
      </c>
      <c r="AE243" s="240" t="str">
        <f t="shared" si="31"/>
        <v>OK</v>
      </c>
      <c r="AF243" s="240" t="str" cm="1">
        <f t="array" aca="1" ref="AF243" ca="1" xml:space="preserve">
IF(AND($G243&lt;&gt;"",$F243=""),"ERROR",
IF(OR($F243:$G243="",AND($G243="",$F243&lt;&gt;"")),"OK",
IF(COUNTIF(INDIRECT(IFERROR(LEFT($F243,FIND(" ",$F243)-1),$F243)), $G243)&gt;0, "OK", "ERROR")))</f>
        <v>OK</v>
      </c>
    </row>
    <row r="244" spans="1:32" s="240" customFormat="1">
      <c r="A244" s="48"/>
      <c r="B244" s="31"/>
      <c r="C244" s="48"/>
      <c r="D244" s="47"/>
      <c r="E244" s="47"/>
      <c r="F244" s="31"/>
      <c r="G244" s="31"/>
      <c r="H244" s="31"/>
      <c r="I244" s="47"/>
      <c r="J244" s="31"/>
      <c r="K244" s="47"/>
      <c r="L244" s="47"/>
      <c r="M244" s="47"/>
      <c r="N244" s="31"/>
      <c r="O244" s="47"/>
      <c r="P244" s="31"/>
      <c r="Q244" s="31"/>
      <c r="R244" s="31"/>
      <c r="S244" s="31"/>
      <c r="T244" s="270">
        <f t="shared" si="24"/>
        <v>0</v>
      </c>
      <c r="U244" s="270">
        <f t="shared" si="25"/>
        <v>0</v>
      </c>
      <c r="V244" s="31"/>
      <c r="X244" s="240" t="str">
        <f t="shared" si="26"/>
        <v>OK</v>
      </c>
      <c r="Y244" s="240" t="str">
        <f t="shared" si="27"/>
        <v>OK</v>
      </c>
      <c r="Z244" s="240" t="str">
        <f t="shared" si="28"/>
        <v>OK</v>
      </c>
      <c r="AA244" s="240" t="str" cm="1">
        <f t="array" ref="AA244">IF(OR(AND(J244="Not accepted",N244:O244&lt;&gt;"",$S244=""),AND(J244="Accepted",S244="")),"ERROR","OK")</f>
        <v>OK</v>
      </c>
      <c r="AB244" s="240" t="str">
        <f t="shared" si="29"/>
        <v>OK</v>
      </c>
      <c r="AC244" s="240" t="str" cm="1">
        <f t="array" ref="AC244">IF(AND(F244:H244&lt;&gt;"",I244=""),"ERROR","OK")</f>
        <v>OK</v>
      </c>
      <c r="AD244" s="240" t="str">
        <f t="shared" si="30"/>
        <v>OK</v>
      </c>
      <c r="AE244" s="240" t="str">
        <f t="shared" si="31"/>
        <v>OK</v>
      </c>
      <c r="AF244" s="240" t="str" cm="1">
        <f t="array" aca="1" ref="AF244" ca="1" xml:space="preserve">
IF(AND($G244&lt;&gt;"",$F244=""),"ERROR",
IF(OR($F244:$G244="",AND($G244="",$F244&lt;&gt;"")),"OK",
IF(COUNTIF(INDIRECT(IFERROR(LEFT($F244,FIND(" ",$F244)-1),$F244)), $G244)&gt;0, "OK", "ERROR")))</f>
        <v>OK</v>
      </c>
    </row>
    <row r="245" spans="1:32" s="240" customFormat="1">
      <c r="A245" s="48"/>
      <c r="B245" s="31"/>
      <c r="C245" s="48"/>
      <c r="D245" s="47"/>
      <c r="E245" s="47"/>
      <c r="F245" s="31"/>
      <c r="G245" s="31"/>
      <c r="H245" s="31"/>
      <c r="I245" s="47"/>
      <c r="J245" s="31"/>
      <c r="K245" s="47"/>
      <c r="L245" s="47"/>
      <c r="M245" s="47"/>
      <c r="N245" s="31"/>
      <c r="O245" s="47"/>
      <c r="P245" s="31"/>
      <c r="Q245" s="31"/>
      <c r="R245" s="31"/>
      <c r="S245" s="31"/>
      <c r="T245" s="270">
        <f t="shared" si="24"/>
        <v>0</v>
      </c>
      <c r="U245" s="270">
        <f t="shared" si="25"/>
        <v>0</v>
      </c>
      <c r="V245" s="31"/>
      <c r="X245" s="240" t="str">
        <f t="shared" si="26"/>
        <v>OK</v>
      </c>
      <c r="Y245" s="240" t="str">
        <f t="shared" si="27"/>
        <v>OK</v>
      </c>
      <c r="Z245" s="240" t="str">
        <f t="shared" si="28"/>
        <v>OK</v>
      </c>
      <c r="AA245" s="240" t="str" cm="1">
        <f t="array" ref="AA245">IF(OR(AND(J245="Not accepted",N245:O245&lt;&gt;"",$S245=""),AND(J245="Accepted",S245="")),"ERROR","OK")</f>
        <v>OK</v>
      </c>
      <c r="AB245" s="240" t="str">
        <f t="shared" si="29"/>
        <v>OK</v>
      </c>
      <c r="AC245" s="240" t="str" cm="1">
        <f t="array" ref="AC245">IF(AND(F245:H245&lt;&gt;"",I245=""),"ERROR","OK")</f>
        <v>OK</v>
      </c>
      <c r="AD245" s="240" t="str">
        <f t="shared" si="30"/>
        <v>OK</v>
      </c>
      <c r="AE245" s="240" t="str">
        <f t="shared" si="31"/>
        <v>OK</v>
      </c>
      <c r="AF245" s="240" t="str" cm="1">
        <f t="array" aca="1" ref="AF245" ca="1" xml:space="preserve">
IF(AND($G245&lt;&gt;"",$F245=""),"ERROR",
IF(OR($F245:$G245="",AND($G245="",$F245&lt;&gt;"")),"OK",
IF(COUNTIF(INDIRECT(IFERROR(LEFT($F245,FIND(" ",$F245)-1),$F245)), $G245)&gt;0, "OK", "ERROR")))</f>
        <v>OK</v>
      </c>
    </row>
    <row r="246" spans="1:32" s="240" customFormat="1">
      <c r="A246" s="48"/>
      <c r="B246" s="31"/>
      <c r="C246" s="48"/>
      <c r="D246" s="47"/>
      <c r="E246" s="47"/>
      <c r="F246" s="31"/>
      <c r="G246" s="31"/>
      <c r="H246" s="31"/>
      <c r="I246" s="47"/>
      <c r="J246" s="31"/>
      <c r="K246" s="47"/>
      <c r="L246" s="47"/>
      <c r="M246" s="47"/>
      <c r="N246" s="31"/>
      <c r="O246" s="47"/>
      <c r="P246" s="31"/>
      <c r="Q246" s="31"/>
      <c r="R246" s="31"/>
      <c r="S246" s="31"/>
      <c r="T246" s="270">
        <f t="shared" si="24"/>
        <v>0</v>
      </c>
      <c r="U246" s="270">
        <f t="shared" si="25"/>
        <v>0</v>
      </c>
      <c r="V246" s="31"/>
      <c r="X246" s="240" t="str">
        <f t="shared" si="26"/>
        <v>OK</v>
      </c>
      <c r="Y246" s="240" t="str">
        <f t="shared" si="27"/>
        <v>OK</v>
      </c>
      <c r="Z246" s="240" t="str">
        <f t="shared" si="28"/>
        <v>OK</v>
      </c>
      <c r="AA246" s="240" t="str" cm="1">
        <f t="array" ref="AA246">IF(OR(AND(J246="Not accepted",N246:O246&lt;&gt;"",$S246=""),AND(J246="Accepted",S246="")),"ERROR","OK")</f>
        <v>OK</v>
      </c>
      <c r="AB246" s="240" t="str">
        <f t="shared" si="29"/>
        <v>OK</v>
      </c>
      <c r="AC246" s="240" t="str" cm="1">
        <f t="array" ref="AC246">IF(AND(F246:H246&lt;&gt;"",I246=""),"ERROR","OK")</f>
        <v>OK</v>
      </c>
      <c r="AD246" s="240" t="str">
        <f t="shared" si="30"/>
        <v>OK</v>
      </c>
      <c r="AE246" s="240" t="str">
        <f t="shared" si="31"/>
        <v>OK</v>
      </c>
      <c r="AF246" s="240" t="str" cm="1">
        <f t="array" aca="1" ref="AF246" ca="1" xml:space="preserve">
IF(AND($G246&lt;&gt;"",$F246=""),"ERROR",
IF(OR($F246:$G246="",AND($G246="",$F246&lt;&gt;"")),"OK",
IF(COUNTIF(INDIRECT(IFERROR(LEFT($F246,FIND(" ",$F246)-1),$F246)), $G246)&gt;0, "OK", "ERROR")))</f>
        <v>OK</v>
      </c>
    </row>
    <row r="247" spans="1:32" s="240" customFormat="1">
      <c r="A247" s="48"/>
      <c r="B247" s="31"/>
      <c r="C247" s="48"/>
      <c r="D247" s="47"/>
      <c r="E247" s="47"/>
      <c r="F247" s="31"/>
      <c r="G247" s="31"/>
      <c r="H247" s="31"/>
      <c r="I247" s="47"/>
      <c r="J247" s="31"/>
      <c r="K247" s="47"/>
      <c r="L247" s="47"/>
      <c r="M247" s="47"/>
      <c r="N247" s="31"/>
      <c r="O247" s="47"/>
      <c r="P247" s="31"/>
      <c r="Q247" s="31"/>
      <c r="R247" s="31"/>
      <c r="S247" s="31"/>
      <c r="T247" s="270">
        <f t="shared" si="24"/>
        <v>0</v>
      </c>
      <c r="U247" s="270">
        <f t="shared" si="25"/>
        <v>0</v>
      </c>
      <c r="V247" s="31"/>
      <c r="X247" s="240" t="str">
        <f t="shared" si="26"/>
        <v>OK</v>
      </c>
      <c r="Y247" s="240" t="str">
        <f t="shared" si="27"/>
        <v>OK</v>
      </c>
      <c r="Z247" s="240" t="str">
        <f t="shared" si="28"/>
        <v>OK</v>
      </c>
      <c r="AA247" s="240" t="str" cm="1">
        <f t="array" ref="AA247">IF(OR(AND(J247="Not accepted",N247:O247&lt;&gt;"",$S247=""),AND(J247="Accepted",S247="")),"ERROR","OK")</f>
        <v>OK</v>
      </c>
      <c r="AB247" s="240" t="str">
        <f t="shared" si="29"/>
        <v>OK</v>
      </c>
      <c r="AC247" s="240" t="str" cm="1">
        <f t="array" ref="AC247">IF(AND(F247:H247&lt;&gt;"",I247=""),"ERROR","OK")</f>
        <v>OK</v>
      </c>
      <c r="AD247" s="240" t="str">
        <f t="shared" si="30"/>
        <v>OK</v>
      </c>
      <c r="AE247" s="240" t="str">
        <f t="shared" si="31"/>
        <v>OK</v>
      </c>
      <c r="AF247" s="240" t="str" cm="1">
        <f t="array" aca="1" ref="AF247" ca="1" xml:space="preserve">
IF(AND($G247&lt;&gt;"",$F247=""),"ERROR",
IF(OR($F247:$G247="",AND($G247="",$F247&lt;&gt;"")),"OK",
IF(COUNTIF(INDIRECT(IFERROR(LEFT($F247,FIND(" ",$F247)-1),$F247)), $G247)&gt;0, "OK", "ERROR")))</f>
        <v>OK</v>
      </c>
    </row>
    <row r="248" spans="1:32" s="240" customFormat="1">
      <c r="A248" s="48"/>
      <c r="B248" s="31"/>
      <c r="C248" s="48"/>
      <c r="D248" s="47"/>
      <c r="E248" s="47"/>
      <c r="F248" s="31"/>
      <c r="G248" s="31"/>
      <c r="H248" s="31"/>
      <c r="I248" s="47"/>
      <c r="J248" s="31"/>
      <c r="K248" s="47"/>
      <c r="L248" s="47"/>
      <c r="M248" s="47"/>
      <c r="N248" s="31"/>
      <c r="O248" s="47"/>
      <c r="P248" s="31"/>
      <c r="Q248" s="31"/>
      <c r="R248" s="31"/>
      <c r="S248" s="31"/>
      <c r="T248" s="270">
        <f t="shared" si="24"/>
        <v>0</v>
      </c>
      <c r="U248" s="270">
        <f t="shared" si="25"/>
        <v>0</v>
      </c>
      <c r="V248" s="31"/>
      <c r="X248" s="240" t="str">
        <f t="shared" si="26"/>
        <v>OK</v>
      </c>
      <c r="Y248" s="240" t="str">
        <f t="shared" si="27"/>
        <v>OK</v>
      </c>
      <c r="Z248" s="240" t="str">
        <f t="shared" si="28"/>
        <v>OK</v>
      </c>
      <c r="AA248" s="240" t="str" cm="1">
        <f t="array" ref="AA248">IF(OR(AND(J248="Not accepted",N248:O248&lt;&gt;"",$S248=""),AND(J248="Accepted",S248="")),"ERROR","OK")</f>
        <v>OK</v>
      </c>
      <c r="AB248" s="240" t="str">
        <f t="shared" si="29"/>
        <v>OK</v>
      </c>
      <c r="AC248" s="240" t="str" cm="1">
        <f t="array" ref="AC248">IF(AND(F248:H248&lt;&gt;"",I248=""),"ERROR","OK")</f>
        <v>OK</v>
      </c>
      <c r="AD248" s="240" t="str">
        <f t="shared" si="30"/>
        <v>OK</v>
      </c>
      <c r="AE248" s="240" t="str">
        <f t="shared" si="31"/>
        <v>OK</v>
      </c>
      <c r="AF248" s="240" t="str" cm="1">
        <f t="array" aca="1" ref="AF248" ca="1" xml:space="preserve">
IF(AND($G248&lt;&gt;"",$F248=""),"ERROR",
IF(OR($F248:$G248="",AND($G248="",$F248&lt;&gt;"")),"OK",
IF(COUNTIF(INDIRECT(IFERROR(LEFT($F248,FIND(" ",$F248)-1),$F248)), $G248)&gt;0, "OK", "ERROR")))</f>
        <v>OK</v>
      </c>
    </row>
    <row r="249" spans="1:32" s="240" customFormat="1">
      <c r="A249" s="48"/>
      <c r="B249" s="31"/>
      <c r="C249" s="48"/>
      <c r="D249" s="47"/>
      <c r="E249" s="47"/>
      <c r="F249" s="31"/>
      <c r="G249" s="31"/>
      <c r="H249" s="31"/>
      <c r="I249" s="47"/>
      <c r="J249" s="31"/>
      <c r="K249" s="47"/>
      <c r="L249" s="47"/>
      <c r="M249" s="47"/>
      <c r="N249" s="31"/>
      <c r="O249" s="47"/>
      <c r="P249" s="31"/>
      <c r="Q249" s="31"/>
      <c r="R249" s="31"/>
      <c r="S249" s="31"/>
      <c r="T249" s="270">
        <f t="shared" si="24"/>
        <v>0</v>
      </c>
      <c r="U249" s="270">
        <f t="shared" si="25"/>
        <v>0</v>
      </c>
      <c r="V249" s="31"/>
      <c r="X249" s="240" t="str">
        <f t="shared" si="26"/>
        <v>OK</v>
      </c>
      <c r="Y249" s="240" t="str">
        <f t="shared" si="27"/>
        <v>OK</v>
      </c>
      <c r="Z249" s="240" t="str">
        <f t="shared" si="28"/>
        <v>OK</v>
      </c>
      <c r="AA249" s="240" t="str" cm="1">
        <f t="array" ref="AA249">IF(OR(AND(J249="Not accepted",N249:O249&lt;&gt;"",$S249=""),AND(J249="Accepted",S249="")),"ERROR","OK")</f>
        <v>OK</v>
      </c>
      <c r="AB249" s="240" t="str">
        <f t="shared" si="29"/>
        <v>OK</v>
      </c>
      <c r="AC249" s="240" t="str" cm="1">
        <f t="array" ref="AC249">IF(AND(F249:H249&lt;&gt;"",I249=""),"ERROR","OK")</f>
        <v>OK</v>
      </c>
      <c r="AD249" s="240" t="str">
        <f t="shared" si="30"/>
        <v>OK</v>
      </c>
      <c r="AE249" s="240" t="str">
        <f t="shared" si="31"/>
        <v>OK</v>
      </c>
      <c r="AF249" s="240" t="str" cm="1">
        <f t="array" aca="1" ref="AF249" ca="1" xml:space="preserve">
IF(AND($G249&lt;&gt;"",$F249=""),"ERROR",
IF(OR($F249:$G249="",AND($G249="",$F249&lt;&gt;"")),"OK",
IF(COUNTIF(INDIRECT(IFERROR(LEFT($F249,FIND(" ",$F249)-1),$F249)), $G249)&gt;0, "OK", "ERROR")))</f>
        <v>OK</v>
      </c>
    </row>
    <row r="250" spans="1:32" s="240" customFormat="1">
      <c r="A250" s="48"/>
      <c r="B250" s="31"/>
      <c r="C250" s="48"/>
      <c r="D250" s="47"/>
      <c r="E250" s="47"/>
      <c r="F250" s="31"/>
      <c r="G250" s="31"/>
      <c r="H250" s="31"/>
      <c r="I250" s="47"/>
      <c r="J250" s="31"/>
      <c r="K250" s="47"/>
      <c r="L250" s="47"/>
      <c r="M250" s="47"/>
      <c r="N250" s="31"/>
      <c r="O250" s="47"/>
      <c r="P250" s="31"/>
      <c r="Q250" s="31"/>
      <c r="R250" s="31"/>
      <c r="S250" s="31"/>
      <c r="T250" s="270">
        <f t="shared" si="24"/>
        <v>0</v>
      </c>
      <c r="U250" s="270">
        <f t="shared" si="25"/>
        <v>0</v>
      </c>
      <c r="V250" s="31"/>
      <c r="X250" s="240" t="str">
        <f t="shared" si="26"/>
        <v>OK</v>
      </c>
      <c r="Y250" s="240" t="str">
        <f t="shared" si="27"/>
        <v>OK</v>
      </c>
      <c r="Z250" s="240" t="str">
        <f t="shared" si="28"/>
        <v>OK</v>
      </c>
      <c r="AA250" s="240" t="str" cm="1">
        <f t="array" ref="AA250">IF(OR(AND(J250="Not accepted",N250:O250&lt;&gt;"",$S250=""),AND(J250="Accepted",S250="")),"ERROR","OK")</f>
        <v>OK</v>
      </c>
      <c r="AB250" s="240" t="str">
        <f t="shared" si="29"/>
        <v>OK</v>
      </c>
      <c r="AC250" s="240" t="str" cm="1">
        <f t="array" ref="AC250">IF(AND(F250:H250&lt;&gt;"",I250=""),"ERROR","OK")</f>
        <v>OK</v>
      </c>
      <c r="AD250" s="240" t="str">
        <f t="shared" si="30"/>
        <v>OK</v>
      </c>
      <c r="AE250" s="240" t="str">
        <f t="shared" si="31"/>
        <v>OK</v>
      </c>
      <c r="AF250" s="240" t="str" cm="1">
        <f t="array" aca="1" ref="AF250" ca="1" xml:space="preserve">
IF(AND($G250&lt;&gt;"",$F250=""),"ERROR",
IF(OR($F250:$G250="",AND($G250="",$F250&lt;&gt;"")),"OK",
IF(COUNTIF(INDIRECT(IFERROR(LEFT($F250,FIND(" ",$F250)-1),$F250)), $G250)&gt;0, "OK", "ERROR")))</f>
        <v>OK</v>
      </c>
    </row>
    <row r="251" spans="1:32" s="240" customFormat="1">
      <c r="A251" s="48"/>
      <c r="B251" s="31"/>
      <c r="C251" s="48"/>
      <c r="D251" s="47"/>
      <c r="E251" s="47"/>
      <c r="F251" s="31"/>
      <c r="G251" s="31"/>
      <c r="H251" s="31"/>
      <c r="I251" s="47"/>
      <c r="J251" s="31"/>
      <c r="K251" s="47"/>
      <c r="L251" s="47"/>
      <c r="M251" s="47"/>
      <c r="N251" s="31"/>
      <c r="O251" s="47"/>
      <c r="P251" s="31"/>
      <c r="Q251" s="31"/>
      <c r="R251" s="31"/>
      <c r="S251" s="31"/>
      <c r="T251" s="270">
        <f t="shared" si="24"/>
        <v>0</v>
      </c>
      <c r="U251" s="270">
        <f t="shared" si="25"/>
        <v>0</v>
      </c>
      <c r="V251" s="31"/>
      <c r="X251" s="240" t="str">
        <f t="shared" si="26"/>
        <v>OK</v>
      </c>
      <c r="Y251" s="240" t="str">
        <f t="shared" si="27"/>
        <v>OK</v>
      </c>
      <c r="Z251" s="240" t="str">
        <f t="shared" si="28"/>
        <v>OK</v>
      </c>
      <c r="AA251" s="240" t="str" cm="1">
        <f t="array" ref="AA251">IF(OR(AND(J251="Not accepted",N251:O251&lt;&gt;"",$S251=""),AND(J251="Accepted",S251="")),"ERROR","OK")</f>
        <v>OK</v>
      </c>
      <c r="AB251" s="240" t="str">
        <f t="shared" si="29"/>
        <v>OK</v>
      </c>
      <c r="AC251" s="240" t="str" cm="1">
        <f t="array" ref="AC251">IF(AND(F251:H251&lt;&gt;"",I251=""),"ERROR","OK")</f>
        <v>OK</v>
      </c>
      <c r="AD251" s="240" t="str">
        <f t="shared" si="30"/>
        <v>OK</v>
      </c>
      <c r="AE251" s="240" t="str">
        <f t="shared" si="31"/>
        <v>OK</v>
      </c>
      <c r="AF251" s="240" t="str" cm="1">
        <f t="array" aca="1" ref="AF251" ca="1" xml:space="preserve">
IF(AND($G251&lt;&gt;"",$F251=""),"ERROR",
IF(OR($F251:$G251="",AND($G251="",$F251&lt;&gt;"")),"OK",
IF(COUNTIF(INDIRECT(IFERROR(LEFT($F251,FIND(" ",$F251)-1),$F251)), $G251)&gt;0, "OK", "ERROR")))</f>
        <v>OK</v>
      </c>
    </row>
    <row r="252" spans="1:32" s="240" customFormat="1">
      <c r="A252" s="48"/>
      <c r="B252" s="31"/>
      <c r="C252" s="48"/>
      <c r="D252" s="47"/>
      <c r="E252" s="47"/>
      <c r="F252" s="31"/>
      <c r="G252" s="31"/>
      <c r="H252" s="31"/>
      <c r="I252" s="47"/>
      <c r="J252" s="31"/>
      <c r="K252" s="47"/>
      <c r="L252" s="47"/>
      <c r="M252" s="47"/>
      <c r="N252" s="31"/>
      <c r="O252" s="47"/>
      <c r="P252" s="31"/>
      <c r="Q252" s="31"/>
      <c r="R252" s="31"/>
      <c r="S252" s="31"/>
      <c r="T252" s="270">
        <f t="shared" si="24"/>
        <v>0</v>
      </c>
      <c r="U252" s="270">
        <f t="shared" si="25"/>
        <v>0</v>
      </c>
      <c r="V252" s="31"/>
      <c r="X252" s="240" t="str">
        <f t="shared" si="26"/>
        <v>OK</v>
      </c>
      <c r="Y252" s="240" t="str">
        <f t="shared" si="27"/>
        <v>OK</v>
      </c>
      <c r="Z252" s="240" t="str">
        <f t="shared" si="28"/>
        <v>OK</v>
      </c>
      <c r="AA252" s="240" t="str" cm="1">
        <f t="array" ref="AA252">IF(OR(AND(J252="Not accepted",N252:O252&lt;&gt;"",$S252=""),AND(J252="Accepted",S252="")),"ERROR","OK")</f>
        <v>OK</v>
      </c>
      <c r="AB252" s="240" t="str">
        <f t="shared" si="29"/>
        <v>OK</v>
      </c>
      <c r="AC252" s="240" t="str" cm="1">
        <f t="array" ref="AC252">IF(AND(F252:H252&lt;&gt;"",I252=""),"ERROR","OK")</f>
        <v>OK</v>
      </c>
      <c r="AD252" s="240" t="str">
        <f t="shared" si="30"/>
        <v>OK</v>
      </c>
      <c r="AE252" s="240" t="str">
        <f t="shared" si="31"/>
        <v>OK</v>
      </c>
      <c r="AF252" s="240" t="str" cm="1">
        <f t="array" aca="1" ref="AF252" ca="1" xml:space="preserve">
IF(AND($G252&lt;&gt;"",$F252=""),"ERROR",
IF(OR($F252:$G252="",AND($G252="",$F252&lt;&gt;"")),"OK",
IF(COUNTIF(INDIRECT(IFERROR(LEFT($F252,FIND(" ",$F252)-1),$F252)), $G252)&gt;0, "OK", "ERROR")))</f>
        <v>OK</v>
      </c>
    </row>
    <row r="253" spans="1:32" s="240" customFormat="1">
      <c r="A253" s="48"/>
      <c r="B253" s="31"/>
      <c r="C253" s="48"/>
      <c r="D253" s="47"/>
      <c r="E253" s="47"/>
      <c r="F253" s="31"/>
      <c r="G253" s="31"/>
      <c r="H253" s="31"/>
      <c r="I253" s="47"/>
      <c r="J253" s="31"/>
      <c r="K253" s="47"/>
      <c r="L253" s="47"/>
      <c r="M253" s="47"/>
      <c r="N253" s="31"/>
      <c r="O253" s="47"/>
      <c r="P253" s="31"/>
      <c r="Q253" s="31"/>
      <c r="R253" s="31"/>
      <c r="S253" s="31"/>
      <c r="T253" s="270">
        <f t="shared" si="24"/>
        <v>0</v>
      </c>
      <c r="U253" s="270">
        <f t="shared" si="25"/>
        <v>0</v>
      </c>
      <c r="V253" s="31"/>
      <c r="X253" s="240" t="str">
        <f t="shared" si="26"/>
        <v>OK</v>
      </c>
      <c r="Y253" s="240" t="str">
        <f t="shared" si="27"/>
        <v>OK</v>
      </c>
      <c r="Z253" s="240" t="str">
        <f t="shared" si="28"/>
        <v>OK</v>
      </c>
      <c r="AA253" s="240" t="str" cm="1">
        <f t="array" ref="AA253">IF(OR(AND(J253="Not accepted",N253:O253&lt;&gt;"",$S253=""),AND(J253="Accepted",S253="")),"ERROR","OK")</f>
        <v>OK</v>
      </c>
      <c r="AB253" s="240" t="str">
        <f t="shared" si="29"/>
        <v>OK</v>
      </c>
      <c r="AC253" s="240" t="str" cm="1">
        <f t="array" ref="AC253">IF(AND(F253:H253&lt;&gt;"",I253=""),"ERROR","OK")</f>
        <v>OK</v>
      </c>
      <c r="AD253" s="240" t="str">
        <f t="shared" si="30"/>
        <v>OK</v>
      </c>
      <c r="AE253" s="240" t="str">
        <f t="shared" si="31"/>
        <v>OK</v>
      </c>
      <c r="AF253" s="240" t="str" cm="1">
        <f t="array" aca="1" ref="AF253" ca="1" xml:space="preserve">
IF(AND($G253&lt;&gt;"",$F253=""),"ERROR",
IF(OR($F253:$G253="",AND($G253="",$F253&lt;&gt;"")),"OK",
IF(COUNTIF(INDIRECT(IFERROR(LEFT($F253,FIND(" ",$F253)-1),$F253)), $G253)&gt;0, "OK", "ERROR")))</f>
        <v>OK</v>
      </c>
    </row>
    <row r="254" spans="1:32" s="240" customFormat="1">
      <c r="A254" s="48"/>
      <c r="B254" s="31"/>
      <c r="C254" s="48"/>
      <c r="D254" s="47"/>
      <c r="E254" s="47"/>
      <c r="F254" s="31"/>
      <c r="G254" s="31"/>
      <c r="H254" s="31"/>
      <c r="I254" s="47"/>
      <c r="J254" s="31"/>
      <c r="K254" s="47"/>
      <c r="L254" s="47"/>
      <c r="M254" s="47"/>
      <c r="N254" s="31"/>
      <c r="O254" s="47"/>
      <c r="P254" s="31"/>
      <c r="Q254" s="31"/>
      <c r="R254" s="31"/>
      <c r="S254" s="31"/>
      <c r="T254" s="270">
        <f t="shared" si="24"/>
        <v>0</v>
      </c>
      <c r="U254" s="270">
        <f t="shared" si="25"/>
        <v>0</v>
      </c>
      <c r="V254" s="31"/>
      <c r="X254" s="240" t="str">
        <f t="shared" si="26"/>
        <v>OK</v>
      </c>
      <c r="Y254" s="240" t="str">
        <f t="shared" si="27"/>
        <v>OK</v>
      </c>
      <c r="Z254" s="240" t="str">
        <f t="shared" si="28"/>
        <v>OK</v>
      </c>
      <c r="AA254" s="240" t="str" cm="1">
        <f t="array" ref="AA254">IF(OR(AND(J254="Not accepted",N254:O254&lt;&gt;"",$S254=""),AND(J254="Accepted",S254="")),"ERROR","OK")</f>
        <v>OK</v>
      </c>
      <c r="AB254" s="240" t="str">
        <f t="shared" si="29"/>
        <v>OK</v>
      </c>
      <c r="AC254" s="240" t="str" cm="1">
        <f t="array" ref="AC254">IF(AND(F254:H254&lt;&gt;"",I254=""),"ERROR","OK")</f>
        <v>OK</v>
      </c>
      <c r="AD254" s="240" t="str">
        <f t="shared" si="30"/>
        <v>OK</v>
      </c>
      <c r="AE254" s="240" t="str">
        <f t="shared" si="31"/>
        <v>OK</v>
      </c>
      <c r="AF254" s="240" t="str" cm="1">
        <f t="array" aca="1" ref="AF254" ca="1" xml:space="preserve">
IF(AND($G254&lt;&gt;"",$F254=""),"ERROR",
IF(OR($F254:$G254="",AND($G254="",$F254&lt;&gt;"")),"OK",
IF(COUNTIF(INDIRECT(IFERROR(LEFT($F254,FIND(" ",$F254)-1),$F254)), $G254)&gt;0, "OK", "ERROR")))</f>
        <v>OK</v>
      </c>
    </row>
    <row r="255" spans="1:32" s="240" customFormat="1">
      <c r="A255" s="48"/>
      <c r="B255" s="31"/>
      <c r="C255" s="48"/>
      <c r="D255" s="47"/>
      <c r="E255" s="47"/>
      <c r="F255" s="31"/>
      <c r="G255" s="31"/>
      <c r="H255" s="31"/>
      <c r="I255" s="47"/>
      <c r="J255" s="31"/>
      <c r="K255" s="47"/>
      <c r="L255" s="47"/>
      <c r="M255" s="47"/>
      <c r="N255" s="31"/>
      <c r="O255" s="47"/>
      <c r="P255" s="31"/>
      <c r="Q255" s="31"/>
      <c r="R255" s="31"/>
      <c r="S255" s="31"/>
      <c r="T255" s="270">
        <f t="shared" si="24"/>
        <v>0</v>
      </c>
      <c r="U255" s="270">
        <f t="shared" si="25"/>
        <v>0</v>
      </c>
      <c r="V255" s="31"/>
      <c r="X255" s="240" t="str">
        <f t="shared" si="26"/>
        <v>OK</v>
      </c>
      <c r="Y255" s="240" t="str">
        <f t="shared" si="27"/>
        <v>OK</v>
      </c>
      <c r="Z255" s="240" t="str">
        <f t="shared" si="28"/>
        <v>OK</v>
      </c>
      <c r="AA255" s="240" t="str" cm="1">
        <f t="array" ref="AA255">IF(OR(AND(J255="Not accepted",N255:O255&lt;&gt;"",$S255=""),AND(J255="Accepted",S255="")),"ERROR","OK")</f>
        <v>OK</v>
      </c>
      <c r="AB255" s="240" t="str">
        <f t="shared" si="29"/>
        <v>OK</v>
      </c>
      <c r="AC255" s="240" t="str" cm="1">
        <f t="array" ref="AC255">IF(AND(F255:H255&lt;&gt;"",I255=""),"ERROR","OK")</f>
        <v>OK</v>
      </c>
      <c r="AD255" s="240" t="str">
        <f t="shared" si="30"/>
        <v>OK</v>
      </c>
      <c r="AE255" s="240" t="str">
        <f t="shared" si="31"/>
        <v>OK</v>
      </c>
      <c r="AF255" s="240" t="str" cm="1">
        <f t="array" aca="1" ref="AF255" ca="1" xml:space="preserve">
IF(AND($G255&lt;&gt;"",$F255=""),"ERROR",
IF(OR($F255:$G255="",AND($G255="",$F255&lt;&gt;"")),"OK",
IF(COUNTIF(INDIRECT(IFERROR(LEFT($F255,FIND(" ",$F255)-1),$F255)), $G255)&gt;0, "OK", "ERROR")))</f>
        <v>OK</v>
      </c>
    </row>
    <row r="256" spans="1:32" s="240" customFormat="1">
      <c r="A256" s="48"/>
      <c r="B256" s="31"/>
      <c r="C256" s="48"/>
      <c r="D256" s="47"/>
      <c r="E256" s="47"/>
      <c r="F256" s="31"/>
      <c r="G256" s="31"/>
      <c r="H256" s="31"/>
      <c r="I256" s="47"/>
      <c r="J256" s="31"/>
      <c r="K256" s="47"/>
      <c r="L256" s="47"/>
      <c r="M256" s="47"/>
      <c r="N256" s="31"/>
      <c r="O256" s="47"/>
      <c r="P256" s="31"/>
      <c r="Q256" s="31"/>
      <c r="R256" s="31"/>
      <c r="S256" s="31"/>
      <c r="T256" s="270">
        <f t="shared" si="24"/>
        <v>0</v>
      </c>
      <c r="U256" s="270">
        <f t="shared" si="25"/>
        <v>0</v>
      </c>
      <c r="V256" s="31"/>
      <c r="X256" s="240" t="str">
        <f t="shared" si="26"/>
        <v>OK</v>
      </c>
      <c r="Y256" s="240" t="str">
        <f t="shared" si="27"/>
        <v>OK</v>
      </c>
      <c r="Z256" s="240" t="str">
        <f t="shared" si="28"/>
        <v>OK</v>
      </c>
      <c r="AA256" s="240" t="str" cm="1">
        <f t="array" ref="AA256">IF(OR(AND(J256="Not accepted",N256:O256&lt;&gt;"",$S256=""),AND(J256="Accepted",S256="")),"ERROR","OK")</f>
        <v>OK</v>
      </c>
      <c r="AB256" s="240" t="str">
        <f t="shared" si="29"/>
        <v>OK</v>
      </c>
      <c r="AC256" s="240" t="str" cm="1">
        <f t="array" ref="AC256">IF(AND(F256:H256&lt;&gt;"",I256=""),"ERROR","OK")</f>
        <v>OK</v>
      </c>
      <c r="AD256" s="240" t="str">
        <f t="shared" si="30"/>
        <v>OK</v>
      </c>
      <c r="AE256" s="240" t="str">
        <f t="shared" si="31"/>
        <v>OK</v>
      </c>
      <c r="AF256" s="240" t="str" cm="1">
        <f t="array" aca="1" ref="AF256" ca="1" xml:space="preserve">
IF(AND($G256&lt;&gt;"",$F256=""),"ERROR",
IF(OR($F256:$G256="",AND($G256="",$F256&lt;&gt;"")),"OK",
IF(COUNTIF(INDIRECT(IFERROR(LEFT($F256,FIND(" ",$F256)-1),$F256)), $G256)&gt;0, "OK", "ERROR")))</f>
        <v>OK</v>
      </c>
    </row>
    <row r="257" spans="1:32" s="240" customFormat="1">
      <c r="A257" s="48"/>
      <c r="B257" s="31"/>
      <c r="C257" s="48"/>
      <c r="D257" s="47"/>
      <c r="E257" s="47"/>
      <c r="F257" s="31"/>
      <c r="G257" s="31"/>
      <c r="H257" s="31"/>
      <c r="I257" s="47"/>
      <c r="J257" s="31"/>
      <c r="K257" s="47"/>
      <c r="L257" s="47"/>
      <c r="M257" s="47"/>
      <c r="N257" s="31"/>
      <c r="O257" s="47"/>
      <c r="P257" s="31"/>
      <c r="Q257" s="31"/>
      <c r="R257" s="31"/>
      <c r="S257" s="31"/>
      <c r="T257" s="270">
        <f t="shared" si="24"/>
        <v>0</v>
      </c>
      <c r="U257" s="270">
        <f t="shared" si="25"/>
        <v>0</v>
      </c>
      <c r="V257" s="31"/>
      <c r="X257" s="240" t="str">
        <f t="shared" si="26"/>
        <v>OK</v>
      </c>
      <c r="Y257" s="240" t="str">
        <f t="shared" si="27"/>
        <v>OK</v>
      </c>
      <c r="Z257" s="240" t="str">
        <f t="shared" si="28"/>
        <v>OK</v>
      </c>
      <c r="AA257" s="240" t="str" cm="1">
        <f t="array" ref="AA257">IF(OR(AND(J257="Not accepted",N257:O257&lt;&gt;"",$S257=""),AND(J257="Accepted",S257="")),"ERROR","OK")</f>
        <v>OK</v>
      </c>
      <c r="AB257" s="240" t="str">
        <f t="shared" si="29"/>
        <v>OK</v>
      </c>
      <c r="AC257" s="240" t="str" cm="1">
        <f t="array" ref="AC257">IF(AND(F257:H257&lt;&gt;"",I257=""),"ERROR","OK")</f>
        <v>OK</v>
      </c>
      <c r="AD257" s="240" t="str">
        <f t="shared" si="30"/>
        <v>OK</v>
      </c>
      <c r="AE257" s="240" t="str">
        <f t="shared" si="31"/>
        <v>OK</v>
      </c>
      <c r="AF257" s="240" t="str" cm="1">
        <f t="array" aca="1" ref="AF257" ca="1" xml:space="preserve">
IF(AND($G257&lt;&gt;"",$F257=""),"ERROR",
IF(OR($F257:$G257="",AND($G257="",$F257&lt;&gt;"")),"OK",
IF(COUNTIF(INDIRECT(IFERROR(LEFT($F257,FIND(" ",$F257)-1),$F257)), $G257)&gt;0, "OK", "ERROR")))</f>
        <v>OK</v>
      </c>
    </row>
    <row r="258" spans="1:32" s="240" customFormat="1">
      <c r="A258" s="48"/>
      <c r="B258" s="31"/>
      <c r="C258" s="48"/>
      <c r="D258" s="47"/>
      <c r="E258" s="47"/>
      <c r="F258" s="31"/>
      <c r="G258" s="31"/>
      <c r="H258" s="31"/>
      <c r="I258" s="47"/>
      <c r="J258" s="31"/>
      <c r="K258" s="47"/>
      <c r="L258" s="47"/>
      <c r="M258" s="47"/>
      <c r="N258" s="31"/>
      <c r="O258" s="47"/>
      <c r="P258" s="31"/>
      <c r="Q258" s="31"/>
      <c r="R258" s="31"/>
      <c r="S258" s="31"/>
      <c r="T258" s="270">
        <f t="shared" si="24"/>
        <v>0</v>
      </c>
      <c r="U258" s="270">
        <f t="shared" si="25"/>
        <v>0</v>
      </c>
      <c r="V258" s="31"/>
      <c r="X258" s="240" t="str">
        <f t="shared" si="26"/>
        <v>OK</v>
      </c>
      <c r="Y258" s="240" t="str">
        <f t="shared" si="27"/>
        <v>OK</v>
      </c>
      <c r="Z258" s="240" t="str">
        <f t="shared" si="28"/>
        <v>OK</v>
      </c>
      <c r="AA258" s="240" t="str" cm="1">
        <f t="array" ref="AA258">IF(OR(AND(J258="Not accepted",N258:O258&lt;&gt;"",$S258=""),AND(J258="Accepted",S258="")),"ERROR","OK")</f>
        <v>OK</v>
      </c>
      <c r="AB258" s="240" t="str">
        <f t="shared" si="29"/>
        <v>OK</v>
      </c>
      <c r="AC258" s="240" t="str" cm="1">
        <f t="array" ref="AC258">IF(AND(F258:H258&lt;&gt;"",I258=""),"ERROR","OK")</f>
        <v>OK</v>
      </c>
      <c r="AD258" s="240" t="str">
        <f t="shared" si="30"/>
        <v>OK</v>
      </c>
      <c r="AE258" s="240" t="str">
        <f t="shared" si="31"/>
        <v>OK</v>
      </c>
      <c r="AF258" s="240" t="str" cm="1">
        <f t="array" aca="1" ref="AF258" ca="1" xml:space="preserve">
IF(AND($G258&lt;&gt;"",$F258=""),"ERROR",
IF(OR($F258:$G258="",AND($G258="",$F258&lt;&gt;"")),"OK",
IF(COUNTIF(INDIRECT(IFERROR(LEFT($F258,FIND(" ",$F258)-1),$F258)), $G258)&gt;0, "OK", "ERROR")))</f>
        <v>OK</v>
      </c>
    </row>
    <row r="259" spans="1:32" s="240" customFormat="1">
      <c r="A259" s="48"/>
      <c r="B259" s="31"/>
      <c r="C259" s="48"/>
      <c r="D259" s="47"/>
      <c r="E259" s="47"/>
      <c r="F259" s="31"/>
      <c r="G259" s="31"/>
      <c r="H259" s="31"/>
      <c r="I259" s="47"/>
      <c r="J259" s="31"/>
      <c r="K259" s="47"/>
      <c r="L259" s="47"/>
      <c r="M259" s="47"/>
      <c r="N259" s="31"/>
      <c r="O259" s="47"/>
      <c r="P259" s="31"/>
      <c r="Q259" s="31"/>
      <c r="R259" s="31"/>
      <c r="S259" s="31"/>
      <c r="T259" s="270">
        <f t="shared" si="24"/>
        <v>0</v>
      </c>
      <c r="U259" s="270">
        <f t="shared" si="25"/>
        <v>0</v>
      </c>
      <c r="V259" s="31"/>
      <c r="X259" s="240" t="str">
        <f t="shared" si="26"/>
        <v>OK</v>
      </c>
      <c r="Y259" s="240" t="str">
        <f t="shared" si="27"/>
        <v>OK</v>
      </c>
      <c r="Z259" s="240" t="str">
        <f t="shared" si="28"/>
        <v>OK</v>
      </c>
      <c r="AA259" s="240" t="str" cm="1">
        <f t="array" ref="AA259">IF(OR(AND(J259="Not accepted",N259:O259&lt;&gt;"",$S259=""),AND(J259="Accepted",S259="")),"ERROR","OK")</f>
        <v>OK</v>
      </c>
      <c r="AB259" s="240" t="str">
        <f t="shared" si="29"/>
        <v>OK</v>
      </c>
      <c r="AC259" s="240" t="str" cm="1">
        <f t="array" ref="AC259">IF(AND(F259:H259&lt;&gt;"",I259=""),"ERROR","OK")</f>
        <v>OK</v>
      </c>
      <c r="AD259" s="240" t="str">
        <f t="shared" si="30"/>
        <v>OK</v>
      </c>
      <c r="AE259" s="240" t="str">
        <f t="shared" si="31"/>
        <v>OK</v>
      </c>
      <c r="AF259" s="240" t="str" cm="1">
        <f t="array" aca="1" ref="AF259" ca="1" xml:space="preserve">
IF(AND($G259&lt;&gt;"",$F259=""),"ERROR",
IF(OR($F259:$G259="",AND($G259="",$F259&lt;&gt;"")),"OK",
IF(COUNTIF(INDIRECT(IFERROR(LEFT($F259,FIND(" ",$F259)-1),$F259)), $G259)&gt;0, "OK", "ERROR")))</f>
        <v>OK</v>
      </c>
    </row>
    <row r="260" spans="1:32" s="240" customFormat="1">
      <c r="A260" s="48"/>
      <c r="B260" s="31"/>
      <c r="C260" s="48"/>
      <c r="D260" s="47"/>
      <c r="E260" s="47"/>
      <c r="F260" s="31"/>
      <c r="G260" s="31"/>
      <c r="H260" s="31"/>
      <c r="I260" s="47"/>
      <c r="J260" s="31"/>
      <c r="K260" s="47"/>
      <c r="L260" s="47"/>
      <c r="M260" s="47"/>
      <c r="N260" s="31"/>
      <c r="O260" s="47"/>
      <c r="P260" s="31"/>
      <c r="Q260" s="31"/>
      <c r="R260" s="31"/>
      <c r="S260" s="31"/>
      <c r="T260" s="270">
        <f t="shared" si="24"/>
        <v>0</v>
      </c>
      <c r="U260" s="270">
        <f t="shared" si="25"/>
        <v>0</v>
      </c>
      <c r="V260" s="31"/>
      <c r="X260" s="240" t="str">
        <f t="shared" si="26"/>
        <v>OK</v>
      </c>
      <c r="Y260" s="240" t="str">
        <f t="shared" si="27"/>
        <v>OK</v>
      </c>
      <c r="Z260" s="240" t="str">
        <f t="shared" si="28"/>
        <v>OK</v>
      </c>
      <c r="AA260" s="240" t="str" cm="1">
        <f t="array" ref="AA260">IF(OR(AND(J260="Not accepted",N260:O260&lt;&gt;"",$S260=""),AND(J260="Accepted",S260="")),"ERROR","OK")</f>
        <v>OK</v>
      </c>
      <c r="AB260" s="240" t="str">
        <f t="shared" si="29"/>
        <v>OK</v>
      </c>
      <c r="AC260" s="240" t="str" cm="1">
        <f t="array" ref="AC260">IF(AND(F260:H260&lt;&gt;"",I260=""),"ERROR","OK")</f>
        <v>OK</v>
      </c>
      <c r="AD260" s="240" t="str">
        <f t="shared" si="30"/>
        <v>OK</v>
      </c>
      <c r="AE260" s="240" t="str">
        <f t="shared" si="31"/>
        <v>OK</v>
      </c>
      <c r="AF260" s="240" t="str" cm="1">
        <f t="array" aca="1" ref="AF260" ca="1" xml:space="preserve">
IF(AND($G260&lt;&gt;"",$F260=""),"ERROR",
IF(OR($F260:$G260="",AND($G260="",$F260&lt;&gt;"")),"OK",
IF(COUNTIF(INDIRECT(IFERROR(LEFT($F260,FIND(" ",$F260)-1),$F260)), $G260)&gt;0, "OK", "ERROR")))</f>
        <v>OK</v>
      </c>
    </row>
    <row r="261" spans="1:32" s="240" customFormat="1">
      <c r="A261" s="48"/>
      <c r="B261" s="31"/>
      <c r="C261" s="48"/>
      <c r="D261" s="47"/>
      <c r="E261" s="47"/>
      <c r="F261" s="31"/>
      <c r="G261" s="31"/>
      <c r="H261" s="31"/>
      <c r="I261" s="47"/>
      <c r="J261" s="31"/>
      <c r="K261" s="47"/>
      <c r="L261" s="47"/>
      <c r="M261" s="47"/>
      <c r="N261" s="31"/>
      <c r="O261" s="47"/>
      <c r="P261" s="31"/>
      <c r="Q261" s="31"/>
      <c r="R261" s="31"/>
      <c r="S261" s="31"/>
      <c r="T261" s="270">
        <f t="shared" ref="T261:T324" si="32">IF(OR($J261="Accepted",ISBLANK($J261)),IF(AND($G261="Legacy Data",$Q261="Legacy Data"),1,IF(OR($G261="Legacy Data",$Q261="Legacy Data"),1,0)),IF(OR($N261="Agree with original translator",ISBLANK($N261)),IF(AND($G261="Source Text Data",$Q261="Legacy Data"),1,IF(AND($G261="Legacy Data",$Q261="Legacy Data"),1,IF($Q261="Legacy Data",1,0))),IF(AND($G261="Legacy Data",$Q261="Legacy Data"),1,IF(OR($Q261="Legacy Data",ISBLANK($Q261)),IF($G261&lt;&gt;"Legacy Data",IF(AND($G261="Source Text Data",$Q261="Legacy Data"),1,0),1),0))))</f>
        <v>0</v>
      </c>
      <c r="U261" s="270">
        <f t="shared" ref="U261:U324" si="33">IF(OR($J261="Accepted",ISBLANK($J261)),IF(AND($G261="Source Text Data",$Q261="Source Text Data"),1,IF(OR($G261="Source Text Data",$Q261="Source Text Data"),1,0)),IF(OR($N261="Agree with original translator",ISBLANK($N261)),IF(AND($G261="Legacy Data",$Q261="Source Text Data"),1,IF(AND($G261="Source Text Data",$Q261="Source Text Data"),1,IF($Q261="Source Text Data",1,0))),IF(AND($G261="Source Text Data",$Q261="Source Text Data"),1,IF(OR($Q261="Source Text Data",ISBLANK($Q261)),IF($G261&lt;&gt;"Source Text Data",IF(AND($G261="Legacy Data",$Q261="Source Text Data"),1,0),1),0))))</f>
        <v>0</v>
      </c>
      <c r="V261" s="31"/>
      <c r="X261" s="240" t="str">
        <f t="shared" ref="X261:X324" si="34">IF(AND(COUNTBLANK($F261:$H261)&lt;&gt;COLUMNS($F261:$H261),COUNTA($F261:$H261)&lt;&gt;COLUMNS($F261:$H261)),"ERROR","OK")</f>
        <v>OK</v>
      </c>
      <c r="Y261" s="240" t="str">
        <f t="shared" ref="Y261:Y324" si="35">IF(AND($J261="Not accepted",$K261=""),"ERROR","OK")</f>
        <v>OK</v>
      </c>
      <c r="Z261" s="240" t="str">
        <f t="shared" ref="Z261:Z324" si="36">IF(AND($F261&lt;&gt;"",$J261=""),"ERROR","OK")</f>
        <v>OK</v>
      </c>
      <c r="AA261" s="240" t="str" cm="1">
        <f t="array" ref="AA261">IF(OR(AND(J261="Not accepted",N261:O261&lt;&gt;"",$S261=""),AND(J261="Accepted",S261="")),"ERROR","OK")</f>
        <v>OK</v>
      </c>
      <c r="AB261" s="240" t="str">
        <f t="shared" ref="AB261:AB324" si="37">IF(AND($S261="Not Implemented",$V261=""),"ERROR","OK")</f>
        <v>OK</v>
      </c>
      <c r="AC261" s="240" t="str" cm="1">
        <f t="array" ref="AC261">IF(AND(F261:H261&lt;&gt;"",I261=""),"ERROR","OK")</f>
        <v>OK</v>
      </c>
      <c r="AD261" s="240" t="str">
        <f t="shared" ref="AD261:AD324" si="38">IF(AND($N261="",$J261="Not accepted",$K261&lt;&gt;""),"ERROR","OK")</f>
        <v>OK</v>
      </c>
      <c r="AE261" s="240" t="str">
        <f t="shared" ref="AE261:AE324" si="39">IF(AND($O261="",$N261&lt;&gt;""),"ERROR","OK")</f>
        <v>OK</v>
      </c>
      <c r="AF261" s="240" t="str" cm="1">
        <f t="array" aca="1" ref="AF261" ca="1" xml:space="preserve">
IF(AND($G261&lt;&gt;"",$F261=""),"ERROR",
IF(OR($F261:$G261="",AND($G261="",$F261&lt;&gt;"")),"OK",
IF(COUNTIF(INDIRECT(IFERROR(LEFT($F261,FIND(" ",$F261)-1),$F261)), $G261)&gt;0, "OK", "ERROR")))</f>
        <v>OK</v>
      </c>
    </row>
    <row r="262" spans="1:32" s="240" customFormat="1">
      <c r="A262" s="48"/>
      <c r="B262" s="31"/>
      <c r="C262" s="48"/>
      <c r="D262" s="47"/>
      <c r="E262" s="47"/>
      <c r="F262" s="31"/>
      <c r="G262" s="31"/>
      <c r="H262" s="31"/>
      <c r="I262" s="47"/>
      <c r="J262" s="31"/>
      <c r="K262" s="47"/>
      <c r="L262" s="47"/>
      <c r="M262" s="47"/>
      <c r="N262" s="31"/>
      <c r="O262" s="47"/>
      <c r="P262" s="31"/>
      <c r="Q262" s="31"/>
      <c r="R262" s="31"/>
      <c r="S262" s="31"/>
      <c r="T262" s="270">
        <f t="shared" si="32"/>
        <v>0</v>
      </c>
      <c r="U262" s="270">
        <f t="shared" si="33"/>
        <v>0</v>
      </c>
      <c r="V262" s="31"/>
      <c r="X262" s="240" t="str">
        <f t="shared" si="34"/>
        <v>OK</v>
      </c>
      <c r="Y262" s="240" t="str">
        <f t="shared" si="35"/>
        <v>OK</v>
      </c>
      <c r="Z262" s="240" t="str">
        <f t="shared" si="36"/>
        <v>OK</v>
      </c>
      <c r="AA262" s="240" t="str" cm="1">
        <f t="array" ref="AA262">IF(OR(AND(J262="Not accepted",N262:O262&lt;&gt;"",$S262=""),AND(J262="Accepted",S262="")),"ERROR","OK")</f>
        <v>OK</v>
      </c>
      <c r="AB262" s="240" t="str">
        <f t="shared" si="37"/>
        <v>OK</v>
      </c>
      <c r="AC262" s="240" t="str" cm="1">
        <f t="array" ref="AC262">IF(AND(F262:H262&lt;&gt;"",I262=""),"ERROR","OK")</f>
        <v>OK</v>
      </c>
      <c r="AD262" s="240" t="str">
        <f t="shared" si="38"/>
        <v>OK</v>
      </c>
      <c r="AE262" s="240" t="str">
        <f t="shared" si="39"/>
        <v>OK</v>
      </c>
      <c r="AF262" s="240" t="str" cm="1">
        <f t="array" aca="1" ref="AF262" ca="1" xml:space="preserve">
IF(AND($G262&lt;&gt;"",$F262=""),"ERROR",
IF(OR($F262:$G262="",AND($G262="",$F262&lt;&gt;"")),"OK",
IF(COUNTIF(INDIRECT(IFERROR(LEFT($F262,FIND(" ",$F262)-1),$F262)), $G262)&gt;0, "OK", "ERROR")))</f>
        <v>OK</v>
      </c>
    </row>
    <row r="263" spans="1:32" s="240" customFormat="1">
      <c r="A263" s="48"/>
      <c r="B263" s="31"/>
      <c r="C263" s="48"/>
      <c r="D263" s="47"/>
      <c r="E263" s="47"/>
      <c r="F263" s="31"/>
      <c r="G263" s="31"/>
      <c r="H263" s="31"/>
      <c r="I263" s="47"/>
      <c r="J263" s="31"/>
      <c r="K263" s="47"/>
      <c r="L263" s="47"/>
      <c r="M263" s="47"/>
      <c r="N263" s="31"/>
      <c r="O263" s="47"/>
      <c r="P263" s="31"/>
      <c r="Q263" s="31"/>
      <c r="R263" s="31"/>
      <c r="S263" s="31"/>
      <c r="T263" s="270">
        <f t="shared" si="32"/>
        <v>0</v>
      </c>
      <c r="U263" s="270">
        <f t="shared" si="33"/>
        <v>0</v>
      </c>
      <c r="V263" s="31"/>
      <c r="X263" s="240" t="str">
        <f t="shared" si="34"/>
        <v>OK</v>
      </c>
      <c r="Y263" s="240" t="str">
        <f t="shared" si="35"/>
        <v>OK</v>
      </c>
      <c r="Z263" s="240" t="str">
        <f t="shared" si="36"/>
        <v>OK</v>
      </c>
      <c r="AA263" s="240" t="str" cm="1">
        <f t="array" ref="AA263">IF(OR(AND(J263="Not accepted",N263:O263&lt;&gt;"",$S263=""),AND(J263="Accepted",S263="")),"ERROR","OK")</f>
        <v>OK</v>
      </c>
      <c r="AB263" s="240" t="str">
        <f t="shared" si="37"/>
        <v>OK</v>
      </c>
      <c r="AC263" s="240" t="str" cm="1">
        <f t="array" ref="AC263">IF(AND(F263:H263&lt;&gt;"",I263=""),"ERROR","OK")</f>
        <v>OK</v>
      </c>
      <c r="AD263" s="240" t="str">
        <f t="shared" si="38"/>
        <v>OK</v>
      </c>
      <c r="AE263" s="240" t="str">
        <f t="shared" si="39"/>
        <v>OK</v>
      </c>
      <c r="AF263" s="240" t="str" cm="1">
        <f t="array" aca="1" ref="AF263" ca="1" xml:space="preserve">
IF(AND($G263&lt;&gt;"",$F263=""),"ERROR",
IF(OR($F263:$G263="",AND($G263="",$F263&lt;&gt;"")),"OK",
IF(COUNTIF(INDIRECT(IFERROR(LEFT($F263,FIND(" ",$F263)-1),$F263)), $G263)&gt;0, "OK", "ERROR")))</f>
        <v>OK</v>
      </c>
    </row>
    <row r="264" spans="1:32" s="240" customFormat="1">
      <c r="A264" s="48"/>
      <c r="B264" s="31"/>
      <c r="C264" s="48"/>
      <c r="D264" s="47"/>
      <c r="E264" s="47"/>
      <c r="F264" s="31"/>
      <c r="G264" s="31"/>
      <c r="H264" s="31"/>
      <c r="I264" s="47"/>
      <c r="J264" s="31"/>
      <c r="K264" s="47"/>
      <c r="L264" s="47"/>
      <c r="M264" s="47"/>
      <c r="N264" s="31"/>
      <c r="O264" s="47"/>
      <c r="P264" s="31"/>
      <c r="Q264" s="31"/>
      <c r="R264" s="31"/>
      <c r="S264" s="31"/>
      <c r="T264" s="270">
        <f t="shared" si="32"/>
        <v>0</v>
      </c>
      <c r="U264" s="270">
        <f t="shared" si="33"/>
        <v>0</v>
      </c>
      <c r="V264" s="31"/>
      <c r="X264" s="240" t="str">
        <f t="shared" si="34"/>
        <v>OK</v>
      </c>
      <c r="Y264" s="240" t="str">
        <f t="shared" si="35"/>
        <v>OK</v>
      </c>
      <c r="Z264" s="240" t="str">
        <f t="shared" si="36"/>
        <v>OK</v>
      </c>
      <c r="AA264" s="240" t="str" cm="1">
        <f t="array" ref="AA264">IF(OR(AND(J264="Not accepted",N264:O264&lt;&gt;"",$S264=""),AND(J264="Accepted",S264="")),"ERROR","OK")</f>
        <v>OK</v>
      </c>
      <c r="AB264" s="240" t="str">
        <f t="shared" si="37"/>
        <v>OK</v>
      </c>
      <c r="AC264" s="240" t="str" cm="1">
        <f t="array" ref="AC264">IF(AND(F264:H264&lt;&gt;"",I264=""),"ERROR","OK")</f>
        <v>OK</v>
      </c>
      <c r="AD264" s="240" t="str">
        <f t="shared" si="38"/>
        <v>OK</v>
      </c>
      <c r="AE264" s="240" t="str">
        <f t="shared" si="39"/>
        <v>OK</v>
      </c>
      <c r="AF264" s="240" t="str" cm="1">
        <f t="array" aca="1" ref="AF264" ca="1" xml:space="preserve">
IF(AND($G264&lt;&gt;"",$F264=""),"ERROR",
IF(OR($F264:$G264="",AND($G264="",$F264&lt;&gt;"")),"OK",
IF(COUNTIF(INDIRECT(IFERROR(LEFT($F264,FIND(" ",$F264)-1),$F264)), $G264)&gt;0, "OK", "ERROR")))</f>
        <v>OK</v>
      </c>
    </row>
    <row r="265" spans="1:32" s="240" customFormat="1">
      <c r="A265" s="48"/>
      <c r="B265" s="31"/>
      <c r="C265" s="48"/>
      <c r="D265" s="47"/>
      <c r="E265" s="47"/>
      <c r="F265" s="31"/>
      <c r="G265" s="31"/>
      <c r="H265" s="31"/>
      <c r="I265" s="47"/>
      <c r="J265" s="31"/>
      <c r="K265" s="47"/>
      <c r="L265" s="47"/>
      <c r="M265" s="47"/>
      <c r="N265" s="31"/>
      <c r="O265" s="47"/>
      <c r="P265" s="31"/>
      <c r="Q265" s="31"/>
      <c r="R265" s="31"/>
      <c r="S265" s="31"/>
      <c r="T265" s="270">
        <f t="shared" si="32"/>
        <v>0</v>
      </c>
      <c r="U265" s="270">
        <f t="shared" si="33"/>
        <v>0</v>
      </c>
      <c r="V265" s="31"/>
      <c r="X265" s="240" t="str">
        <f t="shared" si="34"/>
        <v>OK</v>
      </c>
      <c r="Y265" s="240" t="str">
        <f t="shared" si="35"/>
        <v>OK</v>
      </c>
      <c r="Z265" s="240" t="str">
        <f t="shared" si="36"/>
        <v>OK</v>
      </c>
      <c r="AA265" s="240" t="str" cm="1">
        <f t="array" ref="AA265">IF(OR(AND(J265="Not accepted",N265:O265&lt;&gt;"",$S265=""),AND(J265="Accepted",S265="")),"ERROR","OK")</f>
        <v>OK</v>
      </c>
      <c r="AB265" s="240" t="str">
        <f t="shared" si="37"/>
        <v>OK</v>
      </c>
      <c r="AC265" s="240" t="str" cm="1">
        <f t="array" ref="AC265">IF(AND(F265:H265&lt;&gt;"",I265=""),"ERROR","OK")</f>
        <v>OK</v>
      </c>
      <c r="AD265" s="240" t="str">
        <f t="shared" si="38"/>
        <v>OK</v>
      </c>
      <c r="AE265" s="240" t="str">
        <f t="shared" si="39"/>
        <v>OK</v>
      </c>
      <c r="AF265" s="240" t="str" cm="1">
        <f t="array" aca="1" ref="AF265" ca="1" xml:space="preserve">
IF(AND($G265&lt;&gt;"",$F265=""),"ERROR",
IF(OR($F265:$G265="",AND($G265="",$F265&lt;&gt;"")),"OK",
IF(COUNTIF(INDIRECT(IFERROR(LEFT($F265,FIND(" ",$F265)-1),$F265)), $G265)&gt;0, "OK", "ERROR")))</f>
        <v>OK</v>
      </c>
    </row>
    <row r="266" spans="1:32" s="240" customFormat="1">
      <c r="A266" s="48"/>
      <c r="B266" s="31"/>
      <c r="C266" s="48"/>
      <c r="D266" s="47"/>
      <c r="E266" s="47"/>
      <c r="F266" s="31"/>
      <c r="G266" s="31"/>
      <c r="H266" s="31"/>
      <c r="I266" s="47"/>
      <c r="J266" s="31"/>
      <c r="K266" s="47"/>
      <c r="L266" s="47"/>
      <c r="M266" s="47"/>
      <c r="N266" s="31"/>
      <c r="O266" s="47"/>
      <c r="P266" s="31"/>
      <c r="Q266" s="31"/>
      <c r="R266" s="31"/>
      <c r="S266" s="31"/>
      <c r="T266" s="270">
        <f t="shared" si="32"/>
        <v>0</v>
      </c>
      <c r="U266" s="270">
        <f t="shared" si="33"/>
        <v>0</v>
      </c>
      <c r="V266" s="31"/>
      <c r="X266" s="240" t="str">
        <f t="shared" si="34"/>
        <v>OK</v>
      </c>
      <c r="Y266" s="240" t="str">
        <f t="shared" si="35"/>
        <v>OK</v>
      </c>
      <c r="Z266" s="240" t="str">
        <f t="shared" si="36"/>
        <v>OK</v>
      </c>
      <c r="AA266" s="240" t="str" cm="1">
        <f t="array" ref="AA266">IF(OR(AND(J266="Not accepted",N266:O266&lt;&gt;"",$S266=""),AND(J266="Accepted",S266="")),"ERROR","OK")</f>
        <v>OK</v>
      </c>
      <c r="AB266" s="240" t="str">
        <f t="shared" si="37"/>
        <v>OK</v>
      </c>
      <c r="AC266" s="240" t="str" cm="1">
        <f t="array" ref="AC266">IF(AND(F266:H266&lt;&gt;"",I266=""),"ERROR","OK")</f>
        <v>OK</v>
      </c>
      <c r="AD266" s="240" t="str">
        <f t="shared" si="38"/>
        <v>OK</v>
      </c>
      <c r="AE266" s="240" t="str">
        <f t="shared" si="39"/>
        <v>OK</v>
      </c>
      <c r="AF266" s="240" t="str" cm="1">
        <f t="array" aca="1" ref="AF266" ca="1" xml:space="preserve">
IF(AND($G266&lt;&gt;"",$F266=""),"ERROR",
IF(OR($F266:$G266="",AND($G266="",$F266&lt;&gt;"")),"OK",
IF(COUNTIF(INDIRECT(IFERROR(LEFT($F266,FIND(" ",$F266)-1),$F266)), $G266)&gt;0, "OK", "ERROR")))</f>
        <v>OK</v>
      </c>
    </row>
    <row r="267" spans="1:32" s="240" customFormat="1">
      <c r="A267" s="48"/>
      <c r="B267" s="31"/>
      <c r="C267" s="48"/>
      <c r="D267" s="47"/>
      <c r="E267" s="47"/>
      <c r="F267" s="31"/>
      <c r="G267" s="31"/>
      <c r="H267" s="31"/>
      <c r="I267" s="47"/>
      <c r="J267" s="31"/>
      <c r="K267" s="47"/>
      <c r="L267" s="47"/>
      <c r="M267" s="47"/>
      <c r="N267" s="31"/>
      <c r="O267" s="47"/>
      <c r="P267" s="31"/>
      <c r="Q267" s="31"/>
      <c r="R267" s="31"/>
      <c r="S267" s="31"/>
      <c r="T267" s="270">
        <f t="shared" si="32"/>
        <v>0</v>
      </c>
      <c r="U267" s="270">
        <f t="shared" si="33"/>
        <v>0</v>
      </c>
      <c r="V267" s="31"/>
      <c r="X267" s="240" t="str">
        <f t="shared" si="34"/>
        <v>OK</v>
      </c>
      <c r="Y267" s="240" t="str">
        <f t="shared" si="35"/>
        <v>OK</v>
      </c>
      <c r="Z267" s="240" t="str">
        <f t="shared" si="36"/>
        <v>OK</v>
      </c>
      <c r="AA267" s="240" t="str" cm="1">
        <f t="array" ref="AA267">IF(OR(AND(J267="Not accepted",N267:O267&lt;&gt;"",$S267=""),AND(J267="Accepted",S267="")),"ERROR","OK")</f>
        <v>OK</v>
      </c>
      <c r="AB267" s="240" t="str">
        <f t="shared" si="37"/>
        <v>OK</v>
      </c>
      <c r="AC267" s="240" t="str" cm="1">
        <f t="array" ref="AC267">IF(AND(F267:H267&lt;&gt;"",I267=""),"ERROR","OK")</f>
        <v>OK</v>
      </c>
      <c r="AD267" s="240" t="str">
        <f t="shared" si="38"/>
        <v>OK</v>
      </c>
      <c r="AE267" s="240" t="str">
        <f t="shared" si="39"/>
        <v>OK</v>
      </c>
      <c r="AF267" s="240" t="str" cm="1">
        <f t="array" aca="1" ref="AF267" ca="1" xml:space="preserve">
IF(AND($G267&lt;&gt;"",$F267=""),"ERROR",
IF(OR($F267:$G267="",AND($G267="",$F267&lt;&gt;"")),"OK",
IF(COUNTIF(INDIRECT(IFERROR(LEFT($F267,FIND(" ",$F267)-1),$F267)), $G267)&gt;0, "OK", "ERROR")))</f>
        <v>OK</v>
      </c>
    </row>
    <row r="268" spans="1:32" s="240" customFormat="1">
      <c r="A268" s="48"/>
      <c r="B268" s="31"/>
      <c r="C268" s="48"/>
      <c r="D268" s="47"/>
      <c r="E268" s="47"/>
      <c r="F268" s="31"/>
      <c r="G268" s="31"/>
      <c r="H268" s="31"/>
      <c r="I268" s="47"/>
      <c r="J268" s="31"/>
      <c r="K268" s="47"/>
      <c r="L268" s="47"/>
      <c r="M268" s="47"/>
      <c r="N268" s="31"/>
      <c r="O268" s="47"/>
      <c r="P268" s="31"/>
      <c r="Q268" s="31"/>
      <c r="R268" s="31"/>
      <c r="S268" s="31"/>
      <c r="T268" s="270">
        <f t="shared" si="32"/>
        <v>0</v>
      </c>
      <c r="U268" s="270">
        <f t="shared" si="33"/>
        <v>0</v>
      </c>
      <c r="V268" s="31"/>
      <c r="X268" s="240" t="str">
        <f t="shared" si="34"/>
        <v>OK</v>
      </c>
      <c r="Y268" s="240" t="str">
        <f t="shared" si="35"/>
        <v>OK</v>
      </c>
      <c r="Z268" s="240" t="str">
        <f t="shared" si="36"/>
        <v>OK</v>
      </c>
      <c r="AA268" s="240" t="str" cm="1">
        <f t="array" ref="AA268">IF(OR(AND(J268="Not accepted",N268:O268&lt;&gt;"",$S268=""),AND(J268="Accepted",S268="")),"ERROR","OK")</f>
        <v>OK</v>
      </c>
      <c r="AB268" s="240" t="str">
        <f t="shared" si="37"/>
        <v>OK</v>
      </c>
      <c r="AC268" s="240" t="str" cm="1">
        <f t="array" ref="AC268">IF(AND(F268:H268&lt;&gt;"",I268=""),"ERROR","OK")</f>
        <v>OK</v>
      </c>
      <c r="AD268" s="240" t="str">
        <f t="shared" si="38"/>
        <v>OK</v>
      </c>
      <c r="AE268" s="240" t="str">
        <f t="shared" si="39"/>
        <v>OK</v>
      </c>
      <c r="AF268" s="240" t="str" cm="1">
        <f t="array" aca="1" ref="AF268" ca="1" xml:space="preserve">
IF(AND($G268&lt;&gt;"",$F268=""),"ERROR",
IF(OR($F268:$G268="",AND($G268="",$F268&lt;&gt;"")),"OK",
IF(COUNTIF(INDIRECT(IFERROR(LEFT($F268,FIND(" ",$F268)-1),$F268)), $G268)&gt;0, "OK", "ERROR")))</f>
        <v>OK</v>
      </c>
    </row>
    <row r="269" spans="1:32" s="240" customFormat="1">
      <c r="A269" s="48"/>
      <c r="B269" s="31"/>
      <c r="C269" s="48"/>
      <c r="D269" s="47"/>
      <c r="E269" s="47"/>
      <c r="F269" s="31"/>
      <c r="G269" s="31"/>
      <c r="H269" s="31"/>
      <c r="I269" s="47"/>
      <c r="J269" s="31"/>
      <c r="K269" s="47"/>
      <c r="L269" s="47"/>
      <c r="M269" s="47"/>
      <c r="N269" s="31"/>
      <c r="O269" s="47"/>
      <c r="P269" s="31"/>
      <c r="Q269" s="31"/>
      <c r="R269" s="31"/>
      <c r="S269" s="31"/>
      <c r="T269" s="270">
        <f t="shared" si="32"/>
        <v>0</v>
      </c>
      <c r="U269" s="270">
        <f t="shared" si="33"/>
        <v>0</v>
      </c>
      <c r="V269" s="31"/>
      <c r="X269" s="240" t="str">
        <f t="shared" si="34"/>
        <v>OK</v>
      </c>
      <c r="Y269" s="240" t="str">
        <f t="shared" si="35"/>
        <v>OK</v>
      </c>
      <c r="Z269" s="240" t="str">
        <f t="shared" si="36"/>
        <v>OK</v>
      </c>
      <c r="AA269" s="240" t="str" cm="1">
        <f t="array" ref="AA269">IF(OR(AND(J269="Not accepted",N269:O269&lt;&gt;"",$S269=""),AND(J269="Accepted",S269="")),"ERROR","OK")</f>
        <v>OK</v>
      </c>
      <c r="AB269" s="240" t="str">
        <f t="shared" si="37"/>
        <v>OK</v>
      </c>
      <c r="AC269" s="240" t="str" cm="1">
        <f t="array" ref="AC269">IF(AND(F269:H269&lt;&gt;"",I269=""),"ERROR","OK")</f>
        <v>OK</v>
      </c>
      <c r="AD269" s="240" t="str">
        <f t="shared" si="38"/>
        <v>OK</v>
      </c>
      <c r="AE269" s="240" t="str">
        <f t="shared" si="39"/>
        <v>OK</v>
      </c>
      <c r="AF269" s="240" t="str" cm="1">
        <f t="array" aca="1" ref="AF269" ca="1" xml:space="preserve">
IF(AND($G269&lt;&gt;"",$F269=""),"ERROR",
IF(OR($F269:$G269="",AND($G269="",$F269&lt;&gt;"")),"OK",
IF(COUNTIF(INDIRECT(IFERROR(LEFT($F269,FIND(" ",$F269)-1),$F269)), $G269)&gt;0, "OK", "ERROR")))</f>
        <v>OK</v>
      </c>
    </row>
    <row r="270" spans="1:32" s="240" customFormat="1">
      <c r="A270" s="48"/>
      <c r="B270" s="31"/>
      <c r="C270" s="48"/>
      <c r="D270" s="47"/>
      <c r="E270" s="47"/>
      <c r="F270" s="31"/>
      <c r="G270" s="31"/>
      <c r="H270" s="31"/>
      <c r="I270" s="47"/>
      <c r="J270" s="31"/>
      <c r="K270" s="47"/>
      <c r="L270" s="47"/>
      <c r="M270" s="47"/>
      <c r="N270" s="31"/>
      <c r="O270" s="47"/>
      <c r="P270" s="31"/>
      <c r="Q270" s="31"/>
      <c r="R270" s="31"/>
      <c r="S270" s="31"/>
      <c r="T270" s="270">
        <f t="shared" si="32"/>
        <v>0</v>
      </c>
      <c r="U270" s="270">
        <f t="shared" si="33"/>
        <v>0</v>
      </c>
      <c r="V270" s="31"/>
      <c r="X270" s="240" t="str">
        <f t="shared" si="34"/>
        <v>OK</v>
      </c>
      <c r="Y270" s="240" t="str">
        <f t="shared" si="35"/>
        <v>OK</v>
      </c>
      <c r="Z270" s="240" t="str">
        <f t="shared" si="36"/>
        <v>OK</v>
      </c>
      <c r="AA270" s="240" t="str" cm="1">
        <f t="array" ref="AA270">IF(OR(AND(J270="Not accepted",N270:O270&lt;&gt;"",$S270=""),AND(J270="Accepted",S270="")),"ERROR","OK")</f>
        <v>OK</v>
      </c>
      <c r="AB270" s="240" t="str">
        <f t="shared" si="37"/>
        <v>OK</v>
      </c>
      <c r="AC270" s="240" t="str" cm="1">
        <f t="array" ref="AC270">IF(AND(F270:H270&lt;&gt;"",I270=""),"ERROR","OK")</f>
        <v>OK</v>
      </c>
      <c r="AD270" s="240" t="str">
        <f t="shared" si="38"/>
        <v>OK</v>
      </c>
      <c r="AE270" s="240" t="str">
        <f t="shared" si="39"/>
        <v>OK</v>
      </c>
      <c r="AF270" s="240" t="str" cm="1">
        <f t="array" aca="1" ref="AF270" ca="1" xml:space="preserve">
IF(AND($G270&lt;&gt;"",$F270=""),"ERROR",
IF(OR($F270:$G270="",AND($G270="",$F270&lt;&gt;"")),"OK",
IF(COUNTIF(INDIRECT(IFERROR(LEFT($F270,FIND(" ",$F270)-1),$F270)), $G270)&gt;0, "OK", "ERROR")))</f>
        <v>OK</v>
      </c>
    </row>
    <row r="271" spans="1:32" s="240" customFormat="1">
      <c r="A271" s="48"/>
      <c r="B271" s="31"/>
      <c r="C271" s="48"/>
      <c r="D271" s="47"/>
      <c r="E271" s="47"/>
      <c r="F271" s="31"/>
      <c r="G271" s="31"/>
      <c r="H271" s="31"/>
      <c r="I271" s="47"/>
      <c r="J271" s="31"/>
      <c r="K271" s="47"/>
      <c r="L271" s="47"/>
      <c r="M271" s="47"/>
      <c r="N271" s="31"/>
      <c r="O271" s="47"/>
      <c r="P271" s="31"/>
      <c r="Q271" s="31"/>
      <c r="R271" s="31"/>
      <c r="S271" s="31"/>
      <c r="T271" s="270">
        <f t="shared" si="32"/>
        <v>0</v>
      </c>
      <c r="U271" s="270">
        <f t="shared" si="33"/>
        <v>0</v>
      </c>
      <c r="V271" s="31"/>
      <c r="X271" s="240" t="str">
        <f t="shared" si="34"/>
        <v>OK</v>
      </c>
      <c r="Y271" s="240" t="str">
        <f t="shared" si="35"/>
        <v>OK</v>
      </c>
      <c r="Z271" s="240" t="str">
        <f t="shared" si="36"/>
        <v>OK</v>
      </c>
      <c r="AA271" s="240" t="str" cm="1">
        <f t="array" ref="AA271">IF(OR(AND(J271="Not accepted",N271:O271&lt;&gt;"",$S271=""),AND(J271="Accepted",S271="")),"ERROR","OK")</f>
        <v>OK</v>
      </c>
      <c r="AB271" s="240" t="str">
        <f t="shared" si="37"/>
        <v>OK</v>
      </c>
      <c r="AC271" s="240" t="str" cm="1">
        <f t="array" ref="AC271">IF(AND(F271:H271&lt;&gt;"",I271=""),"ERROR","OK")</f>
        <v>OK</v>
      </c>
      <c r="AD271" s="240" t="str">
        <f t="shared" si="38"/>
        <v>OK</v>
      </c>
      <c r="AE271" s="240" t="str">
        <f t="shared" si="39"/>
        <v>OK</v>
      </c>
      <c r="AF271" s="240" t="str" cm="1">
        <f t="array" aca="1" ref="AF271" ca="1" xml:space="preserve">
IF(AND($G271&lt;&gt;"",$F271=""),"ERROR",
IF(OR($F271:$G271="",AND($G271="",$F271&lt;&gt;"")),"OK",
IF(COUNTIF(INDIRECT(IFERROR(LEFT($F271,FIND(" ",$F271)-1),$F271)), $G271)&gt;0, "OK", "ERROR")))</f>
        <v>OK</v>
      </c>
    </row>
    <row r="272" spans="1:32" s="240" customFormat="1">
      <c r="A272" s="48"/>
      <c r="B272" s="31"/>
      <c r="C272" s="48"/>
      <c r="D272" s="47"/>
      <c r="E272" s="47"/>
      <c r="F272" s="31"/>
      <c r="G272" s="31"/>
      <c r="H272" s="31"/>
      <c r="I272" s="47"/>
      <c r="J272" s="31"/>
      <c r="K272" s="47"/>
      <c r="L272" s="47"/>
      <c r="M272" s="47"/>
      <c r="N272" s="31"/>
      <c r="O272" s="47"/>
      <c r="P272" s="31"/>
      <c r="Q272" s="31"/>
      <c r="R272" s="31"/>
      <c r="S272" s="31"/>
      <c r="T272" s="270">
        <f t="shared" si="32"/>
        <v>0</v>
      </c>
      <c r="U272" s="270">
        <f t="shared" si="33"/>
        <v>0</v>
      </c>
      <c r="V272" s="31"/>
      <c r="X272" s="240" t="str">
        <f t="shared" si="34"/>
        <v>OK</v>
      </c>
      <c r="Y272" s="240" t="str">
        <f t="shared" si="35"/>
        <v>OK</v>
      </c>
      <c r="Z272" s="240" t="str">
        <f t="shared" si="36"/>
        <v>OK</v>
      </c>
      <c r="AA272" s="240" t="str" cm="1">
        <f t="array" ref="AA272">IF(OR(AND(J272="Not accepted",N272:O272&lt;&gt;"",$S272=""),AND(J272="Accepted",S272="")),"ERROR","OK")</f>
        <v>OK</v>
      </c>
      <c r="AB272" s="240" t="str">
        <f t="shared" si="37"/>
        <v>OK</v>
      </c>
      <c r="AC272" s="240" t="str" cm="1">
        <f t="array" ref="AC272">IF(AND(F272:H272&lt;&gt;"",I272=""),"ERROR","OK")</f>
        <v>OK</v>
      </c>
      <c r="AD272" s="240" t="str">
        <f t="shared" si="38"/>
        <v>OK</v>
      </c>
      <c r="AE272" s="240" t="str">
        <f t="shared" si="39"/>
        <v>OK</v>
      </c>
      <c r="AF272" s="240" t="str" cm="1">
        <f t="array" aca="1" ref="AF272" ca="1" xml:space="preserve">
IF(AND($G272&lt;&gt;"",$F272=""),"ERROR",
IF(OR($F272:$G272="",AND($G272="",$F272&lt;&gt;"")),"OK",
IF(COUNTIF(INDIRECT(IFERROR(LEFT($F272,FIND(" ",$F272)-1),$F272)), $G272)&gt;0, "OK", "ERROR")))</f>
        <v>OK</v>
      </c>
    </row>
    <row r="273" spans="1:32" s="240" customFormat="1">
      <c r="A273" s="48"/>
      <c r="B273" s="31"/>
      <c r="C273" s="48"/>
      <c r="D273" s="47"/>
      <c r="E273" s="47"/>
      <c r="F273" s="31"/>
      <c r="G273" s="31"/>
      <c r="H273" s="31"/>
      <c r="I273" s="47"/>
      <c r="J273" s="31"/>
      <c r="K273" s="47"/>
      <c r="L273" s="47"/>
      <c r="M273" s="47"/>
      <c r="N273" s="31"/>
      <c r="O273" s="47"/>
      <c r="P273" s="31"/>
      <c r="Q273" s="31"/>
      <c r="R273" s="31"/>
      <c r="S273" s="31"/>
      <c r="T273" s="270">
        <f t="shared" si="32"/>
        <v>0</v>
      </c>
      <c r="U273" s="270">
        <f t="shared" si="33"/>
        <v>0</v>
      </c>
      <c r="V273" s="31"/>
      <c r="X273" s="240" t="str">
        <f t="shared" si="34"/>
        <v>OK</v>
      </c>
      <c r="Y273" s="240" t="str">
        <f t="shared" si="35"/>
        <v>OK</v>
      </c>
      <c r="Z273" s="240" t="str">
        <f t="shared" si="36"/>
        <v>OK</v>
      </c>
      <c r="AA273" s="240" t="str" cm="1">
        <f t="array" ref="AA273">IF(OR(AND(J273="Not accepted",N273:O273&lt;&gt;"",$S273=""),AND(J273="Accepted",S273="")),"ERROR","OK")</f>
        <v>OK</v>
      </c>
      <c r="AB273" s="240" t="str">
        <f t="shared" si="37"/>
        <v>OK</v>
      </c>
      <c r="AC273" s="240" t="str" cm="1">
        <f t="array" ref="AC273">IF(AND(F273:H273&lt;&gt;"",I273=""),"ERROR","OK")</f>
        <v>OK</v>
      </c>
      <c r="AD273" s="240" t="str">
        <f t="shared" si="38"/>
        <v>OK</v>
      </c>
      <c r="AE273" s="240" t="str">
        <f t="shared" si="39"/>
        <v>OK</v>
      </c>
      <c r="AF273" s="240" t="str" cm="1">
        <f t="array" aca="1" ref="AF273" ca="1" xml:space="preserve">
IF(AND($G273&lt;&gt;"",$F273=""),"ERROR",
IF(OR($F273:$G273="",AND($G273="",$F273&lt;&gt;"")),"OK",
IF(COUNTIF(INDIRECT(IFERROR(LEFT($F273,FIND(" ",$F273)-1),$F273)), $G273)&gt;0, "OK", "ERROR")))</f>
        <v>OK</v>
      </c>
    </row>
    <row r="274" spans="1:32" s="240" customFormat="1">
      <c r="A274" s="48"/>
      <c r="B274" s="31"/>
      <c r="C274" s="48"/>
      <c r="D274" s="47"/>
      <c r="E274" s="47"/>
      <c r="F274" s="31"/>
      <c r="G274" s="31"/>
      <c r="H274" s="31"/>
      <c r="I274" s="47"/>
      <c r="J274" s="31"/>
      <c r="K274" s="47"/>
      <c r="L274" s="47"/>
      <c r="M274" s="47"/>
      <c r="N274" s="31"/>
      <c r="O274" s="47"/>
      <c r="P274" s="31"/>
      <c r="Q274" s="31"/>
      <c r="R274" s="31"/>
      <c r="S274" s="31"/>
      <c r="T274" s="270">
        <f t="shared" si="32"/>
        <v>0</v>
      </c>
      <c r="U274" s="270">
        <f t="shared" si="33"/>
        <v>0</v>
      </c>
      <c r="V274" s="31"/>
      <c r="X274" s="240" t="str">
        <f t="shared" si="34"/>
        <v>OK</v>
      </c>
      <c r="Y274" s="240" t="str">
        <f t="shared" si="35"/>
        <v>OK</v>
      </c>
      <c r="Z274" s="240" t="str">
        <f t="shared" si="36"/>
        <v>OK</v>
      </c>
      <c r="AA274" s="240" t="str" cm="1">
        <f t="array" ref="AA274">IF(OR(AND(J274="Not accepted",N274:O274&lt;&gt;"",$S274=""),AND(J274="Accepted",S274="")),"ERROR","OK")</f>
        <v>OK</v>
      </c>
      <c r="AB274" s="240" t="str">
        <f t="shared" si="37"/>
        <v>OK</v>
      </c>
      <c r="AC274" s="240" t="str" cm="1">
        <f t="array" ref="AC274">IF(AND(F274:H274&lt;&gt;"",I274=""),"ERROR","OK")</f>
        <v>OK</v>
      </c>
      <c r="AD274" s="240" t="str">
        <f t="shared" si="38"/>
        <v>OK</v>
      </c>
      <c r="AE274" s="240" t="str">
        <f t="shared" si="39"/>
        <v>OK</v>
      </c>
      <c r="AF274" s="240" t="str" cm="1">
        <f t="array" aca="1" ref="AF274" ca="1" xml:space="preserve">
IF(AND($G274&lt;&gt;"",$F274=""),"ERROR",
IF(OR($F274:$G274="",AND($G274="",$F274&lt;&gt;"")),"OK",
IF(COUNTIF(INDIRECT(IFERROR(LEFT($F274,FIND(" ",$F274)-1),$F274)), $G274)&gt;0, "OK", "ERROR")))</f>
        <v>OK</v>
      </c>
    </row>
    <row r="275" spans="1:32" s="240" customFormat="1">
      <c r="A275" s="48"/>
      <c r="B275" s="31"/>
      <c r="C275" s="48"/>
      <c r="D275" s="47"/>
      <c r="E275" s="47"/>
      <c r="F275" s="31"/>
      <c r="G275" s="31"/>
      <c r="H275" s="31"/>
      <c r="I275" s="47"/>
      <c r="J275" s="31"/>
      <c r="K275" s="47"/>
      <c r="L275" s="47"/>
      <c r="M275" s="47"/>
      <c r="N275" s="31"/>
      <c r="O275" s="47"/>
      <c r="P275" s="31"/>
      <c r="Q275" s="31"/>
      <c r="R275" s="31"/>
      <c r="S275" s="31"/>
      <c r="T275" s="270">
        <f t="shared" si="32"/>
        <v>0</v>
      </c>
      <c r="U275" s="270">
        <f t="shared" si="33"/>
        <v>0</v>
      </c>
      <c r="V275" s="31"/>
      <c r="X275" s="240" t="str">
        <f t="shared" si="34"/>
        <v>OK</v>
      </c>
      <c r="Y275" s="240" t="str">
        <f t="shared" si="35"/>
        <v>OK</v>
      </c>
      <c r="Z275" s="240" t="str">
        <f t="shared" si="36"/>
        <v>OK</v>
      </c>
      <c r="AA275" s="240" t="str" cm="1">
        <f t="array" ref="AA275">IF(OR(AND(J275="Not accepted",N275:O275&lt;&gt;"",$S275=""),AND(J275="Accepted",S275="")),"ERROR","OK")</f>
        <v>OK</v>
      </c>
      <c r="AB275" s="240" t="str">
        <f t="shared" si="37"/>
        <v>OK</v>
      </c>
      <c r="AC275" s="240" t="str" cm="1">
        <f t="array" ref="AC275">IF(AND(F275:H275&lt;&gt;"",I275=""),"ERROR","OK")</f>
        <v>OK</v>
      </c>
      <c r="AD275" s="240" t="str">
        <f t="shared" si="38"/>
        <v>OK</v>
      </c>
      <c r="AE275" s="240" t="str">
        <f t="shared" si="39"/>
        <v>OK</v>
      </c>
      <c r="AF275" s="240" t="str" cm="1">
        <f t="array" aca="1" ref="AF275" ca="1" xml:space="preserve">
IF(AND($G275&lt;&gt;"",$F275=""),"ERROR",
IF(OR($F275:$G275="",AND($G275="",$F275&lt;&gt;"")),"OK",
IF(COUNTIF(INDIRECT(IFERROR(LEFT($F275,FIND(" ",$F275)-1),$F275)), $G275)&gt;0, "OK", "ERROR")))</f>
        <v>OK</v>
      </c>
    </row>
    <row r="276" spans="1:32" s="240" customFormat="1">
      <c r="A276" s="48"/>
      <c r="B276" s="31"/>
      <c r="C276" s="48"/>
      <c r="D276" s="47"/>
      <c r="E276" s="47"/>
      <c r="F276" s="31"/>
      <c r="G276" s="31"/>
      <c r="H276" s="31"/>
      <c r="I276" s="47"/>
      <c r="J276" s="31"/>
      <c r="K276" s="47"/>
      <c r="L276" s="47"/>
      <c r="M276" s="47"/>
      <c r="N276" s="31"/>
      <c r="O276" s="47"/>
      <c r="P276" s="31"/>
      <c r="Q276" s="31"/>
      <c r="R276" s="31"/>
      <c r="S276" s="31"/>
      <c r="T276" s="270">
        <f t="shared" si="32"/>
        <v>0</v>
      </c>
      <c r="U276" s="270">
        <f t="shared" si="33"/>
        <v>0</v>
      </c>
      <c r="V276" s="31"/>
      <c r="X276" s="240" t="str">
        <f t="shared" si="34"/>
        <v>OK</v>
      </c>
      <c r="Y276" s="240" t="str">
        <f t="shared" si="35"/>
        <v>OK</v>
      </c>
      <c r="Z276" s="240" t="str">
        <f t="shared" si="36"/>
        <v>OK</v>
      </c>
      <c r="AA276" s="240" t="str" cm="1">
        <f t="array" ref="AA276">IF(OR(AND(J276="Not accepted",N276:O276&lt;&gt;"",$S276=""),AND(J276="Accepted",S276="")),"ERROR","OK")</f>
        <v>OK</v>
      </c>
      <c r="AB276" s="240" t="str">
        <f t="shared" si="37"/>
        <v>OK</v>
      </c>
      <c r="AC276" s="240" t="str" cm="1">
        <f t="array" ref="AC276">IF(AND(F276:H276&lt;&gt;"",I276=""),"ERROR","OK")</f>
        <v>OK</v>
      </c>
      <c r="AD276" s="240" t="str">
        <f t="shared" si="38"/>
        <v>OK</v>
      </c>
      <c r="AE276" s="240" t="str">
        <f t="shared" si="39"/>
        <v>OK</v>
      </c>
      <c r="AF276" s="240" t="str" cm="1">
        <f t="array" aca="1" ref="AF276" ca="1" xml:space="preserve">
IF(AND($G276&lt;&gt;"",$F276=""),"ERROR",
IF(OR($F276:$G276="",AND($G276="",$F276&lt;&gt;"")),"OK",
IF(COUNTIF(INDIRECT(IFERROR(LEFT($F276,FIND(" ",$F276)-1),$F276)), $G276)&gt;0, "OK", "ERROR")))</f>
        <v>OK</v>
      </c>
    </row>
    <row r="277" spans="1:32" s="240" customFormat="1">
      <c r="A277" s="48"/>
      <c r="B277" s="31"/>
      <c r="C277" s="48"/>
      <c r="D277" s="47"/>
      <c r="E277" s="47"/>
      <c r="F277" s="31"/>
      <c r="G277" s="31"/>
      <c r="H277" s="31"/>
      <c r="I277" s="47"/>
      <c r="J277" s="31"/>
      <c r="K277" s="47"/>
      <c r="L277" s="47"/>
      <c r="M277" s="47"/>
      <c r="N277" s="31"/>
      <c r="O277" s="47"/>
      <c r="P277" s="31"/>
      <c r="Q277" s="31"/>
      <c r="R277" s="31"/>
      <c r="S277" s="31"/>
      <c r="T277" s="270">
        <f t="shared" si="32"/>
        <v>0</v>
      </c>
      <c r="U277" s="270">
        <f t="shared" si="33"/>
        <v>0</v>
      </c>
      <c r="V277" s="31"/>
      <c r="X277" s="240" t="str">
        <f t="shared" si="34"/>
        <v>OK</v>
      </c>
      <c r="Y277" s="240" t="str">
        <f t="shared" si="35"/>
        <v>OK</v>
      </c>
      <c r="Z277" s="240" t="str">
        <f t="shared" si="36"/>
        <v>OK</v>
      </c>
      <c r="AA277" s="240" t="str" cm="1">
        <f t="array" ref="AA277">IF(OR(AND(J277="Not accepted",N277:O277&lt;&gt;"",$S277=""),AND(J277="Accepted",S277="")),"ERROR","OK")</f>
        <v>OK</v>
      </c>
      <c r="AB277" s="240" t="str">
        <f t="shared" si="37"/>
        <v>OK</v>
      </c>
      <c r="AC277" s="240" t="str" cm="1">
        <f t="array" ref="AC277">IF(AND(F277:H277&lt;&gt;"",I277=""),"ERROR","OK")</f>
        <v>OK</v>
      </c>
      <c r="AD277" s="240" t="str">
        <f t="shared" si="38"/>
        <v>OK</v>
      </c>
      <c r="AE277" s="240" t="str">
        <f t="shared" si="39"/>
        <v>OK</v>
      </c>
      <c r="AF277" s="240" t="str" cm="1">
        <f t="array" aca="1" ref="AF277" ca="1" xml:space="preserve">
IF(AND($G277&lt;&gt;"",$F277=""),"ERROR",
IF(OR($F277:$G277="",AND($G277="",$F277&lt;&gt;"")),"OK",
IF(COUNTIF(INDIRECT(IFERROR(LEFT($F277,FIND(" ",$F277)-1),$F277)), $G277)&gt;0, "OK", "ERROR")))</f>
        <v>OK</v>
      </c>
    </row>
    <row r="278" spans="1:32" s="240" customFormat="1">
      <c r="A278" s="48"/>
      <c r="B278" s="31"/>
      <c r="C278" s="48"/>
      <c r="D278" s="47"/>
      <c r="E278" s="47"/>
      <c r="F278" s="31"/>
      <c r="G278" s="31"/>
      <c r="H278" s="31"/>
      <c r="I278" s="47"/>
      <c r="J278" s="31"/>
      <c r="K278" s="47"/>
      <c r="L278" s="47"/>
      <c r="M278" s="47"/>
      <c r="N278" s="31"/>
      <c r="O278" s="47"/>
      <c r="P278" s="31"/>
      <c r="Q278" s="31"/>
      <c r="R278" s="31"/>
      <c r="S278" s="31"/>
      <c r="T278" s="270">
        <f t="shared" si="32"/>
        <v>0</v>
      </c>
      <c r="U278" s="270">
        <f t="shared" si="33"/>
        <v>0</v>
      </c>
      <c r="V278" s="31"/>
      <c r="X278" s="240" t="str">
        <f t="shared" si="34"/>
        <v>OK</v>
      </c>
      <c r="Y278" s="240" t="str">
        <f t="shared" si="35"/>
        <v>OK</v>
      </c>
      <c r="Z278" s="240" t="str">
        <f t="shared" si="36"/>
        <v>OK</v>
      </c>
      <c r="AA278" s="240" t="str" cm="1">
        <f t="array" ref="AA278">IF(OR(AND(J278="Not accepted",N278:O278&lt;&gt;"",$S278=""),AND(J278="Accepted",S278="")),"ERROR","OK")</f>
        <v>OK</v>
      </c>
      <c r="AB278" s="240" t="str">
        <f t="shared" si="37"/>
        <v>OK</v>
      </c>
      <c r="AC278" s="240" t="str" cm="1">
        <f t="array" ref="AC278">IF(AND(F278:H278&lt;&gt;"",I278=""),"ERROR","OK")</f>
        <v>OK</v>
      </c>
      <c r="AD278" s="240" t="str">
        <f t="shared" si="38"/>
        <v>OK</v>
      </c>
      <c r="AE278" s="240" t="str">
        <f t="shared" si="39"/>
        <v>OK</v>
      </c>
      <c r="AF278" s="240" t="str" cm="1">
        <f t="array" aca="1" ref="AF278" ca="1" xml:space="preserve">
IF(AND($G278&lt;&gt;"",$F278=""),"ERROR",
IF(OR($F278:$G278="",AND($G278="",$F278&lt;&gt;"")),"OK",
IF(COUNTIF(INDIRECT(IFERROR(LEFT($F278,FIND(" ",$F278)-1),$F278)), $G278)&gt;0, "OK", "ERROR")))</f>
        <v>OK</v>
      </c>
    </row>
    <row r="279" spans="1:32" s="240" customFormat="1">
      <c r="A279" s="48"/>
      <c r="B279" s="31"/>
      <c r="C279" s="48"/>
      <c r="D279" s="47"/>
      <c r="E279" s="47"/>
      <c r="F279" s="31"/>
      <c r="G279" s="31"/>
      <c r="H279" s="31"/>
      <c r="I279" s="47"/>
      <c r="J279" s="31"/>
      <c r="K279" s="47"/>
      <c r="L279" s="47"/>
      <c r="M279" s="47"/>
      <c r="N279" s="31"/>
      <c r="O279" s="47"/>
      <c r="P279" s="31"/>
      <c r="Q279" s="31"/>
      <c r="R279" s="31"/>
      <c r="S279" s="31"/>
      <c r="T279" s="270">
        <f t="shared" si="32"/>
        <v>0</v>
      </c>
      <c r="U279" s="270">
        <f t="shared" si="33"/>
        <v>0</v>
      </c>
      <c r="V279" s="31"/>
      <c r="X279" s="240" t="str">
        <f t="shared" si="34"/>
        <v>OK</v>
      </c>
      <c r="Y279" s="240" t="str">
        <f t="shared" si="35"/>
        <v>OK</v>
      </c>
      <c r="Z279" s="240" t="str">
        <f t="shared" si="36"/>
        <v>OK</v>
      </c>
      <c r="AA279" s="240" t="str" cm="1">
        <f t="array" ref="AA279">IF(OR(AND(J279="Not accepted",N279:O279&lt;&gt;"",$S279=""),AND(J279="Accepted",S279="")),"ERROR","OK")</f>
        <v>OK</v>
      </c>
      <c r="AB279" s="240" t="str">
        <f t="shared" si="37"/>
        <v>OK</v>
      </c>
      <c r="AC279" s="240" t="str" cm="1">
        <f t="array" ref="AC279">IF(AND(F279:H279&lt;&gt;"",I279=""),"ERROR","OK")</f>
        <v>OK</v>
      </c>
      <c r="AD279" s="240" t="str">
        <f t="shared" si="38"/>
        <v>OK</v>
      </c>
      <c r="AE279" s="240" t="str">
        <f t="shared" si="39"/>
        <v>OK</v>
      </c>
      <c r="AF279" s="240" t="str" cm="1">
        <f t="array" aca="1" ref="AF279" ca="1" xml:space="preserve">
IF(AND($G279&lt;&gt;"",$F279=""),"ERROR",
IF(OR($F279:$G279="",AND($G279="",$F279&lt;&gt;"")),"OK",
IF(COUNTIF(INDIRECT(IFERROR(LEFT($F279,FIND(" ",$F279)-1),$F279)), $G279)&gt;0, "OK", "ERROR")))</f>
        <v>OK</v>
      </c>
    </row>
    <row r="280" spans="1:32" s="240" customFormat="1">
      <c r="A280" s="48"/>
      <c r="B280" s="31"/>
      <c r="C280" s="48"/>
      <c r="D280" s="47"/>
      <c r="E280" s="47"/>
      <c r="F280" s="31"/>
      <c r="G280" s="31"/>
      <c r="H280" s="31"/>
      <c r="I280" s="47"/>
      <c r="J280" s="31"/>
      <c r="K280" s="47"/>
      <c r="L280" s="47"/>
      <c r="M280" s="47"/>
      <c r="N280" s="31"/>
      <c r="O280" s="47"/>
      <c r="P280" s="31"/>
      <c r="Q280" s="31"/>
      <c r="R280" s="31"/>
      <c r="S280" s="31"/>
      <c r="T280" s="270">
        <f t="shared" si="32"/>
        <v>0</v>
      </c>
      <c r="U280" s="270">
        <f t="shared" si="33"/>
        <v>0</v>
      </c>
      <c r="V280" s="31"/>
      <c r="X280" s="240" t="str">
        <f t="shared" si="34"/>
        <v>OK</v>
      </c>
      <c r="Y280" s="240" t="str">
        <f t="shared" si="35"/>
        <v>OK</v>
      </c>
      <c r="Z280" s="240" t="str">
        <f t="shared" si="36"/>
        <v>OK</v>
      </c>
      <c r="AA280" s="240" t="str" cm="1">
        <f t="array" ref="AA280">IF(OR(AND(J280="Not accepted",N280:O280&lt;&gt;"",$S280=""),AND(J280="Accepted",S280="")),"ERROR","OK")</f>
        <v>OK</v>
      </c>
      <c r="AB280" s="240" t="str">
        <f t="shared" si="37"/>
        <v>OK</v>
      </c>
      <c r="AC280" s="240" t="str" cm="1">
        <f t="array" ref="AC280">IF(AND(F280:H280&lt;&gt;"",I280=""),"ERROR","OK")</f>
        <v>OK</v>
      </c>
      <c r="AD280" s="240" t="str">
        <f t="shared" si="38"/>
        <v>OK</v>
      </c>
      <c r="AE280" s="240" t="str">
        <f t="shared" si="39"/>
        <v>OK</v>
      </c>
      <c r="AF280" s="240" t="str" cm="1">
        <f t="array" aca="1" ref="AF280" ca="1" xml:space="preserve">
IF(AND($G280&lt;&gt;"",$F280=""),"ERROR",
IF(OR($F280:$G280="",AND($G280="",$F280&lt;&gt;"")),"OK",
IF(COUNTIF(INDIRECT(IFERROR(LEFT($F280,FIND(" ",$F280)-1),$F280)), $G280)&gt;0, "OK", "ERROR")))</f>
        <v>OK</v>
      </c>
    </row>
    <row r="281" spans="1:32" s="240" customFormat="1">
      <c r="A281" s="48"/>
      <c r="B281" s="31"/>
      <c r="C281" s="48"/>
      <c r="D281" s="47"/>
      <c r="E281" s="47"/>
      <c r="F281" s="31"/>
      <c r="G281" s="31"/>
      <c r="H281" s="31"/>
      <c r="I281" s="47"/>
      <c r="J281" s="31"/>
      <c r="K281" s="47"/>
      <c r="L281" s="47"/>
      <c r="M281" s="47"/>
      <c r="N281" s="31"/>
      <c r="O281" s="47"/>
      <c r="P281" s="31"/>
      <c r="Q281" s="31"/>
      <c r="R281" s="31"/>
      <c r="S281" s="31"/>
      <c r="T281" s="270">
        <f t="shared" si="32"/>
        <v>0</v>
      </c>
      <c r="U281" s="270">
        <f t="shared" si="33"/>
        <v>0</v>
      </c>
      <c r="V281" s="31"/>
      <c r="X281" s="240" t="str">
        <f t="shared" si="34"/>
        <v>OK</v>
      </c>
      <c r="Y281" s="240" t="str">
        <f t="shared" si="35"/>
        <v>OK</v>
      </c>
      <c r="Z281" s="240" t="str">
        <f t="shared" si="36"/>
        <v>OK</v>
      </c>
      <c r="AA281" s="240" t="str" cm="1">
        <f t="array" ref="AA281">IF(OR(AND(J281="Not accepted",N281:O281&lt;&gt;"",$S281=""),AND(J281="Accepted",S281="")),"ERROR","OK")</f>
        <v>OK</v>
      </c>
      <c r="AB281" s="240" t="str">
        <f t="shared" si="37"/>
        <v>OK</v>
      </c>
      <c r="AC281" s="240" t="str" cm="1">
        <f t="array" ref="AC281">IF(AND(F281:H281&lt;&gt;"",I281=""),"ERROR","OK")</f>
        <v>OK</v>
      </c>
      <c r="AD281" s="240" t="str">
        <f t="shared" si="38"/>
        <v>OK</v>
      </c>
      <c r="AE281" s="240" t="str">
        <f t="shared" si="39"/>
        <v>OK</v>
      </c>
      <c r="AF281" s="240" t="str" cm="1">
        <f t="array" aca="1" ref="AF281" ca="1" xml:space="preserve">
IF(AND($G281&lt;&gt;"",$F281=""),"ERROR",
IF(OR($F281:$G281="",AND($G281="",$F281&lt;&gt;"")),"OK",
IF(COUNTIF(INDIRECT(IFERROR(LEFT($F281,FIND(" ",$F281)-1),$F281)), $G281)&gt;0, "OK", "ERROR")))</f>
        <v>OK</v>
      </c>
    </row>
    <row r="282" spans="1:32" s="240" customFormat="1">
      <c r="A282" s="48"/>
      <c r="B282" s="31"/>
      <c r="C282" s="48"/>
      <c r="D282" s="47"/>
      <c r="E282" s="47"/>
      <c r="F282" s="31"/>
      <c r="G282" s="31"/>
      <c r="H282" s="31"/>
      <c r="I282" s="47"/>
      <c r="J282" s="31"/>
      <c r="K282" s="47"/>
      <c r="L282" s="47"/>
      <c r="M282" s="47"/>
      <c r="N282" s="31"/>
      <c r="O282" s="47"/>
      <c r="P282" s="31"/>
      <c r="Q282" s="31"/>
      <c r="R282" s="31"/>
      <c r="S282" s="31"/>
      <c r="T282" s="270">
        <f t="shared" si="32"/>
        <v>0</v>
      </c>
      <c r="U282" s="270">
        <f t="shared" si="33"/>
        <v>0</v>
      </c>
      <c r="V282" s="31"/>
      <c r="X282" s="240" t="str">
        <f t="shared" si="34"/>
        <v>OK</v>
      </c>
      <c r="Y282" s="240" t="str">
        <f t="shared" si="35"/>
        <v>OK</v>
      </c>
      <c r="Z282" s="240" t="str">
        <f t="shared" si="36"/>
        <v>OK</v>
      </c>
      <c r="AA282" s="240" t="str" cm="1">
        <f t="array" ref="AA282">IF(OR(AND(J282="Not accepted",N282:O282&lt;&gt;"",$S282=""),AND(J282="Accepted",S282="")),"ERROR","OK")</f>
        <v>OK</v>
      </c>
      <c r="AB282" s="240" t="str">
        <f t="shared" si="37"/>
        <v>OK</v>
      </c>
      <c r="AC282" s="240" t="str" cm="1">
        <f t="array" ref="AC282">IF(AND(F282:H282&lt;&gt;"",I282=""),"ERROR","OK")</f>
        <v>OK</v>
      </c>
      <c r="AD282" s="240" t="str">
        <f t="shared" si="38"/>
        <v>OK</v>
      </c>
      <c r="AE282" s="240" t="str">
        <f t="shared" si="39"/>
        <v>OK</v>
      </c>
      <c r="AF282" s="240" t="str" cm="1">
        <f t="array" aca="1" ref="AF282" ca="1" xml:space="preserve">
IF(AND($G282&lt;&gt;"",$F282=""),"ERROR",
IF(OR($F282:$G282="",AND($G282="",$F282&lt;&gt;"")),"OK",
IF(COUNTIF(INDIRECT(IFERROR(LEFT($F282,FIND(" ",$F282)-1),$F282)), $G282)&gt;0, "OK", "ERROR")))</f>
        <v>OK</v>
      </c>
    </row>
    <row r="283" spans="1:32" s="240" customFormat="1">
      <c r="A283" s="48"/>
      <c r="B283" s="31"/>
      <c r="C283" s="48"/>
      <c r="D283" s="47"/>
      <c r="E283" s="47"/>
      <c r="F283" s="31"/>
      <c r="G283" s="31"/>
      <c r="H283" s="31"/>
      <c r="I283" s="47"/>
      <c r="J283" s="31"/>
      <c r="K283" s="47"/>
      <c r="L283" s="47"/>
      <c r="M283" s="47"/>
      <c r="N283" s="31"/>
      <c r="O283" s="47"/>
      <c r="P283" s="31"/>
      <c r="Q283" s="31"/>
      <c r="R283" s="31"/>
      <c r="S283" s="31"/>
      <c r="T283" s="270">
        <f t="shared" si="32"/>
        <v>0</v>
      </c>
      <c r="U283" s="270">
        <f t="shared" si="33"/>
        <v>0</v>
      </c>
      <c r="V283" s="31"/>
      <c r="X283" s="240" t="str">
        <f t="shared" si="34"/>
        <v>OK</v>
      </c>
      <c r="Y283" s="240" t="str">
        <f t="shared" si="35"/>
        <v>OK</v>
      </c>
      <c r="Z283" s="240" t="str">
        <f t="shared" si="36"/>
        <v>OK</v>
      </c>
      <c r="AA283" s="240" t="str" cm="1">
        <f t="array" ref="AA283">IF(OR(AND(J283="Not accepted",N283:O283&lt;&gt;"",$S283=""),AND(J283="Accepted",S283="")),"ERROR","OK")</f>
        <v>OK</v>
      </c>
      <c r="AB283" s="240" t="str">
        <f t="shared" si="37"/>
        <v>OK</v>
      </c>
      <c r="AC283" s="240" t="str" cm="1">
        <f t="array" ref="AC283">IF(AND(F283:H283&lt;&gt;"",I283=""),"ERROR","OK")</f>
        <v>OK</v>
      </c>
      <c r="AD283" s="240" t="str">
        <f t="shared" si="38"/>
        <v>OK</v>
      </c>
      <c r="AE283" s="240" t="str">
        <f t="shared" si="39"/>
        <v>OK</v>
      </c>
      <c r="AF283" s="240" t="str" cm="1">
        <f t="array" aca="1" ref="AF283" ca="1" xml:space="preserve">
IF(AND($G283&lt;&gt;"",$F283=""),"ERROR",
IF(OR($F283:$G283="",AND($G283="",$F283&lt;&gt;"")),"OK",
IF(COUNTIF(INDIRECT(IFERROR(LEFT($F283,FIND(" ",$F283)-1),$F283)), $G283)&gt;0, "OK", "ERROR")))</f>
        <v>OK</v>
      </c>
    </row>
    <row r="284" spans="1:32" s="240" customFormat="1">
      <c r="A284" s="48"/>
      <c r="B284" s="31"/>
      <c r="C284" s="48"/>
      <c r="D284" s="47"/>
      <c r="E284" s="47"/>
      <c r="F284" s="31"/>
      <c r="G284" s="31"/>
      <c r="H284" s="31"/>
      <c r="I284" s="47"/>
      <c r="J284" s="31"/>
      <c r="K284" s="47"/>
      <c r="L284" s="47"/>
      <c r="M284" s="47"/>
      <c r="N284" s="31"/>
      <c r="O284" s="47"/>
      <c r="P284" s="31"/>
      <c r="Q284" s="31"/>
      <c r="R284" s="31"/>
      <c r="S284" s="31"/>
      <c r="T284" s="270">
        <f t="shared" si="32"/>
        <v>0</v>
      </c>
      <c r="U284" s="270">
        <f t="shared" si="33"/>
        <v>0</v>
      </c>
      <c r="V284" s="31"/>
      <c r="X284" s="240" t="str">
        <f t="shared" si="34"/>
        <v>OK</v>
      </c>
      <c r="Y284" s="240" t="str">
        <f t="shared" si="35"/>
        <v>OK</v>
      </c>
      <c r="Z284" s="240" t="str">
        <f t="shared" si="36"/>
        <v>OK</v>
      </c>
      <c r="AA284" s="240" t="str" cm="1">
        <f t="array" ref="AA284">IF(OR(AND(J284="Not accepted",N284:O284&lt;&gt;"",$S284=""),AND(J284="Accepted",S284="")),"ERROR","OK")</f>
        <v>OK</v>
      </c>
      <c r="AB284" s="240" t="str">
        <f t="shared" si="37"/>
        <v>OK</v>
      </c>
      <c r="AC284" s="240" t="str" cm="1">
        <f t="array" ref="AC284">IF(AND(F284:H284&lt;&gt;"",I284=""),"ERROR","OK")</f>
        <v>OK</v>
      </c>
      <c r="AD284" s="240" t="str">
        <f t="shared" si="38"/>
        <v>OK</v>
      </c>
      <c r="AE284" s="240" t="str">
        <f t="shared" si="39"/>
        <v>OK</v>
      </c>
      <c r="AF284" s="240" t="str" cm="1">
        <f t="array" aca="1" ref="AF284" ca="1" xml:space="preserve">
IF(AND($G284&lt;&gt;"",$F284=""),"ERROR",
IF(OR($F284:$G284="",AND($G284="",$F284&lt;&gt;"")),"OK",
IF(COUNTIF(INDIRECT(IFERROR(LEFT($F284,FIND(" ",$F284)-1),$F284)), $G284)&gt;0, "OK", "ERROR")))</f>
        <v>OK</v>
      </c>
    </row>
    <row r="285" spans="1:32" s="240" customFormat="1">
      <c r="A285" s="48"/>
      <c r="B285" s="31"/>
      <c r="C285" s="48"/>
      <c r="D285" s="47"/>
      <c r="E285" s="47"/>
      <c r="F285" s="31"/>
      <c r="G285" s="31"/>
      <c r="H285" s="31"/>
      <c r="I285" s="47"/>
      <c r="J285" s="31"/>
      <c r="K285" s="47"/>
      <c r="L285" s="47"/>
      <c r="M285" s="47"/>
      <c r="N285" s="31"/>
      <c r="O285" s="47"/>
      <c r="P285" s="31"/>
      <c r="Q285" s="31"/>
      <c r="R285" s="31"/>
      <c r="S285" s="31"/>
      <c r="T285" s="270">
        <f t="shared" si="32"/>
        <v>0</v>
      </c>
      <c r="U285" s="270">
        <f t="shared" si="33"/>
        <v>0</v>
      </c>
      <c r="V285" s="31"/>
      <c r="X285" s="240" t="str">
        <f t="shared" si="34"/>
        <v>OK</v>
      </c>
      <c r="Y285" s="240" t="str">
        <f t="shared" si="35"/>
        <v>OK</v>
      </c>
      <c r="Z285" s="240" t="str">
        <f t="shared" si="36"/>
        <v>OK</v>
      </c>
      <c r="AA285" s="240" t="str" cm="1">
        <f t="array" ref="AA285">IF(OR(AND(J285="Not accepted",N285:O285&lt;&gt;"",$S285=""),AND(J285="Accepted",S285="")),"ERROR","OK")</f>
        <v>OK</v>
      </c>
      <c r="AB285" s="240" t="str">
        <f t="shared" si="37"/>
        <v>OK</v>
      </c>
      <c r="AC285" s="240" t="str" cm="1">
        <f t="array" ref="AC285">IF(AND(F285:H285&lt;&gt;"",I285=""),"ERROR","OK")</f>
        <v>OK</v>
      </c>
      <c r="AD285" s="240" t="str">
        <f t="shared" si="38"/>
        <v>OK</v>
      </c>
      <c r="AE285" s="240" t="str">
        <f t="shared" si="39"/>
        <v>OK</v>
      </c>
      <c r="AF285" s="240" t="str" cm="1">
        <f t="array" aca="1" ref="AF285" ca="1" xml:space="preserve">
IF(AND($G285&lt;&gt;"",$F285=""),"ERROR",
IF(OR($F285:$G285="",AND($G285="",$F285&lt;&gt;"")),"OK",
IF(COUNTIF(INDIRECT(IFERROR(LEFT($F285,FIND(" ",$F285)-1),$F285)), $G285)&gt;0, "OK", "ERROR")))</f>
        <v>OK</v>
      </c>
    </row>
    <row r="286" spans="1:32" s="240" customFormat="1">
      <c r="A286" s="48"/>
      <c r="B286" s="31"/>
      <c r="C286" s="48"/>
      <c r="D286" s="47"/>
      <c r="E286" s="47"/>
      <c r="F286" s="31"/>
      <c r="G286" s="31"/>
      <c r="H286" s="31"/>
      <c r="I286" s="47"/>
      <c r="J286" s="31"/>
      <c r="K286" s="47"/>
      <c r="L286" s="47"/>
      <c r="M286" s="47"/>
      <c r="N286" s="31"/>
      <c r="O286" s="47"/>
      <c r="P286" s="31"/>
      <c r="Q286" s="31"/>
      <c r="R286" s="31"/>
      <c r="S286" s="31"/>
      <c r="T286" s="270">
        <f t="shared" si="32"/>
        <v>0</v>
      </c>
      <c r="U286" s="270">
        <f t="shared" si="33"/>
        <v>0</v>
      </c>
      <c r="V286" s="31"/>
      <c r="X286" s="240" t="str">
        <f t="shared" si="34"/>
        <v>OK</v>
      </c>
      <c r="Y286" s="240" t="str">
        <f t="shared" si="35"/>
        <v>OK</v>
      </c>
      <c r="Z286" s="240" t="str">
        <f t="shared" si="36"/>
        <v>OK</v>
      </c>
      <c r="AA286" s="240" t="str" cm="1">
        <f t="array" ref="AA286">IF(OR(AND(J286="Not accepted",N286:O286&lt;&gt;"",$S286=""),AND(J286="Accepted",S286="")),"ERROR","OK")</f>
        <v>OK</v>
      </c>
      <c r="AB286" s="240" t="str">
        <f t="shared" si="37"/>
        <v>OK</v>
      </c>
      <c r="AC286" s="240" t="str" cm="1">
        <f t="array" ref="AC286">IF(AND(F286:H286&lt;&gt;"",I286=""),"ERROR","OK")</f>
        <v>OK</v>
      </c>
      <c r="AD286" s="240" t="str">
        <f t="shared" si="38"/>
        <v>OK</v>
      </c>
      <c r="AE286" s="240" t="str">
        <f t="shared" si="39"/>
        <v>OK</v>
      </c>
      <c r="AF286" s="240" t="str" cm="1">
        <f t="array" aca="1" ref="AF286" ca="1" xml:space="preserve">
IF(AND($G286&lt;&gt;"",$F286=""),"ERROR",
IF(OR($F286:$G286="",AND($G286="",$F286&lt;&gt;"")),"OK",
IF(COUNTIF(INDIRECT(IFERROR(LEFT($F286,FIND(" ",$F286)-1),$F286)), $G286)&gt;0, "OK", "ERROR")))</f>
        <v>OK</v>
      </c>
    </row>
    <row r="287" spans="1:32" s="240" customFormat="1">
      <c r="A287" s="48"/>
      <c r="B287" s="31"/>
      <c r="C287" s="48"/>
      <c r="D287" s="47"/>
      <c r="E287" s="47"/>
      <c r="F287" s="31"/>
      <c r="G287" s="31"/>
      <c r="H287" s="31"/>
      <c r="I287" s="47"/>
      <c r="J287" s="31"/>
      <c r="K287" s="47"/>
      <c r="L287" s="47"/>
      <c r="M287" s="47"/>
      <c r="N287" s="31"/>
      <c r="O287" s="47"/>
      <c r="P287" s="31"/>
      <c r="Q287" s="31"/>
      <c r="R287" s="31"/>
      <c r="S287" s="31"/>
      <c r="T287" s="270">
        <f t="shared" si="32"/>
        <v>0</v>
      </c>
      <c r="U287" s="270">
        <f t="shared" si="33"/>
        <v>0</v>
      </c>
      <c r="V287" s="31"/>
      <c r="X287" s="240" t="str">
        <f t="shared" si="34"/>
        <v>OK</v>
      </c>
      <c r="Y287" s="240" t="str">
        <f t="shared" si="35"/>
        <v>OK</v>
      </c>
      <c r="Z287" s="240" t="str">
        <f t="shared" si="36"/>
        <v>OK</v>
      </c>
      <c r="AA287" s="240" t="str" cm="1">
        <f t="array" ref="AA287">IF(OR(AND(J287="Not accepted",N287:O287&lt;&gt;"",$S287=""),AND(J287="Accepted",S287="")),"ERROR","OK")</f>
        <v>OK</v>
      </c>
      <c r="AB287" s="240" t="str">
        <f t="shared" si="37"/>
        <v>OK</v>
      </c>
      <c r="AC287" s="240" t="str" cm="1">
        <f t="array" ref="AC287">IF(AND(F287:H287&lt;&gt;"",I287=""),"ERROR","OK")</f>
        <v>OK</v>
      </c>
      <c r="AD287" s="240" t="str">
        <f t="shared" si="38"/>
        <v>OK</v>
      </c>
      <c r="AE287" s="240" t="str">
        <f t="shared" si="39"/>
        <v>OK</v>
      </c>
      <c r="AF287" s="240" t="str" cm="1">
        <f t="array" aca="1" ref="AF287" ca="1" xml:space="preserve">
IF(AND($G287&lt;&gt;"",$F287=""),"ERROR",
IF(OR($F287:$G287="",AND($G287="",$F287&lt;&gt;"")),"OK",
IF(COUNTIF(INDIRECT(IFERROR(LEFT($F287,FIND(" ",$F287)-1),$F287)), $G287)&gt;0, "OK", "ERROR")))</f>
        <v>OK</v>
      </c>
    </row>
    <row r="288" spans="1:32" s="240" customFormat="1">
      <c r="A288" s="48"/>
      <c r="B288" s="31"/>
      <c r="C288" s="48"/>
      <c r="D288" s="47"/>
      <c r="E288" s="47"/>
      <c r="F288" s="31"/>
      <c r="G288" s="31"/>
      <c r="H288" s="31"/>
      <c r="I288" s="47"/>
      <c r="J288" s="31"/>
      <c r="K288" s="47"/>
      <c r="L288" s="47"/>
      <c r="M288" s="47"/>
      <c r="N288" s="31"/>
      <c r="O288" s="47"/>
      <c r="P288" s="31"/>
      <c r="Q288" s="31"/>
      <c r="R288" s="31"/>
      <c r="S288" s="31"/>
      <c r="T288" s="270">
        <f t="shared" si="32"/>
        <v>0</v>
      </c>
      <c r="U288" s="270">
        <f t="shared" si="33"/>
        <v>0</v>
      </c>
      <c r="V288" s="31"/>
      <c r="X288" s="240" t="str">
        <f t="shared" si="34"/>
        <v>OK</v>
      </c>
      <c r="Y288" s="240" t="str">
        <f t="shared" si="35"/>
        <v>OK</v>
      </c>
      <c r="Z288" s="240" t="str">
        <f t="shared" si="36"/>
        <v>OK</v>
      </c>
      <c r="AA288" s="240" t="str" cm="1">
        <f t="array" ref="AA288">IF(OR(AND(J288="Not accepted",N288:O288&lt;&gt;"",$S288=""),AND(J288="Accepted",S288="")),"ERROR","OK")</f>
        <v>OK</v>
      </c>
      <c r="AB288" s="240" t="str">
        <f t="shared" si="37"/>
        <v>OK</v>
      </c>
      <c r="AC288" s="240" t="str" cm="1">
        <f t="array" ref="AC288">IF(AND(F288:H288&lt;&gt;"",I288=""),"ERROR","OK")</f>
        <v>OK</v>
      </c>
      <c r="AD288" s="240" t="str">
        <f t="shared" si="38"/>
        <v>OK</v>
      </c>
      <c r="AE288" s="240" t="str">
        <f t="shared" si="39"/>
        <v>OK</v>
      </c>
      <c r="AF288" s="240" t="str" cm="1">
        <f t="array" aca="1" ref="AF288" ca="1" xml:space="preserve">
IF(AND($G288&lt;&gt;"",$F288=""),"ERROR",
IF(OR($F288:$G288="",AND($G288="",$F288&lt;&gt;"")),"OK",
IF(COUNTIF(INDIRECT(IFERROR(LEFT($F288,FIND(" ",$F288)-1),$F288)), $G288)&gt;0, "OK", "ERROR")))</f>
        <v>OK</v>
      </c>
    </row>
    <row r="289" spans="1:32" s="240" customFormat="1">
      <c r="A289" s="48"/>
      <c r="B289" s="31"/>
      <c r="C289" s="48"/>
      <c r="D289" s="47"/>
      <c r="E289" s="47"/>
      <c r="F289" s="31"/>
      <c r="G289" s="31"/>
      <c r="H289" s="31"/>
      <c r="I289" s="47"/>
      <c r="J289" s="31"/>
      <c r="K289" s="47"/>
      <c r="L289" s="47"/>
      <c r="M289" s="47"/>
      <c r="N289" s="31"/>
      <c r="O289" s="47"/>
      <c r="P289" s="31"/>
      <c r="Q289" s="31"/>
      <c r="R289" s="31"/>
      <c r="S289" s="31"/>
      <c r="T289" s="270">
        <f t="shared" si="32"/>
        <v>0</v>
      </c>
      <c r="U289" s="270">
        <f t="shared" si="33"/>
        <v>0</v>
      </c>
      <c r="V289" s="31"/>
      <c r="X289" s="240" t="str">
        <f t="shared" si="34"/>
        <v>OK</v>
      </c>
      <c r="Y289" s="240" t="str">
        <f t="shared" si="35"/>
        <v>OK</v>
      </c>
      <c r="Z289" s="240" t="str">
        <f t="shared" si="36"/>
        <v>OK</v>
      </c>
      <c r="AA289" s="240" t="str" cm="1">
        <f t="array" ref="AA289">IF(OR(AND(J289="Not accepted",N289:O289&lt;&gt;"",$S289=""),AND(J289="Accepted",S289="")),"ERROR","OK")</f>
        <v>OK</v>
      </c>
      <c r="AB289" s="240" t="str">
        <f t="shared" si="37"/>
        <v>OK</v>
      </c>
      <c r="AC289" s="240" t="str" cm="1">
        <f t="array" ref="AC289">IF(AND(F289:H289&lt;&gt;"",I289=""),"ERROR","OK")</f>
        <v>OK</v>
      </c>
      <c r="AD289" s="240" t="str">
        <f t="shared" si="38"/>
        <v>OK</v>
      </c>
      <c r="AE289" s="240" t="str">
        <f t="shared" si="39"/>
        <v>OK</v>
      </c>
      <c r="AF289" s="240" t="str" cm="1">
        <f t="array" aca="1" ref="AF289" ca="1" xml:space="preserve">
IF(AND($G289&lt;&gt;"",$F289=""),"ERROR",
IF(OR($F289:$G289="",AND($G289="",$F289&lt;&gt;"")),"OK",
IF(COUNTIF(INDIRECT(IFERROR(LEFT($F289,FIND(" ",$F289)-1),$F289)), $G289)&gt;0, "OK", "ERROR")))</f>
        <v>OK</v>
      </c>
    </row>
    <row r="290" spans="1:32" s="240" customFormat="1">
      <c r="A290" s="48"/>
      <c r="B290" s="31"/>
      <c r="C290" s="48"/>
      <c r="D290" s="47"/>
      <c r="E290" s="47"/>
      <c r="F290" s="31"/>
      <c r="G290" s="31"/>
      <c r="H290" s="31"/>
      <c r="I290" s="47"/>
      <c r="J290" s="31"/>
      <c r="K290" s="47"/>
      <c r="L290" s="47"/>
      <c r="M290" s="47"/>
      <c r="N290" s="31"/>
      <c r="O290" s="47"/>
      <c r="P290" s="31"/>
      <c r="Q290" s="31"/>
      <c r="R290" s="31"/>
      <c r="S290" s="31"/>
      <c r="T290" s="270">
        <f t="shared" si="32"/>
        <v>0</v>
      </c>
      <c r="U290" s="270">
        <f t="shared" si="33"/>
        <v>0</v>
      </c>
      <c r="V290" s="31"/>
      <c r="X290" s="240" t="str">
        <f t="shared" si="34"/>
        <v>OK</v>
      </c>
      <c r="Y290" s="240" t="str">
        <f t="shared" si="35"/>
        <v>OK</v>
      </c>
      <c r="Z290" s="240" t="str">
        <f t="shared" si="36"/>
        <v>OK</v>
      </c>
      <c r="AA290" s="240" t="str" cm="1">
        <f t="array" ref="AA290">IF(OR(AND(J290="Not accepted",N290:O290&lt;&gt;"",$S290=""),AND(J290="Accepted",S290="")),"ERROR","OK")</f>
        <v>OK</v>
      </c>
      <c r="AB290" s="240" t="str">
        <f t="shared" si="37"/>
        <v>OK</v>
      </c>
      <c r="AC290" s="240" t="str" cm="1">
        <f t="array" ref="AC290">IF(AND(F290:H290&lt;&gt;"",I290=""),"ERROR","OK")</f>
        <v>OK</v>
      </c>
      <c r="AD290" s="240" t="str">
        <f t="shared" si="38"/>
        <v>OK</v>
      </c>
      <c r="AE290" s="240" t="str">
        <f t="shared" si="39"/>
        <v>OK</v>
      </c>
      <c r="AF290" s="240" t="str" cm="1">
        <f t="array" aca="1" ref="AF290" ca="1" xml:space="preserve">
IF(AND($G290&lt;&gt;"",$F290=""),"ERROR",
IF(OR($F290:$G290="",AND($G290="",$F290&lt;&gt;"")),"OK",
IF(COUNTIF(INDIRECT(IFERROR(LEFT($F290,FIND(" ",$F290)-1),$F290)), $G290)&gt;0, "OK", "ERROR")))</f>
        <v>OK</v>
      </c>
    </row>
    <row r="291" spans="1:32" s="240" customFormat="1">
      <c r="A291" s="48"/>
      <c r="B291" s="31"/>
      <c r="C291" s="48"/>
      <c r="D291" s="47"/>
      <c r="E291" s="47"/>
      <c r="F291" s="31"/>
      <c r="G291" s="31"/>
      <c r="H291" s="31"/>
      <c r="I291" s="47"/>
      <c r="J291" s="31"/>
      <c r="K291" s="47"/>
      <c r="L291" s="47"/>
      <c r="M291" s="47"/>
      <c r="N291" s="31"/>
      <c r="O291" s="47"/>
      <c r="P291" s="31"/>
      <c r="Q291" s="31"/>
      <c r="R291" s="31"/>
      <c r="S291" s="31"/>
      <c r="T291" s="270">
        <f t="shared" si="32"/>
        <v>0</v>
      </c>
      <c r="U291" s="270">
        <f t="shared" si="33"/>
        <v>0</v>
      </c>
      <c r="V291" s="31"/>
      <c r="X291" s="240" t="str">
        <f t="shared" si="34"/>
        <v>OK</v>
      </c>
      <c r="Y291" s="240" t="str">
        <f t="shared" si="35"/>
        <v>OK</v>
      </c>
      <c r="Z291" s="240" t="str">
        <f t="shared" si="36"/>
        <v>OK</v>
      </c>
      <c r="AA291" s="240" t="str" cm="1">
        <f t="array" ref="AA291">IF(OR(AND(J291="Not accepted",N291:O291&lt;&gt;"",$S291=""),AND(J291="Accepted",S291="")),"ERROR","OK")</f>
        <v>OK</v>
      </c>
      <c r="AB291" s="240" t="str">
        <f t="shared" si="37"/>
        <v>OK</v>
      </c>
      <c r="AC291" s="240" t="str" cm="1">
        <f t="array" ref="AC291">IF(AND(F291:H291&lt;&gt;"",I291=""),"ERROR","OK")</f>
        <v>OK</v>
      </c>
      <c r="AD291" s="240" t="str">
        <f t="shared" si="38"/>
        <v>OK</v>
      </c>
      <c r="AE291" s="240" t="str">
        <f t="shared" si="39"/>
        <v>OK</v>
      </c>
      <c r="AF291" s="240" t="str" cm="1">
        <f t="array" aca="1" ref="AF291" ca="1" xml:space="preserve">
IF(AND($G291&lt;&gt;"",$F291=""),"ERROR",
IF(OR($F291:$G291="",AND($G291="",$F291&lt;&gt;"")),"OK",
IF(COUNTIF(INDIRECT(IFERROR(LEFT($F291,FIND(" ",$F291)-1),$F291)), $G291)&gt;0, "OK", "ERROR")))</f>
        <v>OK</v>
      </c>
    </row>
    <row r="292" spans="1:32" s="240" customFormat="1">
      <c r="A292" s="48"/>
      <c r="B292" s="31"/>
      <c r="C292" s="48"/>
      <c r="D292" s="47"/>
      <c r="E292" s="47"/>
      <c r="F292" s="31"/>
      <c r="G292" s="31"/>
      <c r="H292" s="31"/>
      <c r="I292" s="47"/>
      <c r="J292" s="31"/>
      <c r="K292" s="47"/>
      <c r="L292" s="47"/>
      <c r="M292" s="47"/>
      <c r="N292" s="31"/>
      <c r="O292" s="47"/>
      <c r="P292" s="31"/>
      <c r="Q292" s="31"/>
      <c r="R292" s="31"/>
      <c r="S292" s="31"/>
      <c r="T292" s="270">
        <f t="shared" si="32"/>
        <v>0</v>
      </c>
      <c r="U292" s="270">
        <f t="shared" si="33"/>
        <v>0</v>
      </c>
      <c r="V292" s="31"/>
      <c r="X292" s="240" t="str">
        <f t="shared" si="34"/>
        <v>OK</v>
      </c>
      <c r="Y292" s="240" t="str">
        <f t="shared" si="35"/>
        <v>OK</v>
      </c>
      <c r="Z292" s="240" t="str">
        <f t="shared" si="36"/>
        <v>OK</v>
      </c>
      <c r="AA292" s="240" t="str" cm="1">
        <f t="array" ref="AA292">IF(OR(AND(J292="Not accepted",N292:O292&lt;&gt;"",$S292=""),AND(J292="Accepted",S292="")),"ERROR","OK")</f>
        <v>OK</v>
      </c>
      <c r="AB292" s="240" t="str">
        <f t="shared" si="37"/>
        <v>OK</v>
      </c>
      <c r="AC292" s="240" t="str" cm="1">
        <f t="array" ref="AC292">IF(AND(F292:H292&lt;&gt;"",I292=""),"ERROR","OK")</f>
        <v>OK</v>
      </c>
      <c r="AD292" s="240" t="str">
        <f t="shared" si="38"/>
        <v>OK</v>
      </c>
      <c r="AE292" s="240" t="str">
        <f t="shared" si="39"/>
        <v>OK</v>
      </c>
      <c r="AF292" s="240" t="str" cm="1">
        <f t="array" aca="1" ref="AF292" ca="1" xml:space="preserve">
IF(AND($G292&lt;&gt;"",$F292=""),"ERROR",
IF(OR($F292:$G292="",AND($G292="",$F292&lt;&gt;"")),"OK",
IF(COUNTIF(INDIRECT(IFERROR(LEFT($F292,FIND(" ",$F292)-1),$F292)), $G292)&gt;0, "OK", "ERROR")))</f>
        <v>OK</v>
      </c>
    </row>
    <row r="293" spans="1:32" s="240" customFormat="1">
      <c r="A293" s="48"/>
      <c r="B293" s="31"/>
      <c r="C293" s="48"/>
      <c r="D293" s="47"/>
      <c r="E293" s="47"/>
      <c r="F293" s="31"/>
      <c r="G293" s="31"/>
      <c r="H293" s="31"/>
      <c r="I293" s="47"/>
      <c r="J293" s="31"/>
      <c r="K293" s="47"/>
      <c r="L293" s="47"/>
      <c r="M293" s="47"/>
      <c r="N293" s="31"/>
      <c r="O293" s="47"/>
      <c r="P293" s="31"/>
      <c r="Q293" s="31"/>
      <c r="R293" s="31"/>
      <c r="S293" s="31"/>
      <c r="T293" s="270">
        <f t="shared" si="32"/>
        <v>0</v>
      </c>
      <c r="U293" s="270">
        <f t="shared" si="33"/>
        <v>0</v>
      </c>
      <c r="V293" s="31"/>
      <c r="X293" s="240" t="str">
        <f t="shared" si="34"/>
        <v>OK</v>
      </c>
      <c r="Y293" s="240" t="str">
        <f t="shared" si="35"/>
        <v>OK</v>
      </c>
      <c r="Z293" s="240" t="str">
        <f t="shared" si="36"/>
        <v>OK</v>
      </c>
      <c r="AA293" s="240" t="str" cm="1">
        <f t="array" ref="AA293">IF(OR(AND(J293="Not accepted",N293:O293&lt;&gt;"",$S293=""),AND(J293="Accepted",S293="")),"ERROR","OK")</f>
        <v>OK</v>
      </c>
      <c r="AB293" s="240" t="str">
        <f t="shared" si="37"/>
        <v>OK</v>
      </c>
      <c r="AC293" s="240" t="str" cm="1">
        <f t="array" ref="AC293">IF(AND(F293:H293&lt;&gt;"",I293=""),"ERROR","OK")</f>
        <v>OK</v>
      </c>
      <c r="AD293" s="240" t="str">
        <f t="shared" si="38"/>
        <v>OK</v>
      </c>
      <c r="AE293" s="240" t="str">
        <f t="shared" si="39"/>
        <v>OK</v>
      </c>
      <c r="AF293" s="240" t="str" cm="1">
        <f t="array" aca="1" ref="AF293" ca="1" xml:space="preserve">
IF(AND($G293&lt;&gt;"",$F293=""),"ERROR",
IF(OR($F293:$G293="",AND($G293="",$F293&lt;&gt;"")),"OK",
IF(COUNTIF(INDIRECT(IFERROR(LEFT($F293,FIND(" ",$F293)-1),$F293)), $G293)&gt;0, "OK", "ERROR")))</f>
        <v>OK</v>
      </c>
    </row>
    <row r="294" spans="1:32" s="240" customFormat="1">
      <c r="A294" s="48"/>
      <c r="B294" s="31"/>
      <c r="C294" s="48"/>
      <c r="D294" s="47"/>
      <c r="E294" s="47"/>
      <c r="F294" s="31"/>
      <c r="G294" s="31"/>
      <c r="H294" s="31"/>
      <c r="I294" s="47"/>
      <c r="J294" s="31"/>
      <c r="K294" s="47"/>
      <c r="L294" s="47"/>
      <c r="M294" s="47"/>
      <c r="N294" s="31"/>
      <c r="O294" s="47"/>
      <c r="P294" s="31"/>
      <c r="Q294" s="31"/>
      <c r="R294" s="31"/>
      <c r="S294" s="31"/>
      <c r="T294" s="270">
        <f t="shared" si="32"/>
        <v>0</v>
      </c>
      <c r="U294" s="270">
        <f t="shared" si="33"/>
        <v>0</v>
      </c>
      <c r="V294" s="31"/>
      <c r="X294" s="240" t="str">
        <f t="shared" si="34"/>
        <v>OK</v>
      </c>
      <c r="Y294" s="240" t="str">
        <f t="shared" si="35"/>
        <v>OK</v>
      </c>
      <c r="Z294" s="240" t="str">
        <f t="shared" si="36"/>
        <v>OK</v>
      </c>
      <c r="AA294" s="240" t="str" cm="1">
        <f t="array" ref="AA294">IF(OR(AND(J294="Not accepted",N294:O294&lt;&gt;"",$S294=""),AND(J294="Accepted",S294="")),"ERROR","OK")</f>
        <v>OK</v>
      </c>
      <c r="AB294" s="240" t="str">
        <f t="shared" si="37"/>
        <v>OK</v>
      </c>
      <c r="AC294" s="240" t="str" cm="1">
        <f t="array" ref="AC294">IF(AND(F294:H294&lt;&gt;"",I294=""),"ERROR","OK")</f>
        <v>OK</v>
      </c>
      <c r="AD294" s="240" t="str">
        <f t="shared" si="38"/>
        <v>OK</v>
      </c>
      <c r="AE294" s="240" t="str">
        <f t="shared" si="39"/>
        <v>OK</v>
      </c>
      <c r="AF294" s="240" t="str" cm="1">
        <f t="array" aca="1" ref="AF294" ca="1" xml:space="preserve">
IF(AND($G294&lt;&gt;"",$F294=""),"ERROR",
IF(OR($F294:$G294="",AND($G294="",$F294&lt;&gt;"")),"OK",
IF(COUNTIF(INDIRECT(IFERROR(LEFT($F294,FIND(" ",$F294)-1),$F294)), $G294)&gt;0, "OK", "ERROR")))</f>
        <v>OK</v>
      </c>
    </row>
    <row r="295" spans="1:32" s="240" customFormat="1">
      <c r="A295" s="48"/>
      <c r="B295" s="31"/>
      <c r="C295" s="48"/>
      <c r="D295" s="47"/>
      <c r="E295" s="47"/>
      <c r="F295" s="31"/>
      <c r="G295" s="31"/>
      <c r="H295" s="31"/>
      <c r="I295" s="47"/>
      <c r="J295" s="31"/>
      <c r="K295" s="47"/>
      <c r="L295" s="47"/>
      <c r="M295" s="47"/>
      <c r="N295" s="31"/>
      <c r="O295" s="47"/>
      <c r="P295" s="31"/>
      <c r="Q295" s="31"/>
      <c r="R295" s="31"/>
      <c r="S295" s="31"/>
      <c r="T295" s="270">
        <f t="shared" si="32"/>
        <v>0</v>
      </c>
      <c r="U295" s="270">
        <f t="shared" si="33"/>
        <v>0</v>
      </c>
      <c r="V295" s="31"/>
      <c r="X295" s="240" t="str">
        <f t="shared" si="34"/>
        <v>OK</v>
      </c>
      <c r="Y295" s="240" t="str">
        <f t="shared" si="35"/>
        <v>OK</v>
      </c>
      <c r="Z295" s="240" t="str">
        <f t="shared" si="36"/>
        <v>OK</v>
      </c>
      <c r="AA295" s="240" t="str" cm="1">
        <f t="array" ref="AA295">IF(OR(AND(J295="Not accepted",N295:O295&lt;&gt;"",$S295=""),AND(J295="Accepted",S295="")),"ERROR","OK")</f>
        <v>OK</v>
      </c>
      <c r="AB295" s="240" t="str">
        <f t="shared" si="37"/>
        <v>OK</v>
      </c>
      <c r="AC295" s="240" t="str" cm="1">
        <f t="array" ref="AC295">IF(AND(F295:H295&lt;&gt;"",I295=""),"ERROR","OK")</f>
        <v>OK</v>
      </c>
      <c r="AD295" s="240" t="str">
        <f t="shared" si="38"/>
        <v>OK</v>
      </c>
      <c r="AE295" s="240" t="str">
        <f t="shared" si="39"/>
        <v>OK</v>
      </c>
      <c r="AF295" s="240" t="str" cm="1">
        <f t="array" aca="1" ref="AF295" ca="1" xml:space="preserve">
IF(AND($G295&lt;&gt;"",$F295=""),"ERROR",
IF(OR($F295:$G295="",AND($G295="",$F295&lt;&gt;"")),"OK",
IF(COUNTIF(INDIRECT(IFERROR(LEFT($F295,FIND(" ",$F295)-1),$F295)), $G295)&gt;0, "OK", "ERROR")))</f>
        <v>OK</v>
      </c>
    </row>
    <row r="296" spans="1:32" s="240" customFormat="1">
      <c r="A296" s="48"/>
      <c r="B296" s="31"/>
      <c r="C296" s="48"/>
      <c r="D296" s="47"/>
      <c r="E296" s="47"/>
      <c r="F296" s="31"/>
      <c r="G296" s="31"/>
      <c r="H296" s="31"/>
      <c r="I296" s="47"/>
      <c r="J296" s="31"/>
      <c r="K296" s="47"/>
      <c r="L296" s="47"/>
      <c r="M296" s="47"/>
      <c r="N296" s="31"/>
      <c r="O296" s="47"/>
      <c r="P296" s="31"/>
      <c r="Q296" s="31"/>
      <c r="R296" s="31"/>
      <c r="S296" s="31"/>
      <c r="T296" s="270">
        <f t="shared" si="32"/>
        <v>0</v>
      </c>
      <c r="U296" s="270">
        <f t="shared" si="33"/>
        <v>0</v>
      </c>
      <c r="V296" s="31"/>
      <c r="X296" s="240" t="str">
        <f t="shared" si="34"/>
        <v>OK</v>
      </c>
      <c r="Y296" s="240" t="str">
        <f t="shared" si="35"/>
        <v>OK</v>
      </c>
      <c r="Z296" s="240" t="str">
        <f t="shared" si="36"/>
        <v>OK</v>
      </c>
      <c r="AA296" s="240" t="str" cm="1">
        <f t="array" ref="AA296">IF(OR(AND(J296="Not accepted",N296:O296&lt;&gt;"",$S296=""),AND(J296="Accepted",S296="")),"ERROR","OK")</f>
        <v>OK</v>
      </c>
      <c r="AB296" s="240" t="str">
        <f t="shared" si="37"/>
        <v>OK</v>
      </c>
      <c r="AC296" s="240" t="str" cm="1">
        <f t="array" ref="AC296">IF(AND(F296:H296&lt;&gt;"",I296=""),"ERROR","OK")</f>
        <v>OK</v>
      </c>
      <c r="AD296" s="240" t="str">
        <f t="shared" si="38"/>
        <v>OK</v>
      </c>
      <c r="AE296" s="240" t="str">
        <f t="shared" si="39"/>
        <v>OK</v>
      </c>
      <c r="AF296" s="240" t="str" cm="1">
        <f t="array" aca="1" ref="AF296" ca="1" xml:space="preserve">
IF(AND($G296&lt;&gt;"",$F296=""),"ERROR",
IF(OR($F296:$G296="",AND($G296="",$F296&lt;&gt;"")),"OK",
IF(COUNTIF(INDIRECT(IFERROR(LEFT($F296,FIND(" ",$F296)-1),$F296)), $G296)&gt;0, "OK", "ERROR")))</f>
        <v>OK</v>
      </c>
    </row>
    <row r="297" spans="1:32" s="240" customFormat="1">
      <c r="A297" s="48"/>
      <c r="B297" s="31"/>
      <c r="C297" s="48"/>
      <c r="D297" s="47"/>
      <c r="E297" s="47"/>
      <c r="F297" s="31"/>
      <c r="G297" s="31"/>
      <c r="H297" s="31"/>
      <c r="I297" s="47"/>
      <c r="J297" s="31"/>
      <c r="K297" s="47"/>
      <c r="L297" s="47"/>
      <c r="M297" s="47"/>
      <c r="N297" s="31"/>
      <c r="O297" s="47"/>
      <c r="P297" s="31"/>
      <c r="Q297" s="31"/>
      <c r="R297" s="31"/>
      <c r="S297" s="31"/>
      <c r="T297" s="270">
        <f t="shared" si="32"/>
        <v>0</v>
      </c>
      <c r="U297" s="270">
        <f t="shared" si="33"/>
        <v>0</v>
      </c>
      <c r="V297" s="31"/>
      <c r="X297" s="240" t="str">
        <f t="shared" si="34"/>
        <v>OK</v>
      </c>
      <c r="Y297" s="240" t="str">
        <f t="shared" si="35"/>
        <v>OK</v>
      </c>
      <c r="Z297" s="240" t="str">
        <f t="shared" si="36"/>
        <v>OK</v>
      </c>
      <c r="AA297" s="240" t="str" cm="1">
        <f t="array" ref="AA297">IF(OR(AND(J297="Not accepted",N297:O297&lt;&gt;"",$S297=""),AND(J297="Accepted",S297="")),"ERROR","OK")</f>
        <v>OK</v>
      </c>
      <c r="AB297" s="240" t="str">
        <f t="shared" si="37"/>
        <v>OK</v>
      </c>
      <c r="AC297" s="240" t="str" cm="1">
        <f t="array" ref="AC297">IF(AND(F297:H297&lt;&gt;"",I297=""),"ERROR","OK")</f>
        <v>OK</v>
      </c>
      <c r="AD297" s="240" t="str">
        <f t="shared" si="38"/>
        <v>OK</v>
      </c>
      <c r="AE297" s="240" t="str">
        <f t="shared" si="39"/>
        <v>OK</v>
      </c>
      <c r="AF297" s="240" t="str" cm="1">
        <f t="array" aca="1" ref="AF297" ca="1" xml:space="preserve">
IF(AND($G297&lt;&gt;"",$F297=""),"ERROR",
IF(OR($F297:$G297="",AND($G297="",$F297&lt;&gt;"")),"OK",
IF(COUNTIF(INDIRECT(IFERROR(LEFT($F297,FIND(" ",$F297)-1),$F297)), $G297)&gt;0, "OK", "ERROR")))</f>
        <v>OK</v>
      </c>
    </row>
    <row r="298" spans="1:32" s="240" customFormat="1">
      <c r="A298" s="48"/>
      <c r="B298" s="31"/>
      <c r="C298" s="48"/>
      <c r="D298" s="47"/>
      <c r="E298" s="47"/>
      <c r="F298" s="31"/>
      <c r="G298" s="31"/>
      <c r="H298" s="31"/>
      <c r="I298" s="47"/>
      <c r="J298" s="31"/>
      <c r="K298" s="47"/>
      <c r="L298" s="47"/>
      <c r="M298" s="47"/>
      <c r="N298" s="31"/>
      <c r="O298" s="47"/>
      <c r="P298" s="31"/>
      <c r="Q298" s="31"/>
      <c r="R298" s="31"/>
      <c r="S298" s="31"/>
      <c r="T298" s="270">
        <f t="shared" si="32"/>
        <v>0</v>
      </c>
      <c r="U298" s="270">
        <f t="shared" si="33"/>
        <v>0</v>
      </c>
      <c r="V298" s="31"/>
      <c r="X298" s="240" t="str">
        <f t="shared" si="34"/>
        <v>OK</v>
      </c>
      <c r="Y298" s="240" t="str">
        <f t="shared" si="35"/>
        <v>OK</v>
      </c>
      <c r="Z298" s="240" t="str">
        <f t="shared" si="36"/>
        <v>OK</v>
      </c>
      <c r="AA298" s="240" t="str" cm="1">
        <f t="array" ref="AA298">IF(OR(AND(J298="Not accepted",N298:O298&lt;&gt;"",$S298=""),AND(J298="Accepted",S298="")),"ERROR","OK")</f>
        <v>OK</v>
      </c>
      <c r="AB298" s="240" t="str">
        <f t="shared" si="37"/>
        <v>OK</v>
      </c>
      <c r="AC298" s="240" t="str" cm="1">
        <f t="array" ref="AC298">IF(AND(F298:H298&lt;&gt;"",I298=""),"ERROR","OK")</f>
        <v>OK</v>
      </c>
      <c r="AD298" s="240" t="str">
        <f t="shared" si="38"/>
        <v>OK</v>
      </c>
      <c r="AE298" s="240" t="str">
        <f t="shared" si="39"/>
        <v>OK</v>
      </c>
      <c r="AF298" s="240" t="str" cm="1">
        <f t="array" aca="1" ref="AF298" ca="1" xml:space="preserve">
IF(AND($G298&lt;&gt;"",$F298=""),"ERROR",
IF(OR($F298:$G298="",AND($G298="",$F298&lt;&gt;"")),"OK",
IF(COUNTIF(INDIRECT(IFERROR(LEFT($F298,FIND(" ",$F298)-1),$F298)), $G298)&gt;0, "OK", "ERROR")))</f>
        <v>OK</v>
      </c>
    </row>
    <row r="299" spans="1:32" s="240" customFormat="1">
      <c r="A299" s="48"/>
      <c r="B299" s="31"/>
      <c r="C299" s="48"/>
      <c r="D299" s="47"/>
      <c r="E299" s="47"/>
      <c r="F299" s="31"/>
      <c r="G299" s="31"/>
      <c r="H299" s="31"/>
      <c r="I299" s="47"/>
      <c r="J299" s="31"/>
      <c r="K299" s="47"/>
      <c r="L299" s="47"/>
      <c r="M299" s="47"/>
      <c r="N299" s="31"/>
      <c r="O299" s="47"/>
      <c r="P299" s="31"/>
      <c r="Q299" s="31"/>
      <c r="R299" s="31"/>
      <c r="S299" s="31"/>
      <c r="T299" s="270">
        <f t="shared" si="32"/>
        <v>0</v>
      </c>
      <c r="U299" s="270">
        <f t="shared" si="33"/>
        <v>0</v>
      </c>
      <c r="V299" s="31"/>
      <c r="X299" s="240" t="str">
        <f t="shared" si="34"/>
        <v>OK</v>
      </c>
      <c r="Y299" s="240" t="str">
        <f t="shared" si="35"/>
        <v>OK</v>
      </c>
      <c r="Z299" s="240" t="str">
        <f t="shared" si="36"/>
        <v>OK</v>
      </c>
      <c r="AA299" s="240" t="str" cm="1">
        <f t="array" ref="AA299">IF(OR(AND(J299="Not accepted",N299:O299&lt;&gt;"",$S299=""),AND(J299="Accepted",S299="")),"ERROR","OK")</f>
        <v>OK</v>
      </c>
      <c r="AB299" s="240" t="str">
        <f t="shared" si="37"/>
        <v>OK</v>
      </c>
      <c r="AC299" s="240" t="str" cm="1">
        <f t="array" ref="AC299">IF(AND(F299:H299&lt;&gt;"",I299=""),"ERROR","OK")</f>
        <v>OK</v>
      </c>
      <c r="AD299" s="240" t="str">
        <f t="shared" si="38"/>
        <v>OK</v>
      </c>
      <c r="AE299" s="240" t="str">
        <f t="shared" si="39"/>
        <v>OK</v>
      </c>
      <c r="AF299" s="240" t="str" cm="1">
        <f t="array" aca="1" ref="AF299" ca="1" xml:space="preserve">
IF(AND($G299&lt;&gt;"",$F299=""),"ERROR",
IF(OR($F299:$G299="",AND($G299="",$F299&lt;&gt;"")),"OK",
IF(COUNTIF(INDIRECT(IFERROR(LEFT($F299,FIND(" ",$F299)-1),$F299)), $G299)&gt;0, "OK", "ERROR")))</f>
        <v>OK</v>
      </c>
    </row>
    <row r="300" spans="1:32" s="240" customFormat="1">
      <c r="A300" s="48"/>
      <c r="B300" s="31"/>
      <c r="C300" s="48"/>
      <c r="D300" s="47"/>
      <c r="E300" s="47"/>
      <c r="F300" s="31"/>
      <c r="G300" s="31"/>
      <c r="H300" s="31"/>
      <c r="I300" s="47"/>
      <c r="J300" s="31"/>
      <c r="K300" s="47"/>
      <c r="L300" s="47"/>
      <c r="M300" s="47"/>
      <c r="N300" s="31"/>
      <c r="O300" s="47"/>
      <c r="P300" s="31"/>
      <c r="Q300" s="31"/>
      <c r="R300" s="31"/>
      <c r="S300" s="31"/>
      <c r="T300" s="270">
        <f t="shared" si="32"/>
        <v>0</v>
      </c>
      <c r="U300" s="270">
        <f t="shared" si="33"/>
        <v>0</v>
      </c>
      <c r="V300" s="31"/>
      <c r="X300" s="240" t="str">
        <f t="shared" si="34"/>
        <v>OK</v>
      </c>
      <c r="Y300" s="240" t="str">
        <f t="shared" si="35"/>
        <v>OK</v>
      </c>
      <c r="Z300" s="240" t="str">
        <f t="shared" si="36"/>
        <v>OK</v>
      </c>
      <c r="AA300" s="240" t="str" cm="1">
        <f t="array" ref="AA300">IF(OR(AND(J300="Not accepted",N300:O300&lt;&gt;"",$S300=""),AND(J300="Accepted",S300="")),"ERROR","OK")</f>
        <v>OK</v>
      </c>
      <c r="AB300" s="240" t="str">
        <f t="shared" si="37"/>
        <v>OK</v>
      </c>
      <c r="AC300" s="240" t="str" cm="1">
        <f t="array" ref="AC300">IF(AND(F300:H300&lt;&gt;"",I300=""),"ERROR","OK")</f>
        <v>OK</v>
      </c>
      <c r="AD300" s="240" t="str">
        <f t="shared" si="38"/>
        <v>OK</v>
      </c>
      <c r="AE300" s="240" t="str">
        <f t="shared" si="39"/>
        <v>OK</v>
      </c>
      <c r="AF300" s="240" t="str" cm="1">
        <f t="array" aca="1" ref="AF300" ca="1" xml:space="preserve">
IF(AND($G300&lt;&gt;"",$F300=""),"ERROR",
IF(OR($F300:$G300="",AND($G300="",$F300&lt;&gt;"")),"OK",
IF(COUNTIF(INDIRECT(IFERROR(LEFT($F300,FIND(" ",$F300)-1),$F300)), $G300)&gt;0, "OK", "ERROR")))</f>
        <v>OK</v>
      </c>
    </row>
    <row r="301" spans="1:32" s="240" customFormat="1">
      <c r="A301" s="48"/>
      <c r="B301" s="31"/>
      <c r="C301" s="48"/>
      <c r="D301" s="47"/>
      <c r="E301" s="47"/>
      <c r="F301" s="31"/>
      <c r="G301" s="31"/>
      <c r="H301" s="31"/>
      <c r="I301" s="47"/>
      <c r="J301" s="31"/>
      <c r="K301" s="47"/>
      <c r="L301" s="47"/>
      <c r="M301" s="47"/>
      <c r="N301" s="31"/>
      <c r="O301" s="47"/>
      <c r="P301" s="31"/>
      <c r="Q301" s="31"/>
      <c r="R301" s="31"/>
      <c r="S301" s="31"/>
      <c r="T301" s="270">
        <f t="shared" si="32"/>
        <v>0</v>
      </c>
      <c r="U301" s="270">
        <f t="shared" si="33"/>
        <v>0</v>
      </c>
      <c r="V301" s="31"/>
      <c r="X301" s="240" t="str">
        <f t="shared" si="34"/>
        <v>OK</v>
      </c>
      <c r="Y301" s="240" t="str">
        <f t="shared" si="35"/>
        <v>OK</v>
      </c>
      <c r="Z301" s="240" t="str">
        <f t="shared" si="36"/>
        <v>OK</v>
      </c>
      <c r="AA301" s="240" t="str" cm="1">
        <f t="array" ref="AA301">IF(OR(AND(J301="Not accepted",N301:O301&lt;&gt;"",$S301=""),AND(J301="Accepted",S301="")),"ERROR","OK")</f>
        <v>OK</v>
      </c>
      <c r="AB301" s="240" t="str">
        <f t="shared" si="37"/>
        <v>OK</v>
      </c>
      <c r="AC301" s="240" t="str" cm="1">
        <f t="array" ref="AC301">IF(AND(F301:H301&lt;&gt;"",I301=""),"ERROR","OK")</f>
        <v>OK</v>
      </c>
      <c r="AD301" s="240" t="str">
        <f t="shared" si="38"/>
        <v>OK</v>
      </c>
      <c r="AE301" s="240" t="str">
        <f t="shared" si="39"/>
        <v>OK</v>
      </c>
      <c r="AF301" s="240" t="str" cm="1">
        <f t="array" aca="1" ref="AF301" ca="1" xml:space="preserve">
IF(AND($G301&lt;&gt;"",$F301=""),"ERROR",
IF(OR($F301:$G301="",AND($G301="",$F301&lt;&gt;"")),"OK",
IF(COUNTIF(INDIRECT(IFERROR(LEFT($F301,FIND(" ",$F301)-1),$F301)), $G301)&gt;0, "OK", "ERROR")))</f>
        <v>OK</v>
      </c>
    </row>
    <row r="302" spans="1:32" s="240" customFormat="1">
      <c r="A302" s="48"/>
      <c r="B302" s="31"/>
      <c r="C302" s="48"/>
      <c r="D302" s="47"/>
      <c r="E302" s="47"/>
      <c r="F302" s="31"/>
      <c r="G302" s="31"/>
      <c r="H302" s="31"/>
      <c r="I302" s="47"/>
      <c r="J302" s="31"/>
      <c r="K302" s="47"/>
      <c r="L302" s="47"/>
      <c r="M302" s="47"/>
      <c r="N302" s="31"/>
      <c r="O302" s="47"/>
      <c r="P302" s="31"/>
      <c r="Q302" s="31"/>
      <c r="R302" s="31"/>
      <c r="S302" s="31"/>
      <c r="T302" s="270">
        <f t="shared" si="32"/>
        <v>0</v>
      </c>
      <c r="U302" s="270">
        <f t="shared" si="33"/>
        <v>0</v>
      </c>
      <c r="V302" s="31"/>
      <c r="X302" s="240" t="str">
        <f t="shared" si="34"/>
        <v>OK</v>
      </c>
      <c r="Y302" s="240" t="str">
        <f t="shared" si="35"/>
        <v>OK</v>
      </c>
      <c r="Z302" s="240" t="str">
        <f t="shared" si="36"/>
        <v>OK</v>
      </c>
      <c r="AA302" s="240" t="str" cm="1">
        <f t="array" ref="AA302">IF(OR(AND(J302="Not accepted",N302:O302&lt;&gt;"",$S302=""),AND(J302="Accepted",S302="")),"ERROR","OK")</f>
        <v>OK</v>
      </c>
      <c r="AB302" s="240" t="str">
        <f t="shared" si="37"/>
        <v>OK</v>
      </c>
      <c r="AC302" s="240" t="str" cm="1">
        <f t="array" ref="AC302">IF(AND(F302:H302&lt;&gt;"",I302=""),"ERROR","OK")</f>
        <v>OK</v>
      </c>
      <c r="AD302" s="240" t="str">
        <f t="shared" si="38"/>
        <v>OK</v>
      </c>
      <c r="AE302" s="240" t="str">
        <f t="shared" si="39"/>
        <v>OK</v>
      </c>
      <c r="AF302" s="240" t="str" cm="1">
        <f t="array" aca="1" ref="AF302" ca="1" xml:space="preserve">
IF(AND($G302&lt;&gt;"",$F302=""),"ERROR",
IF(OR($F302:$G302="",AND($G302="",$F302&lt;&gt;"")),"OK",
IF(COUNTIF(INDIRECT(IFERROR(LEFT($F302,FIND(" ",$F302)-1),$F302)), $G302)&gt;0, "OK", "ERROR")))</f>
        <v>OK</v>
      </c>
    </row>
    <row r="303" spans="1:32" s="240" customFormat="1">
      <c r="A303" s="48"/>
      <c r="B303" s="31"/>
      <c r="C303" s="48"/>
      <c r="D303" s="47"/>
      <c r="E303" s="47"/>
      <c r="F303" s="31"/>
      <c r="G303" s="31"/>
      <c r="H303" s="31"/>
      <c r="I303" s="47"/>
      <c r="J303" s="31"/>
      <c r="K303" s="47"/>
      <c r="L303" s="47"/>
      <c r="M303" s="47"/>
      <c r="N303" s="31"/>
      <c r="O303" s="47"/>
      <c r="P303" s="31"/>
      <c r="Q303" s="31"/>
      <c r="R303" s="31"/>
      <c r="S303" s="31"/>
      <c r="T303" s="270">
        <f t="shared" si="32"/>
        <v>0</v>
      </c>
      <c r="U303" s="270">
        <f t="shared" si="33"/>
        <v>0</v>
      </c>
      <c r="V303" s="31"/>
      <c r="X303" s="240" t="str">
        <f t="shared" si="34"/>
        <v>OK</v>
      </c>
      <c r="Y303" s="240" t="str">
        <f t="shared" si="35"/>
        <v>OK</v>
      </c>
      <c r="Z303" s="240" t="str">
        <f t="shared" si="36"/>
        <v>OK</v>
      </c>
      <c r="AA303" s="240" t="str" cm="1">
        <f t="array" ref="AA303">IF(OR(AND(J303="Not accepted",N303:O303&lt;&gt;"",$S303=""),AND(J303="Accepted",S303="")),"ERROR","OK")</f>
        <v>OK</v>
      </c>
      <c r="AB303" s="240" t="str">
        <f t="shared" si="37"/>
        <v>OK</v>
      </c>
      <c r="AC303" s="240" t="str" cm="1">
        <f t="array" ref="AC303">IF(AND(F303:H303&lt;&gt;"",I303=""),"ERROR","OK")</f>
        <v>OK</v>
      </c>
      <c r="AD303" s="240" t="str">
        <f t="shared" si="38"/>
        <v>OK</v>
      </c>
      <c r="AE303" s="240" t="str">
        <f t="shared" si="39"/>
        <v>OK</v>
      </c>
      <c r="AF303" s="240" t="str" cm="1">
        <f t="array" aca="1" ref="AF303" ca="1" xml:space="preserve">
IF(AND($G303&lt;&gt;"",$F303=""),"ERROR",
IF(OR($F303:$G303="",AND($G303="",$F303&lt;&gt;"")),"OK",
IF(COUNTIF(INDIRECT(IFERROR(LEFT($F303,FIND(" ",$F303)-1),$F303)), $G303)&gt;0, "OK", "ERROR")))</f>
        <v>OK</v>
      </c>
    </row>
    <row r="304" spans="1:32" s="240" customFormat="1">
      <c r="A304" s="48"/>
      <c r="B304" s="31"/>
      <c r="C304" s="48"/>
      <c r="D304" s="47"/>
      <c r="E304" s="47"/>
      <c r="F304" s="31"/>
      <c r="G304" s="31"/>
      <c r="H304" s="31"/>
      <c r="I304" s="47"/>
      <c r="J304" s="31"/>
      <c r="K304" s="47"/>
      <c r="L304" s="47"/>
      <c r="M304" s="47"/>
      <c r="N304" s="31"/>
      <c r="O304" s="47"/>
      <c r="P304" s="31"/>
      <c r="Q304" s="31"/>
      <c r="R304" s="31"/>
      <c r="S304" s="31"/>
      <c r="T304" s="270">
        <f t="shared" si="32"/>
        <v>0</v>
      </c>
      <c r="U304" s="270">
        <f t="shared" si="33"/>
        <v>0</v>
      </c>
      <c r="V304" s="31"/>
      <c r="X304" s="240" t="str">
        <f t="shared" si="34"/>
        <v>OK</v>
      </c>
      <c r="Y304" s="240" t="str">
        <f t="shared" si="35"/>
        <v>OK</v>
      </c>
      <c r="Z304" s="240" t="str">
        <f t="shared" si="36"/>
        <v>OK</v>
      </c>
      <c r="AA304" s="240" t="str" cm="1">
        <f t="array" ref="AA304">IF(OR(AND(J304="Not accepted",N304:O304&lt;&gt;"",$S304=""),AND(J304="Accepted",S304="")),"ERROR","OK")</f>
        <v>OK</v>
      </c>
      <c r="AB304" s="240" t="str">
        <f t="shared" si="37"/>
        <v>OK</v>
      </c>
      <c r="AC304" s="240" t="str" cm="1">
        <f t="array" ref="AC304">IF(AND(F304:H304&lt;&gt;"",I304=""),"ERROR","OK")</f>
        <v>OK</v>
      </c>
      <c r="AD304" s="240" t="str">
        <f t="shared" si="38"/>
        <v>OK</v>
      </c>
      <c r="AE304" s="240" t="str">
        <f t="shared" si="39"/>
        <v>OK</v>
      </c>
      <c r="AF304" s="240" t="str" cm="1">
        <f t="array" aca="1" ref="AF304" ca="1" xml:space="preserve">
IF(AND($G304&lt;&gt;"",$F304=""),"ERROR",
IF(OR($F304:$G304="",AND($G304="",$F304&lt;&gt;"")),"OK",
IF(COUNTIF(INDIRECT(IFERROR(LEFT($F304,FIND(" ",$F304)-1),$F304)), $G304)&gt;0, "OK", "ERROR")))</f>
        <v>OK</v>
      </c>
    </row>
    <row r="305" spans="1:32" s="240" customFormat="1">
      <c r="A305" s="48"/>
      <c r="B305" s="31"/>
      <c r="C305" s="48"/>
      <c r="D305" s="47"/>
      <c r="E305" s="47"/>
      <c r="F305" s="31"/>
      <c r="G305" s="31"/>
      <c r="H305" s="31"/>
      <c r="I305" s="47"/>
      <c r="J305" s="31"/>
      <c r="K305" s="47"/>
      <c r="L305" s="47"/>
      <c r="M305" s="47"/>
      <c r="N305" s="31"/>
      <c r="O305" s="47"/>
      <c r="P305" s="31"/>
      <c r="Q305" s="31"/>
      <c r="R305" s="31"/>
      <c r="S305" s="31"/>
      <c r="T305" s="270">
        <f t="shared" si="32"/>
        <v>0</v>
      </c>
      <c r="U305" s="270">
        <f t="shared" si="33"/>
        <v>0</v>
      </c>
      <c r="V305" s="31"/>
      <c r="X305" s="240" t="str">
        <f t="shared" si="34"/>
        <v>OK</v>
      </c>
      <c r="Y305" s="240" t="str">
        <f t="shared" si="35"/>
        <v>OK</v>
      </c>
      <c r="Z305" s="240" t="str">
        <f t="shared" si="36"/>
        <v>OK</v>
      </c>
      <c r="AA305" s="240" t="str" cm="1">
        <f t="array" ref="AA305">IF(OR(AND(J305="Not accepted",N305:O305&lt;&gt;"",$S305=""),AND(J305="Accepted",S305="")),"ERROR","OK")</f>
        <v>OK</v>
      </c>
      <c r="AB305" s="240" t="str">
        <f t="shared" si="37"/>
        <v>OK</v>
      </c>
      <c r="AC305" s="240" t="str" cm="1">
        <f t="array" ref="AC305">IF(AND(F305:H305&lt;&gt;"",I305=""),"ERROR","OK")</f>
        <v>OK</v>
      </c>
      <c r="AD305" s="240" t="str">
        <f t="shared" si="38"/>
        <v>OK</v>
      </c>
      <c r="AE305" s="240" t="str">
        <f t="shared" si="39"/>
        <v>OK</v>
      </c>
      <c r="AF305" s="240" t="str" cm="1">
        <f t="array" aca="1" ref="AF305" ca="1" xml:space="preserve">
IF(AND($G305&lt;&gt;"",$F305=""),"ERROR",
IF(OR($F305:$G305="",AND($G305="",$F305&lt;&gt;"")),"OK",
IF(COUNTIF(INDIRECT(IFERROR(LEFT($F305,FIND(" ",$F305)-1),$F305)), $G305)&gt;0, "OK", "ERROR")))</f>
        <v>OK</v>
      </c>
    </row>
    <row r="306" spans="1:32" s="240" customFormat="1">
      <c r="A306" s="48"/>
      <c r="B306" s="31"/>
      <c r="C306" s="48"/>
      <c r="D306" s="47"/>
      <c r="E306" s="47"/>
      <c r="F306" s="31"/>
      <c r="G306" s="31"/>
      <c r="H306" s="31"/>
      <c r="I306" s="47"/>
      <c r="J306" s="31"/>
      <c r="K306" s="47"/>
      <c r="L306" s="47"/>
      <c r="M306" s="47"/>
      <c r="N306" s="31"/>
      <c r="O306" s="47"/>
      <c r="P306" s="31"/>
      <c r="Q306" s="31"/>
      <c r="R306" s="31"/>
      <c r="S306" s="31"/>
      <c r="T306" s="270">
        <f t="shared" si="32"/>
        <v>0</v>
      </c>
      <c r="U306" s="270">
        <f t="shared" si="33"/>
        <v>0</v>
      </c>
      <c r="V306" s="31"/>
      <c r="X306" s="240" t="str">
        <f t="shared" si="34"/>
        <v>OK</v>
      </c>
      <c r="Y306" s="240" t="str">
        <f t="shared" si="35"/>
        <v>OK</v>
      </c>
      <c r="Z306" s="240" t="str">
        <f t="shared" si="36"/>
        <v>OK</v>
      </c>
      <c r="AA306" s="240" t="str" cm="1">
        <f t="array" ref="AA306">IF(OR(AND(J306="Not accepted",N306:O306&lt;&gt;"",$S306=""),AND(J306="Accepted",S306="")),"ERROR","OK")</f>
        <v>OK</v>
      </c>
      <c r="AB306" s="240" t="str">
        <f t="shared" si="37"/>
        <v>OK</v>
      </c>
      <c r="AC306" s="240" t="str" cm="1">
        <f t="array" ref="AC306">IF(AND(F306:H306&lt;&gt;"",I306=""),"ERROR","OK")</f>
        <v>OK</v>
      </c>
      <c r="AD306" s="240" t="str">
        <f t="shared" si="38"/>
        <v>OK</v>
      </c>
      <c r="AE306" s="240" t="str">
        <f t="shared" si="39"/>
        <v>OK</v>
      </c>
      <c r="AF306" s="240" t="str" cm="1">
        <f t="array" aca="1" ref="AF306" ca="1" xml:space="preserve">
IF(AND($G306&lt;&gt;"",$F306=""),"ERROR",
IF(OR($F306:$G306="",AND($G306="",$F306&lt;&gt;"")),"OK",
IF(COUNTIF(INDIRECT(IFERROR(LEFT($F306,FIND(" ",$F306)-1),$F306)), $G306)&gt;0, "OK", "ERROR")))</f>
        <v>OK</v>
      </c>
    </row>
    <row r="307" spans="1:32" s="240" customFormat="1">
      <c r="A307" s="48"/>
      <c r="B307" s="31"/>
      <c r="C307" s="48"/>
      <c r="D307" s="47"/>
      <c r="E307" s="47"/>
      <c r="F307" s="31"/>
      <c r="G307" s="31"/>
      <c r="H307" s="31"/>
      <c r="I307" s="47"/>
      <c r="J307" s="31"/>
      <c r="K307" s="47"/>
      <c r="L307" s="47"/>
      <c r="M307" s="47"/>
      <c r="N307" s="31"/>
      <c r="O307" s="47"/>
      <c r="P307" s="31"/>
      <c r="Q307" s="31"/>
      <c r="R307" s="31"/>
      <c r="S307" s="31"/>
      <c r="T307" s="270">
        <f t="shared" si="32"/>
        <v>0</v>
      </c>
      <c r="U307" s="270">
        <f t="shared" si="33"/>
        <v>0</v>
      </c>
      <c r="V307" s="31"/>
      <c r="X307" s="240" t="str">
        <f t="shared" si="34"/>
        <v>OK</v>
      </c>
      <c r="Y307" s="240" t="str">
        <f t="shared" si="35"/>
        <v>OK</v>
      </c>
      <c r="Z307" s="240" t="str">
        <f t="shared" si="36"/>
        <v>OK</v>
      </c>
      <c r="AA307" s="240" t="str" cm="1">
        <f t="array" ref="AA307">IF(OR(AND(J307="Not accepted",N307:O307&lt;&gt;"",$S307=""),AND(J307="Accepted",S307="")),"ERROR","OK")</f>
        <v>OK</v>
      </c>
      <c r="AB307" s="240" t="str">
        <f t="shared" si="37"/>
        <v>OK</v>
      </c>
      <c r="AC307" s="240" t="str" cm="1">
        <f t="array" ref="AC307">IF(AND(F307:H307&lt;&gt;"",I307=""),"ERROR","OK")</f>
        <v>OK</v>
      </c>
      <c r="AD307" s="240" t="str">
        <f t="shared" si="38"/>
        <v>OK</v>
      </c>
      <c r="AE307" s="240" t="str">
        <f t="shared" si="39"/>
        <v>OK</v>
      </c>
      <c r="AF307" s="240" t="str" cm="1">
        <f t="array" aca="1" ref="AF307" ca="1" xml:space="preserve">
IF(AND($G307&lt;&gt;"",$F307=""),"ERROR",
IF(OR($F307:$G307="",AND($G307="",$F307&lt;&gt;"")),"OK",
IF(COUNTIF(INDIRECT(IFERROR(LEFT($F307,FIND(" ",$F307)-1),$F307)), $G307)&gt;0, "OK", "ERROR")))</f>
        <v>OK</v>
      </c>
    </row>
    <row r="308" spans="1:32" s="240" customFormat="1">
      <c r="A308" s="48"/>
      <c r="B308" s="31"/>
      <c r="C308" s="48"/>
      <c r="D308" s="47"/>
      <c r="E308" s="47"/>
      <c r="F308" s="31"/>
      <c r="G308" s="31"/>
      <c r="H308" s="31"/>
      <c r="I308" s="47"/>
      <c r="J308" s="31"/>
      <c r="K308" s="47"/>
      <c r="L308" s="47"/>
      <c r="M308" s="47"/>
      <c r="N308" s="31"/>
      <c r="O308" s="47"/>
      <c r="P308" s="31"/>
      <c r="Q308" s="31"/>
      <c r="R308" s="31"/>
      <c r="S308" s="31"/>
      <c r="T308" s="270">
        <f t="shared" si="32"/>
        <v>0</v>
      </c>
      <c r="U308" s="270">
        <f t="shared" si="33"/>
        <v>0</v>
      </c>
      <c r="V308" s="31"/>
      <c r="X308" s="240" t="str">
        <f t="shared" si="34"/>
        <v>OK</v>
      </c>
      <c r="Y308" s="240" t="str">
        <f t="shared" si="35"/>
        <v>OK</v>
      </c>
      <c r="Z308" s="240" t="str">
        <f t="shared" si="36"/>
        <v>OK</v>
      </c>
      <c r="AA308" s="240" t="str" cm="1">
        <f t="array" ref="AA308">IF(OR(AND(J308="Not accepted",N308:O308&lt;&gt;"",$S308=""),AND(J308="Accepted",S308="")),"ERROR","OK")</f>
        <v>OK</v>
      </c>
      <c r="AB308" s="240" t="str">
        <f t="shared" si="37"/>
        <v>OK</v>
      </c>
      <c r="AC308" s="240" t="str" cm="1">
        <f t="array" ref="AC308">IF(AND(F308:H308&lt;&gt;"",I308=""),"ERROR","OK")</f>
        <v>OK</v>
      </c>
      <c r="AD308" s="240" t="str">
        <f t="shared" si="38"/>
        <v>OK</v>
      </c>
      <c r="AE308" s="240" t="str">
        <f t="shared" si="39"/>
        <v>OK</v>
      </c>
      <c r="AF308" s="240" t="str" cm="1">
        <f t="array" aca="1" ref="AF308" ca="1" xml:space="preserve">
IF(AND($G308&lt;&gt;"",$F308=""),"ERROR",
IF(OR($F308:$G308="",AND($G308="",$F308&lt;&gt;"")),"OK",
IF(COUNTIF(INDIRECT(IFERROR(LEFT($F308,FIND(" ",$F308)-1),$F308)), $G308)&gt;0, "OK", "ERROR")))</f>
        <v>OK</v>
      </c>
    </row>
    <row r="309" spans="1:32" s="240" customFormat="1">
      <c r="A309" s="48"/>
      <c r="B309" s="31"/>
      <c r="C309" s="48"/>
      <c r="D309" s="47"/>
      <c r="E309" s="47"/>
      <c r="F309" s="31"/>
      <c r="G309" s="31"/>
      <c r="H309" s="31"/>
      <c r="I309" s="47"/>
      <c r="J309" s="31"/>
      <c r="K309" s="47"/>
      <c r="L309" s="47"/>
      <c r="M309" s="47"/>
      <c r="N309" s="31"/>
      <c r="O309" s="47"/>
      <c r="P309" s="31"/>
      <c r="Q309" s="31"/>
      <c r="R309" s="31"/>
      <c r="S309" s="31"/>
      <c r="T309" s="270">
        <f t="shared" si="32"/>
        <v>0</v>
      </c>
      <c r="U309" s="270">
        <f t="shared" si="33"/>
        <v>0</v>
      </c>
      <c r="V309" s="31"/>
      <c r="X309" s="240" t="str">
        <f t="shared" si="34"/>
        <v>OK</v>
      </c>
      <c r="Y309" s="240" t="str">
        <f t="shared" si="35"/>
        <v>OK</v>
      </c>
      <c r="Z309" s="240" t="str">
        <f t="shared" si="36"/>
        <v>OK</v>
      </c>
      <c r="AA309" s="240" t="str" cm="1">
        <f t="array" ref="AA309">IF(OR(AND(J309="Not accepted",N309:O309&lt;&gt;"",$S309=""),AND(J309="Accepted",S309="")),"ERROR","OK")</f>
        <v>OK</v>
      </c>
      <c r="AB309" s="240" t="str">
        <f t="shared" si="37"/>
        <v>OK</v>
      </c>
      <c r="AC309" s="240" t="str" cm="1">
        <f t="array" ref="AC309">IF(AND(F309:H309&lt;&gt;"",I309=""),"ERROR","OK")</f>
        <v>OK</v>
      </c>
      <c r="AD309" s="240" t="str">
        <f t="shared" si="38"/>
        <v>OK</v>
      </c>
      <c r="AE309" s="240" t="str">
        <f t="shared" si="39"/>
        <v>OK</v>
      </c>
      <c r="AF309" s="240" t="str" cm="1">
        <f t="array" aca="1" ref="AF309" ca="1" xml:space="preserve">
IF(AND($G309&lt;&gt;"",$F309=""),"ERROR",
IF(OR($F309:$G309="",AND($G309="",$F309&lt;&gt;"")),"OK",
IF(COUNTIF(INDIRECT(IFERROR(LEFT($F309,FIND(" ",$F309)-1),$F309)), $G309)&gt;0, "OK", "ERROR")))</f>
        <v>OK</v>
      </c>
    </row>
    <row r="310" spans="1:32" s="240" customFormat="1">
      <c r="A310" s="48"/>
      <c r="B310" s="31"/>
      <c r="C310" s="48"/>
      <c r="D310" s="47"/>
      <c r="E310" s="47"/>
      <c r="F310" s="31"/>
      <c r="G310" s="31"/>
      <c r="H310" s="31"/>
      <c r="I310" s="47"/>
      <c r="J310" s="31"/>
      <c r="K310" s="47"/>
      <c r="L310" s="47"/>
      <c r="M310" s="47"/>
      <c r="N310" s="31"/>
      <c r="O310" s="47"/>
      <c r="P310" s="31"/>
      <c r="Q310" s="31"/>
      <c r="R310" s="31"/>
      <c r="S310" s="31"/>
      <c r="T310" s="270">
        <f t="shared" si="32"/>
        <v>0</v>
      </c>
      <c r="U310" s="270">
        <f t="shared" si="33"/>
        <v>0</v>
      </c>
      <c r="V310" s="31"/>
      <c r="X310" s="240" t="str">
        <f t="shared" si="34"/>
        <v>OK</v>
      </c>
      <c r="Y310" s="240" t="str">
        <f t="shared" si="35"/>
        <v>OK</v>
      </c>
      <c r="Z310" s="240" t="str">
        <f t="shared" si="36"/>
        <v>OK</v>
      </c>
      <c r="AA310" s="240" t="str" cm="1">
        <f t="array" ref="AA310">IF(OR(AND(J310="Not accepted",N310:O310&lt;&gt;"",$S310=""),AND(J310="Accepted",S310="")),"ERROR","OK")</f>
        <v>OK</v>
      </c>
      <c r="AB310" s="240" t="str">
        <f t="shared" si="37"/>
        <v>OK</v>
      </c>
      <c r="AC310" s="240" t="str" cm="1">
        <f t="array" ref="AC310">IF(AND(F310:H310&lt;&gt;"",I310=""),"ERROR","OK")</f>
        <v>OK</v>
      </c>
      <c r="AD310" s="240" t="str">
        <f t="shared" si="38"/>
        <v>OK</v>
      </c>
      <c r="AE310" s="240" t="str">
        <f t="shared" si="39"/>
        <v>OK</v>
      </c>
      <c r="AF310" s="240" t="str" cm="1">
        <f t="array" aca="1" ref="AF310" ca="1" xml:space="preserve">
IF(AND($G310&lt;&gt;"",$F310=""),"ERROR",
IF(OR($F310:$G310="",AND($G310="",$F310&lt;&gt;"")),"OK",
IF(COUNTIF(INDIRECT(IFERROR(LEFT($F310,FIND(" ",$F310)-1),$F310)), $G310)&gt;0, "OK", "ERROR")))</f>
        <v>OK</v>
      </c>
    </row>
    <row r="311" spans="1:32" s="240" customFormat="1">
      <c r="A311" s="48"/>
      <c r="B311" s="31"/>
      <c r="C311" s="48"/>
      <c r="D311" s="47"/>
      <c r="E311" s="47"/>
      <c r="F311" s="31"/>
      <c r="G311" s="31"/>
      <c r="H311" s="31"/>
      <c r="I311" s="47"/>
      <c r="J311" s="31"/>
      <c r="K311" s="47"/>
      <c r="L311" s="47"/>
      <c r="M311" s="47"/>
      <c r="N311" s="31"/>
      <c r="O311" s="47"/>
      <c r="P311" s="31"/>
      <c r="Q311" s="31"/>
      <c r="R311" s="31"/>
      <c r="S311" s="31"/>
      <c r="T311" s="270">
        <f t="shared" si="32"/>
        <v>0</v>
      </c>
      <c r="U311" s="270">
        <f t="shared" si="33"/>
        <v>0</v>
      </c>
      <c r="V311" s="31"/>
      <c r="X311" s="240" t="str">
        <f t="shared" si="34"/>
        <v>OK</v>
      </c>
      <c r="Y311" s="240" t="str">
        <f t="shared" si="35"/>
        <v>OK</v>
      </c>
      <c r="Z311" s="240" t="str">
        <f t="shared" si="36"/>
        <v>OK</v>
      </c>
      <c r="AA311" s="240" t="str" cm="1">
        <f t="array" ref="AA311">IF(OR(AND(J311="Not accepted",N311:O311&lt;&gt;"",$S311=""),AND(J311="Accepted",S311="")),"ERROR","OK")</f>
        <v>OK</v>
      </c>
      <c r="AB311" s="240" t="str">
        <f t="shared" si="37"/>
        <v>OK</v>
      </c>
      <c r="AC311" s="240" t="str" cm="1">
        <f t="array" ref="AC311">IF(AND(F311:H311&lt;&gt;"",I311=""),"ERROR","OK")</f>
        <v>OK</v>
      </c>
      <c r="AD311" s="240" t="str">
        <f t="shared" si="38"/>
        <v>OK</v>
      </c>
      <c r="AE311" s="240" t="str">
        <f t="shared" si="39"/>
        <v>OK</v>
      </c>
      <c r="AF311" s="240" t="str" cm="1">
        <f t="array" aca="1" ref="AF311" ca="1" xml:space="preserve">
IF(AND($G311&lt;&gt;"",$F311=""),"ERROR",
IF(OR($F311:$G311="",AND($G311="",$F311&lt;&gt;"")),"OK",
IF(COUNTIF(INDIRECT(IFERROR(LEFT($F311,FIND(" ",$F311)-1),$F311)), $G311)&gt;0, "OK", "ERROR")))</f>
        <v>OK</v>
      </c>
    </row>
    <row r="312" spans="1:32" s="240" customFormat="1">
      <c r="A312" s="48"/>
      <c r="B312" s="31"/>
      <c r="C312" s="48"/>
      <c r="D312" s="47"/>
      <c r="E312" s="47"/>
      <c r="F312" s="31"/>
      <c r="G312" s="31"/>
      <c r="H312" s="31"/>
      <c r="I312" s="47"/>
      <c r="J312" s="31"/>
      <c r="K312" s="47"/>
      <c r="L312" s="47"/>
      <c r="M312" s="47"/>
      <c r="N312" s="31"/>
      <c r="O312" s="47"/>
      <c r="P312" s="31"/>
      <c r="Q312" s="31"/>
      <c r="R312" s="31"/>
      <c r="S312" s="31"/>
      <c r="T312" s="270">
        <f t="shared" si="32"/>
        <v>0</v>
      </c>
      <c r="U312" s="270">
        <f t="shared" si="33"/>
        <v>0</v>
      </c>
      <c r="V312" s="31"/>
      <c r="X312" s="240" t="str">
        <f t="shared" si="34"/>
        <v>OK</v>
      </c>
      <c r="Y312" s="240" t="str">
        <f t="shared" si="35"/>
        <v>OK</v>
      </c>
      <c r="Z312" s="240" t="str">
        <f t="shared" si="36"/>
        <v>OK</v>
      </c>
      <c r="AA312" s="240" t="str" cm="1">
        <f t="array" ref="AA312">IF(OR(AND(J312="Not accepted",N312:O312&lt;&gt;"",$S312=""),AND(J312="Accepted",S312="")),"ERROR","OK")</f>
        <v>OK</v>
      </c>
      <c r="AB312" s="240" t="str">
        <f t="shared" si="37"/>
        <v>OK</v>
      </c>
      <c r="AC312" s="240" t="str" cm="1">
        <f t="array" ref="AC312">IF(AND(F312:H312&lt;&gt;"",I312=""),"ERROR","OK")</f>
        <v>OK</v>
      </c>
      <c r="AD312" s="240" t="str">
        <f t="shared" si="38"/>
        <v>OK</v>
      </c>
      <c r="AE312" s="240" t="str">
        <f t="shared" si="39"/>
        <v>OK</v>
      </c>
      <c r="AF312" s="240" t="str" cm="1">
        <f t="array" aca="1" ref="AF312" ca="1" xml:space="preserve">
IF(AND($G312&lt;&gt;"",$F312=""),"ERROR",
IF(OR($F312:$G312="",AND($G312="",$F312&lt;&gt;"")),"OK",
IF(COUNTIF(INDIRECT(IFERROR(LEFT($F312,FIND(" ",$F312)-1),$F312)), $G312)&gt;0, "OK", "ERROR")))</f>
        <v>OK</v>
      </c>
    </row>
    <row r="313" spans="1:32" s="240" customFormat="1">
      <c r="A313" s="48"/>
      <c r="B313" s="31"/>
      <c r="C313" s="48"/>
      <c r="D313" s="47"/>
      <c r="E313" s="47"/>
      <c r="F313" s="31"/>
      <c r="G313" s="31"/>
      <c r="H313" s="31"/>
      <c r="I313" s="47"/>
      <c r="J313" s="31"/>
      <c r="K313" s="47"/>
      <c r="L313" s="47"/>
      <c r="M313" s="47"/>
      <c r="N313" s="31"/>
      <c r="O313" s="47"/>
      <c r="P313" s="31"/>
      <c r="Q313" s="31"/>
      <c r="R313" s="31"/>
      <c r="S313" s="31"/>
      <c r="T313" s="270">
        <f t="shared" si="32"/>
        <v>0</v>
      </c>
      <c r="U313" s="270">
        <f t="shared" si="33"/>
        <v>0</v>
      </c>
      <c r="V313" s="31"/>
      <c r="X313" s="240" t="str">
        <f t="shared" si="34"/>
        <v>OK</v>
      </c>
      <c r="Y313" s="240" t="str">
        <f t="shared" si="35"/>
        <v>OK</v>
      </c>
      <c r="Z313" s="240" t="str">
        <f t="shared" si="36"/>
        <v>OK</v>
      </c>
      <c r="AA313" s="240" t="str" cm="1">
        <f t="array" ref="AA313">IF(OR(AND(J313="Not accepted",N313:O313&lt;&gt;"",$S313=""),AND(J313="Accepted",S313="")),"ERROR","OK")</f>
        <v>OK</v>
      </c>
      <c r="AB313" s="240" t="str">
        <f t="shared" si="37"/>
        <v>OK</v>
      </c>
      <c r="AC313" s="240" t="str" cm="1">
        <f t="array" ref="AC313">IF(AND(F313:H313&lt;&gt;"",I313=""),"ERROR","OK")</f>
        <v>OK</v>
      </c>
      <c r="AD313" s="240" t="str">
        <f t="shared" si="38"/>
        <v>OK</v>
      </c>
      <c r="AE313" s="240" t="str">
        <f t="shared" si="39"/>
        <v>OK</v>
      </c>
      <c r="AF313" s="240" t="str" cm="1">
        <f t="array" aca="1" ref="AF313" ca="1" xml:space="preserve">
IF(AND($G313&lt;&gt;"",$F313=""),"ERROR",
IF(OR($F313:$G313="",AND($G313="",$F313&lt;&gt;"")),"OK",
IF(COUNTIF(INDIRECT(IFERROR(LEFT($F313,FIND(" ",$F313)-1),$F313)), $G313)&gt;0, "OK", "ERROR")))</f>
        <v>OK</v>
      </c>
    </row>
    <row r="314" spans="1:32" s="240" customFormat="1">
      <c r="A314" s="48"/>
      <c r="B314" s="31"/>
      <c r="C314" s="48"/>
      <c r="D314" s="47"/>
      <c r="E314" s="47"/>
      <c r="F314" s="31"/>
      <c r="G314" s="31"/>
      <c r="H314" s="31"/>
      <c r="I314" s="47"/>
      <c r="J314" s="31"/>
      <c r="K314" s="47"/>
      <c r="L314" s="47"/>
      <c r="M314" s="47"/>
      <c r="N314" s="31"/>
      <c r="O314" s="47"/>
      <c r="P314" s="31"/>
      <c r="Q314" s="31"/>
      <c r="R314" s="31"/>
      <c r="S314" s="31"/>
      <c r="T314" s="270">
        <f t="shared" si="32"/>
        <v>0</v>
      </c>
      <c r="U314" s="270">
        <f t="shared" si="33"/>
        <v>0</v>
      </c>
      <c r="V314" s="31"/>
      <c r="X314" s="240" t="str">
        <f t="shared" si="34"/>
        <v>OK</v>
      </c>
      <c r="Y314" s="240" t="str">
        <f t="shared" si="35"/>
        <v>OK</v>
      </c>
      <c r="Z314" s="240" t="str">
        <f t="shared" si="36"/>
        <v>OK</v>
      </c>
      <c r="AA314" s="240" t="str" cm="1">
        <f t="array" ref="AA314">IF(OR(AND(J314="Not accepted",N314:O314&lt;&gt;"",$S314=""),AND(J314="Accepted",S314="")),"ERROR","OK")</f>
        <v>OK</v>
      </c>
      <c r="AB314" s="240" t="str">
        <f t="shared" si="37"/>
        <v>OK</v>
      </c>
      <c r="AC314" s="240" t="str" cm="1">
        <f t="array" ref="AC314">IF(AND(F314:H314&lt;&gt;"",I314=""),"ERROR","OK")</f>
        <v>OK</v>
      </c>
      <c r="AD314" s="240" t="str">
        <f t="shared" si="38"/>
        <v>OK</v>
      </c>
      <c r="AE314" s="240" t="str">
        <f t="shared" si="39"/>
        <v>OK</v>
      </c>
      <c r="AF314" s="240" t="str" cm="1">
        <f t="array" aca="1" ref="AF314" ca="1" xml:space="preserve">
IF(AND($G314&lt;&gt;"",$F314=""),"ERROR",
IF(OR($F314:$G314="",AND($G314="",$F314&lt;&gt;"")),"OK",
IF(COUNTIF(INDIRECT(IFERROR(LEFT($F314,FIND(" ",$F314)-1),$F314)), $G314)&gt;0, "OK", "ERROR")))</f>
        <v>OK</v>
      </c>
    </row>
    <row r="315" spans="1:32" s="240" customFormat="1">
      <c r="A315" s="48"/>
      <c r="B315" s="31"/>
      <c r="C315" s="48"/>
      <c r="D315" s="47"/>
      <c r="E315" s="47"/>
      <c r="F315" s="31"/>
      <c r="G315" s="31"/>
      <c r="H315" s="31"/>
      <c r="I315" s="47"/>
      <c r="J315" s="31"/>
      <c r="K315" s="47"/>
      <c r="L315" s="47"/>
      <c r="M315" s="47"/>
      <c r="N315" s="31"/>
      <c r="O315" s="47"/>
      <c r="P315" s="31"/>
      <c r="Q315" s="31"/>
      <c r="R315" s="31"/>
      <c r="S315" s="31"/>
      <c r="T315" s="270">
        <f t="shared" si="32"/>
        <v>0</v>
      </c>
      <c r="U315" s="270">
        <f t="shared" si="33"/>
        <v>0</v>
      </c>
      <c r="V315" s="31"/>
      <c r="X315" s="240" t="str">
        <f t="shared" si="34"/>
        <v>OK</v>
      </c>
      <c r="Y315" s="240" t="str">
        <f t="shared" si="35"/>
        <v>OK</v>
      </c>
      <c r="Z315" s="240" t="str">
        <f t="shared" si="36"/>
        <v>OK</v>
      </c>
      <c r="AA315" s="240" t="str" cm="1">
        <f t="array" ref="AA315">IF(OR(AND(J315="Not accepted",N315:O315&lt;&gt;"",$S315=""),AND(J315="Accepted",S315="")),"ERROR","OK")</f>
        <v>OK</v>
      </c>
      <c r="AB315" s="240" t="str">
        <f t="shared" si="37"/>
        <v>OK</v>
      </c>
      <c r="AC315" s="240" t="str" cm="1">
        <f t="array" ref="AC315">IF(AND(F315:H315&lt;&gt;"",I315=""),"ERROR","OK")</f>
        <v>OK</v>
      </c>
      <c r="AD315" s="240" t="str">
        <f t="shared" si="38"/>
        <v>OK</v>
      </c>
      <c r="AE315" s="240" t="str">
        <f t="shared" si="39"/>
        <v>OK</v>
      </c>
      <c r="AF315" s="240" t="str" cm="1">
        <f t="array" aca="1" ref="AF315" ca="1" xml:space="preserve">
IF(AND($G315&lt;&gt;"",$F315=""),"ERROR",
IF(OR($F315:$G315="",AND($G315="",$F315&lt;&gt;"")),"OK",
IF(COUNTIF(INDIRECT(IFERROR(LEFT($F315,FIND(" ",$F315)-1),$F315)), $G315)&gt;0, "OK", "ERROR")))</f>
        <v>OK</v>
      </c>
    </row>
    <row r="316" spans="1:32" s="240" customFormat="1">
      <c r="A316" s="48"/>
      <c r="B316" s="31"/>
      <c r="C316" s="48"/>
      <c r="D316" s="47"/>
      <c r="E316" s="47"/>
      <c r="F316" s="31"/>
      <c r="G316" s="31"/>
      <c r="H316" s="31"/>
      <c r="I316" s="47"/>
      <c r="J316" s="31"/>
      <c r="K316" s="47"/>
      <c r="L316" s="47"/>
      <c r="M316" s="47"/>
      <c r="N316" s="31"/>
      <c r="O316" s="47"/>
      <c r="P316" s="31"/>
      <c r="Q316" s="31"/>
      <c r="R316" s="31"/>
      <c r="S316" s="31"/>
      <c r="T316" s="270">
        <f t="shared" si="32"/>
        <v>0</v>
      </c>
      <c r="U316" s="270">
        <f t="shared" si="33"/>
        <v>0</v>
      </c>
      <c r="V316" s="31"/>
      <c r="X316" s="240" t="str">
        <f t="shared" si="34"/>
        <v>OK</v>
      </c>
      <c r="Y316" s="240" t="str">
        <f t="shared" si="35"/>
        <v>OK</v>
      </c>
      <c r="Z316" s="240" t="str">
        <f t="shared" si="36"/>
        <v>OK</v>
      </c>
      <c r="AA316" s="240" t="str" cm="1">
        <f t="array" ref="AA316">IF(OR(AND(J316="Not accepted",N316:O316&lt;&gt;"",$S316=""),AND(J316="Accepted",S316="")),"ERROR","OK")</f>
        <v>OK</v>
      </c>
      <c r="AB316" s="240" t="str">
        <f t="shared" si="37"/>
        <v>OK</v>
      </c>
      <c r="AC316" s="240" t="str" cm="1">
        <f t="array" ref="AC316">IF(AND(F316:H316&lt;&gt;"",I316=""),"ERROR","OK")</f>
        <v>OK</v>
      </c>
      <c r="AD316" s="240" t="str">
        <f t="shared" si="38"/>
        <v>OK</v>
      </c>
      <c r="AE316" s="240" t="str">
        <f t="shared" si="39"/>
        <v>OK</v>
      </c>
      <c r="AF316" s="240" t="str" cm="1">
        <f t="array" aca="1" ref="AF316" ca="1" xml:space="preserve">
IF(AND($G316&lt;&gt;"",$F316=""),"ERROR",
IF(OR($F316:$G316="",AND($G316="",$F316&lt;&gt;"")),"OK",
IF(COUNTIF(INDIRECT(IFERROR(LEFT($F316,FIND(" ",$F316)-1),$F316)), $G316)&gt;0, "OK", "ERROR")))</f>
        <v>OK</v>
      </c>
    </row>
    <row r="317" spans="1:32" s="240" customFormat="1">
      <c r="A317" s="48"/>
      <c r="B317" s="31"/>
      <c r="C317" s="48"/>
      <c r="D317" s="47"/>
      <c r="E317" s="47"/>
      <c r="F317" s="31"/>
      <c r="G317" s="31"/>
      <c r="H317" s="31"/>
      <c r="I317" s="47"/>
      <c r="J317" s="31"/>
      <c r="K317" s="47"/>
      <c r="L317" s="47"/>
      <c r="M317" s="47"/>
      <c r="N317" s="31"/>
      <c r="O317" s="47"/>
      <c r="P317" s="31"/>
      <c r="Q317" s="31"/>
      <c r="R317" s="31"/>
      <c r="S317" s="31"/>
      <c r="T317" s="270">
        <f t="shared" si="32"/>
        <v>0</v>
      </c>
      <c r="U317" s="270">
        <f t="shared" si="33"/>
        <v>0</v>
      </c>
      <c r="V317" s="31"/>
      <c r="X317" s="240" t="str">
        <f t="shared" si="34"/>
        <v>OK</v>
      </c>
      <c r="Y317" s="240" t="str">
        <f t="shared" si="35"/>
        <v>OK</v>
      </c>
      <c r="Z317" s="240" t="str">
        <f t="shared" si="36"/>
        <v>OK</v>
      </c>
      <c r="AA317" s="240" t="str" cm="1">
        <f t="array" ref="AA317">IF(OR(AND(J317="Not accepted",N317:O317&lt;&gt;"",$S317=""),AND(J317="Accepted",S317="")),"ERROR","OK")</f>
        <v>OK</v>
      </c>
      <c r="AB317" s="240" t="str">
        <f t="shared" si="37"/>
        <v>OK</v>
      </c>
      <c r="AC317" s="240" t="str" cm="1">
        <f t="array" ref="AC317">IF(AND(F317:H317&lt;&gt;"",I317=""),"ERROR","OK")</f>
        <v>OK</v>
      </c>
      <c r="AD317" s="240" t="str">
        <f t="shared" si="38"/>
        <v>OK</v>
      </c>
      <c r="AE317" s="240" t="str">
        <f t="shared" si="39"/>
        <v>OK</v>
      </c>
      <c r="AF317" s="240" t="str" cm="1">
        <f t="array" aca="1" ref="AF317" ca="1" xml:space="preserve">
IF(AND($G317&lt;&gt;"",$F317=""),"ERROR",
IF(OR($F317:$G317="",AND($G317="",$F317&lt;&gt;"")),"OK",
IF(COUNTIF(INDIRECT(IFERROR(LEFT($F317,FIND(" ",$F317)-1),$F317)), $G317)&gt;0, "OK", "ERROR")))</f>
        <v>OK</v>
      </c>
    </row>
    <row r="318" spans="1:32" s="240" customFormat="1">
      <c r="A318" s="48"/>
      <c r="B318" s="31"/>
      <c r="C318" s="48"/>
      <c r="D318" s="47"/>
      <c r="E318" s="47"/>
      <c r="F318" s="31"/>
      <c r="G318" s="31"/>
      <c r="H318" s="31"/>
      <c r="I318" s="47"/>
      <c r="J318" s="31"/>
      <c r="K318" s="47"/>
      <c r="L318" s="47"/>
      <c r="M318" s="47"/>
      <c r="N318" s="31"/>
      <c r="O318" s="47"/>
      <c r="P318" s="31"/>
      <c r="Q318" s="31"/>
      <c r="R318" s="31"/>
      <c r="S318" s="31"/>
      <c r="T318" s="270">
        <f t="shared" si="32"/>
        <v>0</v>
      </c>
      <c r="U318" s="270">
        <f t="shared" si="33"/>
        <v>0</v>
      </c>
      <c r="V318" s="31"/>
      <c r="X318" s="240" t="str">
        <f t="shared" si="34"/>
        <v>OK</v>
      </c>
      <c r="Y318" s="240" t="str">
        <f t="shared" si="35"/>
        <v>OK</v>
      </c>
      <c r="Z318" s="240" t="str">
        <f t="shared" si="36"/>
        <v>OK</v>
      </c>
      <c r="AA318" s="240" t="str" cm="1">
        <f t="array" ref="AA318">IF(OR(AND(J318="Not accepted",N318:O318&lt;&gt;"",$S318=""),AND(J318="Accepted",S318="")),"ERROR","OK")</f>
        <v>OK</v>
      </c>
      <c r="AB318" s="240" t="str">
        <f t="shared" si="37"/>
        <v>OK</v>
      </c>
      <c r="AC318" s="240" t="str" cm="1">
        <f t="array" ref="AC318">IF(AND(F318:H318&lt;&gt;"",I318=""),"ERROR","OK")</f>
        <v>OK</v>
      </c>
      <c r="AD318" s="240" t="str">
        <f t="shared" si="38"/>
        <v>OK</v>
      </c>
      <c r="AE318" s="240" t="str">
        <f t="shared" si="39"/>
        <v>OK</v>
      </c>
      <c r="AF318" s="240" t="str" cm="1">
        <f t="array" aca="1" ref="AF318" ca="1" xml:space="preserve">
IF(AND($G318&lt;&gt;"",$F318=""),"ERROR",
IF(OR($F318:$G318="",AND($G318="",$F318&lt;&gt;"")),"OK",
IF(COUNTIF(INDIRECT(IFERROR(LEFT($F318,FIND(" ",$F318)-1),$F318)), $G318)&gt;0, "OK", "ERROR")))</f>
        <v>OK</v>
      </c>
    </row>
    <row r="319" spans="1:32" s="240" customFormat="1">
      <c r="A319" s="48"/>
      <c r="B319" s="31"/>
      <c r="C319" s="48"/>
      <c r="D319" s="47"/>
      <c r="E319" s="47"/>
      <c r="F319" s="31"/>
      <c r="G319" s="31"/>
      <c r="H319" s="31"/>
      <c r="I319" s="47"/>
      <c r="J319" s="31"/>
      <c r="K319" s="47"/>
      <c r="L319" s="47"/>
      <c r="M319" s="47"/>
      <c r="N319" s="31"/>
      <c r="O319" s="47"/>
      <c r="P319" s="31"/>
      <c r="Q319" s="31"/>
      <c r="R319" s="31"/>
      <c r="S319" s="31"/>
      <c r="T319" s="270">
        <f t="shared" si="32"/>
        <v>0</v>
      </c>
      <c r="U319" s="270">
        <f t="shared" si="33"/>
        <v>0</v>
      </c>
      <c r="V319" s="31"/>
      <c r="X319" s="240" t="str">
        <f t="shared" si="34"/>
        <v>OK</v>
      </c>
      <c r="Y319" s="240" t="str">
        <f t="shared" si="35"/>
        <v>OK</v>
      </c>
      <c r="Z319" s="240" t="str">
        <f t="shared" si="36"/>
        <v>OK</v>
      </c>
      <c r="AA319" s="240" t="str" cm="1">
        <f t="array" ref="AA319">IF(OR(AND(J319="Not accepted",N319:O319&lt;&gt;"",$S319=""),AND(J319="Accepted",S319="")),"ERROR","OK")</f>
        <v>OK</v>
      </c>
      <c r="AB319" s="240" t="str">
        <f t="shared" si="37"/>
        <v>OK</v>
      </c>
      <c r="AC319" s="240" t="str" cm="1">
        <f t="array" ref="AC319">IF(AND(F319:H319&lt;&gt;"",I319=""),"ERROR","OK")</f>
        <v>OK</v>
      </c>
      <c r="AD319" s="240" t="str">
        <f t="shared" si="38"/>
        <v>OK</v>
      </c>
      <c r="AE319" s="240" t="str">
        <f t="shared" si="39"/>
        <v>OK</v>
      </c>
      <c r="AF319" s="240" t="str" cm="1">
        <f t="array" aca="1" ref="AF319" ca="1" xml:space="preserve">
IF(AND($G319&lt;&gt;"",$F319=""),"ERROR",
IF(OR($F319:$G319="",AND($G319="",$F319&lt;&gt;"")),"OK",
IF(COUNTIF(INDIRECT(IFERROR(LEFT($F319,FIND(" ",$F319)-1),$F319)), $G319)&gt;0, "OK", "ERROR")))</f>
        <v>OK</v>
      </c>
    </row>
    <row r="320" spans="1:32" s="240" customFormat="1">
      <c r="A320" s="48"/>
      <c r="B320" s="31"/>
      <c r="C320" s="48"/>
      <c r="D320" s="47"/>
      <c r="E320" s="47"/>
      <c r="F320" s="31"/>
      <c r="G320" s="31"/>
      <c r="H320" s="31"/>
      <c r="I320" s="47"/>
      <c r="J320" s="31"/>
      <c r="K320" s="47"/>
      <c r="L320" s="47"/>
      <c r="M320" s="47"/>
      <c r="N320" s="31"/>
      <c r="O320" s="47"/>
      <c r="P320" s="31"/>
      <c r="Q320" s="31"/>
      <c r="R320" s="31"/>
      <c r="S320" s="31"/>
      <c r="T320" s="270">
        <f t="shared" si="32"/>
        <v>0</v>
      </c>
      <c r="U320" s="270">
        <f t="shared" si="33"/>
        <v>0</v>
      </c>
      <c r="V320" s="31"/>
      <c r="X320" s="240" t="str">
        <f t="shared" si="34"/>
        <v>OK</v>
      </c>
      <c r="Y320" s="240" t="str">
        <f t="shared" si="35"/>
        <v>OK</v>
      </c>
      <c r="Z320" s="240" t="str">
        <f t="shared" si="36"/>
        <v>OK</v>
      </c>
      <c r="AA320" s="240" t="str" cm="1">
        <f t="array" ref="AA320">IF(OR(AND(J320="Not accepted",N320:O320&lt;&gt;"",$S320=""),AND(J320="Accepted",S320="")),"ERROR","OK")</f>
        <v>OK</v>
      </c>
      <c r="AB320" s="240" t="str">
        <f t="shared" si="37"/>
        <v>OK</v>
      </c>
      <c r="AC320" s="240" t="str" cm="1">
        <f t="array" ref="AC320">IF(AND(F320:H320&lt;&gt;"",I320=""),"ERROR","OK")</f>
        <v>OK</v>
      </c>
      <c r="AD320" s="240" t="str">
        <f t="shared" si="38"/>
        <v>OK</v>
      </c>
      <c r="AE320" s="240" t="str">
        <f t="shared" si="39"/>
        <v>OK</v>
      </c>
      <c r="AF320" s="240" t="str" cm="1">
        <f t="array" aca="1" ref="AF320" ca="1" xml:space="preserve">
IF(AND($G320&lt;&gt;"",$F320=""),"ERROR",
IF(OR($F320:$G320="",AND($G320="",$F320&lt;&gt;"")),"OK",
IF(COUNTIF(INDIRECT(IFERROR(LEFT($F320,FIND(" ",$F320)-1),$F320)), $G320)&gt;0, "OK", "ERROR")))</f>
        <v>OK</v>
      </c>
    </row>
    <row r="321" spans="1:32" s="240" customFormat="1">
      <c r="A321" s="48"/>
      <c r="B321" s="31"/>
      <c r="C321" s="48"/>
      <c r="D321" s="47"/>
      <c r="E321" s="47"/>
      <c r="F321" s="31"/>
      <c r="G321" s="31"/>
      <c r="H321" s="31"/>
      <c r="I321" s="47"/>
      <c r="J321" s="31"/>
      <c r="K321" s="47"/>
      <c r="L321" s="47"/>
      <c r="M321" s="47"/>
      <c r="N321" s="31"/>
      <c r="O321" s="47"/>
      <c r="P321" s="31"/>
      <c r="Q321" s="31"/>
      <c r="R321" s="31"/>
      <c r="S321" s="31"/>
      <c r="T321" s="270">
        <f t="shared" si="32"/>
        <v>0</v>
      </c>
      <c r="U321" s="270">
        <f t="shared" si="33"/>
        <v>0</v>
      </c>
      <c r="V321" s="31"/>
      <c r="X321" s="240" t="str">
        <f t="shared" si="34"/>
        <v>OK</v>
      </c>
      <c r="Y321" s="240" t="str">
        <f t="shared" si="35"/>
        <v>OK</v>
      </c>
      <c r="Z321" s="240" t="str">
        <f t="shared" si="36"/>
        <v>OK</v>
      </c>
      <c r="AA321" s="240" t="str" cm="1">
        <f t="array" ref="AA321">IF(OR(AND(J321="Not accepted",N321:O321&lt;&gt;"",$S321=""),AND(J321="Accepted",S321="")),"ERROR","OK")</f>
        <v>OK</v>
      </c>
      <c r="AB321" s="240" t="str">
        <f t="shared" si="37"/>
        <v>OK</v>
      </c>
      <c r="AC321" s="240" t="str" cm="1">
        <f t="array" ref="AC321">IF(AND(F321:H321&lt;&gt;"",I321=""),"ERROR","OK")</f>
        <v>OK</v>
      </c>
      <c r="AD321" s="240" t="str">
        <f t="shared" si="38"/>
        <v>OK</v>
      </c>
      <c r="AE321" s="240" t="str">
        <f t="shared" si="39"/>
        <v>OK</v>
      </c>
      <c r="AF321" s="240" t="str" cm="1">
        <f t="array" aca="1" ref="AF321" ca="1" xml:space="preserve">
IF(AND($G321&lt;&gt;"",$F321=""),"ERROR",
IF(OR($F321:$G321="",AND($G321="",$F321&lt;&gt;"")),"OK",
IF(COUNTIF(INDIRECT(IFERROR(LEFT($F321,FIND(" ",$F321)-1),$F321)), $G321)&gt;0, "OK", "ERROR")))</f>
        <v>OK</v>
      </c>
    </row>
    <row r="322" spans="1:32" s="240" customFormat="1">
      <c r="A322" s="48"/>
      <c r="B322" s="31"/>
      <c r="C322" s="48"/>
      <c r="D322" s="47"/>
      <c r="E322" s="47"/>
      <c r="F322" s="31"/>
      <c r="G322" s="31"/>
      <c r="H322" s="31"/>
      <c r="I322" s="47"/>
      <c r="J322" s="31"/>
      <c r="K322" s="47"/>
      <c r="L322" s="47"/>
      <c r="M322" s="47"/>
      <c r="N322" s="31"/>
      <c r="O322" s="47"/>
      <c r="P322" s="31"/>
      <c r="Q322" s="31"/>
      <c r="R322" s="31"/>
      <c r="S322" s="31"/>
      <c r="T322" s="270">
        <f t="shared" si="32"/>
        <v>0</v>
      </c>
      <c r="U322" s="270">
        <f t="shared" si="33"/>
        <v>0</v>
      </c>
      <c r="V322" s="31"/>
      <c r="X322" s="240" t="str">
        <f t="shared" si="34"/>
        <v>OK</v>
      </c>
      <c r="Y322" s="240" t="str">
        <f t="shared" si="35"/>
        <v>OK</v>
      </c>
      <c r="Z322" s="240" t="str">
        <f t="shared" si="36"/>
        <v>OK</v>
      </c>
      <c r="AA322" s="240" t="str" cm="1">
        <f t="array" ref="AA322">IF(OR(AND(J322="Not accepted",N322:O322&lt;&gt;"",$S322=""),AND(J322="Accepted",S322="")),"ERROR","OK")</f>
        <v>OK</v>
      </c>
      <c r="AB322" s="240" t="str">
        <f t="shared" si="37"/>
        <v>OK</v>
      </c>
      <c r="AC322" s="240" t="str" cm="1">
        <f t="array" ref="AC322">IF(AND(F322:H322&lt;&gt;"",I322=""),"ERROR","OK")</f>
        <v>OK</v>
      </c>
      <c r="AD322" s="240" t="str">
        <f t="shared" si="38"/>
        <v>OK</v>
      </c>
      <c r="AE322" s="240" t="str">
        <f t="shared" si="39"/>
        <v>OK</v>
      </c>
      <c r="AF322" s="240" t="str" cm="1">
        <f t="array" aca="1" ref="AF322" ca="1" xml:space="preserve">
IF(AND($G322&lt;&gt;"",$F322=""),"ERROR",
IF(OR($F322:$G322="",AND($G322="",$F322&lt;&gt;"")),"OK",
IF(COUNTIF(INDIRECT(IFERROR(LEFT($F322,FIND(" ",$F322)-1),$F322)), $G322)&gt;0, "OK", "ERROR")))</f>
        <v>OK</v>
      </c>
    </row>
    <row r="323" spans="1:32" s="240" customFormat="1">
      <c r="A323" s="48"/>
      <c r="B323" s="31"/>
      <c r="C323" s="48"/>
      <c r="D323" s="47"/>
      <c r="E323" s="47"/>
      <c r="F323" s="31"/>
      <c r="G323" s="31"/>
      <c r="H323" s="31"/>
      <c r="I323" s="47"/>
      <c r="J323" s="31"/>
      <c r="K323" s="47"/>
      <c r="L323" s="47"/>
      <c r="M323" s="47"/>
      <c r="N323" s="31"/>
      <c r="O323" s="47"/>
      <c r="P323" s="31"/>
      <c r="Q323" s="31"/>
      <c r="R323" s="31"/>
      <c r="S323" s="31"/>
      <c r="T323" s="270">
        <f t="shared" si="32"/>
        <v>0</v>
      </c>
      <c r="U323" s="270">
        <f t="shared" si="33"/>
        <v>0</v>
      </c>
      <c r="V323" s="31"/>
      <c r="X323" s="240" t="str">
        <f t="shared" si="34"/>
        <v>OK</v>
      </c>
      <c r="Y323" s="240" t="str">
        <f t="shared" si="35"/>
        <v>OK</v>
      </c>
      <c r="Z323" s="240" t="str">
        <f t="shared" si="36"/>
        <v>OK</v>
      </c>
      <c r="AA323" s="240" t="str" cm="1">
        <f t="array" ref="AA323">IF(OR(AND(J323="Not accepted",N323:O323&lt;&gt;"",$S323=""),AND(J323="Accepted",S323="")),"ERROR","OK")</f>
        <v>OK</v>
      </c>
      <c r="AB323" s="240" t="str">
        <f t="shared" si="37"/>
        <v>OK</v>
      </c>
      <c r="AC323" s="240" t="str" cm="1">
        <f t="array" ref="AC323">IF(AND(F323:H323&lt;&gt;"",I323=""),"ERROR","OK")</f>
        <v>OK</v>
      </c>
      <c r="AD323" s="240" t="str">
        <f t="shared" si="38"/>
        <v>OK</v>
      </c>
      <c r="AE323" s="240" t="str">
        <f t="shared" si="39"/>
        <v>OK</v>
      </c>
      <c r="AF323" s="240" t="str" cm="1">
        <f t="array" aca="1" ref="AF323" ca="1" xml:space="preserve">
IF(AND($G323&lt;&gt;"",$F323=""),"ERROR",
IF(OR($F323:$G323="",AND($G323="",$F323&lt;&gt;"")),"OK",
IF(COUNTIF(INDIRECT(IFERROR(LEFT($F323,FIND(" ",$F323)-1),$F323)), $G323)&gt;0, "OK", "ERROR")))</f>
        <v>OK</v>
      </c>
    </row>
    <row r="324" spans="1:32" s="240" customFormat="1">
      <c r="A324" s="48"/>
      <c r="B324" s="31"/>
      <c r="C324" s="48"/>
      <c r="D324" s="47"/>
      <c r="E324" s="47"/>
      <c r="F324" s="31"/>
      <c r="G324" s="31"/>
      <c r="H324" s="31"/>
      <c r="I324" s="47"/>
      <c r="J324" s="31"/>
      <c r="K324" s="47"/>
      <c r="L324" s="47"/>
      <c r="M324" s="47"/>
      <c r="N324" s="31"/>
      <c r="O324" s="47"/>
      <c r="P324" s="31"/>
      <c r="Q324" s="31"/>
      <c r="R324" s="31"/>
      <c r="S324" s="31"/>
      <c r="T324" s="270">
        <f t="shared" si="32"/>
        <v>0</v>
      </c>
      <c r="U324" s="270">
        <f t="shared" si="33"/>
        <v>0</v>
      </c>
      <c r="V324" s="31"/>
      <c r="X324" s="240" t="str">
        <f t="shared" si="34"/>
        <v>OK</v>
      </c>
      <c r="Y324" s="240" t="str">
        <f t="shared" si="35"/>
        <v>OK</v>
      </c>
      <c r="Z324" s="240" t="str">
        <f t="shared" si="36"/>
        <v>OK</v>
      </c>
      <c r="AA324" s="240" t="str" cm="1">
        <f t="array" ref="AA324">IF(OR(AND(J324="Not accepted",N324:O324&lt;&gt;"",$S324=""),AND(J324="Accepted",S324="")),"ERROR","OK")</f>
        <v>OK</v>
      </c>
      <c r="AB324" s="240" t="str">
        <f t="shared" si="37"/>
        <v>OK</v>
      </c>
      <c r="AC324" s="240" t="str" cm="1">
        <f t="array" ref="AC324">IF(AND(F324:H324&lt;&gt;"",I324=""),"ERROR","OK")</f>
        <v>OK</v>
      </c>
      <c r="AD324" s="240" t="str">
        <f t="shared" si="38"/>
        <v>OK</v>
      </c>
      <c r="AE324" s="240" t="str">
        <f t="shared" si="39"/>
        <v>OK</v>
      </c>
      <c r="AF324" s="240" t="str" cm="1">
        <f t="array" aca="1" ref="AF324" ca="1" xml:space="preserve">
IF(AND($G324&lt;&gt;"",$F324=""),"ERROR",
IF(OR($F324:$G324="",AND($G324="",$F324&lt;&gt;"")),"OK",
IF(COUNTIF(INDIRECT(IFERROR(LEFT($F324,FIND(" ",$F324)-1),$F324)), $G324)&gt;0, "OK", "ERROR")))</f>
        <v>OK</v>
      </c>
    </row>
    <row r="325" spans="1:32" s="240" customFormat="1">
      <c r="A325" s="48"/>
      <c r="B325" s="31"/>
      <c r="C325" s="48"/>
      <c r="D325" s="47"/>
      <c r="E325" s="47"/>
      <c r="F325" s="31"/>
      <c r="G325" s="31"/>
      <c r="H325" s="31"/>
      <c r="I325" s="47"/>
      <c r="J325" s="31"/>
      <c r="K325" s="47"/>
      <c r="L325" s="47"/>
      <c r="M325" s="47"/>
      <c r="N325" s="31"/>
      <c r="O325" s="47"/>
      <c r="P325" s="31"/>
      <c r="Q325" s="31"/>
      <c r="R325" s="31"/>
      <c r="S325" s="31"/>
      <c r="T325" s="270">
        <f t="shared" ref="T325:T388" si="40">IF(OR($J325="Accepted",ISBLANK($J325)),IF(AND($G325="Legacy Data",$Q325="Legacy Data"),1,IF(OR($G325="Legacy Data",$Q325="Legacy Data"),1,0)),IF(OR($N325="Agree with original translator",ISBLANK($N325)),IF(AND($G325="Source Text Data",$Q325="Legacy Data"),1,IF(AND($G325="Legacy Data",$Q325="Legacy Data"),1,IF($Q325="Legacy Data",1,0))),IF(AND($G325="Legacy Data",$Q325="Legacy Data"),1,IF(OR($Q325="Legacy Data",ISBLANK($Q325)),IF($G325&lt;&gt;"Legacy Data",IF(AND($G325="Source Text Data",$Q325="Legacy Data"),1,0),1),0))))</f>
        <v>0</v>
      </c>
      <c r="U325" s="270">
        <f t="shared" ref="U325:U388" si="41">IF(OR($J325="Accepted",ISBLANK($J325)),IF(AND($G325="Source Text Data",$Q325="Source Text Data"),1,IF(OR($G325="Source Text Data",$Q325="Source Text Data"),1,0)),IF(OR($N325="Agree with original translator",ISBLANK($N325)),IF(AND($G325="Legacy Data",$Q325="Source Text Data"),1,IF(AND($G325="Source Text Data",$Q325="Source Text Data"),1,IF($Q325="Source Text Data",1,0))),IF(AND($G325="Source Text Data",$Q325="Source Text Data"),1,IF(OR($Q325="Source Text Data",ISBLANK($Q325)),IF($G325&lt;&gt;"Source Text Data",IF(AND($G325="Legacy Data",$Q325="Source Text Data"),1,0),1),0))))</f>
        <v>0</v>
      </c>
      <c r="V325" s="31"/>
      <c r="X325" s="240" t="str">
        <f t="shared" ref="X325:X388" si="42">IF(AND(COUNTBLANK($F325:$H325)&lt;&gt;COLUMNS($F325:$H325),COUNTA($F325:$H325)&lt;&gt;COLUMNS($F325:$H325)),"ERROR","OK")</f>
        <v>OK</v>
      </c>
      <c r="Y325" s="240" t="str">
        <f t="shared" ref="Y325:Y388" si="43">IF(AND($J325="Not accepted",$K325=""),"ERROR","OK")</f>
        <v>OK</v>
      </c>
      <c r="Z325" s="240" t="str">
        <f t="shared" ref="Z325:Z388" si="44">IF(AND($F325&lt;&gt;"",$J325=""),"ERROR","OK")</f>
        <v>OK</v>
      </c>
      <c r="AA325" s="240" t="str" cm="1">
        <f t="array" ref="AA325">IF(OR(AND(J325="Not accepted",N325:O325&lt;&gt;"",$S325=""),AND(J325="Accepted",S325="")),"ERROR","OK")</f>
        <v>OK</v>
      </c>
      <c r="AB325" s="240" t="str">
        <f t="shared" ref="AB325:AB388" si="45">IF(AND($S325="Not Implemented",$V325=""),"ERROR","OK")</f>
        <v>OK</v>
      </c>
      <c r="AC325" s="240" t="str" cm="1">
        <f t="array" ref="AC325">IF(AND(F325:H325&lt;&gt;"",I325=""),"ERROR","OK")</f>
        <v>OK</v>
      </c>
      <c r="AD325" s="240" t="str">
        <f t="shared" ref="AD325:AD388" si="46">IF(AND($N325="",$J325="Not accepted",$K325&lt;&gt;""),"ERROR","OK")</f>
        <v>OK</v>
      </c>
      <c r="AE325" s="240" t="str">
        <f t="shared" ref="AE325:AE388" si="47">IF(AND($O325="",$N325&lt;&gt;""),"ERROR","OK")</f>
        <v>OK</v>
      </c>
      <c r="AF325" s="240" t="str" cm="1">
        <f t="array" aca="1" ref="AF325" ca="1" xml:space="preserve">
IF(AND($G325&lt;&gt;"",$F325=""),"ERROR",
IF(OR($F325:$G325="",AND($G325="",$F325&lt;&gt;"")),"OK",
IF(COUNTIF(INDIRECT(IFERROR(LEFT($F325,FIND(" ",$F325)-1),$F325)), $G325)&gt;0, "OK", "ERROR")))</f>
        <v>OK</v>
      </c>
    </row>
    <row r="326" spans="1:32" s="240" customFormat="1">
      <c r="A326" s="48"/>
      <c r="B326" s="31"/>
      <c r="C326" s="48"/>
      <c r="D326" s="47"/>
      <c r="E326" s="47"/>
      <c r="F326" s="31"/>
      <c r="G326" s="31"/>
      <c r="H326" s="31"/>
      <c r="I326" s="47"/>
      <c r="J326" s="31"/>
      <c r="K326" s="47"/>
      <c r="L326" s="47"/>
      <c r="M326" s="47"/>
      <c r="N326" s="31"/>
      <c r="O326" s="47"/>
      <c r="P326" s="31"/>
      <c r="Q326" s="31"/>
      <c r="R326" s="31"/>
      <c r="S326" s="31"/>
      <c r="T326" s="270">
        <f t="shared" si="40"/>
        <v>0</v>
      </c>
      <c r="U326" s="270">
        <f t="shared" si="41"/>
        <v>0</v>
      </c>
      <c r="V326" s="31"/>
      <c r="X326" s="240" t="str">
        <f t="shared" si="42"/>
        <v>OK</v>
      </c>
      <c r="Y326" s="240" t="str">
        <f t="shared" si="43"/>
        <v>OK</v>
      </c>
      <c r="Z326" s="240" t="str">
        <f t="shared" si="44"/>
        <v>OK</v>
      </c>
      <c r="AA326" s="240" t="str" cm="1">
        <f t="array" ref="AA326">IF(OR(AND(J326="Not accepted",N326:O326&lt;&gt;"",$S326=""),AND(J326="Accepted",S326="")),"ERROR","OK")</f>
        <v>OK</v>
      </c>
      <c r="AB326" s="240" t="str">
        <f t="shared" si="45"/>
        <v>OK</v>
      </c>
      <c r="AC326" s="240" t="str" cm="1">
        <f t="array" ref="AC326">IF(AND(F326:H326&lt;&gt;"",I326=""),"ERROR","OK")</f>
        <v>OK</v>
      </c>
      <c r="AD326" s="240" t="str">
        <f t="shared" si="46"/>
        <v>OK</v>
      </c>
      <c r="AE326" s="240" t="str">
        <f t="shared" si="47"/>
        <v>OK</v>
      </c>
      <c r="AF326" s="240" t="str" cm="1">
        <f t="array" aca="1" ref="AF326" ca="1" xml:space="preserve">
IF(AND($G326&lt;&gt;"",$F326=""),"ERROR",
IF(OR($F326:$G326="",AND($G326="",$F326&lt;&gt;"")),"OK",
IF(COUNTIF(INDIRECT(IFERROR(LEFT($F326,FIND(" ",$F326)-1),$F326)), $G326)&gt;0, "OK", "ERROR")))</f>
        <v>OK</v>
      </c>
    </row>
    <row r="327" spans="1:32" s="240" customFormat="1">
      <c r="A327" s="48"/>
      <c r="B327" s="31"/>
      <c r="C327" s="48"/>
      <c r="D327" s="47"/>
      <c r="E327" s="47"/>
      <c r="F327" s="31"/>
      <c r="G327" s="31"/>
      <c r="H327" s="31"/>
      <c r="I327" s="47"/>
      <c r="J327" s="31"/>
      <c r="K327" s="47"/>
      <c r="L327" s="47"/>
      <c r="M327" s="47"/>
      <c r="N327" s="31"/>
      <c r="O327" s="47"/>
      <c r="P327" s="31"/>
      <c r="Q327" s="31"/>
      <c r="R327" s="31"/>
      <c r="S327" s="31"/>
      <c r="T327" s="270">
        <f t="shared" si="40"/>
        <v>0</v>
      </c>
      <c r="U327" s="270">
        <f t="shared" si="41"/>
        <v>0</v>
      </c>
      <c r="V327" s="31"/>
      <c r="X327" s="240" t="str">
        <f t="shared" si="42"/>
        <v>OK</v>
      </c>
      <c r="Y327" s="240" t="str">
        <f t="shared" si="43"/>
        <v>OK</v>
      </c>
      <c r="Z327" s="240" t="str">
        <f t="shared" si="44"/>
        <v>OK</v>
      </c>
      <c r="AA327" s="240" t="str" cm="1">
        <f t="array" ref="AA327">IF(OR(AND(J327="Not accepted",N327:O327&lt;&gt;"",$S327=""),AND(J327="Accepted",S327="")),"ERROR","OK")</f>
        <v>OK</v>
      </c>
      <c r="AB327" s="240" t="str">
        <f t="shared" si="45"/>
        <v>OK</v>
      </c>
      <c r="AC327" s="240" t="str" cm="1">
        <f t="array" ref="AC327">IF(AND(F327:H327&lt;&gt;"",I327=""),"ERROR","OK")</f>
        <v>OK</v>
      </c>
      <c r="AD327" s="240" t="str">
        <f t="shared" si="46"/>
        <v>OK</v>
      </c>
      <c r="AE327" s="240" t="str">
        <f t="shared" si="47"/>
        <v>OK</v>
      </c>
      <c r="AF327" s="240" t="str" cm="1">
        <f t="array" aca="1" ref="AF327" ca="1" xml:space="preserve">
IF(AND($G327&lt;&gt;"",$F327=""),"ERROR",
IF(OR($F327:$G327="",AND($G327="",$F327&lt;&gt;"")),"OK",
IF(COUNTIF(INDIRECT(IFERROR(LEFT($F327,FIND(" ",$F327)-1),$F327)), $G327)&gt;0, "OK", "ERROR")))</f>
        <v>OK</v>
      </c>
    </row>
    <row r="328" spans="1:32" s="240" customFormat="1">
      <c r="A328" s="48"/>
      <c r="B328" s="31"/>
      <c r="C328" s="48"/>
      <c r="D328" s="47"/>
      <c r="E328" s="47"/>
      <c r="F328" s="31"/>
      <c r="G328" s="31"/>
      <c r="H328" s="31"/>
      <c r="I328" s="47"/>
      <c r="J328" s="31"/>
      <c r="K328" s="47"/>
      <c r="L328" s="47"/>
      <c r="M328" s="47"/>
      <c r="N328" s="31"/>
      <c r="O328" s="47"/>
      <c r="P328" s="31"/>
      <c r="Q328" s="31"/>
      <c r="R328" s="31"/>
      <c r="S328" s="31"/>
      <c r="T328" s="270">
        <f t="shared" si="40"/>
        <v>0</v>
      </c>
      <c r="U328" s="270">
        <f t="shared" si="41"/>
        <v>0</v>
      </c>
      <c r="V328" s="31"/>
      <c r="X328" s="240" t="str">
        <f t="shared" si="42"/>
        <v>OK</v>
      </c>
      <c r="Y328" s="240" t="str">
        <f t="shared" si="43"/>
        <v>OK</v>
      </c>
      <c r="Z328" s="240" t="str">
        <f t="shared" si="44"/>
        <v>OK</v>
      </c>
      <c r="AA328" s="240" t="str" cm="1">
        <f t="array" ref="AA328">IF(OR(AND(J328="Not accepted",N328:O328&lt;&gt;"",$S328=""),AND(J328="Accepted",S328="")),"ERROR","OK")</f>
        <v>OK</v>
      </c>
      <c r="AB328" s="240" t="str">
        <f t="shared" si="45"/>
        <v>OK</v>
      </c>
      <c r="AC328" s="240" t="str" cm="1">
        <f t="array" ref="AC328">IF(AND(F328:H328&lt;&gt;"",I328=""),"ERROR","OK")</f>
        <v>OK</v>
      </c>
      <c r="AD328" s="240" t="str">
        <f t="shared" si="46"/>
        <v>OK</v>
      </c>
      <c r="AE328" s="240" t="str">
        <f t="shared" si="47"/>
        <v>OK</v>
      </c>
      <c r="AF328" s="240" t="str" cm="1">
        <f t="array" aca="1" ref="AF328" ca="1" xml:space="preserve">
IF(AND($G328&lt;&gt;"",$F328=""),"ERROR",
IF(OR($F328:$G328="",AND($G328="",$F328&lt;&gt;"")),"OK",
IF(COUNTIF(INDIRECT(IFERROR(LEFT($F328,FIND(" ",$F328)-1),$F328)), $G328)&gt;0, "OK", "ERROR")))</f>
        <v>OK</v>
      </c>
    </row>
    <row r="329" spans="1:32" s="240" customFormat="1">
      <c r="A329" s="48"/>
      <c r="B329" s="31"/>
      <c r="C329" s="48"/>
      <c r="D329" s="47"/>
      <c r="E329" s="47"/>
      <c r="F329" s="31"/>
      <c r="G329" s="31"/>
      <c r="H329" s="31"/>
      <c r="I329" s="47"/>
      <c r="J329" s="31"/>
      <c r="K329" s="47"/>
      <c r="L329" s="47"/>
      <c r="M329" s="47"/>
      <c r="N329" s="31"/>
      <c r="O329" s="47"/>
      <c r="P329" s="31"/>
      <c r="Q329" s="31"/>
      <c r="R329" s="31"/>
      <c r="S329" s="31"/>
      <c r="T329" s="270">
        <f t="shared" si="40"/>
        <v>0</v>
      </c>
      <c r="U329" s="270">
        <f t="shared" si="41"/>
        <v>0</v>
      </c>
      <c r="V329" s="31"/>
      <c r="X329" s="240" t="str">
        <f t="shared" si="42"/>
        <v>OK</v>
      </c>
      <c r="Y329" s="240" t="str">
        <f t="shared" si="43"/>
        <v>OK</v>
      </c>
      <c r="Z329" s="240" t="str">
        <f t="shared" si="44"/>
        <v>OK</v>
      </c>
      <c r="AA329" s="240" t="str" cm="1">
        <f t="array" ref="AA329">IF(OR(AND(J329="Not accepted",N329:O329&lt;&gt;"",$S329=""),AND(J329="Accepted",S329="")),"ERROR","OK")</f>
        <v>OK</v>
      </c>
      <c r="AB329" s="240" t="str">
        <f t="shared" si="45"/>
        <v>OK</v>
      </c>
      <c r="AC329" s="240" t="str" cm="1">
        <f t="array" ref="AC329">IF(AND(F329:H329&lt;&gt;"",I329=""),"ERROR","OK")</f>
        <v>OK</v>
      </c>
      <c r="AD329" s="240" t="str">
        <f t="shared" si="46"/>
        <v>OK</v>
      </c>
      <c r="AE329" s="240" t="str">
        <f t="shared" si="47"/>
        <v>OK</v>
      </c>
      <c r="AF329" s="240" t="str" cm="1">
        <f t="array" aca="1" ref="AF329" ca="1" xml:space="preserve">
IF(AND($G329&lt;&gt;"",$F329=""),"ERROR",
IF(OR($F329:$G329="",AND($G329="",$F329&lt;&gt;"")),"OK",
IF(COUNTIF(INDIRECT(IFERROR(LEFT($F329,FIND(" ",$F329)-1),$F329)), $G329)&gt;0, "OK", "ERROR")))</f>
        <v>OK</v>
      </c>
    </row>
    <row r="330" spans="1:32" s="240" customFormat="1">
      <c r="A330" s="48"/>
      <c r="B330" s="31"/>
      <c r="C330" s="48"/>
      <c r="D330" s="47"/>
      <c r="E330" s="47"/>
      <c r="F330" s="31"/>
      <c r="G330" s="31"/>
      <c r="H330" s="31"/>
      <c r="I330" s="47"/>
      <c r="J330" s="31"/>
      <c r="K330" s="47"/>
      <c r="L330" s="47"/>
      <c r="M330" s="47"/>
      <c r="N330" s="31"/>
      <c r="O330" s="47"/>
      <c r="P330" s="31"/>
      <c r="Q330" s="31"/>
      <c r="R330" s="31"/>
      <c r="S330" s="31"/>
      <c r="T330" s="270">
        <f t="shared" si="40"/>
        <v>0</v>
      </c>
      <c r="U330" s="270">
        <f t="shared" si="41"/>
        <v>0</v>
      </c>
      <c r="V330" s="31"/>
      <c r="X330" s="240" t="str">
        <f t="shared" si="42"/>
        <v>OK</v>
      </c>
      <c r="Y330" s="240" t="str">
        <f t="shared" si="43"/>
        <v>OK</v>
      </c>
      <c r="Z330" s="240" t="str">
        <f t="shared" si="44"/>
        <v>OK</v>
      </c>
      <c r="AA330" s="240" t="str" cm="1">
        <f t="array" ref="AA330">IF(OR(AND(J330="Not accepted",N330:O330&lt;&gt;"",$S330=""),AND(J330="Accepted",S330="")),"ERROR","OK")</f>
        <v>OK</v>
      </c>
      <c r="AB330" s="240" t="str">
        <f t="shared" si="45"/>
        <v>OK</v>
      </c>
      <c r="AC330" s="240" t="str" cm="1">
        <f t="array" ref="AC330">IF(AND(F330:H330&lt;&gt;"",I330=""),"ERROR","OK")</f>
        <v>OK</v>
      </c>
      <c r="AD330" s="240" t="str">
        <f t="shared" si="46"/>
        <v>OK</v>
      </c>
      <c r="AE330" s="240" t="str">
        <f t="shared" si="47"/>
        <v>OK</v>
      </c>
      <c r="AF330" s="240" t="str" cm="1">
        <f t="array" aca="1" ref="AF330" ca="1" xml:space="preserve">
IF(AND($G330&lt;&gt;"",$F330=""),"ERROR",
IF(OR($F330:$G330="",AND($G330="",$F330&lt;&gt;"")),"OK",
IF(COUNTIF(INDIRECT(IFERROR(LEFT($F330,FIND(" ",$F330)-1),$F330)), $G330)&gt;0, "OK", "ERROR")))</f>
        <v>OK</v>
      </c>
    </row>
    <row r="331" spans="1:32" s="240" customFormat="1">
      <c r="A331" s="48"/>
      <c r="B331" s="31"/>
      <c r="C331" s="48"/>
      <c r="D331" s="47"/>
      <c r="E331" s="47"/>
      <c r="F331" s="31"/>
      <c r="G331" s="31"/>
      <c r="H331" s="31"/>
      <c r="I331" s="47"/>
      <c r="J331" s="31"/>
      <c r="K331" s="47"/>
      <c r="L331" s="47"/>
      <c r="M331" s="47"/>
      <c r="N331" s="31"/>
      <c r="O331" s="47"/>
      <c r="P331" s="31"/>
      <c r="Q331" s="31"/>
      <c r="R331" s="31"/>
      <c r="S331" s="31"/>
      <c r="T331" s="270">
        <f t="shared" si="40"/>
        <v>0</v>
      </c>
      <c r="U331" s="270">
        <f t="shared" si="41"/>
        <v>0</v>
      </c>
      <c r="V331" s="31"/>
      <c r="X331" s="240" t="str">
        <f t="shared" si="42"/>
        <v>OK</v>
      </c>
      <c r="Y331" s="240" t="str">
        <f t="shared" si="43"/>
        <v>OK</v>
      </c>
      <c r="Z331" s="240" t="str">
        <f t="shared" si="44"/>
        <v>OK</v>
      </c>
      <c r="AA331" s="240" t="str" cm="1">
        <f t="array" ref="AA331">IF(OR(AND(J331="Not accepted",N331:O331&lt;&gt;"",$S331=""),AND(J331="Accepted",S331="")),"ERROR","OK")</f>
        <v>OK</v>
      </c>
      <c r="AB331" s="240" t="str">
        <f t="shared" si="45"/>
        <v>OK</v>
      </c>
      <c r="AC331" s="240" t="str" cm="1">
        <f t="array" ref="AC331">IF(AND(F331:H331&lt;&gt;"",I331=""),"ERROR","OK")</f>
        <v>OK</v>
      </c>
      <c r="AD331" s="240" t="str">
        <f t="shared" si="46"/>
        <v>OK</v>
      </c>
      <c r="AE331" s="240" t="str">
        <f t="shared" si="47"/>
        <v>OK</v>
      </c>
      <c r="AF331" s="240" t="str" cm="1">
        <f t="array" aca="1" ref="AF331" ca="1" xml:space="preserve">
IF(AND($G331&lt;&gt;"",$F331=""),"ERROR",
IF(OR($F331:$G331="",AND($G331="",$F331&lt;&gt;"")),"OK",
IF(COUNTIF(INDIRECT(IFERROR(LEFT($F331,FIND(" ",$F331)-1),$F331)), $G331)&gt;0, "OK", "ERROR")))</f>
        <v>OK</v>
      </c>
    </row>
    <row r="332" spans="1:32" s="240" customFormat="1">
      <c r="A332" s="48"/>
      <c r="B332" s="31"/>
      <c r="C332" s="48"/>
      <c r="D332" s="47"/>
      <c r="E332" s="47"/>
      <c r="F332" s="31"/>
      <c r="G332" s="31"/>
      <c r="H332" s="31"/>
      <c r="I332" s="47"/>
      <c r="J332" s="31"/>
      <c r="K332" s="47"/>
      <c r="L332" s="47"/>
      <c r="M332" s="47"/>
      <c r="N332" s="31"/>
      <c r="O332" s="47"/>
      <c r="P332" s="31"/>
      <c r="Q332" s="31"/>
      <c r="R332" s="31"/>
      <c r="S332" s="31"/>
      <c r="T332" s="270">
        <f t="shared" si="40"/>
        <v>0</v>
      </c>
      <c r="U332" s="270">
        <f t="shared" si="41"/>
        <v>0</v>
      </c>
      <c r="V332" s="31"/>
      <c r="X332" s="240" t="str">
        <f t="shared" si="42"/>
        <v>OK</v>
      </c>
      <c r="Y332" s="240" t="str">
        <f t="shared" si="43"/>
        <v>OK</v>
      </c>
      <c r="Z332" s="240" t="str">
        <f t="shared" si="44"/>
        <v>OK</v>
      </c>
      <c r="AA332" s="240" t="str" cm="1">
        <f t="array" ref="AA332">IF(OR(AND(J332="Not accepted",N332:O332&lt;&gt;"",$S332=""),AND(J332="Accepted",S332="")),"ERROR","OK")</f>
        <v>OK</v>
      </c>
      <c r="AB332" s="240" t="str">
        <f t="shared" si="45"/>
        <v>OK</v>
      </c>
      <c r="AC332" s="240" t="str" cm="1">
        <f t="array" ref="AC332">IF(AND(F332:H332&lt;&gt;"",I332=""),"ERROR","OK")</f>
        <v>OK</v>
      </c>
      <c r="AD332" s="240" t="str">
        <f t="shared" si="46"/>
        <v>OK</v>
      </c>
      <c r="AE332" s="240" t="str">
        <f t="shared" si="47"/>
        <v>OK</v>
      </c>
      <c r="AF332" s="240" t="str" cm="1">
        <f t="array" aca="1" ref="AF332" ca="1" xml:space="preserve">
IF(AND($G332&lt;&gt;"",$F332=""),"ERROR",
IF(OR($F332:$G332="",AND($G332="",$F332&lt;&gt;"")),"OK",
IF(COUNTIF(INDIRECT(IFERROR(LEFT($F332,FIND(" ",$F332)-1),$F332)), $G332)&gt;0, "OK", "ERROR")))</f>
        <v>OK</v>
      </c>
    </row>
    <row r="333" spans="1:32" s="240" customFormat="1">
      <c r="A333" s="48"/>
      <c r="B333" s="31"/>
      <c r="C333" s="48"/>
      <c r="D333" s="47"/>
      <c r="E333" s="47"/>
      <c r="F333" s="31"/>
      <c r="G333" s="31"/>
      <c r="H333" s="31"/>
      <c r="I333" s="47"/>
      <c r="J333" s="31"/>
      <c r="K333" s="47"/>
      <c r="L333" s="47"/>
      <c r="M333" s="47"/>
      <c r="N333" s="31"/>
      <c r="O333" s="47"/>
      <c r="P333" s="31"/>
      <c r="Q333" s="31"/>
      <c r="R333" s="31"/>
      <c r="S333" s="31"/>
      <c r="T333" s="270">
        <f t="shared" si="40"/>
        <v>0</v>
      </c>
      <c r="U333" s="270">
        <f t="shared" si="41"/>
        <v>0</v>
      </c>
      <c r="V333" s="31"/>
      <c r="X333" s="240" t="str">
        <f t="shared" si="42"/>
        <v>OK</v>
      </c>
      <c r="Y333" s="240" t="str">
        <f t="shared" si="43"/>
        <v>OK</v>
      </c>
      <c r="Z333" s="240" t="str">
        <f t="shared" si="44"/>
        <v>OK</v>
      </c>
      <c r="AA333" s="240" t="str" cm="1">
        <f t="array" ref="AA333">IF(OR(AND(J333="Not accepted",N333:O333&lt;&gt;"",$S333=""),AND(J333="Accepted",S333="")),"ERROR","OK")</f>
        <v>OK</v>
      </c>
      <c r="AB333" s="240" t="str">
        <f t="shared" si="45"/>
        <v>OK</v>
      </c>
      <c r="AC333" s="240" t="str" cm="1">
        <f t="array" ref="AC333">IF(AND(F333:H333&lt;&gt;"",I333=""),"ERROR","OK")</f>
        <v>OK</v>
      </c>
      <c r="AD333" s="240" t="str">
        <f t="shared" si="46"/>
        <v>OK</v>
      </c>
      <c r="AE333" s="240" t="str">
        <f t="shared" si="47"/>
        <v>OK</v>
      </c>
      <c r="AF333" s="240" t="str" cm="1">
        <f t="array" aca="1" ref="AF333" ca="1" xml:space="preserve">
IF(AND($G333&lt;&gt;"",$F333=""),"ERROR",
IF(OR($F333:$G333="",AND($G333="",$F333&lt;&gt;"")),"OK",
IF(COUNTIF(INDIRECT(IFERROR(LEFT($F333,FIND(" ",$F333)-1),$F333)), $G333)&gt;0, "OK", "ERROR")))</f>
        <v>OK</v>
      </c>
    </row>
    <row r="334" spans="1:32" s="240" customFormat="1">
      <c r="A334" s="48"/>
      <c r="B334" s="31"/>
      <c r="C334" s="48"/>
      <c r="D334" s="47"/>
      <c r="E334" s="47"/>
      <c r="F334" s="31"/>
      <c r="G334" s="31"/>
      <c r="H334" s="31"/>
      <c r="I334" s="47"/>
      <c r="J334" s="31"/>
      <c r="K334" s="47"/>
      <c r="L334" s="47"/>
      <c r="M334" s="47"/>
      <c r="N334" s="31"/>
      <c r="O334" s="47"/>
      <c r="P334" s="31"/>
      <c r="Q334" s="31"/>
      <c r="R334" s="31"/>
      <c r="S334" s="31"/>
      <c r="T334" s="270">
        <f t="shared" si="40"/>
        <v>0</v>
      </c>
      <c r="U334" s="270">
        <f t="shared" si="41"/>
        <v>0</v>
      </c>
      <c r="V334" s="31"/>
      <c r="X334" s="240" t="str">
        <f t="shared" si="42"/>
        <v>OK</v>
      </c>
      <c r="Y334" s="240" t="str">
        <f t="shared" si="43"/>
        <v>OK</v>
      </c>
      <c r="Z334" s="240" t="str">
        <f t="shared" si="44"/>
        <v>OK</v>
      </c>
      <c r="AA334" s="240" t="str" cm="1">
        <f t="array" ref="AA334">IF(OR(AND(J334="Not accepted",N334:O334&lt;&gt;"",$S334=""),AND(J334="Accepted",S334="")),"ERROR","OK")</f>
        <v>OK</v>
      </c>
      <c r="AB334" s="240" t="str">
        <f t="shared" si="45"/>
        <v>OK</v>
      </c>
      <c r="AC334" s="240" t="str" cm="1">
        <f t="array" ref="AC334">IF(AND(F334:H334&lt;&gt;"",I334=""),"ERROR","OK")</f>
        <v>OK</v>
      </c>
      <c r="AD334" s="240" t="str">
        <f t="shared" si="46"/>
        <v>OK</v>
      </c>
      <c r="AE334" s="240" t="str">
        <f t="shared" si="47"/>
        <v>OK</v>
      </c>
      <c r="AF334" s="240" t="str" cm="1">
        <f t="array" aca="1" ref="AF334" ca="1" xml:space="preserve">
IF(AND($G334&lt;&gt;"",$F334=""),"ERROR",
IF(OR($F334:$G334="",AND($G334="",$F334&lt;&gt;"")),"OK",
IF(COUNTIF(INDIRECT(IFERROR(LEFT($F334,FIND(" ",$F334)-1),$F334)), $G334)&gt;0, "OK", "ERROR")))</f>
        <v>OK</v>
      </c>
    </row>
    <row r="335" spans="1:32" s="240" customFormat="1">
      <c r="A335" s="48"/>
      <c r="B335" s="31"/>
      <c r="C335" s="48"/>
      <c r="D335" s="47"/>
      <c r="E335" s="47"/>
      <c r="F335" s="31"/>
      <c r="G335" s="31"/>
      <c r="H335" s="31"/>
      <c r="I335" s="47"/>
      <c r="J335" s="31"/>
      <c r="K335" s="47"/>
      <c r="L335" s="47"/>
      <c r="M335" s="47"/>
      <c r="N335" s="31"/>
      <c r="O335" s="47"/>
      <c r="P335" s="31"/>
      <c r="Q335" s="31"/>
      <c r="R335" s="31"/>
      <c r="S335" s="31"/>
      <c r="T335" s="270">
        <f t="shared" si="40"/>
        <v>0</v>
      </c>
      <c r="U335" s="270">
        <f t="shared" si="41"/>
        <v>0</v>
      </c>
      <c r="V335" s="31"/>
      <c r="X335" s="240" t="str">
        <f t="shared" si="42"/>
        <v>OK</v>
      </c>
      <c r="Y335" s="240" t="str">
        <f t="shared" si="43"/>
        <v>OK</v>
      </c>
      <c r="Z335" s="240" t="str">
        <f t="shared" si="44"/>
        <v>OK</v>
      </c>
      <c r="AA335" s="240" t="str" cm="1">
        <f t="array" ref="AA335">IF(OR(AND(J335="Not accepted",N335:O335&lt;&gt;"",$S335=""),AND(J335="Accepted",S335="")),"ERROR","OK")</f>
        <v>OK</v>
      </c>
      <c r="AB335" s="240" t="str">
        <f t="shared" si="45"/>
        <v>OK</v>
      </c>
      <c r="AC335" s="240" t="str" cm="1">
        <f t="array" ref="AC335">IF(AND(F335:H335&lt;&gt;"",I335=""),"ERROR","OK")</f>
        <v>OK</v>
      </c>
      <c r="AD335" s="240" t="str">
        <f t="shared" si="46"/>
        <v>OK</v>
      </c>
      <c r="AE335" s="240" t="str">
        <f t="shared" si="47"/>
        <v>OK</v>
      </c>
      <c r="AF335" s="240" t="str" cm="1">
        <f t="array" aca="1" ref="AF335" ca="1" xml:space="preserve">
IF(AND($G335&lt;&gt;"",$F335=""),"ERROR",
IF(OR($F335:$G335="",AND($G335="",$F335&lt;&gt;"")),"OK",
IF(COUNTIF(INDIRECT(IFERROR(LEFT($F335,FIND(" ",$F335)-1),$F335)), $G335)&gt;0, "OK", "ERROR")))</f>
        <v>OK</v>
      </c>
    </row>
    <row r="336" spans="1:32" s="240" customFormat="1">
      <c r="A336" s="48"/>
      <c r="B336" s="31"/>
      <c r="C336" s="48"/>
      <c r="D336" s="47"/>
      <c r="E336" s="47"/>
      <c r="F336" s="31"/>
      <c r="G336" s="31"/>
      <c r="H336" s="31"/>
      <c r="I336" s="47"/>
      <c r="J336" s="31"/>
      <c r="K336" s="47"/>
      <c r="L336" s="47"/>
      <c r="M336" s="47"/>
      <c r="N336" s="31"/>
      <c r="O336" s="47"/>
      <c r="P336" s="31"/>
      <c r="Q336" s="31"/>
      <c r="R336" s="31"/>
      <c r="S336" s="31"/>
      <c r="T336" s="270">
        <f t="shared" si="40"/>
        <v>0</v>
      </c>
      <c r="U336" s="270">
        <f t="shared" si="41"/>
        <v>0</v>
      </c>
      <c r="V336" s="31"/>
      <c r="X336" s="240" t="str">
        <f t="shared" si="42"/>
        <v>OK</v>
      </c>
      <c r="Y336" s="240" t="str">
        <f t="shared" si="43"/>
        <v>OK</v>
      </c>
      <c r="Z336" s="240" t="str">
        <f t="shared" si="44"/>
        <v>OK</v>
      </c>
      <c r="AA336" s="240" t="str" cm="1">
        <f t="array" ref="AA336">IF(OR(AND(J336="Not accepted",N336:O336&lt;&gt;"",$S336=""),AND(J336="Accepted",S336="")),"ERROR","OK")</f>
        <v>OK</v>
      </c>
      <c r="AB336" s="240" t="str">
        <f t="shared" si="45"/>
        <v>OK</v>
      </c>
      <c r="AC336" s="240" t="str" cm="1">
        <f t="array" ref="AC336">IF(AND(F336:H336&lt;&gt;"",I336=""),"ERROR","OK")</f>
        <v>OK</v>
      </c>
      <c r="AD336" s="240" t="str">
        <f t="shared" si="46"/>
        <v>OK</v>
      </c>
      <c r="AE336" s="240" t="str">
        <f t="shared" si="47"/>
        <v>OK</v>
      </c>
      <c r="AF336" s="240" t="str" cm="1">
        <f t="array" aca="1" ref="AF336" ca="1" xml:space="preserve">
IF(AND($G336&lt;&gt;"",$F336=""),"ERROR",
IF(OR($F336:$G336="",AND($G336="",$F336&lt;&gt;"")),"OK",
IF(COUNTIF(INDIRECT(IFERROR(LEFT($F336,FIND(" ",$F336)-1),$F336)), $G336)&gt;0, "OK", "ERROR")))</f>
        <v>OK</v>
      </c>
    </row>
    <row r="337" spans="1:32" s="240" customFormat="1">
      <c r="A337" s="48"/>
      <c r="B337" s="31"/>
      <c r="C337" s="48"/>
      <c r="D337" s="47"/>
      <c r="E337" s="47"/>
      <c r="F337" s="31"/>
      <c r="G337" s="31"/>
      <c r="H337" s="31"/>
      <c r="I337" s="47"/>
      <c r="J337" s="31"/>
      <c r="K337" s="47"/>
      <c r="L337" s="47"/>
      <c r="M337" s="47"/>
      <c r="N337" s="31"/>
      <c r="O337" s="47"/>
      <c r="P337" s="31"/>
      <c r="Q337" s="31"/>
      <c r="R337" s="31"/>
      <c r="S337" s="31"/>
      <c r="T337" s="270">
        <f t="shared" si="40"/>
        <v>0</v>
      </c>
      <c r="U337" s="270">
        <f t="shared" si="41"/>
        <v>0</v>
      </c>
      <c r="V337" s="31"/>
      <c r="X337" s="240" t="str">
        <f t="shared" si="42"/>
        <v>OK</v>
      </c>
      <c r="Y337" s="240" t="str">
        <f t="shared" si="43"/>
        <v>OK</v>
      </c>
      <c r="Z337" s="240" t="str">
        <f t="shared" si="44"/>
        <v>OK</v>
      </c>
      <c r="AA337" s="240" t="str" cm="1">
        <f t="array" ref="AA337">IF(OR(AND(J337="Not accepted",N337:O337&lt;&gt;"",$S337=""),AND(J337="Accepted",S337="")),"ERROR","OK")</f>
        <v>OK</v>
      </c>
      <c r="AB337" s="240" t="str">
        <f t="shared" si="45"/>
        <v>OK</v>
      </c>
      <c r="AC337" s="240" t="str" cm="1">
        <f t="array" ref="AC337">IF(AND(F337:H337&lt;&gt;"",I337=""),"ERROR","OK")</f>
        <v>OK</v>
      </c>
      <c r="AD337" s="240" t="str">
        <f t="shared" si="46"/>
        <v>OK</v>
      </c>
      <c r="AE337" s="240" t="str">
        <f t="shared" si="47"/>
        <v>OK</v>
      </c>
      <c r="AF337" s="240" t="str" cm="1">
        <f t="array" aca="1" ref="AF337" ca="1" xml:space="preserve">
IF(AND($G337&lt;&gt;"",$F337=""),"ERROR",
IF(OR($F337:$G337="",AND($G337="",$F337&lt;&gt;"")),"OK",
IF(COUNTIF(INDIRECT(IFERROR(LEFT($F337,FIND(" ",$F337)-1),$F337)), $G337)&gt;0, "OK", "ERROR")))</f>
        <v>OK</v>
      </c>
    </row>
    <row r="338" spans="1:32" s="240" customFormat="1">
      <c r="A338" s="48"/>
      <c r="B338" s="31"/>
      <c r="C338" s="48"/>
      <c r="D338" s="47"/>
      <c r="E338" s="47"/>
      <c r="F338" s="31"/>
      <c r="G338" s="31"/>
      <c r="H338" s="31"/>
      <c r="I338" s="47"/>
      <c r="J338" s="31"/>
      <c r="K338" s="47"/>
      <c r="L338" s="47"/>
      <c r="M338" s="47"/>
      <c r="N338" s="31"/>
      <c r="O338" s="47"/>
      <c r="P338" s="31"/>
      <c r="Q338" s="31"/>
      <c r="R338" s="31"/>
      <c r="S338" s="31"/>
      <c r="T338" s="270">
        <f t="shared" si="40"/>
        <v>0</v>
      </c>
      <c r="U338" s="270">
        <f t="shared" si="41"/>
        <v>0</v>
      </c>
      <c r="V338" s="31"/>
      <c r="X338" s="240" t="str">
        <f t="shared" si="42"/>
        <v>OK</v>
      </c>
      <c r="Y338" s="240" t="str">
        <f t="shared" si="43"/>
        <v>OK</v>
      </c>
      <c r="Z338" s="240" t="str">
        <f t="shared" si="44"/>
        <v>OK</v>
      </c>
      <c r="AA338" s="240" t="str" cm="1">
        <f t="array" ref="AA338">IF(OR(AND(J338="Not accepted",N338:O338&lt;&gt;"",$S338=""),AND(J338="Accepted",S338="")),"ERROR","OK")</f>
        <v>OK</v>
      </c>
      <c r="AB338" s="240" t="str">
        <f t="shared" si="45"/>
        <v>OK</v>
      </c>
      <c r="AC338" s="240" t="str" cm="1">
        <f t="array" ref="AC338">IF(AND(F338:H338&lt;&gt;"",I338=""),"ERROR","OK")</f>
        <v>OK</v>
      </c>
      <c r="AD338" s="240" t="str">
        <f t="shared" si="46"/>
        <v>OK</v>
      </c>
      <c r="AE338" s="240" t="str">
        <f t="shared" si="47"/>
        <v>OK</v>
      </c>
      <c r="AF338" s="240" t="str" cm="1">
        <f t="array" aca="1" ref="AF338" ca="1" xml:space="preserve">
IF(AND($G338&lt;&gt;"",$F338=""),"ERROR",
IF(OR($F338:$G338="",AND($G338="",$F338&lt;&gt;"")),"OK",
IF(COUNTIF(INDIRECT(IFERROR(LEFT($F338,FIND(" ",$F338)-1),$F338)), $G338)&gt;0, "OK", "ERROR")))</f>
        <v>OK</v>
      </c>
    </row>
    <row r="339" spans="1:32" s="240" customFormat="1">
      <c r="A339" s="48"/>
      <c r="B339" s="31"/>
      <c r="C339" s="48"/>
      <c r="D339" s="47"/>
      <c r="E339" s="47"/>
      <c r="F339" s="31"/>
      <c r="G339" s="31"/>
      <c r="H339" s="31"/>
      <c r="I339" s="47"/>
      <c r="J339" s="31"/>
      <c r="K339" s="47"/>
      <c r="L339" s="47"/>
      <c r="M339" s="47"/>
      <c r="N339" s="31"/>
      <c r="O339" s="47"/>
      <c r="P339" s="31"/>
      <c r="Q339" s="31"/>
      <c r="R339" s="31"/>
      <c r="S339" s="31"/>
      <c r="T339" s="270">
        <f t="shared" si="40"/>
        <v>0</v>
      </c>
      <c r="U339" s="270">
        <f t="shared" si="41"/>
        <v>0</v>
      </c>
      <c r="V339" s="31"/>
      <c r="X339" s="240" t="str">
        <f t="shared" si="42"/>
        <v>OK</v>
      </c>
      <c r="Y339" s="240" t="str">
        <f t="shared" si="43"/>
        <v>OK</v>
      </c>
      <c r="Z339" s="240" t="str">
        <f t="shared" si="44"/>
        <v>OK</v>
      </c>
      <c r="AA339" s="240" t="str" cm="1">
        <f t="array" ref="AA339">IF(OR(AND(J339="Not accepted",N339:O339&lt;&gt;"",$S339=""),AND(J339="Accepted",S339="")),"ERROR","OK")</f>
        <v>OK</v>
      </c>
      <c r="AB339" s="240" t="str">
        <f t="shared" si="45"/>
        <v>OK</v>
      </c>
      <c r="AC339" s="240" t="str" cm="1">
        <f t="array" ref="AC339">IF(AND(F339:H339&lt;&gt;"",I339=""),"ERROR","OK")</f>
        <v>OK</v>
      </c>
      <c r="AD339" s="240" t="str">
        <f t="shared" si="46"/>
        <v>OK</v>
      </c>
      <c r="AE339" s="240" t="str">
        <f t="shared" si="47"/>
        <v>OK</v>
      </c>
      <c r="AF339" s="240" t="str" cm="1">
        <f t="array" aca="1" ref="AF339" ca="1" xml:space="preserve">
IF(AND($G339&lt;&gt;"",$F339=""),"ERROR",
IF(OR($F339:$G339="",AND($G339="",$F339&lt;&gt;"")),"OK",
IF(COUNTIF(INDIRECT(IFERROR(LEFT($F339,FIND(" ",$F339)-1),$F339)), $G339)&gt;0, "OK", "ERROR")))</f>
        <v>OK</v>
      </c>
    </row>
    <row r="340" spans="1:32" s="240" customFormat="1">
      <c r="A340" s="48"/>
      <c r="B340" s="31"/>
      <c r="C340" s="48"/>
      <c r="D340" s="47"/>
      <c r="E340" s="47"/>
      <c r="F340" s="31"/>
      <c r="G340" s="31"/>
      <c r="H340" s="31"/>
      <c r="I340" s="47"/>
      <c r="J340" s="31"/>
      <c r="K340" s="47"/>
      <c r="L340" s="47"/>
      <c r="M340" s="47"/>
      <c r="N340" s="31"/>
      <c r="O340" s="47"/>
      <c r="P340" s="31"/>
      <c r="Q340" s="31"/>
      <c r="R340" s="31"/>
      <c r="S340" s="31"/>
      <c r="T340" s="270">
        <f t="shared" si="40"/>
        <v>0</v>
      </c>
      <c r="U340" s="270">
        <f t="shared" si="41"/>
        <v>0</v>
      </c>
      <c r="V340" s="31"/>
      <c r="X340" s="240" t="str">
        <f t="shared" si="42"/>
        <v>OK</v>
      </c>
      <c r="Y340" s="240" t="str">
        <f t="shared" si="43"/>
        <v>OK</v>
      </c>
      <c r="Z340" s="240" t="str">
        <f t="shared" si="44"/>
        <v>OK</v>
      </c>
      <c r="AA340" s="240" t="str" cm="1">
        <f t="array" ref="AA340">IF(OR(AND(J340="Not accepted",N340:O340&lt;&gt;"",$S340=""),AND(J340="Accepted",S340="")),"ERROR","OK")</f>
        <v>OK</v>
      </c>
      <c r="AB340" s="240" t="str">
        <f t="shared" si="45"/>
        <v>OK</v>
      </c>
      <c r="AC340" s="240" t="str" cm="1">
        <f t="array" ref="AC340">IF(AND(F340:H340&lt;&gt;"",I340=""),"ERROR","OK")</f>
        <v>OK</v>
      </c>
      <c r="AD340" s="240" t="str">
        <f t="shared" si="46"/>
        <v>OK</v>
      </c>
      <c r="AE340" s="240" t="str">
        <f t="shared" si="47"/>
        <v>OK</v>
      </c>
      <c r="AF340" s="240" t="str" cm="1">
        <f t="array" aca="1" ref="AF340" ca="1" xml:space="preserve">
IF(AND($G340&lt;&gt;"",$F340=""),"ERROR",
IF(OR($F340:$G340="",AND($G340="",$F340&lt;&gt;"")),"OK",
IF(COUNTIF(INDIRECT(IFERROR(LEFT($F340,FIND(" ",$F340)-1),$F340)), $G340)&gt;0, "OK", "ERROR")))</f>
        <v>OK</v>
      </c>
    </row>
    <row r="341" spans="1:32" s="240" customFormat="1">
      <c r="A341" s="48"/>
      <c r="B341" s="31"/>
      <c r="C341" s="48"/>
      <c r="D341" s="47"/>
      <c r="E341" s="47"/>
      <c r="F341" s="31"/>
      <c r="G341" s="31"/>
      <c r="H341" s="31"/>
      <c r="I341" s="47"/>
      <c r="J341" s="31"/>
      <c r="K341" s="47"/>
      <c r="L341" s="47"/>
      <c r="M341" s="47"/>
      <c r="N341" s="31"/>
      <c r="O341" s="47"/>
      <c r="P341" s="31"/>
      <c r="Q341" s="31"/>
      <c r="R341" s="31"/>
      <c r="S341" s="31"/>
      <c r="T341" s="270">
        <f t="shared" si="40"/>
        <v>0</v>
      </c>
      <c r="U341" s="270">
        <f t="shared" si="41"/>
        <v>0</v>
      </c>
      <c r="V341" s="31"/>
      <c r="X341" s="240" t="str">
        <f t="shared" si="42"/>
        <v>OK</v>
      </c>
      <c r="Y341" s="240" t="str">
        <f t="shared" si="43"/>
        <v>OK</v>
      </c>
      <c r="Z341" s="240" t="str">
        <f t="shared" si="44"/>
        <v>OK</v>
      </c>
      <c r="AA341" s="240" t="str" cm="1">
        <f t="array" ref="AA341">IF(OR(AND(J341="Not accepted",N341:O341&lt;&gt;"",$S341=""),AND(J341="Accepted",S341="")),"ERROR","OK")</f>
        <v>OK</v>
      </c>
      <c r="AB341" s="240" t="str">
        <f t="shared" si="45"/>
        <v>OK</v>
      </c>
      <c r="AC341" s="240" t="str" cm="1">
        <f t="array" ref="AC341">IF(AND(F341:H341&lt;&gt;"",I341=""),"ERROR","OK")</f>
        <v>OK</v>
      </c>
      <c r="AD341" s="240" t="str">
        <f t="shared" si="46"/>
        <v>OK</v>
      </c>
      <c r="AE341" s="240" t="str">
        <f t="shared" si="47"/>
        <v>OK</v>
      </c>
      <c r="AF341" s="240" t="str" cm="1">
        <f t="array" aca="1" ref="AF341" ca="1" xml:space="preserve">
IF(AND($G341&lt;&gt;"",$F341=""),"ERROR",
IF(OR($F341:$G341="",AND($G341="",$F341&lt;&gt;"")),"OK",
IF(COUNTIF(INDIRECT(IFERROR(LEFT($F341,FIND(" ",$F341)-1),$F341)), $G341)&gt;0, "OK", "ERROR")))</f>
        <v>OK</v>
      </c>
    </row>
    <row r="342" spans="1:32" s="240" customFormat="1">
      <c r="A342" s="48"/>
      <c r="B342" s="31"/>
      <c r="C342" s="48"/>
      <c r="D342" s="47"/>
      <c r="E342" s="47"/>
      <c r="F342" s="31"/>
      <c r="G342" s="31"/>
      <c r="H342" s="31"/>
      <c r="I342" s="47"/>
      <c r="J342" s="31"/>
      <c r="K342" s="47"/>
      <c r="L342" s="47"/>
      <c r="M342" s="47"/>
      <c r="N342" s="31"/>
      <c r="O342" s="47"/>
      <c r="P342" s="31"/>
      <c r="Q342" s="31"/>
      <c r="R342" s="31"/>
      <c r="S342" s="31"/>
      <c r="T342" s="270">
        <f t="shared" si="40"/>
        <v>0</v>
      </c>
      <c r="U342" s="270">
        <f t="shared" si="41"/>
        <v>0</v>
      </c>
      <c r="V342" s="31"/>
      <c r="X342" s="240" t="str">
        <f t="shared" si="42"/>
        <v>OK</v>
      </c>
      <c r="Y342" s="240" t="str">
        <f t="shared" si="43"/>
        <v>OK</v>
      </c>
      <c r="Z342" s="240" t="str">
        <f t="shared" si="44"/>
        <v>OK</v>
      </c>
      <c r="AA342" s="240" t="str" cm="1">
        <f t="array" ref="AA342">IF(OR(AND(J342="Not accepted",N342:O342&lt;&gt;"",$S342=""),AND(J342="Accepted",S342="")),"ERROR","OK")</f>
        <v>OK</v>
      </c>
      <c r="AB342" s="240" t="str">
        <f t="shared" si="45"/>
        <v>OK</v>
      </c>
      <c r="AC342" s="240" t="str" cm="1">
        <f t="array" ref="AC342">IF(AND(F342:H342&lt;&gt;"",I342=""),"ERROR","OK")</f>
        <v>OK</v>
      </c>
      <c r="AD342" s="240" t="str">
        <f t="shared" si="46"/>
        <v>OK</v>
      </c>
      <c r="AE342" s="240" t="str">
        <f t="shared" si="47"/>
        <v>OK</v>
      </c>
      <c r="AF342" s="240" t="str" cm="1">
        <f t="array" aca="1" ref="AF342" ca="1" xml:space="preserve">
IF(AND($G342&lt;&gt;"",$F342=""),"ERROR",
IF(OR($F342:$G342="",AND($G342="",$F342&lt;&gt;"")),"OK",
IF(COUNTIF(INDIRECT(IFERROR(LEFT($F342,FIND(" ",$F342)-1),$F342)), $G342)&gt;0, "OK", "ERROR")))</f>
        <v>OK</v>
      </c>
    </row>
    <row r="343" spans="1:32" s="240" customFormat="1">
      <c r="A343" s="48"/>
      <c r="B343" s="31"/>
      <c r="C343" s="48"/>
      <c r="D343" s="47"/>
      <c r="E343" s="47"/>
      <c r="F343" s="31"/>
      <c r="G343" s="31"/>
      <c r="H343" s="31"/>
      <c r="I343" s="47"/>
      <c r="J343" s="31"/>
      <c r="K343" s="47"/>
      <c r="L343" s="47"/>
      <c r="M343" s="47"/>
      <c r="N343" s="31"/>
      <c r="O343" s="47"/>
      <c r="P343" s="31"/>
      <c r="Q343" s="31"/>
      <c r="R343" s="31"/>
      <c r="S343" s="31"/>
      <c r="T343" s="270">
        <f t="shared" si="40"/>
        <v>0</v>
      </c>
      <c r="U343" s="270">
        <f t="shared" si="41"/>
        <v>0</v>
      </c>
      <c r="V343" s="31"/>
      <c r="X343" s="240" t="str">
        <f t="shared" si="42"/>
        <v>OK</v>
      </c>
      <c r="Y343" s="240" t="str">
        <f t="shared" si="43"/>
        <v>OK</v>
      </c>
      <c r="Z343" s="240" t="str">
        <f t="shared" si="44"/>
        <v>OK</v>
      </c>
      <c r="AA343" s="240" t="str" cm="1">
        <f t="array" ref="AA343">IF(OR(AND(J343="Not accepted",N343:O343&lt;&gt;"",$S343=""),AND(J343="Accepted",S343="")),"ERROR","OK")</f>
        <v>OK</v>
      </c>
      <c r="AB343" s="240" t="str">
        <f t="shared" si="45"/>
        <v>OK</v>
      </c>
      <c r="AC343" s="240" t="str" cm="1">
        <f t="array" ref="AC343">IF(AND(F343:H343&lt;&gt;"",I343=""),"ERROR","OK")</f>
        <v>OK</v>
      </c>
      <c r="AD343" s="240" t="str">
        <f t="shared" si="46"/>
        <v>OK</v>
      </c>
      <c r="AE343" s="240" t="str">
        <f t="shared" si="47"/>
        <v>OK</v>
      </c>
      <c r="AF343" s="240" t="str" cm="1">
        <f t="array" aca="1" ref="AF343" ca="1" xml:space="preserve">
IF(AND($G343&lt;&gt;"",$F343=""),"ERROR",
IF(OR($F343:$G343="",AND($G343="",$F343&lt;&gt;"")),"OK",
IF(COUNTIF(INDIRECT(IFERROR(LEFT($F343,FIND(" ",$F343)-1),$F343)), $G343)&gt;0, "OK", "ERROR")))</f>
        <v>OK</v>
      </c>
    </row>
    <row r="344" spans="1:32" s="240" customFormat="1">
      <c r="A344" s="48"/>
      <c r="B344" s="31"/>
      <c r="C344" s="48"/>
      <c r="D344" s="47"/>
      <c r="E344" s="47"/>
      <c r="F344" s="31"/>
      <c r="G344" s="31"/>
      <c r="H344" s="31"/>
      <c r="I344" s="47"/>
      <c r="J344" s="31"/>
      <c r="K344" s="47"/>
      <c r="L344" s="47"/>
      <c r="M344" s="47"/>
      <c r="N344" s="31"/>
      <c r="O344" s="47"/>
      <c r="P344" s="31"/>
      <c r="Q344" s="31"/>
      <c r="R344" s="31"/>
      <c r="S344" s="31"/>
      <c r="T344" s="270">
        <f t="shared" si="40"/>
        <v>0</v>
      </c>
      <c r="U344" s="270">
        <f t="shared" si="41"/>
        <v>0</v>
      </c>
      <c r="V344" s="31"/>
      <c r="X344" s="240" t="str">
        <f t="shared" si="42"/>
        <v>OK</v>
      </c>
      <c r="Y344" s="240" t="str">
        <f t="shared" si="43"/>
        <v>OK</v>
      </c>
      <c r="Z344" s="240" t="str">
        <f t="shared" si="44"/>
        <v>OK</v>
      </c>
      <c r="AA344" s="240" t="str" cm="1">
        <f t="array" ref="AA344">IF(OR(AND(J344="Not accepted",N344:O344&lt;&gt;"",$S344=""),AND(J344="Accepted",S344="")),"ERROR","OK")</f>
        <v>OK</v>
      </c>
      <c r="AB344" s="240" t="str">
        <f t="shared" si="45"/>
        <v>OK</v>
      </c>
      <c r="AC344" s="240" t="str" cm="1">
        <f t="array" ref="AC344">IF(AND(F344:H344&lt;&gt;"",I344=""),"ERROR","OK")</f>
        <v>OK</v>
      </c>
      <c r="AD344" s="240" t="str">
        <f t="shared" si="46"/>
        <v>OK</v>
      </c>
      <c r="AE344" s="240" t="str">
        <f t="shared" si="47"/>
        <v>OK</v>
      </c>
      <c r="AF344" s="240" t="str" cm="1">
        <f t="array" aca="1" ref="AF344" ca="1" xml:space="preserve">
IF(AND($G344&lt;&gt;"",$F344=""),"ERROR",
IF(OR($F344:$G344="",AND($G344="",$F344&lt;&gt;"")),"OK",
IF(COUNTIF(INDIRECT(IFERROR(LEFT($F344,FIND(" ",$F344)-1),$F344)), $G344)&gt;0, "OK", "ERROR")))</f>
        <v>OK</v>
      </c>
    </row>
    <row r="345" spans="1:32" s="240" customFormat="1">
      <c r="A345" s="48"/>
      <c r="B345" s="31"/>
      <c r="C345" s="48"/>
      <c r="D345" s="47"/>
      <c r="E345" s="47"/>
      <c r="F345" s="31"/>
      <c r="G345" s="31"/>
      <c r="H345" s="31"/>
      <c r="I345" s="47"/>
      <c r="J345" s="31"/>
      <c r="K345" s="47"/>
      <c r="L345" s="47"/>
      <c r="M345" s="47"/>
      <c r="N345" s="31"/>
      <c r="O345" s="47"/>
      <c r="P345" s="31"/>
      <c r="Q345" s="31"/>
      <c r="R345" s="31"/>
      <c r="S345" s="31"/>
      <c r="T345" s="270">
        <f t="shared" si="40"/>
        <v>0</v>
      </c>
      <c r="U345" s="270">
        <f t="shared" si="41"/>
        <v>0</v>
      </c>
      <c r="V345" s="31"/>
      <c r="X345" s="240" t="str">
        <f t="shared" si="42"/>
        <v>OK</v>
      </c>
      <c r="Y345" s="240" t="str">
        <f t="shared" si="43"/>
        <v>OK</v>
      </c>
      <c r="Z345" s="240" t="str">
        <f t="shared" si="44"/>
        <v>OK</v>
      </c>
      <c r="AA345" s="240" t="str" cm="1">
        <f t="array" ref="AA345">IF(OR(AND(J345="Not accepted",N345:O345&lt;&gt;"",$S345=""),AND(J345="Accepted",S345="")),"ERROR","OK")</f>
        <v>OK</v>
      </c>
      <c r="AB345" s="240" t="str">
        <f t="shared" si="45"/>
        <v>OK</v>
      </c>
      <c r="AC345" s="240" t="str" cm="1">
        <f t="array" ref="AC345">IF(AND(F345:H345&lt;&gt;"",I345=""),"ERROR","OK")</f>
        <v>OK</v>
      </c>
      <c r="AD345" s="240" t="str">
        <f t="shared" si="46"/>
        <v>OK</v>
      </c>
      <c r="AE345" s="240" t="str">
        <f t="shared" si="47"/>
        <v>OK</v>
      </c>
      <c r="AF345" s="240" t="str" cm="1">
        <f t="array" aca="1" ref="AF345" ca="1" xml:space="preserve">
IF(AND($G345&lt;&gt;"",$F345=""),"ERROR",
IF(OR($F345:$G345="",AND($G345="",$F345&lt;&gt;"")),"OK",
IF(COUNTIF(INDIRECT(IFERROR(LEFT($F345,FIND(" ",$F345)-1),$F345)), $G345)&gt;0, "OK", "ERROR")))</f>
        <v>OK</v>
      </c>
    </row>
    <row r="346" spans="1:32" s="240" customFormat="1">
      <c r="A346" s="48"/>
      <c r="B346" s="31"/>
      <c r="C346" s="48"/>
      <c r="D346" s="47"/>
      <c r="E346" s="47"/>
      <c r="F346" s="31"/>
      <c r="G346" s="31"/>
      <c r="H346" s="31"/>
      <c r="I346" s="47"/>
      <c r="J346" s="31"/>
      <c r="K346" s="47"/>
      <c r="L346" s="47"/>
      <c r="M346" s="47"/>
      <c r="N346" s="31"/>
      <c r="O346" s="47"/>
      <c r="P346" s="31"/>
      <c r="Q346" s="31"/>
      <c r="R346" s="31"/>
      <c r="S346" s="31"/>
      <c r="T346" s="270">
        <f t="shared" si="40"/>
        <v>0</v>
      </c>
      <c r="U346" s="270">
        <f t="shared" si="41"/>
        <v>0</v>
      </c>
      <c r="V346" s="31"/>
      <c r="X346" s="240" t="str">
        <f t="shared" si="42"/>
        <v>OK</v>
      </c>
      <c r="Y346" s="240" t="str">
        <f t="shared" si="43"/>
        <v>OK</v>
      </c>
      <c r="Z346" s="240" t="str">
        <f t="shared" si="44"/>
        <v>OK</v>
      </c>
      <c r="AA346" s="240" t="str" cm="1">
        <f t="array" ref="AA346">IF(OR(AND(J346="Not accepted",N346:O346&lt;&gt;"",$S346=""),AND(J346="Accepted",S346="")),"ERROR","OK")</f>
        <v>OK</v>
      </c>
      <c r="AB346" s="240" t="str">
        <f t="shared" si="45"/>
        <v>OK</v>
      </c>
      <c r="AC346" s="240" t="str" cm="1">
        <f t="array" ref="AC346">IF(AND(F346:H346&lt;&gt;"",I346=""),"ERROR","OK")</f>
        <v>OK</v>
      </c>
      <c r="AD346" s="240" t="str">
        <f t="shared" si="46"/>
        <v>OK</v>
      </c>
      <c r="AE346" s="240" t="str">
        <f t="shared" si="47"/>
        <v>OK</v>
      </c>
      <c r="AF346" s="240" t="str" cm="1">
        <f t="array" aca="1" ref="AF346" ca="1" xml:space="preserve">
IF(AND($G346&lt;&gt;"",$F346=""),"ERROR",
IF(OR($F346:$G346="",AND($G346="",$F346&lt;&gt;"")),"OK",
IF(COUNTIF(INDIRECT(IFERROR(LEFT($F346,FIND(" ",$F346)-1),$F346)), $G346)&gt;0, "OK", "ERROR")))</f>
        <v>OK</v>
      </c>
    </row>
    <row r="347" spans="1:32" s="240" customFormat="1">
      <c r="A347" s="48"/>
      <c r="B347" s="31"/>
      <c r="C347" s="48"/>
      <c r="D347" s="47"/>
      <c r="E347" s="47"/>
      <c r="F347" s="31"/>
      <c r="G347" s="31"/>
      <c r="H347" s="31"/>
      <c r="I347" s="47"/>
      <c r="J347" s="31"/>
      <c r="K347" s="47"/>
      <c r="L347" s="47"/>
      <c r="M347" s="47"/>
      <c r="N347" s="31"/>
      <c r="O347" s="47"/>
      <c r="P347" s="31"/>
      <c r="Q347" s="31"/>
      <c r="R347" s="31"/>
      <c r="S347" s="31"/>
      <c r="T347" s="270">
        <f t="shared" si="40"/>
        <v>0</v>
      </c>
      <c r="U347" s="270">
        <f t="shared" si="41"/>
        <v>0</v>
      </c>
      <c r="V347" s="31"/>
      <c r="X347" s="240" t="str">
        <f t="shared" si="42"/>
        <v>OK</v>
      </c>
      <c r="Y347" s="240" t="str">
        <f t="shared" si="43"/>
        <v>OK</v>
      </c>
      <c r="Z347" s="240" t="str">
        <f t="shared" si="44"/>
        <v>OK</v>
      </c>
      <c r="AA347" s="240" t="str" cm="1">
        <f t="array" ref="AA347">IF(OR(AND(J347="Not accepted",N347:O347&lt;&gt;"",$S347=""),AND(J347="Accepted",S347="")),"ERROR","OK")</f>
        <v>OK</v>
      </c>
      <c r="AB347" s="240" t="str">
        <f t="shared" si="45"/>
        <v>OK</v>
      </c>
      <c r="AC347" s="240" t="str" cm="1">
        <f t="array" ref="AC347">IF(AND(F347:H347&lt;&gt;"",I347=""),"ERROR","OK")</f>
        <v>OK</v>
      </c>
      <c r="AD347" s="240" t="str">
        <f t="shared" si="46"/>
        <v>OK</v>
      </c>
      <c r="AE347" s="240" t="str">
        <f t="shared" si="47"/>
        <v>OK</v>
      </c>
      <c r="AF347" s="240" t="str" cm="1">
        <f t="array" aca="1" ref="AF347" ca="1" xml:space="preserve">
IF(AND($G347&lt;&gt;"",$F347=""),"ERROR",
IF(OR($F347:$G347="",AND($G347="",$F347&lt;&gt;"")),"OK",
IF(COUNTIF(INDIRECT(IFERROR(LEFT($F347,FIND(" ",$F347)-1),$F347)), $G347)&gt;0, "OK", "ERROR")))</f>
        <v>OK</v>
      </c>
    </row>
    <row r="348" spans="1:32" s="240" customFormat="1">
      <c r="A348" s="48"/>
      <c r="B348" s="31"/>
      <c r="C348" s="48"/>
      <c r="D348" s="47"/>
      <c r="E348" s="47"/>
      <c r="F348" s="31"/>
      <c r="G348" s="31"/>
      <c r="H348" s="31"/>
      <c r="I348" s="47"/>
      <c r="J348" s="31"/>
      <c r="K348" s="47"/>
      <c r="L348" s="47"/>
      <c r="M348" s="47"/>
      <c r="N348" s="31"/>
      <c r="O348" s="47"/>
      <c r="P348" s="31"/>
      <c r="Q348" s="31"/>
      <c r="R348" s="31"/>
      <c r="S348" s="31"/>
      <c r="T348" s="270">
        <f t="shared" si="40"/>
        <v>0</v>
      </c>
      <c r="U348" s="270">
        <f t="shared" si="41"/>
        <v>0</v>
      </c>
      <c r="V348" s="31"/>
      <c r="X348" s="240" t="str">
        <f t="shared" si="42"/>
        <v>OK</v>
      </c>
      <c r="Y348" s="240" t="str">
        <f t="shared" si="43"/>
        <v>OK</v>
      </c>
      <c r="Z348" s="240" t="str">
        <f t="shared" si="44"/>
        <v>OK</v>
      </c>
      <c r="AA348" s="240" t="str" cm="1">
        <f t="array" ref="AA348">IF(OR(AND(J348="Not accepted",N348:O348&lt;&gt;"",$S348=""),AND(J348="Accepted",S348="")),"ERROR","OK")</f>
        <v>OK</v>
      </c>
      <c r="AB348" s="240" t="str">
        <f t="shared" si="45"/>
        <v>OK</v>
      </c>
      <c r="AC348" s="240" t="str" cm="1">
        <f t="array" ref="AC348">IF(AND(F348:H348&lt;&gt;"",I348=""),"ERROR","OK")</f>
        <v>OK</v>
      </c>
      <c r="AD348" s="240" t="str">
        <f t="shared" si="46"/>
        <v>OK</v>
      </c>
      <c r="AE348" s="240" t="str">
        <f t="shared" si="47"/>
        <v>OK</v>
      </c>
      <c r="AF348" s="240" t="str" cm="1">
        <f t="array" aca="1" ref="AF348" ca="1" xml:space="preserve">
IF(AND($G348&lt;&gt;"",$F348=""),"ERROR",
IF(OR($F348:$G348="",AND($G348="",$F348&lt;&gt;"")),"OK",
IF(COUNTIF(INDIRECT(IFERROR(LEFT($F348,FIND(" ",$F348)-1),$F348)), $G348)&gt;0, "OK", "ERROR")))</f>
        <v>OK</v>
      </c>
    </row>
    <row r="349" spans="1:32" s="240" customFormat="1">
      <c r="A349" s="48"/>
      <c r="B349" s="31"/>
      <c r="C349" s="48"/>
      <c r="D349" s="47"/>
      <c r="E349" s="47"/>
      <c r="F349" s="31"/>
      <c r="G349" s="31"/>
      <c r="H349" s="31"/>
      <c r="I349" s="47"/>
      <c r="J349" s="31"/>
      <c r="K349" s="47"/>
      <c r="L349" s="47"/>
      <c r="M349" s="47"/>
      <c r="N349" s="31"/>
      <c r="O349" s="47"/>
      <c r="P349" s="31"/>
      <c r="Q349" s="31"/>
      <c r="R349" s="31"/>
      <c r="S349" s="31"/>
      <c r="T349" s="270">
        <f t="shared" si="40"/>
        <v>0</v>
      </c>
      <c r="U349" s="270">
        <f t="shared" si="41"/>
        <v>0</v>
      </c>
      <c r="V349" s="31"/>
      <c r="X349" s="240" t="str">
        <f t="shared" si="42"/>
        <v>OK</v>
      </c>
      <c r="Y349" s="240" t="str">
        <f t="shared" si="43"/>
        <v>OK</v>
      </c>
      <c r="Z349" s="240" t="str">
        <f t="shared" si="44"/>
        <v>OK</v>
      </c>
      <c r="AA349" s="240" t="str" cm="1">
        <f t="array" ref="AA349">IF(OR(AND(J349="Not accepted",N349:O349&lt;&gt;"",$S349=""),AND(J349="Accepted",S349="")),"ERROR","OK")</f>
        <v>OK</v>
      </c>
      <c r="AB349" s="240" t="str">
        <f t="shared" si="45"/>
        <v>OK</v>
      </c>
      <c r="AC349" s="240" t="str" cm="1">
        <f t="array" ref="AC349">IF(AND(F349:H349&lt;&gt;"",I349=""),"ERROR","OK")</f>
        <v>OK</v>
      </c>
      <c r="AD349" s="240" t="str">
        <f t="shared" si="46"/>
        <v>OK</v>
      </c>
      <c r="AE349" s="240" t="str">
        <f t="shared" si="47"/>
        <v>OK</v>
      </c>
      <c r="AF349" s="240" t="str" cm="1">
        <f t="array" aca="1" ref="AF349" ca="1" xml:space="preserve">
IF(AND($G349&lt;&gt;"",$F349=""),"ERROR",
IF(OR($F349:$G349="",AND($G349="",$F349&lt;&gt;"")),"OK",
IF(COUNTIF(INDIRECT(IFERROR(LEFT($F349,FIND(" ",$F349)-1),$F349)), $G349)&gt;0, "OK", "ERROR")))</f>
        <v>OK</v>
      </c>
    </row>
    <row r="350" spans="1:32" s="240" customFormat="1">
      <c r="A350" s="48"/>
      <c r="B350" s="31"/>
      <c r="C350" s="48"/>
      <c r="D350" s="47"/>
      <c r="E350" s="47"/>
      <c r="F350" s="31"/>
      <c r="G350" s="31"/>
      <c r="H350" s="31"/>
      <c r="I350" s="47"/>
      <c r="J350" s="31"/>
      <c r="K350" s="47"/>
      <c r="L350" s="47"/>
      <c r="M350" s="47"/>
      <c r="N350" s="31"/>
      <c r="O350" s="47"/>
      <c r="P350" s="31"/>
      <c r="Q350" s="31"/>
      <c r="R350" s="31"/>
      <c r="S350" s="31"/>
      <c r="T350" s="270">
        <f t="shared" si="40"/>
        <v>0</v>
      </c>
      <c r="U350" s="270">
        <f t="shared" si="41"/>
        <v>0</v>
      </c>
      <c r="V350" s="31"/>
      <c r="X350" s="240" t="str">
        <f t="shared" si="42"/>
        <v>OK</v>
      </c>
      <c r="Y350" s="240" t="str">
        <f t="shared" si="43"/>
        <v>OK</v>
      </c>
      <c r="Z350" s="240" t="str">
        <f t="shared" si="44"/>
        <v>OK</v>
      </c>
      <c r="AA350" s="240" t="str" cm="1">
        <f t="array" ref="AA350">IF(OR(AND(J350="Not accepted",N350:O350&lt;&gt;"",$S350=""),AND(J350="Accepted",S350="")),"ERROR","OK")</f>
        <v>OK</v>
      </c>
      <c r="AB350" s="240" t="str">
        <f t="shared" si="45"/>
        <v>OK</v>
      </c>
      <c r="AC350" s="240" t="str" cm="1">
        <f t="array" ref="AC350">IF(AND(F350:H350&lt;&gt;"",I350=""),"ERROR","OK")</f>
        <v>OK</v>
      </c>
      <c r="AD350" s="240" t="str">
        <f t="shared" si="46"/>
        <v>OK</v>
      </c>
      <c r="AE350" s="240" t="str">
        <f t="shared" si="47"/>
        <v>OK</v>
      </c>
      <c r="AF350" s="240" t="str" cm="1">
        <f t="array" aca="1" ref="AF350" ca="1" xml:space="preserve">
IF(AND($G350&lt;&gt;"",$F350=""),"ERROR",
IF(OR($F350:$G350="",AND($G350="",$F350&lt;&gt;"")),"OK",
IF(COUNTIF(INDIRECT(IFERROR(LEFT($F350,FIND(" ",$F350)-1),$F350)), $G350)&gt;0, "OK", "ERROR")))</f>
        <v>OK</v>
      </c>
    </row>
    <row r="351" spans="1:32" s="240" customFormat="1">
      <c r="A351" s="48"/>
      <c r="B351" s="31"/>
      <c r="C351" s="48"/>
      <c r="D351" s="47"/>
      <c r="E351" s="47"/>
      <c r="F351" s="31"/>
      <c r="G351" s="31"/>
      <c r="H351" s="31"/>
      <c r="I351" s="47"/>
      <c r="J351" s="31"/>
      <c r="K351" s="47"/>
      <c r="L351" s="47"/>
      <c r="M351" s="47"/>
      <c r="N351" s="31"/>
      <c r="O351" s="47"/>
      <c r="P351" s="31"/>
      <c r="Q351" s="31"/>
      <c r="R351" s="31"/>
      <c r="S351" s="31"/>
      <c r="T351" s="270">
        <f t="shared" si="40"/>
        <v>0</v>
      </c>
      <c r="U351" s="270">
        <f t="shared" si="41"/>
        <v>0</v>
      </c>
      <c r="V351" s="31"/>
      <c r="X351" s="240" t="str">
        <f t="shared" si="42"/>
        <v>OK</v>
      </c>
      <c r="Y351" s="240" t="str">
        <f t="shared" si="43"/>
        <v>OK</v>
      </c>
      <c r="Z351" s="240" t="str">
        <f t="shared" si="44"/>
        <v>OK</v>
      </c>
      <c r="AA351" s="240" t="str" cm="1">
        <f t="array" ref="AA351">IF(OR(AND(J351="Not accepted",N351:O351&lt;&gt;"",$S351=""),AND(J351="Accepted",S351="")),"ERROR","OK")</f>
        <v>OK</v>
      </c>
      <c r="AB351" s="240" t="str">
        <f t="shared" si="45"/>
        <v>OK</v>
      </c>
      <c r="AC351" s="240" t="str" cm="1">
        <f t="array" ref="AC351">IF(AND(F351:H351&lt;&gt;"",I351=""),"ERROR","OK")</f>
        <v>OK</v>
      </c>
      <c r="AD351" s="240" t="str">
        <f t="shared" si="46"/>
        <v>OK</v>
      </c>
      <c r="AE351" s="240" t="str">
        <f t="shared" si="47"/>
        <v>OK</v>
      </c>
      <c r="AF351" s="240" t="str" cm="1">
        <f t="array" aca="1" ref="AF351" ca="1" xml:space="preserve">
IF(AND($G351&lt;&gt;"",$F351=""),"ERROR",
IF(OR($F351:$G351="",AND($G351="",$F351&lt;&gt;"")),"OK",
IF(COUNTIF(INDIRECT(IFERROR(LEFT($F351,FIND(" ",$F351)-1),$F351)), $G351)&gt;0, "OK", "ERROR")))</f>
        <v>OK</v>
      </c>
    </row>
    <row r="352" spans="1:32" s="240" customFormat="1">
      <c r="A352" s="48"/>
      <c r="B352" s="31"/>
      <c r="C352" s="48"/>
      <c r="D352" s="47"/>
      <c r="E352" s="47"/>
      <c r="F352" s="31"/>
      <c r="G352" s="31"/>
      <c r="H352" s="31"/>
      <c r="I352" s="47"/>
      <c r="J352" s="31"/>
      <c r="K352" s="47"/>
      <c r="L352" s="47"/>
      <c r="M352" s="47"/>
      <c r="N352" s="31"/>
      <c r="O352" s="47"/>
      <c r="P352" s="31"/>
      <c r="Q352" s="31"/>
      <c r="R352" s="31"/>
      <c r="S352" s="31"/>
      <c r="T352" s="270">
        <f t="shared" si="40"/>
        <v>0</v>
      </c>
      <c r="U352" s="270">
        <f t="shared" si="41"/>
        <v>0</v>
      </c>
      <c r="V352" s="31"/>
      <c r="X352" s="240" t="str">
        <f t="shared" si="42"/>
        <v>OK</v>
      </c>
      <c r="Y352" s="240" t="str">
        <f t="shared" si="43"/>
        <v>OK</v>
      </c>
      <c r="Z352" s="240" t="str">
        <f t="shared" si="44"/>
        <v>OK</v>
      </c>
      <c r="AA352" s="240" t="str" cm="1">
        <f t="array" ref="AA352">IF(OR(AND(J352="Not accepted",N352:O352&lt;&gt;"",$S352=""),AND(J352="Accepted",S352="")),"ERROR","OK")</f>
        <v>OK</v>
      </c>
      <c r="AB352" s="240" t="str">
        <f t="shared" si="45"/>
        <v>OK</v>
      </c>
      <c r="AC352" s="240" t="str" cm="1">
        <f t="array" ref="AC352">IF(AND(F352:H352&lt;&gt;"",I352=""),"ERROR","OK")</f>
        <v>OK</v>
      </c>
      <c r="AD352" s="240" t="str">
        <f t="shared" si="46"/>
        <v>OK</v>
      </c>
      <c r="AE352" s="240" t="str">
        <f t="shared" si="47"/>
        <v>OK</v>
      </c>
      <c r="AF352" s="240" t="str" cm="1">
        <f t="array" aca="1" ref="AF352" ca="1" xml:space="preserve">
IF(AND($G352&lt;&gt;"",$F352=""),"ERROR",
IF(OR($F352:$G352="",AND($G352="",$F352&lt;&gt;"")),"OK",
IF(COUNTIF(INDIRECT(IFERROR(LEFT($F352,FIND(" ",$F352)-1),$F352)), $G352)&gt;0, "OK", "ERROR")))</f>
        <v>OK</v>
      </c>
    </row>
    <row r="353" spans="1:32" s="240" customFormat="1">
      <c r="A353" s="48"/>
      <c r="B353" s="31"/>
      <c r="C353" s="48"/>
      <c r="D353" s="47"/>
      <c r="E353" s="47"/>
      <c r="F353" s="31"/>
      <c r="G353" s="31"/>
      <c r="H353" s="31"/>
      <c r="I353" s="47"/>
      <c r="J353" s="31"/>
      <c r="K353" s="47"/>
      <c r="L353" s="47"/>
      <c r="M353" s="47"/>
      <c r="N353" s="31"/>
      <c r="O353" s="47"/>
      <c r="P353" s="31"/>
      <c r="Q353" s="31"/>
      <c r="R353" s="31"/>
      <c r="S353" s="31"/>
      <c r="T353" s="270">
        <f t="shared" si="40"/>
        <v>0</v>
      </c>
      <c r="U353" s="270">
        <f t="shared" si="41"/>
        <v>0</v>
      </c>
      <c r="V353" s="31"/>
      <c r="X353" s="240" t="str">
        <f t="shared" si="42"/>
        <v>OK</v>
      </c>
      <c r="Y353" s="240" t="str">
        <f t="shared" si="43"/>
        <v>OK</v>
      </c>
      <c r="Z353" s="240" t="str">
        <f t="shared" si="44"/>
        <v>OK</v>
      </c>
      <c r="AA353" s="240" t="str" cm="1">
        <f t="array" ref="AA353">IF(OR(AND(J353="Not accepted",N353:O353&lt;&gt;"",$S353=""),AND(J353="Accepted",S353="")),"ERROR","OK")</f>
        <v>OK</v>
      </c>
      <c r="AB353" s="240" t="str">
        <f t="shared" si="45"/>
        <v>OK</v>
      </c>
      <c r="AC353" s="240" t="str" cm="1">
        <f t="array" ref="AC353">IF(AND(F353:H353&lt;&gt;"",I353=""),"ERROR","OK")</f>
        <v>OK</v>
      </c>
      <c r="AD353" s="240" t="str">
        <f t="shared" si="46"/>
        <v>OK</v>
      </c>
      <c r="AE353" s="240" t="str">
        <f t="shared" si="47"/>
        <v>OK</v>
      </c>
      <c r="AF353" s="240" t="str" cm="1">
        <f t="array" aca="1" ref="AF353" ca="1" xml:space="preserve">
IF(AND($G353&lt;&gt;"",$F353=""),"ERROR",
IF(OR($F353:$G353="",AND($G353="",$F353&lt;&gt;"")),"OK",
IF(COUNTIF(INDIRECT(IFERROR(LEFT($F353,FIND(" ",$F353)-1),$F353)), $G353)&gt;0, "OK", "ERROR")))</f>
        <v>OK</v>
      </c>
    </row>
    <row r="354" spans="1:32" s="240" customFormat="1">
      <c r="A354" s="48"/>
      <c r="B354" s="31"/>
      <c r="C354" s="48"/>
      <c r="D354" s="47"/>
      <c r="E354" s="47"/>
      <c r="F354" s="31"/>
      <c r="G354" s="31"/>
      <c r="H354" s="31"/>
      <c r="I354" s="47"/>
      <c r="J354" s="31"/>
      <c r="K354" s="47"/>
      <c r="L354" s="47"/>
      <c r="M354" s="47"/>
      <c r="N354" s="31"/>
      <c r="O354" s="47"/>
      <c r="P354" s="31"/>
      <c r="Q354" s="31"/>
      <c r="R354" s="31"/>
      <c r="S354" s="31"/>
      <c r="T354" s="270">
        <f t="shared" si="40"/>
        <v>0</v>
      </c>
      <c r="U354" s="270">
        <f t="shared" si="41"/>
        <v>0</v>
      </c>
      <c r="V354" s="31"/>
      <c r="X354" s="240" t="str">
        <f t="shared" si="42"/>
        <v>OK</v>
      </c>
      <c r="Y354" s="240" t="str">
        <f t="shared" si="43"/>
        <v>OK</v>
      </c>
      <c r="Z354" s="240" t="str">
        <f t="shared" si="44"/>
        <v>OK</v>
      </c>
      <c r="AA354" s="240" t="str" cm="1">
        <f t="array" ref="AA354">IF(OR(AND(J354="Not accepted",N354:O354&lt;&gt;"",$S354=""),AND(J354="Accepted",S354="")),"ERROR","OK")</f>
        <v>OK</v>
      </c>
      <c r="AB354" s="240" t="str">
        <f t="shared" si="45"/>
        <v>OK</v>
      </c>
      <c r="AC354" s="240" t="str" cm="1">
        <f t="array" ref="AC354">IF(AND(F354:H354&lt;&gt;"",I354=""),"ERROR","OK")</f>
        <v>OK</v>
      </c>
      <c r="AD354" s="240" t="str">
        <f t="shared" si="46"/>
        <v>OK</v>
      </c>
      <c r="AE354" s="240" t="str">
        <f t="shared" si="47"/>
        <v>OK</v>
      </c>
      <c r="AF354" s="240" t="str" cm="1">
        <f t="array" aca="1" ref="AF354" ca="1" xml:space="preserve">
IF(AND($G354&lt;&gt;"",$F354=""),"ERROR",
IF(OR($F354:$G354="",AND($G354="",$F354&lt;&gt;"")),"OK",
IF(COUNTIF(INDIRECT(IFERROR(LEFT($F354,FIND(" ",$F354)-1),$F354)), $G354)&gt;0, "OK", "ERROR")))</f>
        <v>OK</v>
      </c>
    </row>
    <row r="355" spans="1:32" s="240" customFormat="1">
      <c r="A355" s="48"/>
      <c r="B355" s="31"/>
      <c r="C355" s="48"/>
      <c r="D355" s="47"/>
      <c r="E355" s="47"/>
      <c r="F355" s="31"/>
      <c r="G355" s="31"/>
      <c r="H355" s="31"/>
      <c r="I355" s="47"/>
      <c r="J355" s="31"/>
      <c r="K355" s="47"/>
      <c r="L355" s="47"/>
      <c r="M355" s="47"/>
      <c r="N355" s="31"/>
      <c r="O355" s="47"/>
      <c r="P355" s="31"/>
      <c r="Q355" s="31"/>
      <c r="R355" s="31"/>
      <c r="S355" s="31"/>
      <c r="T355" s="270">
        <f t="shared" si="40"/>
        <v>0</v>
      </c>
      <c r="U355" s="270">
        <f t="shared" si="41"/>
        <v>0</v>
      </c>
      <c r="V355" s="31"/>
      <c r="X355" s="240" t="str">
        <f t="shared" si="42"/>
        <v>OK</v>
      </c>
      <c r="Y355" s="240" t="str">
        <f t="shared" si="43"/>
        <v>OK</v>
      </c>
      <c r="Z355" s="240" t="str">
        <f t="shared" si="44"/>
        <v>OK</v>
      </c>
      <c r="AA355" s="240" t="str" cm="1">
        <f t="array" ref="AA355">IF(OR(AND(J355="Not accepted",N355:O355&lt;&gt;"",$S355=""),AND(J355="Accepted",S355="")),"ERROR","OK")</f>
        <v>OK</v>
      </c>
      <c r="AB355" s="240" t="str">
        <f t="shared" si="45"/>
        <v>OK</v>
      </c>
      <c r="AC355" s="240" t="str" cm="1">
        <f t="array" ref="AC355">IF(AND(F355:H355&lt;&gt;"",I355=""),"ERROR","OK")</f>
        <v>OK</v>
      </c>
      <c r="AD355" s="240" t="str">
        <f t="shared" si="46"/>
        <v>OK</v>
      </c>
      <c r="AE355" s="240" t="str">
        <f t="shared" si="47"/>
        <v>OK</v>
      </c>
      <c r="AF355" s="240" t="str" cm="1">
        <f t="array" aca="1" ref="AF355" ca="1" xml:space="preserve">
IF(AND($G355&lt;&gt;"",$F355=""),"ERROR",
IF(OR($F355:$G355="",AND($G355="",$F355&lt;&gt;"")),"OK",
IF(COUNTIF(INDIRECT(IFERROR(LEFT($F355,FIND(" ",$F355)-1),$F355)), $G355)&gt;0, "OK", "ERROR")))</f>
        <v>OK</v>
      </c>
    </row>
    <row r="356" spans="1:32" s="240" customFormat="1">
      <c r="A356" s="48"/>
      <c r="B356" s="31"/>
      <c r="C356" s="48"/>
      <c r="D356" s="47"/>
      <c r="E356" s="47"/>
      <c r="F356" s="31"/>
      <c r="G356" s="31"/>
      <c r="H356" s="31"/>
      <c r="I356" s="47"/>
      <c r="J356" s="31"/>
      <c r="K356" s="47"/>
      <c r="L356" s="47"/>
      <c r="M356" s="47"/>
      <c r="N356" s="31"/>
      <c r="O356" s="47"/>
      <c r="P356" s="31"/>
      <c r="Q356" s="31"/>
      <c r="R356" s="31"/>
      <c r="S356" s="31"/>
      <c r="T356" s="270">
        <f t="shared" si="40"/>
        <v>0</v>
      </c>
      <c r="U356" s="270">
        <f t="shared" si="41"/>
        <v>0</v>
      </c>
      <c r="V356" s="31"/>
      <c r="X356" s="240" t="str">
        <f t="shared" si="42"/>
        <v>OK</v>
      </c>
      <c r="Y356" s="240" t="str">
        <f t="shared" si="43"/>
        <v>OK</v>
      </c>
      <c r="Z356" s="240" t="str">
        <f t="shared" si="44"/>
        <v>OK</v>
      </c>
      <c r="AA356" s="240" t="str" cm="1">
        <f t="array" ref="AA356">IF(OR(AND(J356="Not accepted",N356:O356&lt;&gt;"",$S356=""),AND(J356="Accepted",S356="")),"ERROR","OK")</f>
        <v>OK</v>
      </c>
      <c r="AB356" s="240" t="str">
        <f t="shared" si="45"/>
        <v>OK</v>
      </c>
      <c r="AC356" s="240" t="str" cm="1">
        <f t="array" ref="AC356">IF(AND(F356:H356&lt;&gt;"",I356=""),"ERROR","OK")</f>
        <v>OK</v>
      </c>
      <c r="AD356" s="240" t="str">
        <f t="shared" si="46"/>
        <v>OK</v>
      </c>
      <c r="AE356" s="240" t="str">
        <f t="shared" si="47"/>
        <v>OK</v>
      </c>
      <c r="AF356" s="240" t="str" cm="1">
        <f t="array" aca="1" ref="AF356" ca="1" xml:space="preserve">
IF(AND($G356&lt;&gt;"",$F356=""),"ERROR",
IF(OR($F356:$G356="",AND($G356="",$F356&lt;&gt;"")),"OK",
IF(COUNTIF(INDIRECT(IFERROR(LEFT($F356,FIND(" ",$F356)-1),$F356)), $G356)&gt;0, "OK", "ERROR")))</f>
        <v>OK</v>
      </c>
    </row>
    <row r="357" spans="1:32" s="240" customFormat="1">
      <c r="A357" s="48"/>
      <c r="B357" s="31"/>
      <c r="C357" s="48"/>
      <c r="D357" s="47"/>
      <c r="E357" s="47"/>
      <c r="F357" s="31"/>
      <c r="G357" s="31"/>
      <c r="H357" s="31"/>
      <c r="I357" s="47"/>
      <c r="J357" s="31"/>
      <c r="K357" s="47"/>
      <c r="L357" s="47"/>
      <c r="M357" s="47"/>
      <c r="N357" s="31"/>
      <c r="O357" s="47"/>
      <c r="P357" s="31"/>
      <c r="Q357" s="31"/>
      <c r="R357" s="31"/>
      <c r="S357" s="31"/>
      <c r="T357" s="270">
        <f t="shared" si="40"/>
        <v>0</v>
      </c>
      <c r="U357" s="270">
        <f t="shared" si="41"/>
        <v>0</v>
      </c>
      <c r="V357" s="31"/>
      <c r="X357" s="240" t="str">
        <f t="shared" si="42"/>
        <v>OK</v>
      </c>
      <c r="Y357" s="240" t="str">
        <f t="shared" si="43"/>
        <v>OK</v>
      </c>
      <c r="Z357" s="240" t="str">
        <f t="shared" si="44"/>
        <v>OK</v>
      </c>
      <c r="AA357" s="240" t="str" cm="1">
        <f t="array" ref="AA357">IF(OR(AND(J357="Not accepted",N357:O357&lt;&gt;"",$S357=""),AND(J357="Accepted",S357="")),"ERROR","OK")</f>
        <v>OK</v>
      </c>
      <c r="AB357" s="240" t="str">
        <f t="shared" si="45"/>
        <v>OK</v>
      </c>
      <c r="AC357" s="240" t="str" cm="1">
        <f t="array" ref="AC357">IF(AND(F357:H357&lt;&gt;"",I357=""),"ERROR","OK")</f>
        <v>OK</v>
      </c>
      <c r="AD357" s="240" t="str">
        <f t="shared" si="46"/>
        <v>OK</v>
      </c>
      <c r="AE357" s="240" t="str">
        <f t="shared" si="47"/>
        <v>OK</v>
      </c>
      <c r="AF357" s="240" t="str" cm="1">
        <f t="array" aca="1" ref="AF357" ca="1" xml:space="preserve">
IF(AND($G357&lt;&gt;"",$F357=""),"ERROR",
IF(OR($F357:$G357="",AND($G357="",$F357&lt;&gt;"")),"OK",
IF(COUNTIF(INDIRECT(IFERROR(LEFT($F357,FIND(" ",$F357)-1),$F357)), $G357)&gt;0, "OK", "ERROR")))</f>
        <v>OK</v>
      </c>
    </row>
    <row r="358" spans="1:32" s="240" customFormat="1">
      <c r="A358" s="48"/>
      <c r="B358" s="31"/>
      <c r="C358" s="48"/>
      <c r="D358" s="47"/>
      <c r="E358" s="47"/>
      <c r="F358" s="31"/>
      <c r="G358" s="31"/>
      <c r="H358" s="31"/>
      <c r="I358" s="47"/>
      <c r="J358" s="31"/>
      <c r="K358" s="47"/>
      <c r="L358" s="47"/>
      <c r="M358" s="47"/>
      <c r="N358" s="31"/>
      <c r="O358" s="47"/>
      <c r="P358" s="31"/>
      <c r="Q358" s="31"/>
      <c r="R358" s="31"/>
      <c r="S358" s="31"/>
      <c r="T358" s="270">
        <f t="shared" si="40"/>
        <v>0</v>
      </c>
      <c r="U358" s="270">
        <f t="shared" si="41"/>
        <v>0</v>
      </c>
      <c r="V358" s="31"/>
      <c r="X358" s="240" t="str">
        <f t="shared" si="42"/>
        <v>OK</v>
      </c>
      <c r="Y358" s="240" t="str">
        <f t="shared" si="43"/>
        <v>OK</v>
      </c>
      <c r="Z358" s="240" t="str">
        <f t="shared" si="44"/>
        <v>OK</v>
      </c>
      <c r="AA358" s="240" t="str" cm="1">
        <f t="array" ref="AA358">IF(OR(AND(J358="Not accepted",N358:O358&lt;&gt;"",$S358=""),AND(J358="Accepted",S358="")),"ERROR","OK")</f>
        <v>OK</v>
      </c>
      <c r="AB358" s="240" t="str">
        <f t="shared" si="45"/>
        <v>OK</v>
      </c>
      <c r="AC358" s="240" t="str" cm="1">
        <f t="array" ref="AC358">IF(AND(F358:H358&lt;&gt;"",I358=""),"ERROR","OK")</f>
        <v>OK</v>
      </c>
      <c r="AD358" s="240" t="str">
        <f t="shared" si="46"/>
        <v>OK</v>
      </c>
      <c r="AE358" s="240" t="str">
        <f t="shared" si="47"/>
        <v>OK</v>
      </c>
      <c r="AF358" s="240" t="str" cm="1">
        <f t="array" aca="1" ref="AF358" ca="1" xml:space="preserve">
IF(AND($G358&lt;&gt;"",$F358=""),"ERROR",
IF(OR($F358:$G358="",AND($G358="",$F358&lt;&gt;"")),"OK",
IF(COUNTIF(INDIRECT(IFERROR(LEFT($F358,FIND(" ",$F358)-1),$F358)), $G358)&gt;0, "OK", "ERROR")))</f>
        <v>OK</v>
      </c>
    </row>
    <row r="359" spans="1:32" s="240" customFormat="1">
      <c r="A359" s="48"/>
      <c r="B359" s="31"/>
      <c r="C359" s="48"/>
      <c r="D359" s="47"/>
      <c r="E359" s="47"/>
      <c r="F359" s="31"/>
      <c r="G359" s="31"/>
      <c r="H359" s="31"/>
      <c r="I359" s="47"/>
      <c r="J359" s="31"/>
      <c r="K359" s="47"/>
      <c r="L359" s="47"/>
      <c r="M359" s="47"/>
      <c r="N359" s="31"/>
      <c r="O359" s="47"/>
      <c r="P359" s="31"/>
      <c r="Q359" s="31"/>
      <c r="R359" s="31"/>
      <c r="S359" s="31"/>
      <c r="T359" s="270">
        <f t="shared" si="40"/>
        <v>0</v>
      </c>
      <c r="U359" s="270">
        <f t="shared" si="41"/>
        <v>0</v>
      </c>
      <c r="V359" s="31"/>
      <c r="X359" s="240" t="str">
        <f t="shared" si="42"/>
        <v>OK</v>
      </c>
      <c r="Y359" s="240" t="str">
        <f t="shared" si="43"/>
        <v>OK</v>
      </c>
      <c r="Z359" s="240" t="str">
        <f t="shared" si="44"/>
        <v>OK</v>
      </c>
      <c r="AA359" s="240" t="str" cm="1">
        <f t="array" ref="AA359">IF(OR(AND(J359="Not accepted",N359:O359&lt;&gt;"",$S359=""),AND(J359="Accepted",S359="")),"ERROR","OK")</f>
        <v>OK</v>
      </c>
      <c r="AB359" s="240" t="str">
        <f t="shared" si="45"/>
        <v>OK</v>
      </c>
      <c r="AC359" s="240" t="str" cm="1">
        <f t="array" ref="AC359">IF(AND(F359:H359&lt;&gt;"",I359=""),"ERROR","OK")</f>
        <v>OK</v>
      </c>
      <c r="AD359" s="240" t="str">
        <f t="shared" si="46"/>
        <v>OK</v>
      </c>
      <c r="AE359" s="240" t="str">
        <f t="shared" si="47"/>
        <v>OK</v>
      </c>
      <c r="AF359" s="240" t="str" cm="1">
        <f t="array" aca="1" ref="AF359" ca="1" xml:space="preserve">
IF(AND($G359&lt;&gt;"",$F359=""),"ERROR",
IF(OR($F359:$G359="",AND($G359="",$F359&lt;&gt;"")),"OK",
IF(COUNTIF(INDIRECT(IFERROR(LEFT($F359,FIND(" ",$F359)-1),$F359)), $G359)&gt;0, "OK", "ERROR")))</f>
        <v>OK</v>
      </c>
    </row>
    <row r="360" spans="1:32" s="240" customFormat="1">
      <c r="A360" s="48"/>
      <c r="B360" s="31"/>
      <c r="C360" s="48"/>
      <c r="D360" s="47"/>
      <c r="E360" s="47"/>
      <c r="F360" s="31"/>
      <c r="G360" s="31"/>
      <c r="H360" s="31"/>
      <c r="I360" s="47"/>
      <c r="J360" s="31"/>
      <c r="K360" s="47"/>
      <c r="L360" s="47"/>
      <c r="M360" s="47"/>
      <c r="N360" s="31"/>
      <c r="O360" s="47"/>
      <c r="P360" s="31"/>
      <c r="Q360" s="31"/>
      <c r="R360" s="31"/>
      <c r="S360" s="31"/>
      <c r="T360" s="270">
        <f t="shared" si="40"/>
        <v>0</v>
      </c>
      <c r="U360" s="270">
        <f t="shared" si="41"/>
        <v>0</v>
      </c>
      <c r="V360" s="31"/>
      <c r="X360" s="240" t="str">
        <f t="shared" si="42"/>
        <v>OK</v>
      </c>
      <c r="Y360" s="240" t="str">
        <f t="shared" si="43"/>
        <v>OK</v>
      </c>
      <c r="Z360" s="240" t="str">
        <f t="shared" si="44"/>
        <v>OK</v>
      </c>
      <c r="AA360" s="240" t="str" cm="1">
        <f t="array" ref="AA360">IF(OR(AND(J360="Not accepted",N360:O360&lt;&gt;"",$S360=""),AND(J360="Accepted",S360="")),"ERROR","OK")</f>
        <v>OK</v>
      </c>
      <c r="AB360" s="240" t="str">
        <f t="shared" si="45"/>
        <v>OK</v>
      </c>
      <c r="AC360" s="240" t="str" cm="1">
        <f t="array" ref="AC360">IF(AND(F360:H360&lt;&gt;"",I360=""),"ERROR","OK")</f>
        <v>OK</v>
      </c>
      <c r="AD360" s="240" t="str">
        <f t="shared" si="46"/>
        <v>OK</v>
      </c>
      <c r="AE360" s="240" t="str">
        <f t="shared" si="47"/>
        <v>OK</v>
      </c>
      <c r="AF360" s="240" t="str" cm="1">
        <f t="array" aca="1" ref="AF360" ca="1" xml:space="preserve">
IF(AND($G360&lt;&gt;"",$F360=""),"ERROR",
IF(OR($F360:$G360="",AND($G360="",$F360&lt;&gt;"")),"OK",
IF(COUNTIF(INDIRECT(IFERROR(LEFT($F360,FIND(" ",$F360)-1),$F360)), $G360)&gt;0, "OK", "ERROR")))</f>
        <v>OK</v>
      </c>
    </row>
    <row r="361" spans="1:32" s="240" customFormat="1">
      <c r="A361" s="48"/>
      <c r="B361" s="31"/>
      <c r="C361" s="48"/>
      <c r="D361" s="47"/>
      <c r="E361" s="47"/>
      <c r="F361" s="31"/>
      <c r="G361" s="31"/>
      <c r="H361" s="31"/>
      <c r="I361" s="47"/>
      <c r="J361" s="31"/>
      <c r="K361" s="47"/>
      <c r="L361" s="47"/>
      <c r="M361" s="47"/>
      <c r="N361" s="31"/>
      <c r="O361" s="47"/>
      <c r="P361" s="31"/>
      <c r="Q361" s="31"/>
      <c r="R361" s="31"/>
      <c r="S361" s="31"/>
      <c r="T361" s="270">
        <f t="shared" si="40"/>
        <v>0</v>
      </c>
      <c r="U361" s="270">
        <f t="shared" si="41"/>
        <v>0</v>
      </c>
      <c r="V361" s="31"/>
      <c r="X361" s="240" t="str">
        <f t="shared" si="42"/>
        <v>OK</v>
      </c>
      <c r="Y361" s="240" t="str">
        <f t="shared" si="43"/>
        <v>OK</v>
      </c>
      <c r="Z361" s="240" t="str">
        <f t="shared" si="44"/>
        <v>OK</v>
      </c>
      <c r="AA361" s="240" t="str" cm="1">
        <f t="array" ref="AA361">IF(OR(AND(J361="Not accepted",N361:O361&lt;&gt;"",$S361=""),AND(J361="Accepted",S361="")),"ERROR","OK")</f>
        <v>OK</v>
      </c>
      <c r="AB361" s="240" t="str">
        <f t="shared" si="45"/>
        <v>OK</v>
      </c>
      <c r="AC361" s="240" t="str" cm="1">
        <f t="array" ref="AC361">IF(AND(F361:H361&lt;&gt;"",I361=""),"ERROR","OK")</f>
        <v>OK</v>
      </c>
      <c r="AD361" s="240" t="str">
        <f t="shared" si="46"/>
        <v>OK</v>
      </c>
      <c r="AE361" s="240" t="str">
        <f t="shared" si="47"/>
        <v>OK</v>
      </c>
      <c r="AF361" s="240" t="str" cm="1">
        <f t="array" aca="1" ref="AF361" ca="1" xml:space="preserve">
IF(AND($G361&lt;&gt;"",$F361=""),"ERROR",
IF(OR($F361:$G361="",AND($G361="",$F361&lt;&gt;"")),"OK",
IF(COUNTIF(INDIRECT(IFERROR(LEFT($F361,FIND(" ",$F361)-1),$F361)), $G361)&gt;0, "OK", "ERROR")))</f>
        <v>OK</v>
      </c>
    </row>
    <row r="362" spans="1:32" s="240" customFormat="1">
      <c r="A362" s="48"/>
      <c r="B362" s="31"/>
      <c r="C362" s="48"/>
      <c r="D362" s="47"/>
      <c r="E362" s="47"/>
      <c r="F362" s="31"/>
      <c r="G362" s="31"/>
      <c r="H362" s="31"/>
      <c r="I362" s="47"/>
      <c r="J362" s="31"/>
      <c r="K362" s="47"/>
      <c r="L362" s="47"/>
      <c r="M362" s="47"/>
      <c r="N362" s="31"/>
      <c r="O362" s="47"/>
      <c r="P362" s="31"/>
      <c r="Q362" s="31"/>
      <c r="R362" s="31"/>
      <c r="S362" s="31"/>
      <c r="T362" s="270">
        <f t="shared" si="40"/>
        <v>0</v>
      </c>
      <c r="U362" s="270">
        <f t="shared" si="41"/>
        <v>0</v>
      </c>
      <c r="V362" s="31"/>
      <c r="X362" s="240" t="str">
        <f t="shared" si="42"/>
        <v>OK</v>
      </c>
      <c r="Y362" s="240" t="str">
        <f t="shared" si="43"/>
        <v>OK</v>
      </c>
      <c r="Z362" s="240" t="str">
        <f t="shared" si="44"/>
        <v>OK</v>
      </c>
      <c r="AA362" s="240" t="str" cm="1">
        <f t="array" ref="AA362">IF(OR(AND(J362="Not accepted",N362:O362&lt;&gt;"",$S362=""),AND(J362="Accepted",S362="")),"ERROR","OK")</f>
        <v>OK</v>
      </c>
      <c r="AB362" s="240" t="str">
        <f t="shared" si="45"/>
        <v>OK</v>
      </c>
      <c r="AC362" s="240" t="str" cm="1">
        <f t="array" ref="AC362">IF(AND(F362:H362&lt;&gt;"",I362=""),"ERROR","OK")</f>
        <v>OK</v>
      </c>
      <c r="AD362" s="240" t="str">
        <f t="shared" si="46"/>
        <v>OK</v>
      </c>
      <c r="AE362" s="240" t="str">
        <f t="shared" si="47"/>
        <v>OK</v>
      </c>
      <c r="AF362" s="240" t="str" cm="1">
        <f t="array" aca="1" ref="AF362" ca="1" xml:space="preserve">
IF(AND($G362&lt;&gt;"",$F362=""),"ERROR",
IF(OR($F362:$G362="",AND($G362="",$F362&lt;&gt;"")),"OK",
IF(COUNTIF(INDIRECT(IFERROR(LEFT($F362,FIND(" ",$F362)-1),$F362)), $G362)&gt;0, "OK", "ERROR")))</f>
        <v>OK</v>
      </c>
    </row>
    <row r="363" spans="1:32" s="240" customFormat="1">
      <c r="A363" s="48"/>
      <c r="B363" s="31"/>
      <c r="C363" s="48"/>
      <c r="D363" s="47"/>
      <c r="E363" s="47"/>
      <c r="F363" s="31"/>
      <c r="G363" s="31"/>
      <c r="H363" s="31"/>
      <c r="I363" s="47"/>
      <c r="J363" s="31"/>
      <c r="K363" s="47"/>
      <c r="L363" s="47"/>
      <c r="M363" s="47"/>
      <c r="N363" s="31"/>
      <c r="O363" s="47"/>
      <c r="P363" s="31"/>
      <c r="Q363" s="31"/>
      <c r="R363" s="31"/>
      <c r="S363" s="31"/>
      <c r="T363" s="270">
        <f t="shared" si="40"/>
        <v>0</v>
      </c>
      <c r="U363" s="270">
        <f t="shared" si="41"/>
        <v>0</v>
      </c>
      <c r="V363" s="31"/>
      <c r="X363" s="240" t="str">
        <f t="shared" si="42"/>
        <v>OK</v>
      </c>
      <c r="Y363" s="240" t="str">
        <f t="shared" si="43"/>
        <v>OK</v>
      </c>
      <c r="Z363" s="240" t="str">
        <f t="shared" si="44"/>
        <v>OK</v>
      </c>
      <c r="AA363" s="240" t="str" cm="1">
        <f t="array" ref="AA363">IF(OR(AND(J363="Not accepted",N363:O363&lt;&gt;"",$S363=""),AND(J363="Accepted",S363="")),"ERROR","OK")</f>
        <v>OK</v>
      </c>
      <c r="AB363" s="240" t="str">
        <f t="shared" si="45"/>
        <v>OK</v>
      </c>
      <c r="AC363" s="240" t="str" cm="1">
        <f t="array" ref="AC363">IF(AND(F363:H363&lt;&gt;"",I363=""),"ERROR","OK")</f>
        <v>OK</v>
      </c>
      <c r="AD363" s="240" t="str">
        <f t="shared" si="46"/>
        <v>OK</v>
      </c>
      <c r="AE363" s="240" t="str">
        <f t="shared" si="47"/>
        <v>OK</v>
      </c>
      <c r="AF363" s="240" t="str" cm="1">
        <f t="array" aca="1" ref="AF363" ca="1" xml:space="preserve">
IF(AND($G363&lt;&gt;"",$F363=""),"ERROR",
IF(OR($F363:$G363="",AND($G363="",$F363&lt;&gt;"")),"OK",
IF(COUNTIF(INDIRECT(IFERROR(LEFT($F363,FIND(" ",$F363)-1),$F363)), $G363)&gt;0, "OK", "ERROR")))</f>
        <v>OK</v>
      </c>
    </row>
    <row r="364" spans="1:32" s="240" customFormat="1">
      <c r="A364" s="48"/>
      <c r="B364" s="31"/>
      <c r="C364" s="48"/>
      <c r="D364" s="47"/>
      <c r="E364" s="47"/>
      <c r="F364" s="31"/>
      <c r="G364" s="31"/>
      <c r="H364" s="31"/>
      <c r="I364" s="47"/>
      <c r="J364" s="31"/>
      <c r="K364" s="47"/>
      <c r="L364" s="47"/>
      <c r="M364" s="47"/>
      <c r="N364" s="31"/>
      <c r="O364" s="47"/>
      <c r="P364" s="31"/>
      <c r="Q364" s="31"/>
      <c r="R364" s="31"/>
      <c r="S364" s="31"/>
      <c r="T364" s="270">
        <f t="shared" si="40"/>
        <v>0</v>
      </c>
      <c r="U364" s="270">
        <f t="shared" si="41"/>
        <v>0</v>
      </c>
      <c r="V364" s="31"/>
      <c r="X364" s="240" t="str">
        <f t="shared" si="42"/>
        <v>OK</v>
      </c>
      <c r="Y364" s="240" t="str">
        <f t="shared" si="43"/>
        <v>OK</v>
      </c>
      <c r="Z364" s="240" t="str">
        <f t="shared" si="44"/>
        <v>OK</v>
      </c>
      <c r="AA364" s="240" t="str" cm="1">
        <f t="array" ref="AA364">IF(OR(AND(J364="Not accepted",N364:O364&lt;&gt;"",$S364=""),AND(J364="Accepted",S364="")),"ERROR","OK")</f>
        <v>OK</v>
      </c>
      <c r="AB364" s="240" t="str">
        <f t="shared" si="45"/>
        <v>OK</v>
      </c>
      <c r="AC364" s="240" t="str" cm="1">
        <f t="array" ref="AC364">IF(AND(F364:H364&lt;&gt;"",I364=""),"ERROR","OK")</f>
        <v>OK</v>
      </c>
      <c r="AD364" s="240" t="str">
        <f t="shared" si="46"/>
        <v>OK</v>
      </c>
      <c r="AE364" s="240" t="str">
        <f t="shared" si="47"/>
        <v>OK</v>
      </c>
      <c r="AF364" s="240" t="str" cm="1">
        <f t="array" aca="1" ref="AF364" ca="1" xml:space="preserve">
IF(AND($G364&lt;&gt;"",$F364=""),"ERROR",
IF(OR($F364:$G364="",AND($G364="",$F364&lt;&gt;"")),"OK",
IF(COUNTIF(INDIRECT(IFERROR(LEFT($F364,FIND(" ",$F364)-1),$F364)), $G364)&gt;0, "OK", "ERROR")))</f>
        <v>OK</v>
      </c>
    </row>
    <row r="365" spans="1:32" s="240" customFormat="1">
      <c r="A365" s="48"/>
      <c r="B365" s="31"/>
      <c r="C365" s="48"/>
      <c r="D365" s="47"/>
      <c r="E365" s="47"/>
      <c r="F365" s="31"/>
      <c r="G365" s="31"/>
      <c r="H365" s="31"/>
      <c r="I365" s="47"/>
      <c r="J365" s="31"/>
      <c r="K365" s="47"/>
      <c r="L365" s="47"/>
      <c r="M365" s="47"/>
      <c r="N365" s="31"/>
      <c r="O365" s="47"/>
      <c r="P365" s="31"/>
      <c r="Q365" s="31"/>
      <c r="R365" s="31"/>
      <c r="S365" s="31"/>
      <c r="T365" s="270">
        <f t="shared" si="40"/>
        <v>0</v>
      </c>
      <c r="U365" s="270">
        <f t="shared" si="41"/>
        <v>0</v>
      </c>
      <c r="V365" s="31"/>
      <c r="X365" s="240" t="str">
        <f t="shared" si="42"/>
        <v>OK</v>
      </c>
      <c r="Y365" s="240" t="str">
        <f t="shared" si="43"/>
        <v>OK</v>
      </c>
      <c r="Z365" s="240" t="str">
        <f t="shared" si="44"/>
        <v>OK</v>
      </c>
      <c r="AA365" s="240" t="str" cm="1">
        <f t="array" ref="AA365">IF(OR(AND(J365="Not accepted",N365:O365&lt;&gt;"",$S365=""),AND(J365="Accepted",S365="")),"ERROR","OK")</f>
        <v>OK</v>
      </c>
      <c r="AB365" s="240" t="str">
        <f t="shared" si="45"/>
        <v>OK</v>
      </c>
      <c r="AC365" s="240" t="str" cm="1">
        <f t="array" ref="AC365">IF(AND(F365:H365&lt;&gt;"",I365=""),"ERROR","OK")</f>
        <v>OK</v>
      </c>
      <c r="AD365" s="240" t="str">
        <f t="shared" si="46"/>
        <v>OK</v>
      </c>
      <c r="AE365" s="240" t="str">
        <f t="shared" si="47"/>
        <v>OK</v>
      </c>
      <c r="AF365" s="240" t="str" cm="1">
        <f t="array" aca="1" ref="AF365" ca="1" xml:space="preserve">
IF(AND($G365&lt;&gt;"",$F365=""),"ERROR",
IF(OR($F365:$G365="",AND($G365="",$F365&lt;&gt;"")),"OK",
IF(COUNTIF(INDIRECT(IFERROR(LEFT($F365,FIND(" ",$F365)-1),$F365)), $G365)&gt;0, "OK", "ERROR")))</f>
        <v>OK</v>
      </c>
    </row>
    <row r="366" spans="1:32" s="240" customFormat="1">
      <c r="A366" s="48"/>
      <c r="B366" s="31"/>
      <c r="C366" s="48"/>
      <c r="D366" s="47"/>
      <c r="E366" s="47"/>
      <c r="F366" s="31"/>
      <c r="G366" s="31"/>
      <c r="H366" s="31"/>
      <c r="I366" s="47"/>
      <c r="J366" s="31"/>
      <c r="K366" s="47"/>
      <c r="L366" s="47"/>
      <c r="M366" s="47"/>
      <c r="N366" s="31"/>
      <c r="O366" s="47"/>
      <c r="P366" s="31"/>
      <c r="Q366" s="31"/>
      <c r="R366" s="31"/>
      <c r="S366" s="31"/>
      <c r="T366" s="270">
        <f t="shared" si="40"/>
        <v>0</v>
      </c>
      <c r="U366" s="270">
        <f t="shared" si="41"/>
        <v>0</v>
      </c>
      <c r="V366" s="31"/>
      <c r="X366" s="240" t="str">
        <f t="shared" si="42"/>
        <v>OK</v>
      </c>
      <c r="Y366" s="240" t="str">
        <f t="shared" si="43"/>
        <v>OK</v>
      </c>
      <c r="Z366" s="240" t="str">
        <f t="shared" si="44"/>
        <v>OK</v>
      </c>
      <c r="AA366" s="240" t="str" cm="1">
        <f t="array" ref="AA366">IF(OR(AND(J366="Not accepted",N366:O366&lt;&gt;"",$S366=""),AND(J366="Accepted",S366="")),"ERROR","OK")</f>
        <v>OK</v>
      </c>
      <c r="AB366" s="240" t="str">
        <f t="shared" si="45"/>
        <v>OK</v>
      </c>
      <c r="AC366" s="240" t="str" cm="1">
        <f t="array" ref="AC366">IF(AND(F366:H366&lt;&gt;"",I366=""),"ERROR","OK")</f>
        <v>OK</v>
      </c>
      <c r="AD366" s="240" t="str">
        <f t="shared" si="46"/>
        <v>OK</v>
      </c>
      <c r="AE366" s="240" t="str">
        <f t="shared" si="47"/>
        <v>OK</v>
      </c>
      <c r="AF366" s="240" t="str" cm="1">
        <f t="array" aca="1" ref="AF366" ca="1" xml:space="preserve">
IF(AND($G366&lt;&gt;"",$F366=""),"ERROR",
IF(OR($F366:$G366="",AND($G366="",$F366&lt;&gt;"")),"OK",
IF(COUNTIF(INDIRECT(IFERROR(LEFT($F366,FIND(" ",$F366)-1),$F366)), $G366)&gt;0, "OK", "ERROR")))</f>
        <v>OK</v>
      </c>
    </row>
    <row r="367" spans="1:32" s="240" customFormat="1">
      <c r="A367" s="48"/>
      <c r="B367" s="31"/>
      <c r="C367" s="48"/>
      <c r="D367" s="47"/>
      <c r="E367" s="47"/>
      <c r="F367" s="31"/>
      <c r="G367" s="31"/>
      <c r="H367" s="31"/>
      <c r="I367" s="47"/>
      <c r="J367" s="31"/>
      <c r="K367" s="47"/>
      <c r="L367" s="47"/>
      <c r="M367" s="47"/>
      <c r="N367" s="31"/>
      <c r="O367" s="47"/>
      <c r="P367" s="31"/>
      <c r="Q367" s="31"/>
      <c r="R367" s="31"/>
      <c r="S367" s="31"/>
      <c r="T367" s="270">
        <f t="shared" si="40"/>
        <v>0</v>
      </c>
      <c r="U367" s="270">
        <f t="shared" si="41"/>
        <v>0</v>
      </c>
      <c r="V367" s="31"/>
      <c r="X367" s="240" t="str">
        <f t="shared" si="42"/>
        <v>OK</v>
      </c>
      <c r="Y367" s="240" t="str">
        <f t="shared" si="43"/>
        <v>OK</v>
      </c>
      <c r="Z367" s="240" t="str">
        <f t="shared" si="44"/>
        <v>OK</v>
      </c>
      <c r="AA367" s="240" t="str" cm="1">
        <f t="array" ref="AA367">IF(OR(AND(J367="Not accepted",N367:O367&lt;&gt;"",$S367=""),AND(J367="Accepted",S367="")),"ERROR","OK")</f>
        <v>OK</v>
      </c>
      <c r="AB367" s="240" t="str">
        <f t="shared" si="45"/>
        <v>OK</v>
      </c>
      <c r="AC367" s="240" t="str" cm="1">
        <f t="array" ref="AC367">IF(AND(F367:H367&lt;&gt;"",I367=""),"ERROR","OK")</f>
        <v>OK</v>
      </c>
      <c r="AD367" s="240" t="str">
        <f t="shared" si="46"/>
        <v>OK</v>
      </c>
      <c r="AE367" s="240" t="str">
        <f t="shared" si="47"/>
        <v>OK</v>
      </c>
      <c r="AF367" s="240" t="str" cm="1">
        <f t="array" aca="1" ref="AF367" ca="1" xml:space="preserve">
IF(AND($G367&lt;&gt;"",$F367=""),"ERROR",
IF(OR($F367:$G367="",AND($G367="",$F367&lt;&gt;"")),"OK",
IF(COUNTIF(INDIRECT(IFERROR(LEFT($F367,FIND(" ",$F367)-1),$F367)), $G367)&gt;0, "OK", "ERROR")))</f>
        <v>OK</v>
      </c>
    </row>
    <row r="368" spans="1:32" s="240" customFormat="1">
      <c r="A368" s="48"/>
      <c r="B368" s="31"/>
      <c r="C368" s="48"/>
      <c r="D368" s="47"/>
      <c r="E368" s="47"/>
      <c r="F368" s="31"/>
      <c r="G368" s="31"/>
      <c r="H368" s="31"/>
      <c r="I368" s="47"/>
      <c r="J368" s="31"/>
      <c r="K368" s="47"/>
      <c r="L368" s="47"/>
      <c r="M368" s="47"/>
      <c r="N368" s="31"/>
      <c r="O368" s="47"/>
      <c r="P368" s="31"/>
      <c r="Q368" s="31"/>
      <c r="R368" s="31"/>
      <c r="S368" s="31"/>
      <c r="T368" s="270">
        <f t="shared" si="40"/>
        <v>0</v>
      </c>
      <c r="U368" s="270">
        <f t="shared" si="41"/>
        <v>0</v>
      </c>
      <c r="V368" s="31"/>
      <c r="X368" s="240" t="str">
        <f t="shared" si="42"/>
        <v>OK</v>
      </c>
      <c r="Y368" s="240" t="str">
        <f t="shared" si="43"/>
        <v>OK</v>
      </c>
      <c r="Z368" s="240" t="str">
        <f t="shared" si="44"/>
        <v>OK</v>
      </c>
      <c r="AA368" s="240" t="str" cm="1">
        <f t="array" ref="AA368">IF(OR(AND(J368="Not accepted",N368:O368&lt;&gt;"",$S368=""),AND(J368="Accepted",S368="")),"ERROR","OK")</f>
        <v>OK</v>
      </c>
      <c r="AB368" s="240" t="str">
        <f t="shared" si="45"/>
        <v>OK</v>
      </c>
      <c r="AC368" s="240" t="str" cm="1">
        <f t="array" ref="AC368">IF(AND(F368:H368&lt;&gt;"",I368=""),"ERROR","OK")</f>
        <v>OK</v>
      </c>
      <c r="AD368" s="240" t="str">
        <f t="shared" si="46"/>
        <v>OK</v>
      </c>
      <c r="AE368" s="240" t="str">
        <f t="shared" si="47"/>
        <v>OK</v>
      </c>
      <c r="AF368" s="240" t="str" cm="1">
        <f t="array" aca="1" ref="AF368" ca="1" xml:space="preserve">
IF(AND($G368&lt;&gt;"",$F368=""),"ERROR",
IF(OR($F368:$G368="",AND($G368="",$F368&lt;&gt;"")),"OK",
IF(COUNTIF(INDIRECT(IFERROR(LEFT($F368,FIND(" ",$F368)-1),$F368)), $G368)&gt;0, "OK", "ERROR")))</f>
        <v>OK</v>
      </c>
    </row>
    <row r="369" spans="1:32" s="240" customFormat="1">
      <c r="A369" s="48"/>
      <c r="B369" s="31"/>
      <c r="C369" s="48"/>
      <c r="D369" s="47"/>
      <c r="E369" s="47"/>
      <c r="F369" s="31"/>
      <c r="G369" s="31"/>
      <c r="H369" s="31"/>
      <c r="I369" s="47"/>
      <c r="J369" s="31"/>
      <c r="K369" s="47"/>
      <c r="L369" s="47"/>
      <c r="M369" s="47"/>
      <c r="N369" s="31"/>
      <c r="O369" s="47"/>
      <c r="P369" s="31"/>
      <c r="Q369" s="31"/>
      <c r="R369" s="31"/>
      <c r="S369" s="31"/>
      <c r="T369" s="270">
        <f t="shared" si="40"/>
        <v>0</v>
      </c>
      <c r="U369" s="270">
        <f t="shared" si="41"/>
        <v>0</v>
      </c>
      <c r="V369" s="31"/>
      <c r="X369" s="240" t="str">
        <f t="shared" si="42"/>
        <v>OK</v>
      </c>
      <c r="Y369" s="240" t="str">
        <f t="shared" si="43"/>
        <v>OK</v>
      </c>
      <c r="Z369" s="240" t="str">
        <f t="shared" si="44"/>
        <v>OK</v>
      </c>
      <c r="AA369" s="240" t="str" cm="1">
        <f t="array" ref="AA369">IF(OR(AND(J369="Not accepted",N369:O369&lt;&gt;"",$S369=""),AND(J369="Accepted",S369="")),"ERROR","OK")</f>
        <v>OK</v>
      </c>
      <c r="AB369" s="240" t="str">
        <f t="shared" si="45"/>
        <v>OK</v>
      </c>
      <c r="AC369" s="240" t="str" cm="1">
        <f t="array" ref="AC369">IF(AND(F369:H369&lt;&gt;"",I369=""),"ERROR","OK")</f>
        <v>OK</v>
      </c>
      <c r="AD369" s="240" t="str">
        <f t="shared" si="46"/>
        <v>OK</v>
      </c>
      <c r="AE369" s="240" t="str">
        <f t="shared" si="47"/>
        <v>OK</v>
      </c>
      <c r="AF369" s="240" t="str" cm="1">
        <f t="array" aca="1" ref="AF369" ca="1" xml:space="preserve">
IF(AND($G369&lt;&gt;"",$F369=""),"ERROR",
IF(OR($F369:$G369="",AND($G369="",$F369&lt;&gt;"")),"OK",
IF(COUNTIF(INDIRECT(IFERROR(LEFT($F369,FIND(" ",$F369)-1),$F369)), $G369)&gt;0, "OK", "ERROR")))</f>
        <v>OK</v>
      </c>
    </row>
    <row r="370" spans="1:32" s="240" customFormat="1">
      <c r="A370" s="48"/>
      <c r="B370" s="31"/>
      <c r="C370" s="48"/>
      <c r="D370" s="47"/>
      <c r="E370" s="47"/>
      <c r="F370" s="31"/>
      <c r="G370" s="31"/>
      <c r="H370" s="31"/>
      <c r="I370" s="47"/>
      <c r="J370" s="31"/>
      <c r="K370" s="47"/>
      <c r="L370" s="47"/>
      <c r="M370" s="47"/>
      <c r="N370" s="31"/>
      <c r="O370" s="47"/>
      <c r="P370" s="31"/>
      <c r="Q370" s="31"/>
      <c r="R370" s="31"/>
      <c r="S370" s="31"/>
      <c r="T370" s="270">
        <f t="shared" si="40"/>
        <v>0</v>
      </c>
      <c r="U370" s="270">
        <f t="shared" si="41"/>
        <v>0</v>
      </c>
      <c r="V370" s="31"/>
      <c r="X370" s="240" t="str">
        <f t="shared" si="42"/>
        <v>OK</v>
      </c>
      <c r="Y370" s="240" t="str">
        <f t="shared" si="43"/>
        <v>OK</v>
      </c>
      <c r="Z370" s="240" t="str">
        <f t="shared" si="44"/>
        <v>OK</v>
      </c>
      <c r="AA370" s="240" t="str" cm="1">
        <f t="array" ref="AA370">IF(OR(AND(J370="Not accepted",N370:O370&lt;&gt;"",$S370=""),AND(J370="Accepted",S370="")),"ERROR","OK")</f>
        <v>OK</v>
      </c>
      <c r="AB370" s="240" t="str">
        <f t="shared" si="45"/>
        <v>OK</v>
      </c>
      <c r="AC370" s="240" t="str" cm="1">
        <f t="array" ref="AC370">IF(AND(F370:H370&lt;&gt;"",I370=""),"ERROR","OK")</f>
        <v>OK</v>
      </c>
      <c r="AD370" s="240" t="str">
        <f t="shared" si="46"/>
        <v>OK</v>
      </c>
      <c r="AE370" s="240" t="str">
        <f t="shared" si="47"/>
        <v>OK</v>
      </c>
      <c r="AF370" s="240" t="str" cm="1">
        <f t="array" aca="1" ref="AF370" ca="1" xml:space="preserve">
IF(AND($G370&lt;&gt;"",$F370=""),"ERROR",
IF(OR($F370:$G370="",AND($G370="",$F370&lt;&gt;"")),"OK",
IF(COUNTIF(INDIRECT(IFERROR(LEFT($F370,FIND(" ",$F370)-1),$F370)), $G370)&gt;0, "OK", "ERROR")))</f>
        <v>OK</v>
      </c>
    </row>
    <row r="371" spans="1:32" s="240" customFormat="1">
      <c r="A371" s="48"/>
      <c r="B371" s="31"/>
      <c r="C371" s="48"/>
      <c r="D371" s="47"/>
      <c r="E371" s="47"/>
      <c r="F371" s="31"/>
      <c r="G371" s="31"/>
      <c r="H371" s="31"/>
      <c r="I371" s="47"/>
      <c r="J371" s="31"/>
      <c r="K371" s="47"/>
      <c r="L371" s="47"/>
      <c r="M371" s="47"/>
      <c r="N371" s="31"/>
      <c r="O371" s="47"/>
      <c r="P371" s="31"/>
      <c r="Q371" s="31"/>
      <c r="R371" s="31"/>
      <c r="S371" s="31"/>
      <c r="T371" s="270">
        <f t="shared" si="40"/>
        <v>0</v>
      </c>
      <c r="U371" s="270">
        <f t="shared" si="41"/>
        <v>0</v>
      </c>
      <c r="V371" s="31"/>
      <c r="X371" s="240" t="str">
        <f t="shared" si="42"/>
        <v>OK</v>
      </c>
      <c r="Y371" s="240" t="str">
        <f t="shared" si="43"/>
        <v>OK</v>
      </c>
      <c r="Z371" s="240" t="str">
        <f t="shared" si="44"/>
        <v>OK</v>
      </c>
      <c r="AA371" s="240" t="str" cm="1">
        <f t="array" ref="AA371">IF(OR(AND(J371="Not accepted",N371:O371&lt;&gt;"",$S371=""),AND(J371="Accepted",S371="")),"ERROR","OK")</f>
        <v>OK</v>
      </c>
      <c r="AB371" s="240" t="str">
        <f t="shared" si="45"/>
        <v>OK</v>
      </c>
      <c r="AC371" s="240" t="str" cm="1">
        <f t="array" ref="AC371">IF(AND(F371:H371&lt;&gt;"",I371=""),"ERROR","OK")</f>
        <v>OK</v>
      </c>
      <c r="AD371" s="240" t="str">
        <f t="shared" si="46"/>
        <v>OK</v>
      </c>
      <c r="AE371" s="240" t="str">
        <f t="shared" si="47"/>
        <v>OK</v>
      </c>
      <c r="AF371" s="240" t="str" cm="1">
        <f t="array" aca="1" ref="AF371" ca="1" xml:space="preserve">
IF(AND($G371&lt;&gt;"",$F371=""),"ERROR",
IF(OR($F371:$G371="",AND($G371="",$F371&lt;&gt;"")),"OK",
IF(COUNTIF(INDIRECT(IFERROR(LEFT($F371,FIND(" ",$F371)-1),$F371)), $G371)&gt;0, "OK", "ERROR")))</f>
        <v>OK</v>
      </c>
    </row>
    <row r="372" spans="1:32" s="240" customFormat="1">
      <c r="A372" s="48"/>
      <c r="B372" s="31"/>
      <c r="C372" s="48"/>
      <c r="D372" s="47"/>
      <c r="E372" s="47"/>
      <c r="F372" s="31"/>
      <c r="G372" s="31"/>
      <c r="H372" s="31"/>
      <c r="I372" s="47"/>
      <c r="J372" s="31"/>
      <c r="K372" s="47"/>
      <c r="L372" s="47"/>
      <c r="M372" s="47"/>
      <c r="N372" s="31"/>
      <c r="O372" s="47"/>
      <c r="P372" s="31"/>
      <c r="Q372" s="31"/>
      <c r="R372" s="31"/>
      <c r="S372" s="31"/>
      <c r="T372" s="270">
        <f t="shared" si="40"/>
        <v>0</v>
      </c>
      <c r="U372" s="270">
        <f t="shared" si="41"/>
        <v>0</v>
      </c>
      <c r="V372" s="31"/>
      <c r="X372" s="240" t="str">
        <f t="shared" si="42"/>
        <v>OK</v>
      </c>
      <c r="Y372" s="240" t="str">
        <f t="shared" si="43"/>
        <v>OK</v>
      </c>
      <c r="Z372" s="240" t="str">
        <f t="shared" si="44"/>
        <v>OK</v>
      </c>
      <c r="AA372" s="240" t="str" cm="1">
        <f t="array" ref="AA372">IF(OR(AND(J372="Not accepted",N372:O372&lt;&gt;"",$S372=""),AND(J372="Accepted",S372="")),"ERROR","OK")</f>
        <v>OK</v>
      </c>
      <c r="AB372" s="240" t="str">
        <f t="shared" si="45"/>
        <v>OK</v>
      </c>
      <c r="AC372" s="240" t="str" cm="1">
        <f t="array" ref="AC372">IF(AND(F372:H372&lt;&gt;"",I372=""),"ERROR","OK")</f>
        <v>OK</v>
      </c>
      <c r="AD372" s="240" t="str">
        <f t="shared" si="46"/>
        <v>OK</v>
      </c>
      <c r="AE372" s="240" t="str">
        <f t="shared" si="47"/>
        <v>OK</v>
      </c>
      <c r="AF372" s="240" t="str" cm="1">
        <f t="array" aca="1" ref="AF372" ca="1" xml:space="preserve">
IF(AND($G372&lt;&gt;"",$F372=""),"ERROR",
IF(OR($F372:$G372="",AND($G372="",$F372&lt;&gt;"")),"OK",
IF(COUNTIF(INDIRECT(IFERROR(LEFT($F372,FIND(" ",$F372)-1),$F372)), $G372)&gt;0, "OK", "ERROR")))</f>
        <v>OK</v>
      </c>
    </row>
    <row r="373" spans="1:32" s="240" customFormat="1">
      <c r="A373" s="48"/>
      <c r="B373" s="31"/>
      <c r="C373" s="48"/>
      <c r="D373" s="47"/>
      <c r="E373" s="47"/>
      <c r="F373" s="31"/>
      <c r="G373" s="31"/>
      <c r="H373" s="31"/>
      <c r="I373" s="47"/>
      <c r="J373" s="31"/>
      <c r="K373" s="47"/>
      <c r="L373" s="47"/>
      <c r="M373" s="47"/>
      <c r="N373" s="31"/>
      <c r="O373" s="47"/>
      <c r="P373" s="31"/>
      <c r="Q373" s="31"/>
      <c r="R373" s="31"/>
      <c r="S373" s="31"/>
      <c r="T373" s="270">
        <f t="shared" si="40"/>
        <v>0</v>
      </c>
      <c r="U373" s="270">
        <f t="shared" si="41"/>
        <v>0</v>
      </c>
      <c r="V373" s="31"/>
      <c r="X373" s="240" t="str">
        <f t="shared" si="42"/>
        <v>OK</v>
      </c>
      <c r="Y373" s="240" t="str">
        <f t="shared" si="43"/>
        <v>OK</v>
      </c>
      <c r="Z373" s="240" t="str">
        <f t="shared" si="44"/>
        <v>OK</v>
      </c>
      <c r="AA373" s="240" t="str" cm="1">
        <f t="array" ref="AA373">IF(OR(AND(J373="Not accepted",N373:O373&lt;&gt;"",$S373=""),AND(J373="Accepted",S373="")),"ERROR","OK")</f>
        <v>OK</v>
      </c>
      <c r="AB373" s="240" t="str">
        <f t="shared" si="45"/>
        <v>OK</v>
      </c>
      <c r="AC373" s="240" t="str" cm="1">
        <f t="array" ref="AC373">IF(AND(F373:H373&lt;&gt;"",I373=""),"ERROR","OK")</f>
        <v>OK</v>
      </c>
      <c r="AD373" s="240" t="str">
        <f t="shared" si="46"/>
        <v>OK</v>
      </c>
      <c r="AE373" s="240" t="str">
        <f t="shared" si="47"/>
        <v>OK</v>
      </c>
      <c r="AF373" s="240" t="str" cm="1">
        <f t="array" aca="1" ref="AF373" ca="1" xml:space="preserve">
IF(AND($G373&lt;&gt;"",$F373=""),"ERROR",
IF(OR($F373:$G373="",AND($G373="",$F373&lt;&gt;"")),"OK",
IF(COUNTIF(INDIRECT(IFERROR(LEFT($F373,FIND(" ",$F373)-1),$F373)), $G373)&gt;0, "OK", "ERROR")))</f>
        <v>OK</v>
      </c>
    </row>
    <row r="374" spans="1:32" s="240" customFormat="1">
      <c r="A374" s="48"/>
      <c r="B374" s="31"/>
      <c r="C374" s="48"/>
      <c r="D374" s="47"/>
      <c r="E374" s="47"/>
      <c r="F374" s="31"/>
      <c r="G374" s="31"/>
      <c r="H374" s="31"/>
      <c r="I374" s="47"/>
      <c r="J374" s="31"/>
      <c r="K374" s="47"/>
      <c r="L374" s="47"/>
      <c r="M374" s="47"/>
      <c r="N374" s="31"/>
      <c r="O374" s="47"/>
      <c r="P374" s="31"/>
      <c r="Q374" s="31"/>
      <c r="R374" s="31"/>
      <c r="S374" s="31"/>
      <c r="T374" s="270">
        <f t="shared" si="40"/>
        <v>0</v>
      </c>
      <c r="U374" s="270">
        <f t="shared" si="41"/>
        <v>0</v>
      </c>
      <c r="V374" s="31"/>
      <c r="X374" s="240" t="str">
        <f t="shared" si="42"/>
        <v>OK</v>
      </c>
      <c r="Y374" s="240" t="str">
        <f t="shared" si="43"/>
        <v>OK</v>
      </c>
      <c r="Z374" s="240" t="str">
        <f t="shared" si="44"/>
        <v>OK</v>
      </c>
      <c r="AA374" s="240" t="str" cm="1">
        <f t="array" ref="AA374">IF(OR(AND(J374="Not accepted",N374:O374&lt;&gt;"",$S374=""),AND(J374="Accepted",S374="")),"ERROR","OK")</f>
        <v>OK</v>
      </c>
      <c r="AB374" s="240" t="str">
        <f t="shared" si="45"/>
        <v>OK</v>
      </c>
      <c r="AC374" s="240" t="str" cm="1">
        <f t="array" ref="AC374">IF(AND(F374:H374&lt;&gt;"",I374=""),"ERROR","OK")</f>
        <v>OK</v>
      </c>
      <c r="AD374" s="240" t="str">
        <f t="shared" si="46"/>
        <v>OK</v>
      </c>
      <c r="AE374" s="240" t="str">
        <f t="shared" si="47"/>
        <v>OK</v>
      </c>
      <c r="AF374" s="240" t="str" cm="1">
        <f t="array" aca="1" ref="AF374" ca="1" xml:space="preserve">
IF(AND($G374&lt;&gt;"",$F374=""),"ERROR",
IF(OR($F374:$G374="",AND($G374="",$F374&lt;&gt;"")),"OK",
IF(COUNTIF(INDIRECT(IFERROR(LEFT($F374,FIND(" ",$F374)-1),$F374)), $G374)&gt;0, "OK", "ERROR")))</f>
        <v>OK</v>
      </c>
    </row>
    <row r="375" spans="1:32" s="240" customFormat="1">
      <c r="A375" s="48"/>
      <c r="B375" s="31"/>
      <c r="C375" s="48"/>
      <c r="D375" s="47"/>
      <c r="E375" s="47"/>
      <c r="F375" s="31"/>
      <c r="G375" s="31"/>
      <c r="H375" s="31"/>
      <c r="I375" s="47"/>
      <c r="J375" s="31"/>
      <c r="K375" s="47"/>
      <c r="L375" s="47"/>
      <c r="M375" s="47"/>
      <c r="N375" s="31"/>
      <c r="O375" s="47"/>
      <c r="P375" s="31"/>
      <c r="Q375" s="31"/>
      <c r="R375" s="31"/>
      <c r="S375" s="31"/>
      <c r="T375" s="270">
        <f t="shared" si="40"/>
        <v>0</v>
      </c>
      <c r="U375" s="270">
        <f t="shared" si="41"/>
        <v>0</v>
      </c>
      <c r="V375" s="31"/>
      <c r="X375" s="240" t="str">
        <f t="shared" si="42"/>
        <v>OK</v>
      </c>
      <c r="Y375" s="240" t="str">
        <f t="shared" si="43"/>
        <v>OK</v>
      </c>
      <c r="Z375" s="240" t="str">
        <f t="shared" si="44"/>
        <v>OK</v>
      </c>
      <c r="AA375" s="240" t="str" cm="1">
        <f t="array" ref="AA375">IF(OR(AND(J375="Not accepted",N375:O375&lt;&gt;"",$S375=""),AND(J375="Accepted",S375="")),"ERROR","OK")</f>
        <v>OK</v>
      </c>
      <c r="AB375" s="240" t="str">
        <f t="shared" si="45"/>
        <v>OK</v>
      </c>
      <c r="AC375" s="240" t="str" cm="1">
        <f t="array" ref="AC375">IF(AND(F375:H375&lt;&gt;"",I375=""),"ERROR","OK")</f>
        <v>OK</v>
      </c>
      <c r="AD375" s="240" t="str">
        <f t="shared" si="46"/>
        <v>OK</v>
      </c>
      <c r="AE375" s="240" t="str">
        <f t="shared" si="47"/>
        <v>OK</v>
      </c>
      <c r="AF375" s="240" t="str" cm="1">
        <f t="array" aca="1" ref="AF375" ca="1" xml:space="preserve">
IF(AND($G375&lt;&gt;"",$F375=""),"ERROR",
IF(OR($F375:$G375="",AND($G375="",$F375&lt;&gt;"")),"OK",
IF(COUNTIF(INDIRECT(IFERROR(LEFT($F375,FIND(" ",$F375)-1),$F375)), $G375)&gt;0, "OK", "ERROR")))</f>
        <v>OK</v>
      </c>
    </row>
    <row r="376" spans="1:32" s="240" customFormat="1">
      <c r="A376" s="48"/>
      <c r="B376" s="31"/>
      <c r="C376" s="48"/>
      <c r="D376" s="47"/>
      <c r="E376" s="47"/>
      <c r="F376" s="31"/>
      <c r="G376" s="31"/>
      <c r="H376" s="31"/>
      <c r="I376" s="47"/>
      <c r="J376" s="31"/>
      <c r="K376" s="47"/>
      <c r="L376" s="47"/>
      <c r="M376" s="47"/>
      <c r="N376" s="31"/>
      <c r="O376" s="47"/>
      <c r="P376" s="31"/>
      <c r="Q376" s="31"/>
      <c r="R376" s="31"/>
      <c r="S376" s="31"/>
      <c r="T376" s="270">
        <f t="shared" si="40"/>
        <v>0</v>
      </c>
      <c r="U376" s="270">
        <f t="shared" si="41"/>
        <v>0</v>
      </c>
      <c r="V376" s="31"/>
      <c r="X376" s="240" t="str">
        <f t="shared" si="42"/>
        <v>OK</v>
      </c>
      <c r="Y376" s="240" t="str">
        <f t="shared" si="43"/>
        <v>OK</v>
      </c>
      <c r="Z376" s="240" t="str">
        <f t="shared" si="44"/>
        <v>OK</v>
      </c>
      <c r="AA376" s="240" t="str" cm="1">
        <f t="array" ref="AA376">IF(OR(AND(J376="Not accepted",N376:O376&lt;&gt;"",$S376=""),AND(J376="Accepted",S376="")),"ERROR","OK")</f>
        <v>OK</v>
      </c>
      <c r="AB376" s="240" t="str">
        <f t="shared" si="45"/>
        <v>OK</v>
      </c>
      <c r="AC376" s="240" t="str" cm="1">
        <f t="array" ref="AC376">IF(AND(F376:H376&lt;&gt;"",I376=""),"ERROR","OK")</f>
        <v>OK</v>
      </c>
      <c r="AD376" s="240" t="str">
        <f t="shared" si="46"/>
        <v>OK</v>
      </c>
      <c r="AE376" s="240" t="str">
        <f t="shared" si="47"/>
        <v>OK</v>
      </c>
      <c r="AF376" s="240" t="str" cm="1">
        <f t="array" aca="1" ref="AF376" ca="1" xml:space="preserve">
IF(AND($G376&lt;&gt;"",$F376=""),"ERROR",
IF(OR($F376:$G376="",AND($G376="",$F376&lt;&gt;"")),"OK",
IF(COUNTIF(INDIRECT(IFERROR(LEFT($F376,FIND(" ",$F376)-1),$F376)), $G376)&gt;0, "OK", "ERROR")))</f>
        <v>OK</v>
      </c>
    </row>
    <row r="377" spans="1:32" s="240" customFormat="1">
      <c r="A377" s="48"/>
      <c r="B377" s="31"/>
      <c r="C377" s="48"/>
      <c r="D377" s="47"/>
      <c r="E377" s="47"/>
      <c r="F377" s="31"/>
      <c r="G377" s="31"/>
      <c r="H377" s="31"/>
      <c r="I377" s="47"/>
      <c r="J377" s="31"/>
      <c r="K377" s="47"/>
      <c r="L377" s="47"/>
      <c r="M377" s="47"/>
      <c r="N377" s="31"/>
      <c r="O377" s="47"/>
      <c r="P377" s="31"/>
      <c r="Q377" s="31"/>
      <c r="R377" s="31"/>
      <c r="S377" s="31"/>
      <c r="T377" s="270">
        <f t="shared" si="40"/>
        <v>0</v>
      </c>
      <c r="U377" s="270">
        <f t="shared" si="41"/>
        <v>0</v>
      </c>
      <c r="V377" s="31"/>
      <c r="X377" s="240" t="str">
        <f t="shared" si="42"/>
        <v>OK</v>
      </c>
      <c r="Y377" s="240" t="str">
        <f t="shared" si="43"/>
        <v>OK</v>
      </c>
      <c r="Z377" s="240" t="str">
        <f t="shared" si="44"/>
        <v>OK</v>
      </c>
      <c r="AA377" s="240" t="str" cm="1">
        <f t="array" ref="AA377">IF(OR(AND(J377="Not accepted",N377:O377&lt;&gt;"",$S377=""),AND(J377="Accepted",S377="")),"ERROR","OK")</f>
        <v>OK</v>
      </c>
      <c r="AB377" s="240" t="str">
        <f t="shared" si="45"/>
        <v>OK</v>
      </c>
      <c r="AC377" s="240" t="str" cm="1">
        <f t="array" ref="AC377">IF(AND(F377:H377&lt;&gt;"",I377=""),"ERROR","OK")</f>
        <v>OK</v>
      </c>
      <c r="AD377" s="240" t="str">
        <f t="shared" si="46"/>
        <v>OK</v>
      </c>
      <c r="AE377" s="240" t="str">
        <f t="shared" si="47"/>
        <v>OK</v>
      </c>
      <c r="AF377" s="240" t="str" cm="1">
        <f t="array" aca="1" ref="AF377" ca="1" xml:space="preserve">
IF(AND($G377&lt;&gt;"",$F377=""),"ERROR",
IF(OR($F377:$G377="",AND($G377="",$F377&lt;&gt;"")),"OK",
IF(COUNTIF(INDIRECT(IFERROR(LEFT($F377,FIND(" ",$F377)-1),$F377)), $G377)&gt;0, "OK", "ERROR")))</f>
        <v>OK</v>
      </c>
    </row>
    <row r="378" spans="1:32" s="240" customFormat="1">
      <c r="A378" s="48"/>
      <c r="B378" s="31"/>
      <c r="C378" s="48"/>
      <c r="D378" s="47"/>
      <c r="E378" s="47"/>
      <c r="F378" s="31"/>
      <c r="G378" s="31"/>
      <c r="H378" s="31"/>
      <c r="I378" s="47"/>
      <c r="J378" s="31"/>
      <c r="K378" s="47"/>
      <c r="L378" s="47"/>
      <c r="M378" s="47"/>
      <c r="N378" s="31"/>
      <c r="O378" s="47"/>
      <c r="P378" s="31"/>
      <c r="Q378" s="31"/>
      <c r="R378" s="31"/>
      <c r="S378" s="31"/>
      <c r="T378" s="270">
        <f t="shared" si="40"/>
        <v>0</v>
      </c>
      <c r="U378" s="270">
        <f t="shared" si="41"/>
        <v>0</v>
      </c>
      <c r="V378" s="31"/>
      <c r="X378" s="240" t="str">
        <f t="shared" si="42"/>
        <v>OK</v>
      </c>
      <c r="Y378" s="240" t="str">
        <f t="shared" si="43"/>
        <v>OK</v>
      </c>
      <c r="Z378" s="240" t="str">
        <f t="shared" si="44"/>
        <v>OK</v>
      </c>
      <c r="AA378" s="240" t="str" cm="1">
        <f t="array" ref="AA378">IF(OR(AND(J378="Not accepted",N378:O378&lt;&gt;"",$S378=""),AND(J378="Accepted",S378="")),"ERROR","OK")</f>
        <v>OK</v>
      </c>
      <c r="AB378" s="240" t="str">
        <f t="shared" si="45"/>
        <v>OK</v>
      </c>
      <c r="AC378" s="240" t="str" cm="1">
        <f t="array" ref="AC378">IF(AND(F378:H378&lt;&gt;"",I378=""),"ERROR","OK")</f>
        <v>OK</v>
      </c>
      <c r="AD378" s="240" t="str">
        <f t="shared" si="46"/>
        <v>OK</v>
      </c>
      <c r="AE378" s="240" t="str">
        <f t="shared" si="47"/>
        <v>OK</v>
      </c>
      <c r="AF378" s="240" t="str" cm="1">
        <f t="array" aca="1" ref="AF378" ca="1" xml:space="preserve">
IF(AND($G378&lt;&gt;"",$F378=""),"ERROR",
IF(OR($F378:$G378="",AND($G378="",$F378&lt;&gt;"")),"OK",
IF(COUNTIF(INDIRECT(IFERROR(LEFT($F378,FIND(" ",$F378)-1),$F378)), $G378)&gt;0, "OK", "ERROR")))</f>
        <v>OK</v>
      </c>
    </row>
    <row r="379" spans="1:32" s="240" customFormat="1">
      <c r="A379" s="48"/>
      <c r="B379" s="31"/>
      <c r="C379" s="48"/>
      <c r="D379" s="47"/>
      <c r="E379" s="47"/>
      <c r="F379" s="31"/>
      <c r="G379" s="31"/>
      <c r="H379" s="31"/>
      <c r="I379" s="47"/>
      <c r="J379" s="31"/>
      <c r="K379" s="47"/>
      <c r="L379" s="47"/>
      <c r="M379" s="47"/>
      <c r="N379" s="31"/>
      <c r="O379" s="47"/>
      <c r="P379" s="31"/>
      <c r="Q379" s="31"/>
      <c r="R379" s="31"/>
      <c r="S379" s="31"/>
      <c r="T379" s="270">
        <f t="shared" si="40"/>
        <v>0</v>
      </c>
      <c r="U379" s="270">
        <f t="shared" si="41"/>
        <v>0</v>
      </c>
      <c r="V379" s="31"/>
      <c r="X379" s="240" t="str">
        <f t="shared" si="42"/>
        <v>OK</v>
      </c>
      <c r="Y379" s="240" t="str">
        <f t="shared" si="43"/>
        <v>OK</v>
      </c>
      <c r="Z379" s="240" t="str">
        <f t="shared" si="44"/>
        <v>OK</v>
      </c>
      <c r="AA379" s="240" t="str" cm="1">
        <f t="array" ref="AA379">IF(OR(AND(J379="Not accepted",N379:O379&lt;&gt;"",$S379=""),AND(J379="Accepted",S379="")),"ERROR","OK")</f>
        <v>OK</v>
      </c>
      <c r="AB379" s="240" t="str">
        <f t="shared" si="45"/>
        <v>OK</v>
      </c>
      <c r="AC379" s="240" t="str" cm="1">
        <f t="array" ref="AC379">IF(AND(F379:H379&lt;&gt;"",I379=""),"ERROR","OK")</f>
        <v>OK</v>
      </c>
      <c r="AD379" s="240" t="str">
        <f t="shared" si="46"/>
        <v>OK</v>
      </c>
      <c r="AE379" s="240" t="str">
        <f t="shared" si="47"/>
        <v>OK</v>
      </c>
      <c r="AF379" s="240" t="str" cm="1">
        <f t="array" aca="1" ref="AF379" ca="1" xml:space="preserve">
IF(AND($G379&lt;&gt;"",$F379=""),"ERROR",
IF(OR($F379:$G379="",AND($G379="",$F379&lt;&gt;"")),"OK",
IF(COUNTIF(INDIRECT(IFERROR(LEFT($F379,FIND(" ",$F379)-1),$F379)), $G379)&gt;0, "OK", "ERROR")))</f>
        <v>OK</v>
      </c>
    </row>
    <row r="380" spans="1:32" s="240" customFormat="1">
      <c r="A380" s="48"/>
      <c r="B380" s="31"/>
      <c r="C380" s="48"/>
      <c r="D380" s="47"/>
      <c r="E380" s="47"/>
      <c r="F380" s="31"/>
      <c r="G380" s="31"/>
      <c r="H380" s="31"/>
      <c r="I380" s="47"/>
      <c r="J380" s="31"/>
      <c r="K380" s="47"/>
      <c r="L380" s="47"/>
      <c r="M380" s="47"/>
      <c r="N380" s="31"/>
      <c r="O380" s="47"/>
      <c r="P380" s="31"/>
      <c r="Q380" s="31"/>
      <c r="R380" s="31"/>
      <c r="S380" s="31"/>
      <c r="T380" s="270">
        <f t="shared" si="40"/>
        <v>0</v>
      </c>
      <c r="U380" s="270">
        <f t="shared" si="41"/>
        <v>0</v>
      </c>
      <c r="V380" s="31"/>
      <c r="X380" s="240" t="str">
        <f t="shared" si="42"/>
        <v>OK</v>
      </c>
      <c r="Y380" s="240" t="str">
        <f t="shared" si="43"/>
        <v>OK</v>
      </c>
      <c r="Z380" s="240" t="str">
        <f t="shared" si="44"/>
        <v>OK</v>
      </c>
      <c r="AA380" s="240" t="str" cm="1">
        <f t="array" ref="AA380">IF(OR(AND(J380="Not accepted",N380:O380&lt;&gt;"",$S380=""),AND(J380="Accepted",S380="")),"ERROR","OK")</f>
        <v>OK</v>
      </c>
      <c r="AB380" s="240" t="str">
        <f t="shared" si="45"/>
        <v>OK</v>
      </c>
      <c r="AC380" s="240" t="str" cm="1">
        <f t="array" ref="AC380">IF(AND(F380:H380&lt;&gt;"",I380=""),"ERROR","OK")</f>
        <v>OK</v>
      </c>
      <c r="AD380" s="240" t="str">
        <f t="shared" si="46"/>
        <v>OK</v>
      </c>
      <c r="AE380" s="240" t="str">
        <f t="shared" si="47"/>
        <v>OK</v>
      </c>
      <c r="AF380" s="240" t="str" cm="1">
        <f t="array" aca="1" ref="AF380" ca="1" xml:space="preserve">
IF(AND($G380&lt;&gt;"",$F380=""),"ERROR",
IF(OR($F380:$G380="",AND($G380="",$F380&lt;&gt;"")),"OK",
IF(COUNTIF(INDIRECT(IFERROR(LEFT($F380,FIND(" ",$F380)-1),$F380)), $G380)&gt;0, "OK", "ERROR")))</f>
        <v>OK</v>
      </c>
    </row>
    <row r="381" spans="1:32" s="240" customFormat="1">
      <c r="A381" s="48"/>
      <c r="B381" s="31"/>
      <c r="C381" s="48"/>
      <c r="D381" s="47"/>
      <c r="E381" s="47"/>
      <c r="F381" s="31"/>
      <c r="G381" s="31"/>
      <c r="H381" s="31"/>
      <c r="I381" s="47"/>
      <c r="J381" s="31"/>
      <c r="K381" s="47"/>
      <c r="L381" s="47"/>
      <c r="M381" s="47"/>
      <c r="N381" s="31"/>
      <c r="O381" s="47"/>
      <c r="P381" s="31"/>
      <c r="Q381" s="31"/>
      <c r="R381" s="31"/>
      <c r="S381" s="31"/>
      <c r="T381" s="270">
        <f t="shared" si="40"/>
        <v>0</v>
      </c>
      <c r="U381" s="270">
        <f t="shared" si="41"/>
        <v>0</v>
      </c>
      <c r="V381" s="31"/>
      <c r="X381" s="240" t="str">
        <f t="shared" si="42"/>
        <v>OK</v>
      </c>
      <c r="Y381" s="240" t="str">
        <f t="shared" si="43"/>
        <v>OK</v>
      </c>
      <c r="Z381" s="240" t="str">
        <f t="shared" si="44"/>
        <v>OK</v>
      </c>
      <c r="AA381" s="240" t="str" cm="1">
        <f t="array" ref="AA381">IF(OR(AND(J381="Not accepted",N381:O381&lt;&gt;"",$S381=""),AND(J381="Accepted",S381="")),"ERROR","OK")</f>
        <v>OK</v>
      </c>
      <c r="AB381" s="240" t="str">
        <f t="shared" si="45"/>
        <v>OK</v>
      </c>
      <c r="AC381" s="240" t="str" cm="1">
        <f t="array" ref="AC381">IF(AND(F381:H381&lt;&gt;"",I381=""),"ERROR","OK")</f>
        <v>OK</v>
      </c>
      <c r="AD381" s="240" t="str">
        <f t="shared" si="46"/>
        <v>OK</v>
      </c>
      <c r="AE381" s="240" t="str">
        <f t="shared" si="47"/>
        <v>OK</v>
      </c>
      <c r="AF381" s="240" t="str" cm="1">
        <f t="array" aca="1" ref="AF381" ca="1" xml:space="preserve">
IF(AND($G381&lt;&gt;"",$F381=""),"ERROR",
IF(OR($F381:$G381="",AND($G381="",$F381&lt;&gt;"")),"OK",
IF(COUNTIF(INDIRECT(IFERROR(LEFT($F381,FIND(" ",$F381)-1),$F381)), $G381)&gt;0, "OK", "ERROR")))</f>
        <v>OK</v>
      </c>
    </row>
    <row r="382" spans="1:32" s="240" customFormat="1">
      <c r="A382" s="48"/>
      <c r="B382" s="31"/>
      <c r="C382" s="48"/>
      <c r="D382" s="47"/>
      <c r="E382" s="47"/>
      <c r="F382" s="31"/>
      <c r="G382" s="31"/>
      <c r="H382" s="31"/>
      <c r="I382" s="47"/>
      <c r="J382" s="31"/>
      <c r="K382" s="47"/>
      <c r="L382" s="47"/>
      <c r="M382" s="47"/>
      <c r="N382" s="31"/>
      <c r="O382" s="47"/>
      <c r="P382" s="31"/>
      <c r="Q382" s="31"/>
      <c r="R382" s="31"/>
      <c r="S382" s="31"/>
      <c r="T382" s="270">
        <f t="shared" si="40"/>
        <v>0</v>
      </c>
      <c r="U382" s="270">
        <f t="shared" si="41"/>
        <v>0</v>
      </c>
      <c r="V382" s="31"/>
      <c r="X382" s="240" t="str">
        <f t="shared" si="42"/>
        <v>OK</v>
      </c>
      <c r="Y382" s="240" t="str">
        <f t="shared" si="43"/>
        <v>OK</v>
      </c>
      <c r="Z382" s="240" t="str">
        <f t="shared" si="44"/>
        <v>OK</v>
      </c>
      <c r="AA382" s="240" t="str" cm="1">
        <f t="array" ref="AA382">IF(OR(AND(J382="Not accepted",N382:O382&lt;&gt;"",$S382=""),AND(J382="Accepted",S382="")),"ERROR","OK")</f>
        <v>OK</v>
      </c>
      <c r="AB382" s="240" t="str">
        <f t="shared" si="45"/>
        <v>OK</v>
      </c>
      <c r="AC382" s="240" t="str" cm="1">
        <f t="array" ref="AC382">IF(AND(F382:H382&lt;&gt;"",I382=""),"ERROR","OK")</f>
        <v>OK</v>
      </c>
      <c r="AD382" s="240" t="str">
        <f t="shared" si="46"/>
        <v>OK</v>
      </c>
      <c r="AE382" s="240" t="str">
        <f t="shared" si="47"/>
        <v>OK</v>
      </c>
      <c r="AF382" s="240" t="str" cm="1">
        <f t="array" aca="1" ref="AF382" ca="1" xml:space="preserve">
IF(AND($G382&lt;&gt;"",$F382=""),"ERROR",
IF(OR($F382:$G382="",AND($G382="",$F382&lt;&gt;"")),"OK",
IF(COUNTIF(INDIRECT(IFERROR(LEFT($F382,FIND(" ",$F382)-1),$F382)), $G382)&gt;0, "OK", "ERROR")))</f>
        <v>OK</v>
      </c>
    </row>
    <row r="383" spans="1:32" s="240" customFormat="1">
      <c r="A383" s="48"/>
      <c r="B383" s="31"/>
      <c r="C383" s="48"/>
      <c r="D383" s="47"/>
      <c r="E383" s="47"/>
      <c r="F383" s="31"/>
      <c r="G383" s="31"/>
      <c r="H383" s="31"/>
      <c r="I383" s="47"/>
      <c r="J383" s="31"/>
      <c r="K383" s="47"/>
      <c r="L383" s="47"/>
      <c r="M383" s="47"/>
      <c r="N383" s="31"/>
      <c r="O383" s="47"/>
      <c r="P383" s="31"/>
      <c r="Q383" s="31"/>
      <c r="R383" s="31"/>
      <c r="S383" s="31"/>
      <c r="T383" s="270">
        <f t="shared" si="40"/>
        <v>0</v>
      </c>
      <c r="U383" s="270">
        <f t="shared" si="41"/>
        <v>0</v>
      </c>
      <c r="V383" s="31"/>
      <c r="X383" s="240" t="str">
        <f t="shared" si="42"/>
        <v>OK</v>
      </c>
      <c r="Y383" s="240" t="str">
        <f t="shared" si="43"/>
        <v>OK</v>
      </c>
      <c r="Z383" s="240" t="str">
        <f t="shared" si="44"/>
        <v>OK</v>
      </c>
      <c r="AA383" s="240" t="str" cm="1">
        <f t="array" ref="AA383">IF(OR(AND(J383="Not accepted",N383:O383&lt;&gt;"",$S383=""),AND(J383="Accepted",S383="")),"ERROR","OK")</f>
        <v>OK</v>
      </c>
      <c r="AB383" s="240" t="str">
        <f t="shared" si="45"/>
        <v>OK</v>
      </c>
      <c r="AC383" s="240" t="str" cm="1">
        <f t="array" ref="AC383">IF(AND(F383:H383&lt;&gt;"",I383=""),"ERROR","OK")</f>
        <v>OK</v>
      </c>
      <c r="AD383" s="240" t="str">
        <f t="shared" si="46"/>
        <v>OK</v>
      </c>
      <c r="AE383" s="240" t="str">
        <f t="shared" si="47"/>
        <v>OK</v>
      </c>
      <c r="AF383" s="240" t="str" cm="1">
        <f t="array" aca="1" ref="AF383" ca="1" xml:space="preserve">
IF(AND($G383&lt;&gt;"",$F383=""),"ERROR",
IF(OR($F383:$G383="",AND($G383="",$F383&lt;&gt;"")),"OK",
IF(COUNTIF(INDIRECT(IFERROR(LEFT($F383,FIND(" ",$F383)-1),$F383)), $G383)&gt;0, "OK", "ERROR")))</f>
        <v>OK</v>
      </c>
    </row>
    <row r="384" spans="1:32" s="240" customFormat="1">
      <c r="A384" s="48"/>
      <c r="B384" s="31"/>
      <c r="C384" s="48"/>
      <c r="D384" s="47"/>
      <c r="E384" s="47"/>
      <c r="F384" s="31"/>
      <c r="G384" s="31"/>
      <c r="H384" s="31"/>
      <c r="I384" s="47"/>
      <c r="J384" s="31"/>
      <c r="K384" s="47"/>
      <c r="L384" s="47"/>
      <c r="M384" s="47"/>
      <c r="N384" s="31"/>
      <c r="O384" s="47"/>
      <c r="P384" s="31"/>
      <c r="Q384" s="31"/>
      <c r="R384" s="31"/>
      <c r="S384" s="31"/>
      <c r="T384" s="270">
        <f t="shared" si="40"/>
        <v>0</v>
      </c>
      <c r="U384" s="270">
        <f t="shared" si="41"/>
        <v>0</v>
      </c>
      <c r="V384" s="31"/>
      <c r="X384" s="240" t="str">
        <f t="shared" si="42"/>
        <v>OK</v>
      </c>
      <c r="Y384" s="240" t="str">
        <f t="shared" si="43"/>
        <v>OK</v>
      </c>
      <c r="Z384" s="240" t="str">
        <f t="shared" si="44"/>
        <v>OK</v>
      </c>
      <c r="AA384" s="240" t="str" cm="1">
        <f t="array" ref="AA384">IF(OR(AND(J384="Not accepted",N384:O384&lt;&gt;"",$S384=""),AND(J384="Accepted",S384="")),"ERROR","OK")</f>
        <v>OK</v>
      </c>
      <c r="AB384" s="240" t="str">
        <f t="shared" si="45"/>
        <v>OK</v>
      </c>
      <c r="AC384" s="240" t="str" cm="1">
        <f t="array" ref="AC384">IF(AND(F384:H384&lt;&gt;"",I384=""),"ERROR","OK")</f>
        <v>OK</v>
      </c>
      <c r="AD384" s="240" t="str">
        <f t="shared" si="46"/>
        <v>OK</v>
      </c>
      <c r="AE384" s="240" t="str">
        <f t="shared" si="47"/>
        <v>OK</v>
      </c>
      <c r="AF384" s="240" t="str" cm="1">
        <f t="array" aca="1" ref="AF384" ca="1" xml:space="preserve">
IF(AND($G384&lt;&gt;"",$F384=""),"ERROR",
IF(OR($F384:$G384="",AND($G384="",$F384&lt;&gt;"")),"OK",
IF(COUNTIF(INDIRECT(IFERROR(LEFT($F384,FIND(" ",$F384)-1),$F384)), $G384)&gt;0, "OK", "ERROR")))</f>
        <v>OK</v>
      </c>
    </row>
    <row r="385" spans="1:32" s="240" customFormat="1">
      <c r="A385" s="48"/>
      <c r="B385" s="31"/>
      <c r="C385" s="48"/>
      <c r="D385" s="47"/>
      <c r="E385" s="47"/>
      <c r="F385" s="31"/>
      <c r="G385" s="31"/>
      <c r="H385" s="31"/>
      <c r="I385" s="47"/>
      <c r="J385" s="31"/>
      <c r="K385" s="47"/>
      <c r="L385" s="47"/>
      <c r="M385" s="47"/>
      <c r="N385" s="31"/>
      <c r="O385" s="47"/>
      <c r="P385" s="31"/>
      <c r="Q385" s="31"/>
      <c r="R385" s="31"/>
      <c r="S385" s="31"/>
      <c r="T385" s="270">
        <f t="shared" si="40"/>
        <v>0</v>
      </c>
      <c r="U385" s="270">
        <f t="shared" si="41"/>
        <v>0</v>
      </c>
      <c r="V385" s="31"/>
      <c r="X385" s="240" t="str">
        <f t="shared" si="42"/>
        <v>OK</v>
      </c>
      <c r="Y385" s="240" t="str">
        <f t="shared" si="43"/>
        <v>OK</v>
      </c>
      <c r="Z385" s="240" t="str">
        <f t="shared" si="44"/>
        <v>OK</v>
      </c>
      <c r="AA385" s="240" t="str" cm="1">
        <f t="array" ref="AA385">IF(OR(AND(J385="Not accepted",N385:O385&lt;&gt;"",$S385=""),AND(J385="Accepted",S385="")),"ERROR","OK")</f>
        <v>OK</v>
      </c>
      <c r="AB385" s="240" t="str">
        <f t="shared" si="45"/>
        <v>OK</v>
      </c>
      <c r="AC385" s="240" t="str" cm="1">
        <f t="array" ref="AC385">IF(AND(F385:H385&lt;&gt;"",I385=""),"ERROR","OK")</f>
        <v>OK</v>
      </c>
      <c r="AD385" s="240" t="str">
        <f t="shared" si="46"/>
        <v>OK</v>
      </c>
      <c r="AE385" s="240" t="str">
        <f t="shared" si="47"/>
        <v>OK</v>
      </c>
      <c r="AF385" s="240" t="str" cm="1">
        <f t="array" aca="1" ref="AF385" ca="1" xml:space="preserve">
IF(AND($G385&lt;&gt;"",$F385=""),"ERROR",
IF(OR($F385:$G385="",AND($G385="",$F385&lt;&gt;"")),"OK",
IF(COUNTIF(INDIRECT(IFERROR(LEFT($F385,FIND(" ",$F385)-1),$F385)), $G385)&gt;0, "OK", "ERROR")))</f>
        <v>OK</v>
      </c>
    </row>
    <row r="386" spans="1:32" s="240" customFormat="1">
      <c r="A386" s="48"/>
      <c r="B386" s="31"/>
      <c r="C386" s="48"/>
      <c r="D386" s="47"/>
      <c r="E386" s="47"/>
      <c r="F386" s="31"/>
      <c r="G386" s="31"/>
      <c r="H386" s="31"/>
      <c r="I386" s="47"/>
      <c r="J386" s="31"/>
      <c r="K386" s="47"/>
      <c r="L386" s="47"/>
      <c r="M386" s="47"/>
      <c r="N386" s="31"/>
      <c r="O386" s="47"/>
      <c r="P386" s="31"/>
      <c r="Q386" s="31"/>
      <c r="R386" s="31"/>
      <c r="S386" s="31"/>
      <c r="T386" s="270">
        <f t="shared" si="40"/>
        <v>0</v>
      </c>
      <c r="U386" s="270">
        <f t="shared" si="41"/>
        <v>0</v>
      </c>
      <c r="V386" s="31"/>
      <c r="X386" s="240" t="str">
        <f t="shared" si="42"/>
        <v>OK</v>
      </c>
      <c r="Y386" s="240" t="str">
        <f t="shared" si="43"/>
        <v>OK</v>
      </c>
      <c r="Z386" s="240" t="str">
        <f t="shared" si="44"/>
        <v>OK</v>
      </c>
      <c r="AA386" s="240" t="str" cm="1">
        <f t="array" ref="AA386">IF(OR(AND(J386="Not accepted",N386:O386&lt;&gt;"",$S386=""),AND(J386="Accepted",S386="")),"ERROR","OK")</f>
        <v>OK</v>
      </c>
      <c r="AB386" s="240" t="str">
        <f t="shared" si="45"/>
        <v>OK</v>
      </c>
      <c r="AC386" s="240" t="str" cm="1">
        <f t="array" ref="AC386">IF(AND(F386:H386&lt;&gt;"",I386=""),"ERROR","OK")</f>
        <v>OK</v>
      </c>
      <c r="AD386" s="240" t="str">
        <f t="shared" si="46"/>
        <v>OK</v>
      </c>
      <c r="AE386" s="240" t="str">
        <f t="shared" si="47"/>
        <v>OK</v>
      </c>
      <c r="AF386" s="240" t="str" cm="1">
        <f t="array" aca="1" ref="AF386" ca="1" xml:space="preserve">
IF(AND($G386&lt;&gt;"",$F386=""),"ERROR",
IF(OR($F386:$G386="",AND($G386="",$F386&lt;&gt;"")),"OK",
IF(COUNTIF(INDIRECT(IFERROR(LEFT($F386,FIND(" ",$F386)-1),$F386)), $G386)&gt;0, "OK", "ERROR")))</f>
        <v>OK</v>
      </c>
    </row>
    <row r="387" spans="1:32" s="240" customFormat="1">
      <c r="A387" s="48"/>
      <c r="B387" s="31"/>
      <c r="C387" s="48"/>
      <c r="D387" s="47"/>
      <c r="E387" s="47"/>
      <c r="F387" s="31"/>
      <c r="G387" s="31"/>
      <c r="H387" s="31"/>
      <c r="I387" s="47"/>
      <c r="J387" s="31"/>
      <c r="K387" s="47"/>
      <c r="L387" s="47"/>
      <c r="M387" s="47"/>
      <c r="N387" s="31"/>
      <c r="O387" s="47"/>
      <c r="P387" s="31"/>
      <c r="Q387" s="31"/>
      <c r="R387" s="31"/>
      <c r="S387" s="31"/>
      <c r="T387" s="270">
        <f t="shared" si="40"/>
        <v>0</v>
      </c>
      <c r="U387" s="270">
        <f t="shared" si="41"/>
        <v>0</v>
      </c>
      <c r="V387" s="31"/>
      <c r="X387" s="240" t="str">
        <f t="shared" si="42"/>
        <v>OK</v>
      </c>
      <c r="Y387" s="240" t="str">
        <f t="shared" si="43"/>
        <v>OK</v>
      </c>
      <c r="Z387" s="240" t="str">
        <f t="shared" si="44"/>
        <v>OK</v>
      </c>
      <c r="AA387" s="240" t="str" cm="1">
        <f t="array" ref="AA387">IF(OR(AND(J387="Not accepted",N387:O387&lt;&gt;"",$S387=""),AND(J387="Accepted",S387="")),"ERROR","OK")</f>
        <v>OK</v>
      </c>
      <c r="AB387" s="240" t="str">
        <f t="shared" si="45"/>
        <v>OK</v>
      </c>
      <c r="AC387" s="240" t="str" cm="1">
        <f t="array" ref="AC387">IF(AND(F387:H387&lt;&gt;"",I387=""),"ERROR","OK")</f>
        <v>OK</v>
      </c>
      <c r="AD387" s="240" t="str">
        <f t="shared" si="46"/>
        <v>OK</v>
      </c>
      <c r="AE387" s="240" t="str">
        <f t="shared" si="47"/>
        <v>OK</v>
      </c>
      <c r="AF387" s="240" t="str" cm="1">
        <f t="array" aca="1" ref="AF387" ca="1" xml:space="preserve">
IF(AND($G387&lt;&gt;"",$F387=""),"ERROR",
IF(OR($F387:$G387="",AND($G387="",$F387&lt;&gt;"")),"OK",
IF(COUNTIF(INDIRECT(IFERROR(LEFT($F387,FIND(" ",$F387)-1),$F387)), $G387)&gt;0, "OK", "ERROR")))</f>
        <v>OK</v>
      </c>
    </row>
    <row r="388" spans="1:32" s="240" customFormat="1">
      <c r="A388" s="48"/>
      <c r="B388" s="31"/>
      <c r="C388" s="48"/>
      <c r="D388" s="47"/>
      <c r="E388" s="47"/>
      <c r="F388" s="31"/>
      <c r="G388" s="31"/>
      <c r="H388" s="31"/>
      <c r="I388" s="47"/>
      <c r="J388" s="31"/>
      <c r="K388" s="47"/>
      <c r="L388" s="47"/>
      <c r="M388" s="47"/>
      <c r="N388" s="31"/>
      <c r="O388" s="47"/>
      <c r="P388" s="31"/>
      <c r="Q388" s="31"/>
      <c r="R388" s="31"/>
      <c r="S388" s="31"/>
      <c r="T388" s="270">
        <f t="shared" si="40"/>
        <v>0</v>
      </c>
      <c r="U388" s="270">
        <f t="shared" si="41"/>
        <v>0</v>
      </c>
      <c r="V388" s="31"/>
      <c r="X388" s="240" t="str">
        <f t="shared" si="42"/>
        <v>OK</v>
      </c>
      <c r="Y388" s="240" t="str">
        <f t="shared" si="43"/>
        <v>OK</v>
      </c>
      <c r="Z388" s="240" t="str">
        <f t="shared" si="44"/>
        <v>OK</v>
      </c>
      <c r="AA388" s="240" t="str" cm="1">
        <f t="array" ref="AA388">IF(OR(AND(J388="Not accepted",N388:O388&lt;&gt;"",$S388=""),AND(J388="Accepted",S388="")),"ERROR","OK")</f>
        <v>OK</v>
      </c>
      <c r="AB388" s="240" t="str">
        <f t="shared" si="45"/>
        <v>OK</v>
      </c>
      <c r="AC388" s="240" t="str" cm="1">
        <f t="array" ref="AC388">IF(AND(F388:H388&lt;&gt;"",I388=""),"ERROR","OK")</f>
        <v>OK</v>
      </c>
      <c r="AD388" s="240" t="str">
        <f t="shared" si="46"/>
        <v>OK</v>
      </c>
      <c r="AE388" s="240" t="str">
        <f t="shared" si="47"/>
        <v>OK</v>
      </c>
      <c r="AF388" s="240" t="str" cm="1">
        <f t="array" aca="1" ref="AF388" ca="1" xml:space="preserve">
IF(AND($G388&lt;&gt;"",$F388=""),"ERROR",
IF(OR($F388:$G388="",AND($G388="",$F388&lt;&gt;"")),"OK",
IF(COUNTIF(INDIRECT(IFERROR(LEFT($F388,FIND(" ",$F388)-1),$F388)), $G388)&gt;0, "OK", "ERROR")))</f>
        <v>OK</v>
      </c>
    </row>
    <row r="389" spans="1:32" s="240" customFormat="1">
      <c r="A389" s="48"/>
      <c r="B389" s="31"/>
      <c r="C389" s="48"/>
      <c r="D389" s="47"/>
      <c r="E389" s="47"/>
      <c r="F389" s="31"/>
      <c r="G389" s="31"/>
      <c r="H389" s="31"/>
      <c r="I389" s="47"/>
      <c r="J389" s="31"/>
      <c r="K389" s="47"/>
      <c r="L389" s="47"/>
      <c r="M389" s="47"/>
      <c r="N389" s="31"/>
      <c r="O389" s="47"/>
      <c r="P389" s="31"/>
      <c r="Q389" s="31"/>
      <c r="R389" s="31"/>
      <c r="S389" s="31"/>
      <c r="T389" s="270">
        <f t="shared" ref="T389:T452" si="48">IF(OR($J389="Accepted",ISBLANK($J389)),IF(AND($G389="Legacy Data",$Q389="Legacy Data"),1,IF(OR($G389="Legacy Data",$Q389="Legacy Data"),1,0)),IF(OR($N389="Agree with original translator",ISBLANK($N389)),IF(AND($G389="Source Text Data",$Q389="Legacy Data"),1,IF(AND($G389="Legacy Data",$Q389="Legacy Data"),1,IF($Q389="Legacy Data",1,0))),IF(AND($G389="Legacy Data",$Q389="Legacy Data"),1,IF(OR($Q389="Legacy Data",ISBLANK($Q389)),IF($G389&lt;&gt;"Legacy Data",IF(AND($G389="Source Text Data",$Q389="Legacy Data"),1,0),1),0))))</f>
        <v>0</v>
      </c>
      <c r="U389" s="270">
        <f t="shared" ref="U389:U452" si="49">IF(OR($J389="Accepted",ISBLANK($J389)),IF(AND($G389="Source Text Data",$Q389="Source Text Data"),1,IF(OR($G389="Source Text Data",$Q389="Source Text Data"),1,0)),IF(OR($N389="Agree with original translator",ISBLANK($N389)),IF(AND($G389="Legacy Data",$Q389="Source Text Data"),1,IF(AND($G389="Source Text Data",$Q389="Source Text Data"),1,IF($Q389="Source Text Data",1,0))),IF(AND($G389="Source Text Data",$Q389="Source Text Data"),1,IF(OR($Q389="Source Text Data",ISBLANK($Q389)),IF($G389&lt;&gt;"Source Text Data",IF(AND($G389="Legacy Data",$Q389="Source Text Data"),1,0),1),0))))</f>
        <v>0</v>
      </c>
      <c r="V389" s="31"/>
      <c r="X389" s="240" t="str">
        <f t="shared" ref="X389:X452" si="50">IF(AND(COUNTBLANK($F389:$H389)&lt;&gt;COLUMNS($F389:$H389),COUNTA($F389:$H389)&lt;&gt;COLUMNS($F389:$H389)),"ERROR","OK")</f>
        <v>OK</v>
      </c>
      <c r="Y389" s="240" t="str">
        <f t="shared" ref="Y389:Y452" si="51">IF(AND($J389="Not accepted",$K389=""),"ERROR","OK")</f>
        <v>OK</v>
      </c>
      <c r="Z389" s="240" t="str">
        <f t="shared" ref="Z389:Z452" si="52">IF(AND($F389&lt;&gt;"",$J389=""),"ERROR","OK")</f>
        <v>OK</v>
      </c>
      <c r="AA389" s="240" t="str" cm="1">
        <f t="array" ref="AA389">IF(OR(AND(J389="Not accepted",N389:O389&lt;&gt;"",$S389=""),AND(J389="Accepted",S389="")),"ERROR","OK")</f>
        <v>OK</v>
      </c>
      <c r="AB389" s="240" t="str">
        <f t="shared" ref="AB389:AB452" si="53">IF(AND($S389="Not Implemented",$V389=""),"ERROR","OK")</f>
        <v>OK</v>
      </c>
      <c r="AC389" s="240" t="str" cm="1">
        <f t="array" ref="AC389">IF(AND(F389:H389&lt;&gt;"",I389=""),"ERROR","OK")</f>
        <v>OK</v>
      </c>
      <c r="AD389" s="240" t="str">
        <f t="shared" ref="AD389:AD452" si="54">IF(AND($N389="",$J389="Not accepted",$K389&lt;&gt;""),"ERROR","OK")</f>
        <v>OK</v>
      </c>
      <c r="AE389" s="240" t="str">
        <f t="shared" ref="AE389:AE452" si="55">IF(AND($O389="",$N389&lt;&gt;""),"ERROR","OK")</f>
        <v>OK</v>
      </c>
      <c r="AF389" s="240" t="str" cm="1">
        <f t="array" aca="1" ref="AF389" ca="1" xml:space="preserve">
IF(AND($G389&lt;&gt;"",$F389=""),"ERROR",
IF(OR($F389:$G389="",AND($G389="",$F389&lt;&gt;"")),"OK",
IF(COUNTIF(INDIRECT(IFERROR(LEFT($F389,FIND(" ",$F389)-1),$F389)), $G389)&gt;0, "OK", "ERROR")))</f>
        <v>OK</v>
      </c>
    </row>
    <row r="390" spans="1:32" s="240" customFormat="1">
      <c r="A390" s="48"/>
      <c r="B390" s="31"/>
      <c r="C390" s="48"/>
      <c r="D390" s="47"/>
      <c r="E390" s="47"/>
      <c r="F390" s="31"/>
      <c r="G390" s="31"/>
      <c r="H390" s="31"/>
      <c r="I390" s="47"/>
      <c r="J390" s="31"/>
      <c r="K390" s="47"/>
      <c r="L390" s="47"/>
      <c r="M390" s="47"/>
      <c r="N390" s="31"/>
      <c r="O390" s="47"/>
      <c r="P390" s="31"/>
      <c r="Q390" s="31"/>
      <c r="R390" s="31"/>
      <c r="S390" s="31"/>
      <c r="T390" s="270">
        <f t="shared" si="48"/>
        <v>0</v>
      </c>
      <c r="U390" s="270">
        <f t="shared" si="49"/>
        <v>0</v>
      </c>
      <c r="V390" s="31"/>
      <c r="X390" s="240" t="str">
        <f t="shared" si="50"/>
        <v>OK</v>
      </c>
      <c r="Y390" s="240" t="str">
        <f t="shared" si="51"/>
        <v>OK</v>
      </c>
      <c r="Z390" s="240" t="str">
        <f t="shared" si="52"/>
        <v>OK</v>
      </c>
      <c r="AA390" s="240" t="str" cm="1">
        <f t="array" ref="AA390">IF(OR(AND(J390="Not accepted",N390:O390&lt;&gt;"",$S390=""),AND(J390="Accepted",S390="")),"ERROR","OK")</f>
        <v>OK</v>
      </c>
      <c r="AB390" s="240" t="str">
        <f t="shared" si="53"/>
        <v>OK</v>
      </c>
      <c r="AC390" s="240" t="str" cm="1">
        <f t="array" ref="AC390">IF(AND(F390:H390&lt;&gt;"",I390=""),"ERROR","OK")</f>
        <v>OK</v>
      </c>
      <c r="AD390" s="240" t="str">
        <f t="shared" si="54"/>
        <v>OK</v>
      </c>
      <c r="AE390" s="240" t="str">
        <f t="shared" si="55"/>
        <v>OK</v>
      </c>
      <c r="AF390" s="240" t="str" cm="1">
        <f t="array" aca="1" ref="AF390" ca="1" xml:space="preserve">
IF(AND($G390&lt;&gt;"",$F390=""),"ERROR",
IF(OR($F390:$G390="",AND($G390="",$F390&lt;&gt;"")),"OK",
IF(COUNTIF(INDIRECT(IFERROR(LEFT($F390,FIND(" ",$F390)-1),$F390)), $G390)&gt;0, "OK", "ERROR")))</f>
        <v>OK</v>
      </c>
    </row>
    <row r="391" spans="1:32" s="240" customFormat="1">
      <c r="A391" s="48"/>
      <c r="B391" s="31"/>
      <c r="C391" s="48"/>
      <c r="D391" s="47"/>
      <c r="E391" s="47"/>
      <c r="F391" s="31"/>
      <c r="G391" s="31"/>
      <c r="H391" s="31"/>
      <c r="I391" s="47"/>
      <c r="J391" s="31"/>
      <c r="K391" s="47"/>
      <c r="L391" s="47"/>
      <c r="M391" s="47"/>
      <c r="N391" s="31"/>
      <c r="O391" s="47"/>
      <c r="P391" s="31"/>
      <c r="Q391" s="31"/>
      <c r="R391" s="31"/>
      <c r="S391" s="31"/>
      <c r="T391" s="270">
        <f t="shared" si="48"/>
        <v>0</v>
      </c>
      <c r="U391" s="270">
        <f t="shared" si="49"/>
        <v>0</v>
      </c>
      <c r="V391" s="31"/>
      <c r="X391" s="240" t="str">
        <f t="shared" si="50"/>
        <v>OK</v>
      </c>
      <c r="Y391" s="240" t="str">
        <f t="shared" si="51"/>
        <v>OK</v>
      </c>
      <c r="Z391" s="240" t="str">
        <f t="shared" si="52"/>
        <v>OK</v>
      </c>
      <c r="AA391" s="240" t="str" cm="1">
        <f t="array" ref="AA391">IF(OR(AND(J391="Not accepted",N391:O391&lt;&gt;"",$S391=""),AND(J391="Accepted",S391="")),"ERROR","OK")</f>
        <v>OK</v>
      </c>
      <c r="AB391" s="240" t="str">
        <f t="shared" si="53"/>
        <v>OK</v>
      </c>
      <c r="AC391" s="240" t="str" cm="1">
        <f t="array" ref="AC391">IF(AND(F391:H391&lt;&gt;"",I391=""),"ERROR","OK")</f>
        <v>OK</v>
      </c>
      <c r="AD391" s="240" t="str">
        <f t="shared" si="54"/>
        <v>OK</v>
      </c>
      <c r="AE391" s="240" t="str">
        <f t="shared" si="55"/>
        <v>OK</v>
      </c>
      <c r="AF391" s="240" t="str" cm="1">
        <f t="array" aca="1" ref="AF391" ca="1" xml:space="preserve">
IF(AND($G391&lt;&gt;"",$F391=""),"ERROR",
IF(OR($F391:$G391="",AND($G391="",$F391&lt;&gt;"")),"OK",
IF(COUNTIF(INDIRECT(IFERROR(LEFT($F391,FIND(" ",$F391)-1),$F391)), $G391)&gt;0, "OK", "ERROR")))</f>
        <v>OK</v>
      </c>
    </row>
    <row r="392" spans="1:32" s="240" customFormat="1">
      <c r="A392" s="48"/>
      <c r="B392" s="31"/>
      <c r="C392" s="48"/>
      <c r="D392" s="47"/>
      <c r="E392" s="47"/>
      <c r="F392" s="31"/>
      <c r="G392" s="31"/>
      <c r="H392" s="31"/>
      <c r="I392" s="47"/>
      <c r="J392" s="31"/>
      <c r="K392" s="47"/>
      <c r="L392" s="47"/>
      <c r="M392" s="47"/>
      <c r="N392" s="31"/>
      <c r="O392" s="47"/>
      <c r="P392" s="31"/>
      <c r="Q392" s="31"/>
      <c r="R392" s="31"/>
      <c r="S392" s="31"/>
      <c r="T392" s="270">
        <f t="shared" si="48"/>
        <v>0</v>
      </c>
      <c r="U392" s="270">
        <f t="shared" si="49"/>
        <v>0</v>
      </c>
      <c r="V392" s="31"/>
      <c r="X392" s="240" t="str">
        <f t="shared" si="50"/>
        <v>OK</v>
      </c>
      <c r="Y392" s="240" t="str">
        <f t="shared" si="51"/>
        <v>OK</v>
      </c>
      <c r="Z392" s="240" t="str">
        <f t="shared" si="52"/>
        <v>OK</v>
      </c>
      <c r="AA392" s="240" t="str" cm="1">
        <f t="array" ref="AA392">IF(OR(AND(J392="Not accepted",N392:O392&lt;&gt;"",$S392=""),AND(J392="Accepted",S392="")),"ERROR","OK")</f>
        <v>OK</v>
      </c>
      <c r="AB392" s="240" t="str">
        <f t="shared" si="53"/>
        <v>OK</v>
      </c>
      <c r="AC392" s="240" t="str" cm="1">
        <f t="array" ref="AC392">IF(AND(F392:H392&lt;&gt;"",I392=""),"ERROR","OK")</f>
        <v>OK</v>
      </c>
      <c r="AD392" s="240" t="str">
        <f t="shared" si="54"/>
        <v>OK</v>
      </c>
      <c r="AE392" s="240" t="str">
        <f t="shared" si="55"/>
        <v>OK</v>
      </c>
      <c r="AF392" s="240" t="str" cm="1">
        <f t="array" aca="1" ref="AF392" ca="1" xml:space="preserve">
IF(AND($G392&lt;&gt;"",$F392=""),"ERROR",
IF(OR($F392:$G392="",AND($G392="",$F392&lt;&gt;"")),"OK",
IF(COUNTIF(INDIRECT(IFERROR(LEFT($F392,FIND(" ",$F392)-1),$F392)), $G392)&gt;0, "OK", "ERROR")))</f>
        <v>OK</v>
      </c>
    </row>
    <row r="393" spans="1:32" s="240" customFormat="1">
      <c r="A393" s="48"/>
      <c r="B393" s="31"/>
      <c r="C393" s="48"/>
      <c r="D393" s="47"/>
      <c r="E393" s="47"/>
      <c r="F393" s="31"/>
      <c r="G393" s="31"/>
      <c r="H393" s="31"/>
      <c r="I393" s="47"/>
      <c r="J393" s="31"/>
      <c r="K393" s="47"/>
      <c r="L393" s="47"/>
      <c r="M393" s="47"/>
      <c r="N393" s="31"/>
      <c r="O393" s="47"/>
      <c r="P393" s="31"/>
      <c r="Q393" s="31"/>
      <c r="R393" s="31"/>
      <c r="S393" s="31"/>
      <c r="T393" s="270">
        <f t="shared" si="48"/>
        <v>0</v>
      </c>
      <c r="U393" s="270">
        <f t="shared" si="49"/>
        <v>0</v>
      </c>
      <c r="V393" s="31"/>
      <c r="X393" s="240" t="str">
        <f t="shared" si="50"/>
        <v>OK</v>
      </c>
      <c r="Y393" s="240" t="str">
        <f t="shared" si="51"/>
        <v>OK</v>
      </c>
      <c r="Z393" s="240" t="str">
        <f t="shared" si="52"/>
        <v>OK</v>
      </c>
      <c r="AA393" s="240" t="str" cm="1">
        <f t="array" ref="AA393">IF(OR(AND(J393="Not accepted",N393:O393&lt;&gt;"",$S393=""),AND(J393="Accepted",S393="")),"ERROR","OK")</f>
        <v>OK</v>
      </c>
      <c r="AB393" s="240" t="str">
        <f t="shared" si="53"/>
        <v>OK</v>
      </c>
      <c r="AC393" s="240" t="str" cm="1">
        <f t="array" ref="AC393">IF(AND(F393:H393&lt;&gt;"",I393=""),"ERROR","OK")</f>
        <v>OK</v>
      </c>
      <c r="AD393" s="240" t="str">
        <f t="shared" si="54"/>
        <v>OK</v>
      </c>
      <c r="AE393" s="240" t="str">
        <f t="shared" si="55"/>
        <v>OK</v>
      </c>
      <c r="AF393" s="240" t="str" cm="1">
        <f t="array" aca="1" ref="AF393" ca="1" xml:space="preserve">
IF(AND($G393&lt;&gt;"",$F393=""),"ERROR",
IF(OR($F393:$G393="",AND($G393="",$F393&lt;&gt;"")),"OK",
IF(COUNTIF(INDIRECT(IFERROR(LEFT($F393,FIND(" ",$F393)-1),$F393)), $G393)&gt;0, "OK", "ERROR")))</f>
        <v>OK</v>
      </c>
    </row>
    <row r="394" spans="1:32" s="240" customFormat="1">
      <c r="A394" s="48"/>
      <c r="B394" s="31"/>
      <c r="C394" s="48"/>
      <c r="D394" s="47"/>
      <c r="E394" s="47"/>
      <c r="F394" s="31"/>
      <c r="G394" s="31"/>
      <c r="H394" s="31"/>
      <c r="I394" s="47"/>
      <c r="J394" s="31"/>
      <c r="K394" s="47"/>
      <c r="L394" s="47"/>
      <c r="M394" s="47"/>
      <c r="N394" s="31"/>
      <c r="O394" s="47"/>
      <c r="P394" s="31"/>
      <c r="Q394" s="31"/>
      <c r="R394" s="31"/>
      <c r="S394" s="31"/>
      <c r="T394" s="270">
        <f t="shared" si="48"/>
        <v>0</v>
      </c>
      <c r="U394" s="270">
        <f t="shared" si="49"/>
        <v>0</v>
      </c>
      <c r="V394" s="31"/>
      <c r="X394" s="240" t="str">
        <f t="shared" si="50"/>
        <v>OK</v>
      </c>
      <c r="Y394" s="240" t="str">
        <f t="shared" si="51"/>
        <v>OK</v>
      </c>
      <c r="Z394" s="240" t="str">
        <f t="shared" si="52"/>
        <v>OK</v>
      </c>
      <c r="AA394" s="240" t="str" cm="1">
        <f t="array" ref="AA394">IF(OR(AND(J394="Not accepted",N394:O394&lt;&gt;"",$S394=""),AND(J394="Accepted",S394="")),"ERROR","OK")</f>
        <v>OK</v>
      </c>
      <c r="AB394" s="240" t="str">
        <f t="shared" si="53"/>
        <v>OK</v>
      </c>
      <c r="AC394" s="240" t="str" cm="1">
        <f t="array" ref="AC394">IF(AND(F394:H394&lt;&gt;"",I394=""),"ERROR","OK")</f>
        <v>OK</v>
      </c>
      <c r="AD394" s="240" t="str">
        <f t="shared" si="54"/>
        <v>OK</v>
      </c>
      <c r="AE394" s="240" t="str">
        <f t="shared" si="55"/>
        <v>OK</v>
      </c>
      <c r="AF394" s="240" t="str" cm="1">
        <f t="array" aca="1" ref="AF394" ca="1" xml:space="preserve">
IF(AND($G394&lt;&gt;"",$F394=""),"ERROR",
IF(OR($F394:$G394="",AND($G394="",$F394&lt;&gt;"")),"OK",
IF(COUNTIF(INDIRECT(IFERROR(LEFT($F394,FIND(" ",$F394)-1),$F394)), $G394)&gt;0, "OK", "ERROR")))</f>
        <v>OK</v>
      </c>
    </row>
    <row r="395" spans="1:32" s="240" customFormat="1">
      <c r="A395" s="48"/>
      <c r="B395" s="31"/>
      <c r="C395" s="48"/>
      <c r="D395" s="47"/>
      <c r="E395" s="47"/>
      <c r="F395" s="31"/>
      <c r="G395" s="31"/>
      <c r="H395" s="31"/>
      <c r="I395" s="47"/>
      <c r="J395" s="31"/>
      <c r="K395" s="47"/>
      <c r="L395" s="47"/>
      <c r="M395" s="47"/>
      <c r="N395" s="31"/>
      <c r="O395" s="47"/>
      <c r="P395" s="31"/>
      <c r="Q395" s="31"/>
      <c r="R395" s="31"/>
      <c r="S395" s="31"/>
      <c r="T395" s="270">
        <f t="shared" si="48"/>
        <v>0</v>
      </c>
      <c r="U395" s="270">
        <f t="shared" si="49"/>
        <v>0</v>
      </c>
      <c r="V395" s="31"/>
      <c r="X395" s="240" t="str">
        <f t="shared" si="50"/>
        <v>OK</v>
      </c>
      <c r="Y395" s="240" t="str">
        <f t="shared" si="51"/>
        <v>OK</v>
      </c>
      <c r="Z395" s="240" t="str">
        <f t="shared" si="52"/>
        <v>OK</v>
      </c>
      <c r="AA395" s="240" t="str" cm="1">
        <f t="array" ref="AA395">IF(OR(AND(J395="Not accepted",N395:O395&lt;&gt;"",$S395=""),AND(J395="Accepted",S395="")),"ERROR","OK")</f>
        <v>OK</v>
      </c>
      <c r="AB395" s="240" t="str">
        <f t="shared" si="53"/>
        <v>OK</v>
      </c>
      <c r="AC395" s="240" t="str" cm="1">
        <f t="array" ref="AC395">IF(AND(F395:H395&lt;&gt;"",I395=""),"ERROR","OK")</f>
        <v>OK</v>
      </c>
      <c r="AD395" s="240" t="str">
        <f t="shared" si="54"/>
        <v>OK</v>
      </c>
      <c r="AE395" s="240" t="str">
        <f t="shared" si="55"/>
        <v>OK</v>
      </c>
      <c r="AF395" s="240" t="str" cm="1">
        <f t="array" aca="1" ref="AF395" ca="1" xml:space="preserve">
IF(AND($G395&lt;&gt;"",$F395=""),"ERROR",
IF(OR($F395:$G395="",AND($G395="",$F395&lt;&gt;"")),"OK",
IF(COUNTIF(INDIRECT(IFERROR(LEFT($F395,FIND(" ",$F395)-1),$F395)), $G395)&gt;0, "OK", "ERROR")))</f>
        <v>OK</v>
      </c>
    </row>
    <row r="396" spans="1:32" s="240" customFormat="1">
      <c r="A396" s="48"/>
      <c r="B396" s="31"/>
      <c r="C396" s="48"/>
      <c r="D396" s="47"/>
      <c r="E396" s="47"/>
      <c r="F396" s="31"/>
      <c r="G396" s="31"/>
      <c r="H396" s="31"/>
      <c r="I396" s="47"/>
      <c r="J396" s="31"/>
      <c r="K396" s="47"/>
      <c r="L396" s="47"/>
      <c r="M396" s="47"/>
      <c r="N396" s="31"/>
      <c r="O396" s="47"/>
      <c r="P396" s="31"/>
      <c r="Q396" s="31"/>
      <c r="R396" s="31"/>
      <c r="S396" s="31"/>
      <c r="T396" s="270">
        <f t="shared" si="48"/>
        <v>0</v>
      </c>
      <c r="U396" s="270">
        <f t="shared" si="49"/>
        <v>0</v>
      </c>
      <c r="V396" s="31"/>
      <c r="X396" s="240" t="str">
        <f t="shared" si="50"/>
        <v>OK</v>
      </c>
      <c r="Y396" s="240" t="str">
        <f t="shared" si="51"/>
        <v>OK</v>
      </c>
      <c r="Z396" s="240" t="str">
        <f t="shared" si="52"/>
        <v>OK</v>
      </c>
      <c r="AA396" s="240" t="str" cm="1">
        <f t="array" ref="AA396">IF(OR(AND(J396="Not accepted",N396:O396&lt;&gt;"",$S396=""),AND(J396="Accepted",S396="")),"ERROR","OK")</f>
        <v>OK</v>
      </c>
      <c r="AB396" s="240" t="str">
        <f t="shared" si="53"/>
        <v>OK</v>
      </c>
      <c r="AC396" s="240" t="str" cm="1">
        <f t="array" ref="AC396">IF(AND(F396:H396&lt;&gt;"",I396=""),"ERROR","OK")</f>
        <v>OK</v>
      </c>
      <c r="AD396" s="240" t="str">
        <f t="shared" si="54"/>
        <v>OK</v>
      </c>
      <c r="AE396" s="240" t="str">
        <f t="shared" si="55"/>
        <v>OK</v>
      </c>
      <c r="AF396" s="240" t="str" cm="1">
        <f t="array" aca="1" ref="AF396" ca="1" xml:space="preserve">
IF(AND($G396&lt;&gt;"",$F396=""),"ERROR",
IF(OR($F396:$G396="",AND($G396="",$F396&lt;&gt;"")),"OK",
IF(COUNTIF(INDIRECT(IFERROR(LEFT($F396,FIND(" ",$F396)-1),$F396)), $G396)&gt;0, "OK", "ERROR")))</f>
        <v>OK</v>
      </c>
    </row>
    <row r="397" spans="1:32" s="240" customFormat="1">
      <c r="A397" s="48"/>
      <c r="B397" s="31"/>
      <c r="C397" s="48"/>
      <c r="D397" s="47"/>
      <c r="E397" s="47"/>
      <c r="F397" s="31"/>
      <c r="G397" s="31"/>
      <c r="H397" s="31"/>
      <c r="I397" s="47"/>
      <c r="J397" s="31"/>
      <c r="K397" s="47"/>
      <c r="L397" s="47"/>
      <c r="M397" s="47"/>
      <c r="N397" s="31"/>
      <c r="O397" s="47"/>
      <c r="P397" s="31"/>
      <c r="Q397" s="31"/>
      <c r="R397" s="31"/>
      <c r="S397" s="31"/>
      <c r="T397" s="270">
        <f t="shared" si="48"/>
        <v>0</v>
      </c>
      <c r="U397" s="270">
        <f t="shared" si="49"/>
        <v>0</v>
      </c>
      <c r="V397" s="31"/>
      <c r="X397" s="240" t="str">
        <f t="shared" si="50"/>
        <v>OK</v>
      </c>
      <c r="Y397" s="240" t="str">
        <f t="shared" si="51"/>
        <v>OK</v>
      </c>
      <c r="Z397" s="240" t="str">
        <f t="shared" si="52"/>
        <v>OK</v>
      </c>
      <c r="AA397" s="240" t="str" cm="1">
        <f t="array" ref="AA397">IF(OR(AND(J397="Not accepted",N397:O397&lt;&gt;"",$S397=""),AND(J397="Accepted",S397="")),"ERROR","OK")</f>
        <v>OK</v>
      </c>
      <c r="AB397" s="240" t="str">
        <f t="shared" si="53"/>
        <v>OK</v>
      </c>
      <c r="AC397" s="240" t="str" cm="1">
        <f t="array" ref="AC397">IF(AND(F397:H397&lt;&gt;"",I397=""),"ERROR","OK")</f>
        <v>OK</v>
      </c>
      <c r="AD397" s="240" t="str">
        <f t="shared" si="54"/>
        <v>OK</v>
      </c>
      <c r="AE397" s="240" t="str">
        <f t="shared" si="55"/>
        <v>OK</v>
      </c>
      <c r="AF397" s="240" t="str" cm="1">
        <f t="array" aca="1" ref="AF397" ca="1" xml:space="preserve">
IF(AND($G397&lt;&gt;"",$F397=""),"ERROR",
IF(OR($F397:$G397="",AND($G397="",$F397&lt;&gt;"")),"OK",
IF(COUNTIF(INDIRECT(IFERROR(LEFT($F397,FIND(" ",$F397)-1),$F397)), $G397)&gt;0, "OK", "ERROR")))</f>
        <v>OK</v>
      </c>
    </row>
    <row r="398" spans="1:32" s="240" customFormat="1">
      <c r="A398" s="48"/>
      <c r="B398" s="31"/>
      <c r="C398" s="48"/>
      <c r="D398" s="47"/>
      <c r="E398" s="47"/>
      <c r="F398" s="31"/>
      <c r="G398" s="31"/>
      <c r="H398" s="31"/>
      <c r="I398" s="47"/>
      <c r="J398" s="31"/>
      <c r="K398" s="47"/>
      <c r="L398" s="47"/>
      <c r="M398" s="47"/>
      <c r="N398" s="31"/>
      <c r="O398" s="47"/>
      <c r="P398" s="31"/>
      <c r="Q398" s="31"/>
      <c r="R398" s="31"/>
      <c r="S398" s="31"/>
      <c r="T398" s="270">
        <f t="shared" si="48"/>
        <v>0</v>
      </c>
      <c r="U398" s="270">
        <f t="shared" si="49"/>
        <v>0</v>
      </c>
      <c r="V398" s="31"/>
      <c r="X398" s="240" t="str">
        <f t="shared" si="50"/>
        <v>OK</v>
      </c>
      <c r="Y398" s="240" t="str">
        <f t="shared" si="51"/>
        <v>OK</v>
      </c>
      <c r="Z398" s="240" t="str">
        <f t="shared" si="52"/>
        <v>OK</v>
      </c>
      <c r="AA398" s="240" t="str" cm="1">
        <f t="array" ref="AA398">IF(OR(AND(J398="Not accepted",N398:O398&lt;&gt;"",$S398=""),AND(J398="Accepted",S398="")),"ERROR","OK")</f>
        <v>OK</v>
      </c>
      <c r="AB398" s="240" t="str">
        <f t="shared" si="53"/>
        <v>OK</v>
      </c>
      <c r="AC398" s="240" t="str" cm="1">
        <f t="array" ref="AC398">IF(AND(F398:H398&lt;&gt;"",I398=""),"ERROR","OK")</f>
        <v>OK</v>
      </c>
      <c r="AD398" s="240" t="str">
        <f t="shared" si="54"/>
        <v>OK</v>
      </c>
      <c r="AE398" s="240" t="str">
        <f t="shared" si="55"/>
        <v>OK</v>
      </c>
      <c r="AF398" s="240" t="str" cm="1">
        <f t="array" aca="1" ref="AF398" ca="1" xml:space="preserve">
IF(AND($G398&lt;&gt;"",$F398=""),"ERROR",
IF(OR($F398:$G398="",AND($G398="",$F398&lt;&gt;"")),"OK",
IF(COUNTIF(INDIRECT(IFERROR(LEFT($F398,FIND(" ",$F398)-1),$F398)), $G398)&gt;0, "OK", "ERROR")))</f>
        <v>OK</v>
      </c>
    </row>
    <row r="399" spans="1:32" s="240" customFormat="1">
      <c r="A399" s="48"/>
      <c r="B399" s="31"/>
      <c r="C399" s="48"/>
      <c r="D399" s="47"/>
      <c r="E399" s="47"/>
      <c r="F399" s="31"/>
      <c r="G399" s="31"/>
      <c r="H399" s="31"/>
      <c r="I399" s="47"/>
      <c r="J399" s="31"/>
      <c r="K399" s="47"/>
      <c r="L399" s="47"/>
      <c r="M399" s="47"/>
      <c r="N399" s="31"/>
      <c r="O399" s="47"/>
      <c r="P399" s="31"/>
      <c r="Q399" s="31"/>
      <c r="R399" s="31"/>
      <c r="S399" s="31"/>
      <c r="T399" s="270">
        <f t="shared" si="48"/>
        <v>0</v>
      </c>
      <c r="U399" s="270">
        <f t="shared" si="49"/>
        <v>0</v>
      </c>
      <c r="V399" s="31"/>
      <c r="X399" s="240" t="str">
        <f t="shared" si="50"/>
        <v>OK</v>
      </c>
      <c r="Y399" s="240" t="str">
        <f t="shared" si="51"/>
        <v>OK</v>
      </c>
      <c r="Z399" s="240" t="str">
        <f t="shared" si="52"/>
        <v>OK</v>
      </c>
      <c r="AA399" s="240" t="str" cm="1">
        <f t="array" ref="AA399">IF(OR(AND(J399="Not accepted",N399:O399&lt;&gt;"",$S399=""),AND(J399="Accepted",S399="")),"ERROR","OK")</f>
        <v>OK</v>
      </c>
      <c r="AB399" s="240" t="str">
        <f t="shared" si="53"/>
        <v>OK</v>
      </c>
      <c r="AC399" s="240" t="str" cm="1">
        <f t="array" ref="AC399">IF(AND(F399:H399&lt;&gt;"",I399=""),"ERROR","OK")</f>
        <v>OK</v>
      </c>
      <c r="AD399" s="240" t="str">
        <f t="shared" si="54"/>
        <v>OK</v>
      </c>
      <c r="AE399" s="240" t="str">
        <f t="shared" si="55"/>
        <v>OK</v>
      </c>
      <c r="AF399" s="240" t="str" cm="1">
        <f t="array" aca="1" ref="AF399" ca="1" xml:space="preserve">
IF(AND($G399&lt;&gt;"",$F399=""),"ERROR",
IF(OR($F399:$G399="",AND($G399="",$F399&lt;&gt;"")),"OK",
IF(COUNTIF(INDIRECT(IFERROR(LEFT($F399,FIND(" ",$F399)-1),$F399)), $G399)&gt;0, "OK", "ERROR")))</f>
        <v>OK</v>
      </c>
    </row>
    <row r="400" spans="1:32" s="240" customFormat="1">
      <c r="A400" s="48"/>
      <c r="B400" s="31"/>
      <c r="C400" s="48"/>
      <c r="D400" s="47"/>
      <c r="E400" s="47"/>
      <c r="F400" s="31"/>
      <c r="G400" s="31"/>
      <c r="H400" s="31"/>
      <c r="I400" s="47"/>
      <c r="J400" s="31"/>
      <c r="K400" s="47"/>
      <c r="L400" s="47"/>
      <c r="M400" s="47"/>
      <c r="N400" s="31"/>
      <c r="O400" s="47"/>
      <c r="P400" s="31"/>
      <c r="Q400" s="31"/>
      <c r="R400" s="31"/>
      <c r="S400" s="31"/>
      <c r="T400" s="270">
        <f t="shared" si="48"/>
        <v>0</v>
      </c>
      <c r="U400" s="270">
        <f t="shared" si="49"/>
        <v>0</v>
      </c>
      <c r="V400" s="31"/>
      <c r="X400" s="240" t="str">
        <f t="shared" si="50"/>
        <v>OK</v>
      </c>
      <c r="Y400" s="240" t="str">
        <f t="shared" si="51"/>
        <v>OK</v>
      </c>
      <c r="Z400" s="240" t="str">
        <f t="shared" si="52"/>
        <v>OK</v>
      </c>
      <c r="AA400" s="240" t="str" cm="1">
        <f t="array" ref="AA400">IF(OR(AND(J400="Not accepted",N400:O400&lt;&gt;"",$S400=""),AND(J400="Accepted",S400="")),"ERROR","OK")</f>
        <v>OK</v>
      </c>
      <c r="AB400" s="240" t="str">
        <f t="shared" si="53"/>
        <v>OK</v>
      </c>
      <c r="AC400" s="240" t="str" cm="1">
        <f t="array" ref="AC400">IF(AND(F400:H400&lt;&gt;"",I400=""),"ERROR","OK")</f>
        <v>OK</v>
      </c>
      <c r="AD400" s="240" t="str">
        <f t="shared" si="54"/>
        <v>OK</v>
      </c>
      <c r="AE400" s="240" t="str">
        <f t="shared" si="55"/>
        <v>OK</v>
      </c>
      <c r="AF400" s="240" t="str" cm="1">
        <f t="array" aca="1" ref="AF400" ca="1" xml:space="preserve">
IF(AND($G400&lt;&gt;"",$F400=""),"ERROR",
IF(OR($F400:$G400="",AND($G400="",$F400&lt;&gt;"")),"OK",
IF(COUNTIF(INDIRECT(IFERROR(LEFT($F400,FIND(" ",$F400)-1),$F400)), $G400)&gt;0, "OK", "ERROR")))</f>
        <v>OK</v>
      </c>
    </row>
    <row r="401" spans="1:32" s="240" customFormat="1">
      <c r="A401" s="48"/>
      <c r="B401" s="31"/>
      <c r="C401" s="48"/>
      <c r="D401" s="47"/>
      <c r="E401" s="47"/>
      <c r="F401" s="31"/>
      <c r="G401" s="31"/>
      <c r="H401" s="31"/>
      <c r="I401" s="47"/>
      <c r="J401" s="31"/>
      <c r="K401" s="47"/>
      <c r="L401" s="47"/>
      <c r="M401" s="47"/>
      <c r="N401" s="31"/>
      <c r="O401" s="47"/>
      <c r="P401" s="31"/>
      <c r="Q401" s="31"/>
      <c r="R401" s="31"/>
      <c r="S401" s="31"/>
      <c r="T401" s="270">
        <f t="shared" si="48"/>
        <v>0</v>
      </c>
      <c r="U401" s="270">
        <f t="shared" si="49"/>
        <v>0</v>
      </c>
      <c r="V401" s="31"/>
      <c r="X401" s="240" t="str">
        <f t="shared" si="50"/>
        <v>OK</v>
      </c>
      <c r="Y401" s="240" t="str">
        <f t="shared" si="51"/>
        <v>OK</v>
      </c>
      <c r="Z401" s="240" t="str">
        <f t="shared" si="52"/>
        <v>OK</v>
      </c>
      <c r="AA401" s="240" t="str" cm="1">
        <f t="array" ref="AA401">IF(OR(AND(J401="Not accepted",N401:O401&lt;&gt;"",$S401=""),AND(J401="Accepted",S401="")),"ERROR","OK")</f>
        <v>OK</v>
      </c>
      <c r="AB401" s="240" t="str">
        <f t="shared" si="53"/>
        <v>OK</v>
      </c>
      <c r="AC401" s="240" t="str" cm="1">
        <f t="array" ref="AC401">IF(AND(F401:H401&lt;&gt;"",I401=""),"ERROR","OK")</f>
        <v>OK</v>
      </c>
      <c r="AD401" s="240" t="str">
        <f t="shared" si="54"/>
        <v>OK</v>
      </c>
      <c r="AE401" s="240" t="str">
        <f t="shared" si="55"/>
        <v>OK</v>
      </c>
      <c r="AF401" s="240" t="str" cm="1">
        <f t="array" aca="1" ref="AF401" ca="1" xml:space="preserve">
IF(AND($G401&lt;&gt;"",$F401=""),"ERROR",
IF(OR($F401:$G401="",AND($G401="",$F401&lt;&gt;"")),"OK",
IF(COUNTIF(INDIRECT(IFERROR(LEFT($F401,FIND(" ",$F401)-1),$F401)), $G401)&gt;0, "OK", "ERROR")))</f>
        <v>OK</v>
      </c>
    </row>
    <row r="402" spans="1:32" s="240" customFormat="1">
      <c r="A402" s="48"/>
      <c r="B402" s="31"/>
      <c r="C402" s="48"/>
      <c r="D402" s="47"/>
      <c r="E402" s="47"/>
      <c r="F402" s="31"/>
      <c r="G402" s="31"/>
      <c r="H402" s="31"/>
      <c r="I402" s="47"/>
      <c r="J402" s="31"/>
      <c r="K402" s="47"/>
      <c r="L402" s="47"/>
      <c r="M402" s="47"/>
      <c r="N402" s="31"/>
      <c r="O402" s="47"/>
      <c r="P402" s="31"/>
      <c r="Q402" s="31"/>
      <c r="R402" s="31"/>
      <c r="S402" s="31"/>
      <c r="T402" s="270">
        <f t="shared" si="48"/>
        <v>0</v>
      </c>
      <c r="U402" s="270">
        <f t="shared" si="49"/>
        <v>0</v>
      </c>
      <c r="V402" s="31"/>
      <c r="X402" s="240" t="str">
        <f t="shared" si="50"/>
        <v>OK</v>
      </c>
      <c r="Y402" s="240" t="str">
        <f t="shared" si="51"/>
        <v>OK</v>
      </c>
      <c r="Z402" s="240" t="str">
        <f t="shared" si="52"/>
        <v>OK</v>
      </c>
      <c r="AA402" s="240" t="str" cm="1">
        <f t="array" ref="AA402">IF(OR(AND(J402="Not accepted",N402:O402&lt;&gt;"",$S402=""),AND(J402="Accepted",S402="")),"ERROR","OK")</f>
        <v>OK</v>
      </c>
      <c r="AB402" s="240" t="str">
        <f t="shared" si="53"/>
        <v>OK</v>
      </c>
      <c r="AC402" s="240" t="str" cm="1">
        <f t="array" ref="AC402">IF(AND(F402:H402&lt;&gt;"",I402=""),"ERROR","OK")</f>
        <v>OK</v>
      </c>
      <c r="AD402" s="240" t="str">
        <f t="shared" si="54"/>
        <v>OK</v>
      </c>
      <c r="AE402" s="240" t="str">
        <f t="shared" si="55"/>
        <v>OK</v>
      </c>
      <c r="AF402" s="240" t="str" cm="1">
        <f t="array" aca="1" ref="AF402" ca="1" xml:space="preserve">
IF(AND($G402&lt;&gt;"",$F402=""),"ERROR",
IF(OR($F402:$G402="",AND($G402="",$F402&lt;&gt;"")),"OK",
IF(COUNTIF(INDIRECT(IFERROR(LEFT($F402,FIND(" ",$F402)-1),$F402)), $G402)&gt;0, "OK", "ERROR")))</f>
        <v>OK</v>
      </c>
    </row>
    <row r="403" spans="1:32" s="240" customFormat="1">
      <c r="A403" s="48"/>
      <c r="B403" s="31"/>
      <c r="C403" s="48"/>
      <c r="D403" s="47"/>
      <c r="E403" s="47"/>
      <c r="F403" s="31"/>
      <c r="G403" s="31"/>
      <c r="H403" s="31"/>
      <c r="I403" s="47"/>
      <c r="J403" s="31"/>
      <c r="K403" s="47"/>
      <c r="L403" s="47"/>
      <c r="M403" s="47"/>
      <c r="N403" s="31"/>
      <c r="O403" s="47"/>
      <c r="P403" s="31"/>
      <c r="Q403" s="31"/>
      <c r="R403" s="31"/>
      <c r="S403" s="31"/>
      <c r="T403" s="270">
        <f t="shared" si="48"/>
        <v>0</v>
      </c>
      <c r="U403" s="270">
        <f t="shared" si="49"/>
        <v>0</v>
      </c>
      <c r="V403" s="31"/>
      <c r="X403" s="240" t="str">
        <f t="shared" si="50"/>
        <v>OK</v>
      </c>
      <c r="Y403" s="240" t="str">
        <f t="shared" si="51"/>
        <v>OK</v>
      </c>
      <c r="Z403" s="240" t="str">
        <f t="shared" si="52"/>
        <v>OK</v>
      </c>
      <c r="AA403" s="240" t="str" cm="1">
        <f t="array" ref="AA403">IF(OR(AND(J403="Not accepted",N403:O403&lt;&gt;"",$S403=""),AND(J403="Accepted",S403="")),"ERROR","OK")</f>
        <v>OK</v>
      </c>
      <c r="AB403" s="240" t="str">
        <f t="shared" si="53"/>
        <v>OK</v>
      </c>
      <c r="AC403" s="240" t="str" cm="1">
        <f t="array" ref="AC403">IF(AND(F403:H403&lt;&gt;"",I403=""),"ERROR","OK")</f>
        <v>OK</v>
      </c>
      <c r="AD403" s="240" t="str">
        <f t="shared" si="54"/>
        <v>OK</v>
      </c>
      <c r="AE403" s="240" t="str">
        <f t="shared" si="55"/>
        <v>OK</v>
      </c>
      <c r="AF403" s="240" t="str" cm="1">
        <f t="array" aca="1" ref="AF403" ca="1" xml:space="preserve">
IF(AND($G403&lt;&gt;"",$F403=""),"ERROR",
IF(OR($F403:$G403="",AND($G403="",$F403&lt;&gt;"")),"OK",
IF(COUNTIF(INDIRECT(IFERROR(LEFT($F403,FIND(" ",$F403)-1),$F403)), $G403)&gt;0, "OK", "ERROR")))</f>
        <v>OK</v>
      </c>
    </row>
    <row r="404" spans="1:32" s="240" customFormat="1">
      <c r="A404" s="48"/>
      <c r="B404" s="31"/>
      <c r="C404" s="48"/>
      <c r="D404" s="47"/>
      <c r="E404" s="47"/>
      <c r="F404" s="31"/>
      <c r="G404" s="31"/>
      <c r="H404" s="31"/>
      <c r="I404" s="47"/>
      <c r="J404" s="31"/>
      <c r="K404" s="47"/>
      <c r="L404" s="47"/>
      <c r="M404" s="47"/>
      <c r="N404" s="31"/>
      <c r="O404" s="47"/>
      <c r="P404" s="31"/>
      <c r="Q404" s="31"/>
      <c r="R404" s="31"/>
      <c r="S404" s="31"/>
      <c r="T404" s="270">
        <f t="shared" si="48"/>
        <v>0</v>
      </c>
      <c r="U404" s="270">
        <f t="shared" si="49"/>
        <v>0</v>
      </c>
      <c r="V404" s="31"/>
      <c r="X404" s="240" t="str">
        <f t="shared" si="50"/>
        <v>OK</v>
      </c>
      <c r="Y404" s="240" t="str">
        <f t="shared" si="51"/>
        <v>OK</v>
      </c>
      <c r="Z404" s="240" t="str">
        <f t="shared" si="52"/>
        <v>OK</v>
      </c>
      <c r="AA404" s="240" t="str" cm="1">
        <f t="array" ref="AA404">IF(OR(AND(J404="Not accepted",N404:O404&lt;&gt;"",$S404=""),AND(J404="Accepted",S404="")),"ERROR","OK")</f>
        <v>OK</v>
      </c>
      <c r="AB404" s="240" t="str">
        <f t="shared" si="53"/>
        <v>OK</v>
      </c>
      <c r="AC404" s="240" t="str" cm="1">
        <f t="array" ref="AC404">IF(AND(F404:H404&lt;&gt;"",I404=""),"ERROR","OK")</f>
        <v>OK</v>
      </c>
      <c r="AD404" s="240" t="str">
        <f t="shared" si="54"/>
        <v>OK</v>
      </c>
      <c r="AE404" s="240" t="str">
        <f t="shared" si="55"/>
        <v>OK</v>
      </c>
      <c r="AF404" s="240" t="str" cm="1">
        <f t="array" aca="1" ref="AF404" ca="1" xml:space="preserve">
IF(AND($G404&lt;&gt;"",$F404=""),"ERROR",
IF(OR($F404:$G404="",AND($G404="",$F404&lt;&gt;"")),"OK",
IF(COUNTIF(INDIRECT(IFERROR(LEFT($F404,FIND(" ",$F404)-1),$F404)), $G404)&gt;0, "OK", "ERROR")))</f>
        <v>OK</v>
      </c>
    </row>
    <row r="405" spans="1:32" s="240" customFormat="1">
      <c r="A405" s="48"/>
      <c r="B405" s="31"/>
      <c r="C405" s="48"/>
      <c r="D405" s="47"/>
      <c r="E405" s="47"/>
      <c r="F405" s="31"/>
      <c r="G405" s="31"/>
      <c r="H405" s="31"/>
      <c r="I405" s="47"/>
      <c r="J405" s="31"/>
      <c r="K405" s="47"/>
      <c r="L405" s="47"/>
      <c r="M405" s="47"/>
      <c r="N405" s="31"/>
      <c r="O405" s="47"/>
      <c r="P405" s="31"/>
      <c r="Q405" s="31"/>
      <c r="R405" s="31"/>
      <c r="S405" s="31"/>
      <c r="T405" s="270">
        <f t="shared" si="48"/>
        <v>0</v>
      </c>
      <c r="U405" s="270">
        <f t="shared" si="49"/>
        <v>0</v>
      </c>
      <c r="V405" s="31"/>
      <c r="X405" s="240" t="str">
        <f t="shared" si="50"/>
        <v>OK</v>
      </c>
      <c r="Y405" s="240" t="str">
        <f t="shared" si="51"/>
        <v>OK</v>
      </c>
      <c r="Z405" s="240" t="str">
        <f t="shared" si="52"/>
        <v>OK</v>
      </c>
      <c r="AA405" s="240" t="str" cm="1">
        <f t="array" ref="AA405">IF(OR(AND(J405="Not accepted",N405:O405&lt;&gt;"",$S405=""),AND(J405="Accepted",S405="")),"ERROR","OK")</f>
        <v>OK</v>
      </c>
      <c r="AB405" s="240" t="str">
        <f t="shared" si="53"/>
        <v>OK</v>
      </c>
      <c r="AC405" s="240" t="str" cm="1">
        <f t="array" ref="AC405">IF(AND(F405:H405&lt;&gt;"",I405=""),"ERROR","OK")</f>
        <v>OK</v>
      </c>
      <c r="AD405" s="240" t="str">
        <f t="shared" si="54"/>
        <v>OK</v>
      </c>
      <c r="AE405" s="240" t="str">
        <f t="shared" si="55"/>
        <v>OK</v>
      </c>
      <c r="AF405" s="240" t="str" cm="1">
        <f t="array" aca="1" ref="AF405" ca="1" xml:space="preserve">
IF(AND($G405&lt;&gt;"",$F405=""),"ERROR",
IF(OR($F405:$G405="",AND($G405="",$F405&lt;&gt;"")),"OK",
IF(COUNTIF(INDIRECT(IFERROR(LEFT($F405,FIND(" ",$F405)-1),$F405)), $G405)&gt;0, "OK", "ERROR")))</f>
        <v>OK</v>
      </c>
    </row>
    <row r="406" spans="1:32" s="240" customFormat="1">
      <c r="A406" s="48"/>
      <c r="B406" s="31"/>
      <c r="C406" s="48"/>
      <c r="D406" s="47"/>
      <c r="E406" s="47"/>
      <c r="F406" s="31"/>
      <c r="G406" s="31"/>
      <c r="H406" s="31"/>
      <c r="I406" s="47"/>
      <c r="J406" s="31"/>
      <c r="K406" s="47"/>
      <c r="L406" s="47"/>
      <c r="M406" s="47"/>
      <c r="N406" s="31"/>
      <c r="O406" s="47"/>
      <c r="P406" s="31"/>
      <c r="Q406" s="31"/>
      <c r="R406" s="31"/>
      <c r="S406" s="31"/>
      <c r="T406" s="270">
        <f t="shared" si="48"/>
        <v>0</v>
      </c>
      <c r="U406" s="270">
        <f t="shared" si="49"/>
        <v>0</v>
      </c>
      <c r="V406" s="31"/>
      <c r="X406" s="240" t="str">
        <f t="shared" si="50"/>
        <v>OK</v>
      </c>
      <c r="Y406" s="240" t="str">
        <f t="shared" si="51"/>
        <v>OK</v>
      </c>
      <c r="Z406" s="240" t="str">
        <f t="shared" si="52"/>
        <v>OK</v>
      </c>
      <c r="AA406" s="240" t="str" cm="1">
        <f t="array" ref="AA406">IF(OR(AND(J406="Not accepted",N406:O406&lt;&gt;"",$S406=""),AND(J406="Accepted",S406="")),"ERROR","OK")</f>
        <v>OK</v>
      </c>
      <c r="AB406" s="240" t="str">
        <f t="shared" si="53"/>
        <v>OK</v>
      </c>
      <c r="AC406" s="240" t="str" cm="1">
        <f t="array" ref="AC406">IF(AND(F406:H406&lt;&gt;"",I406=""),"ERROR","OK")</f>
        <v>OK</v>
      </c>
      <c r="AD406" s="240" t="str">
        <f t="shared" si="54"/>
        <v>OK</v>
      </c>
      <c r="AE406" s="240" t="str">
        <f t="shared" si="55"/>
        <v>OK</v>
      </c>
      <c r="AF406" s="240" t="str" cm="1">
        <f t="array" aca="1" ref="AF406" ca="1" xml:space="preserve">
IF(AND($G406&lt;&gt;"",$F406=""),"ERROR",
IF(OR($F406:$G406="",AND($G406="",$F406&lt;&gt;"")),"OK",
IF(COUNTIF(INDIRECT(IFERROR(LEFT($F406,FIND(" ",$F406)-1),$F406)), $G406)&gt;0, "OK", "ERROR")))</f>
        <v>OK</v>
      </c>
    </row>
    <row r="407" spans="1:32" s="240" customFormat="1">
      <c r="A407" s="48"/>
      <c r="B407" s="31"/>
      <c r="C407" s="48"/>
      <c r="D407" s="47"/>
      <c r="E407" s="47"/>
      <c r="F407" s="31"/>
      <c r="G407" s="31"/>
      <c r="H407" s="31"/>
      <c r="I407" s="47"/>
      <c r="J407" s="31"/>
      <c r="K407" s="47"/>
      <c r="L407" s="47"/>
      <c r="M407" s="47"/>
      <c r="N407" s="31"/>
      <c r="O407" s="47"/>
      <c r="P407" s="31"/>
      <c r="Q407" s="31"/>
      <c r="R407" s="31"/>
      <c r="S407" s="31"/>
      <c r="T407" s="270">
        <f t="shared" si="48"/>
        <v>0</v>
      </c>
      <c r="U407" s="270">
        <f t="shared" si="49"/>
        <v>0</v>
      </c>
      <c r="V407" s="31"/>
      <c r="X407" s="240" t="str">
        <f t="shared" si="50"/>
        <v>OK</v>
      </c>
      <c r="Y407" s="240" t="str">
        <f t="shared" si="51"/>
        <v>OK</v>
      </c>
      <c r="Z407" s="240" t="str">
        <f t="shared" si="52"/>
        <v>OK</v>
      </c>
      <c r="AA407" s="240" t="str" cm="1">
        <f t="array" ref="AA407">IF(OR(AND(J407="Not accepted",N407:O407&lt;&gt;"",$S407=""),AND(J407="Accepted",S407="")),"ERROR","OK")</f>
        <v>OK</v>
      </c>
      <c r="AB407" s="240" t="str">
        <f t="shared" si="53"/>
        <v>OK</v>
      </c>
      <c r="AC407" s="240" t="str" cm="1">
        <f t="array" ref="AC407">IF(AND(F407:H407&lt;&gt;"",I407=""),"ERROR","OK")</f>
        <v>OK</v>
      </c>
      <c r="AD407" s="240" t="str">
        <f t="shared" si="54"/>
        <v>OK</v>
      </c>
      <c r="AE407" s="240" t="str">
        <f t="shared" si="55"/>
        <v>OK</v>
      </c>
      <c r="AF407" s="240" t="str" cm="1">
        <f t="array" aca="1" ref="AF407" ca="1" xml:space="preserve">
IF(AND($G407&lt;&gt;"",$F407=""),"ERROR",
IF(OR($F407:$G407="",AND($G407="",$F407&lt;&gt;"")),"OK",
IF(COUNTIF(INDIRECT(IFERROR(LEFT($F407,FIND(" ",$F407)-1),$F407)), $G407)&gt;0, "OK", "ERROR")))</f>
        <v>OK</v>
      </c>
    </row>
    <row r="408" spans="1:32" s="240" customFormat="1">
      <c r="A408" s="48"/>
      <c r="B408" s="31"/>
      <c r="C408" s="48"/>
      <c r="D408" s="47"/>
      <c r="E408" s="47"/>
      <c r="F408" s="31"/>
      <c r="G408" s="31"/>
      <c r="H408" s="31"/>
      <c r="I408" s="47"/>
      <c r="J408" s="31"/>
      <c r="K408" s="47"/>
      <c r="L408" s="47"/>
      <c r="M408" s="47"/>
      <c r="N408" s="31"/>
      <c r="O408" s="47"/>
      <c r="P408" s="31"/>
      <c r="Q408" s="31"/>
      <c r="R408" s="31"/>
      <c r="S408" s="31"/>
      <c r="T408" s="270">
        <f t="shared" si="48"/>
        <v>0</v>
      </c>
      <c r="U408" s="270">
        <f t="shared" si="49"/>
        <v>0</v>
      </c>
      <c r="V408" s="31"/>
      <c r="X408" s="240" t="str">
        <f t="shared" si="50"/>
        <v>OK</v>
      </c>
      <c r="Y408" s="240" t="str">
        <f t="shared" si="51"/>
        <v>OK</v>
      </c>
      <c r="Z408" s="240" t="str">
        <f t="shared" si="52"/>
        <v>OK</v>
      </c>
      <c r="AA408" s="240" t="str" cm="1">
        <f t="array" ref="AA408">IF(OR(AND(J408="Not accepted",N408:O408&lt;&gt;"",$S408=""),AND(J408="Accepted",S408="")),"ERROR","OK")</f>
        <v>OK</v>
      </c>
      <c r="AB408" s="240" t="str">
        <f t="shared" si="53"/>
        <v>OK</v>
      </c>
      <c r="AC408" s="240" t="str" cm="1">
        <f t="array" ref="AC408">IF(AND(F408:H408&lt;&gt;"",I408=""),"ERROR","OK")</f>
        <v>OK</v>
      </c>
      <c r="AD408" s="240" t="str">
        <f t="shared" si="54"/>
        <v>OK</v>
      </c>
      <c r="AE408" s="240" t="str">
        <f t="shared" si="55"/>
        <v>OK</v>
      </c>
      <c r="AF408" s="240" t="str" cm="1">
        <f t="array" aca="1" ref="AF408" ca="1" xml:space="preserve">
IF(AND($G408&lt;&gt;"",$F408=""),"ERROR",
IF(OR($F408:$G408="",AND($G408="",$F408&lt;&gt;"")),"OK",
IF(COUNTIF(INDIRECT(IFERROR(LEFT($F408,FIND(" ",$F408)-1),$F408)), $G408)&gt;0, "OK", "ERROR")))</f>
        <v>OK</v>
      </c>
    </row>
    <row r="409" spans="1:32" s="240" customFormat="1">
      <c r="A409" s="48"/>
      <c r="B409" s="31"/>
      <c r="C409" s="48"/>
      <c r="D409" s="47"/>
      <c r="E409" s="47"/>
      <c r="F409" s="31"/>
      <c r="G409" s="31"/>
      <c r="H409" s="31"/>
      <c r="I409" s="47"/>
      <c r="J409" s="31"/>
      <c r="K409" s="47"/>
      <c r="L409" s="47"/>
      <c r="M409" s="47"/>
      <c r="N409" s="31"/>
      <c r="O409" s="47"/>
      <c r="P409" s="31"/>
      <c r="Q409" s="31"/>
      <c r="R409" s="31"/>
      <c r="S409" s="31"/>
      <c r="T409" s="270">
        <f t="shared" si="48"/>
        <v>0</v>
      </c>
      <c r="U409" s="270">
        <f t="shared" si="49"/>
        <v>0</v>
      </c>
      <c r="V409" s="31"/>
      <c r="X409" s="240" t="str">
        <f t="shared" si="50"/>
        <v>OK</v>
      </c>
      <c r="Y409" s="240" t="str">
        <f t="shared" si="51"/>
        <v>OK</v>
      </c>
      <c r="Z409" s="240" t="str">
        <f t="shared" si="52"/>
        <v>OK</v>
      </c>
      <c r="AA409" s="240" t="str" cm="1">
        <f t="array" ref="AA409">IF(OR(AND(J409="Not accepted",N409:O409&lt;&gt;"",$S409=""),AND(J409="Accepted",S409="")),"ERROR","OK")</f>
        <v>OK</v>
      </c>
      <c r="AB409" s="240" t="str">
        <f t="shared" si="53"/>
        <v>OK</v>
      </c>
      <c r="AC409" s="240" t="str" cm="1">
        <f t="array" ref="AC409">IF(AND(F409:H409&lt;&gt;"",I409=""),"ERROR","OK")</f>
        <v>OK</v>
      </c>
      <c r="AD409" s="240" t="str">
        <f t="shared" si="54"/>
        <v>OK</v>
      </c>
      <c r="AE409" s="240" t="str">
        <f t="shared" si="55"/>
        <v>OK</v>
      </c>
      <c r="AF409" s="240" t="str" cm="1">
        <f t="array" aca="1" ref="AF409" ca="1" xml:space="preserve">
IF(AND($G409&lt;&gt;"",$F409=""),"ERROR",
IF(OR($F409:$G409="",AND($G409="",$F409&lt;&gt;"")),"OK",
IF(COUNTIF(INDIRECT(IFERROR(LEFT($F409,FIND(" ",$F409)-1),$F409)), $G409)&gt;0, "OK", "ERROR")))</f>
        <v>OK</v>
      </c>
    </row>
    <row r="410" spans="1:32" s="240" customFormat="1">
      <c r="A410" s="48"/>
      <c r="B410" s="31"/>
      <c r="C410" s="48"/>
      <c r="D410" s="47"/>
      <c r="E410" s="47"/>
      <c r="F410" s="31"/>
      <c r="G410" s="31"/>
      <c r="H410" s="31"/>
      <c r="I410" s="47"/>
      <c r="J410" s="31"/>
      <c r="K410" s="47"/>
      <c r="L410" s="47"/>
      <c r="M410" s="47"/>
      <c r="N410" s="31"/>
      <c r="O410" s="47"/>
      <c r="P410" s="31"/>
      <c r="Q410" s="31"/>
      <c r="R410" s="31"/>
      <c r="S410" s="31"/>
      <c r="T410" s="270">
        <f t="shared" si="48"/>
        <v>0</v>
      </c>
      <c r="U410" s="270">
        <f t="shared" si="49"/>
        <v>0</v>
      </c>
      <c r="V410" s="31"/>
      <c r="X410" s="240" t="str">
        <f t="shared" si="50"/>
        <v>OK</v>
      </c>
      <c r="Y410" s="240" t="str">
        <f t="shared" si="51"/>
        <v>OK</v>
      </c>
      <c r="Z410" s="240" t="str">
        <f t="shared" si="52"/>
        <v>OK</v>
      </c>
      <c r="AA410" s="240" t="str" cm="1">
        <f t="array" ref="AA410">IF(OR(AND(J410="Not accepted",N410:O410&lt;&gt;"",$S410=""),AND(J410="Accepted",S410="")),"ERROR","OK")</f>
        <v>OK</v>
      </c>
      <c r="AB410" s="240" t="str">
        <f t="shared" si="53"/>
        <v>OK</v>
      </c>
      <c r="AC410" s="240" t="str" cm="1">
        <f t="array" ref="AC410">IF(AND(F410:H410&lt;&gt;"",I410=""),"ERROR","OK")</f>
        <v>OK</v>
      </c>
      <c r="AD410" s="240" t="str">
        <f t="shared" si="54"/>
        <v>OK</v>
      </c>
      <c r="AE410" s="240" t="str">
        <f t="shared" si="55"/>
        <v>OK</v>
      </c>
      <c r="AF410" s="240" t="str" cm="1">
        <f t="array" aca="1" ref="AF410" ca="1" xml:space="preserve">
IF(AND($G410&lt;&gt;"",$F410=""),"ERROR",
IF(OR($F410:$G410="",AND($G410="",$F410&lt;&gt;"")),"OK",
IF(COUNTIF(INDIRECT(IFERROR(LEFT($F410,FIND(" ",$F410)-1),$F410)), $G410)&gt;0, "OK", "ERROR")))</f>
        <v>OK</v>
      </c>
    </row>
    <row r="411" spans="1:32" s="240" customFormat="1">
      <c r="A411" s="48"/>
      <c r="B411" s="31"/>
      <c r="C411" s="48"/>
      <c r="D411" s="47"/>
      <c r="E411" s="47"/>
      <c r="F411" s="31"/>
      <c r="G411" s="31"/>
      <c r="H411" s="31"/>
      <c r="I411" s="47"/>
      <c r="J411" s="31"/>
      <c r="K411" s="47"/>
      <c r="L411" s="47"/>
      <c r="M411" s="47"/>
      <c r="N411" s="31"/>
      <c r="O411" s="47"/>
      <c r="P411" s="31"/>
      <c r="Q411" s="31"/>
      <c r="R411" s="31"/>
      <c r="S411" s="31"/>
      <c r="T411" s="270">
        <f t="shared" si="48"/>
        <v>0</v>
      </c>
      <c r="U411" s="270">
        <f t="shared" si="49"/>
        <v>0</v>
      </c>
      <c r="V411" s="31"/>
      <c r="X411" s="240" t="str">
        <f t="shared" si="50"/>
        <v>OK</v>
      </c>
      <c r="Y411" s="240" t="str">
        <f t="shared" si="51"/>
        <v>OK</v>
      </c>
      <c r="Z411" s="240" t="str">
        <f t="shared" si="52"/>
        <v>OK</v>
      </c>
      <c r="AA411" s="240" t="str" cm="1">
        <f t="array" ref="AA411">IF(OR(AND(J411="Not accepted",N411:O411&lt;&gt;"",$S411=""),AND(J411="Accepted",S411="")),"ERROR","OK")</f>
        <v>OK</v>
      </c>
      <c r="AB411" s="240" t="str">
        <f t="shared" si="53"/>
        <v>OK</v>
      </c>
      <c r="AC411" s="240" t="str" cm="1">
        <f t="array" ref="AC411">IF(AND(F411:H411&lt;&gt;"",I411=""),"ERROR","OK")</f>
        <v>OK</v>
      </c>
      <c r="AD411" s="240" t="str">
        <f t="shared" si="54"/>
        <v>OK</v>
      </c>
      <c r="AE411" s="240" t="str">
        <f t="shared" si="55"/>
        <v>OK</v>
      </c>
      <c r="AF411" s="240" t="str" cm="1">
        <f t="array" aca="1" ref="AF411" ca="1" xml:space="preserve">
IF(AND($G411&lt;&gt;"",$F411=""),"ERROR",
IF(OR($F411:$G411="",AND($G411="",$F411&lt;&gt;"")),"OK",
IF(COUNTIF(INDIRECT(IFERROR(LEFT($F411,FIND(" ",$F411)-1),$F411)), $G411)&gt;0, "OK", "ERROR")))</f>
        <v>OK</v>
      </c>
    </row>
    <row r="412" spans="1:32" s="240" customFormat="1">
      <c r="A412" s="48"/>
      <c r="B412" s="31"/>
      <c r="C412" s="48"/>
      <c r="D412" s="47"/>
      <c r="E412" s="47"/>
      <c r="F412" s="31"/>
      <c r="G412" s="31"/>
      <c r="H412" s="31"/>
      <c r="I412" s="47"/>
      <c r="J412" s="31"/>
      <c r="K412" s="47"/>
      <c r="L412" s="47"/>
      <c r="M412" s="47"/>
      <c r="N412" s="31"/>
      <c r="O412" s="47"/>
      <c r="P412" s="31"/>
      <c r="Q412" s="31"/>
      <c r="R412" s="31"/>
      <c r="S412" s="31"/>
      <c r="T412" s="270">
        <f t="shared" si="48"/>
        <v>0</v>
      </c>
      <c r="U412" s="270">
        <f t="shared" si="49"/>
        <v>0</v>
      </c>
      <c r="V412" s="31"/>
      <c r="X412" s="240" t="str">
        <f t="shared" si="50"/>
        <v>OK</v>
      </c>
      <c r="Y412" s="240" t="str">
        <f t="shared" si="51"/>
        <v>OK</v>
      </c>
      <c r="Z412" s="240" t="str">
        <f t="shared" si="52"/>
        <v>OK</v>
      </c>
      <c r="AA412" s="240" t="str" cm="1">
        <f t="array" ref="AA412">IF(OR(AND(J412="Not accepted",N412:O412&lt;&gt;"",$S412=""),AND(J412="Accepted",S412="")),"ERROR","OK")</f>
        <v>OK</v>
      </c>
      <c r="AB412" s="240" t="str">
        <f t="shared" si="53"/>
        <v>OK</v>
      </c>
      <c r="AC412" s="240" t="str" cm="1">
        <f t="array" ref="AC412">IF(AND(F412:H412&lt;&gt;"",I412=""),"ERROR","OK")</f>
        <v>OK</v>
      </c>
      <c r="AD412" s="240" t="str">
        <f t="shared" si="54"/>
        <v>OK</v>
      </c>
      <c r="AE412" s="240" t="str">
        <f t="shared" si="55"/>
        <v>OK</v>
      </c>
      <c r="AF412" s="240" t="str" cm="1">
        <f t="array" aca="1" ref="AF412" ca="1" xml:space="preserve">
IF(AND($G412&lt;&gt;"",$F412=""),"ERROR",
IF(OR($F412:$G412="",AND($G412="",$F412&lt;&gt;"")),"OK",
IF(COUNTIF(INDIRECT(IFERROR(LEFT($F412,FIND(" ",$F412)-1),$F412)), $G412)&gt;0, "OK", "ERROR")))</f>
        <v>OK</v>
      </c>
    </row>
    <row r="413" spans="1:32" s="240" customFormat="1">
      <c r="A413" s="48"/>
      <c r="B413" s="31"/>
      <c r="C413" s="48"/>
      <c r="D413" s="47"/>
      <c r="E413" s="47"/>
      <c r="F413" s="31"/>
      <c r="G413" s="31"/>
      <c r="H413" s="31"/>
      <c r="I413" s="47"/>
      <c r="J413" s="31"/>
      <c r="K413" s="47"/>
      <c r="L413" s="47"/>
      <c r="M413" s="47"/>
      <c r="N413" s="31"/>
      <c r="O413" s="47"/>
      <c r="P413" s="31"/>
      <c r="Q413" s="31"/>
      <c r="R413" s="31"/>
      <c r="S413" s="31"/>
      <c r="T413" s="270">
        <f t="shared" si="48"/>
        <v>0</v>
      </c>
      <c r="U413" s="270">
        <f t="shared" si="49"/>
        <v>0</v>
      </c>
      <c r="V413" s="31"/>
      <c r="X413" s="240" t="str">
        <f t="shared" si="50"/>
        <v>OK</v>
      </c>
      <c r="Y413" s="240" t="str">
        <f t="shared" si="51"/>
        <v>OK</v>
      </c>
      <c r="Z413" s="240" t="str">
        <f t="shared" si="52"/>
        <v>OK</v>
      </c>
      <c r="AA413" s="240" t="str" cm="1">
        <f t="array" ref="AA413">IF(OR(AND(J413="Not accepted",N413:O413&lt;&gt;"",$S413=""),AND(J413="Accepted",S413="")),"ERROR","OK")</f>
        <v>OK</v>
      </c>
      <c r="AB413" s="240" t="str">
        <f t="shared" si="53"/>
        <v>OK</v>
      </c>
      <c r="AC413" s="240" t="str" cm="1">
        <f t="array" ref="AC413">IF(AND(F413:H413&lt;&gt;"",I413=""),"ERROR","OK")</f>
        <v>OK</v>
      </c>
      <c r="AD413" s="240" t="str">
        <f t="shared" si="54"/>
        <v>OK</v>
      </c>
      <c r="AE413" s="240" t="str">
        <f t="shared" si="55"/>
        <v>OK</v>
      </c>
      <c r="AF413" s="240" t="str" cm="1">
        <f t="array" aca="1" ref="AF413" ca="1" xml:space="preserve">
IF(AND($G413&lt;&gt;"",$F413=""),"ERROR",
IF(OR($F413:$G413="",AND($G413="",$F413&lt;&gt;"")),"OK",
IF(COUNTIF(INDIRECT(IFERROR(LEFT($F413,FIND(" ",$F413)-1),$F413)), $G413)&gt;0, "OK", "ERROR")))</f>
        <v>OK</v>
      </c>
    </row>
    <row r="414" spans="1:32" s="240" customFormat="1">
      <c r="A414" s="48"/>
      <c r="B414" s="31"/>
      <c r="C414" s="48"/>
      <c r="D414" s="47"/>
      <c r="E414" s="47"/>
      <c r="F414" s="31"/>
      <c r="G414" s="31"/>
      <c r="H414" s="31"/>
      <c r="I414" s="47"/>
      <c r="J414" s="31"/>
      <c r="K414" s="47"/>
      <c r="L414" s="47"/>
      <c r="M414" s="47"/>
      <c r="N414" s="31"/>
      <c r="O414" s="47"/>
      <c r="P414" s="31"/>
      <c r="Q414" s="31"/>
      <c r="R414" s="31"/>
      <c r="S414" s="31"/>
      <c r="T414" s="270">
        <f t="shared" si="48"/>
        <v>0</v>
      </c>
      <c r="U414" s="270">
        <f t="shared" si="49"/>
        <v>0</v>
      </c>
      <c r="V414" s="31"/>
      <c r="X414" s="240" t="str">
        <f t="shared" si="50"/>
        <v>OK</v>
      </c>
      <c r="Y414" s="240" t="str">
        <f t="shared" si="51"/>
        <v>OK</v>
      </c>
      <c r="Z414" s="240" t="str">
        <f t="shared" si="52"/>
        <v>OK</v>
      </c>
      <c r="AA414" s="240" t="str" cm="1">
        <f t="array" ref="AA414">IF(OR(AND(J414="Not accepted",N414:O414&lt;&gt;"",$S414=""),AND(J414="Accepted",S414="")),"ERROR","OK")</f>
        <v>OK</v>
      </c>
      <c r="AB414" s="240" t="str">
        <f t="shared" si="53"/>
        <v>OK</v>
      </c>
      <c r="AC414" s="240" t="str" cm="1">
        <f t="array" ref="AC414">IF(AND(F414:H414&lt;&gt;"",I414=""),"ERROR","OK")</f>
        <v>OK</v>
      </c>
      <c r="AD414" s="240" t="str">
        <f t="shared" si="54"/>
        <v>OK</v>
      </c>
      <c r="AE414" s="240" t="str">
        <f t="shared" si="55"/>
        <v>OK</v>
      </c>
      <c r="AF414" s="240" t="str" cm="1">
        <f t="array" aca="1" ref="AF414" ca="1" xml:space="preserve">
IF(AND($G414&lt;&gt;"",$F414=""),"ERROR",
IF(OR($F414:$G414="",AND($G414="",$F414&lt;&gt;"")),"OK",
IF(COUNTIF(INDIRECT(IFERROR(LEFT($F414,FIND(" ",$F414)-1),$F414)), $G414)&gt;0, "OK", "ERROR")))</f>
        <v>OK</v>
      </c>
    </row>
    <row r="415" spans="1:32" s="240" customFormat="1">
      <c r="A415" s="48"/>
      <c r="B415" s="31"/>
      <c r="C415" s="48"/>
      <c r="D415" s="47"/>
      <c r="E415" s="47"/>
      <c r="F415" s="31"/>
      <c r="G415" s="31"/>
      <c r="H415" s="31"/>
      <c r="I415" s="47"/>
      <c r="J415" s="31"/>
      <c r="K415" s="47"/>
      <c r="L415" s="47"/>
      <c r="M415" s="47"/>
      <c r="N415" s="31"/>
      <c r="O415" s="47"/>
      <c r="P415" s="31"/>
      <c r="Q415" s="31"/>
      <c r="R415" s="31"/>
      <c r="S415" s="31"/>
      <c r="T415" s="270">
        <f t="shared" si="48"/>
        <v>0</v>
      </c>
      <c r="U415" s="270">
        <f t="shared" si="49"/>
        <v>0</v>
      </c>
      <c r="V415" s="31"/>
      <c r="X415" s="240" t="str">
        <f t="shared" si="50"/>
        <v>OK</v>
      </c>
      <c r="Y415" s="240" t="str">
        <f t="shared" si="51"/>
        <v>OK</v>
      </c>
      <c r="Z415" s="240" t="str">
        <f t="shared" si="52"/>
        <v>OK</v>
      </c>
      <c r="AA415" s="240" t="str" cm="1">
        <f t="array" ref="AA415">IF(OR(AND(J415="Not accepted",N415:O415&lt;&gt;"",$S415=""),AND(J415="Accepted",S415="")),"ERROR","OK")</f>
        <v>OK</v>
      </c>
      <c r="AB415" s="240" t="str">
        <f t="shared" si="53"/>
        <v>OK</v>
      </c>
      <c r="AC415" s="240" t="str" cm="1">
        <f t="array" ref="AC415">IF(AND(F415:H415&lt;&gt;"",I415=""),"ERROR","OK")</f>
        <v>OK</v>
      </c>
      <c r="AD415" s="240" t="str">
        <f t="shared" si="54"/>
        <v>OK</v>
      </c>
      <c r="AE415" s="240" t="str">
        <f t="shared" si="55"/>
        <v>OK</v>
      </c>
      <c r="AF415" s="240" t="str" cm="1">
        <f t="array" aca="1" ref="AF415" ca="1" xml:space="preserve">
IF(AND($G415&lt;&gt;"",$F415=""),"ERROR",
IF(OR($F415:$G415="",AND($G415="",$F415&lt;&gt;"")),"OK",
IF(COUNTIF(INDIRECT(IFERROR(LEFT($F415,FIND(" ",$F415)-1),$F415)), $G415)&gt;0, "OK", "ERROR")))</f>
        <v>OK</v>
      </c>
    </row>
    <row r="416" spans="1:32" s="240" customFormat="1">
      <c r="A416" s="48"/>
      <c r="B416" s="31"/>
      <c r="C416" s="48"/>
      <c r="D416" s="47"/>
      <c r="E416" s="47"/>
      <c r="F416" s="31"/>
      <c r="G416" s="31"/>
      <c r="H416" s="31"/>
      <c r="I416" s="47"/>
      <c r="J416" s="31"/>
      <c r="K416" s="47"/>
      <c r="L416" s="47"/>
      <c r="M416" s="47"/>
      <c r="N416" s="31"/>
      <c r="O416" s="47"/>
      <c r="P416" s="31"/>
      <c r="Q416" s="31"/>
      <c r="R416" s="31"/>
      <c r="S416" s="31"/>
      <c r="T416" s="270">
        <f t="shared" si="48"/>
        <v>0</v>
      </c>
      <c r="U416" s="270">
        <f t="shared" si="49"/>
        <v>0</v>
      </c>
      <c r="V416" s="31"/>
      <c r="X416" s="240" t="str">
        <f t="shared" si="50"/>
        <v>OK</v>
      </c>
      <c r="Y416" s="240" t="str">
        <f t="shared" si="51"/>
        <v>OK</v>
      </c>
      <c r="Z416" s="240" t="str">
        <f t="shared" si="52"/>
        <v>OK</v>
      </c>
      <c r="AA416" s="240" t="str" cm="1">
        <f t="array" ref="AA416">IF(OR(AND(J416="Not accepted",N416:O416&lt;&gt;"",$S416=""),AND(J416="Accepted",S416="")),"ERROR","OK")</f>
        <v>OK</v>
      </c>
      <c r="AB416" s="240" t="str">
        <f t="shared" si="53"/>
        <v>OK</v>
      </c>
      <c r="AC416" s="240" t="str" cm="1">
        <f t="array" ref="AC416">IF(AND(F416:H416&lt;&gt;"",I416=""),"ERROR","OK")</f>
        <v>OK</v>
      </c>
      <c r="AD416" s="240" t="str">
        <f t="shared" si="54"/>
        <v>OK</v>
      </c>
      <c r="AE416" s="240" t="str">
        <f t="shared" si="55"/>
        <v>OK</v>
      </c>
      <c r="AF416" s="240" t="str" cm="1">
        <f t="array" aca="1" ref="AF416" ca="1" xml:space="preserve">
IF(AND($G416&lt;&gt;"",$F416=""),"ERROR",
IF(OR($F416:$G416="",AND($G416="",$F416&lt;&gt;"")),"OK",
IF(COUNTIF(INDIRECT(IFERROR(LEFT($F416,FIND(" ",$F416)-1),$F416)), $G416)&gt;0, "OK", "ERROR")))</f>
        <v>OK</v>
      </c>
    </row>
    <row r="417" spans="1:32" s="240" customFormat="1">
      <c r="A417" s="48"/>
      <c r="B417" s="31"/>
      <c r="C417" s="48"/>
      <c r="D417" s="47"/>
      <c r="E417" s="47"/>
      <c r="F417" s="31"/>
      <c r="G417" s="31"/>
      <c r="H417" s="31"/>
      <c r="I417" s="47"/>
      <c r="J417" s="31"/>
      <c r="K417" s="47"/>
      <c r="L417" s="47"/>
      <c r="M417" s="47"/>
      <c r="N417" s="31"/>
      <c r="O417" s="47"/>
      <c r="P417" s="31"/>
      <c r="Q417" s="31"/>
      <c r="R417" s="31"/>
      <c r="S417" s="31"/>
      <c r="T417" s="270">
        <f t="shared" si="48"/>
        <v>0</v>
      </c>
      <c r="U417" s="270">
        <f t="shared" si="49"/>
        <v>0</v>
      </c>
      <c r="V417" s="31"/>
      <c r="X417" s="240" t="str">
        <f t="shared" si="50"/>
        <v>OK</v>
      </c>
      <c r="Y417" s="240" t="str">
        <f t="shared" si="51"/>
        <v>OK</v>
      </c>
      <c r="Z417" s="240" t="str">
        <f t="shared" si="52"/>
        <v>OK</v>
      </c>
      <c r="AA417" s="240" t="str" cm="1">
        <f t="array" ref="AA417">IF(OR(AND(J417="Not accepted",N417:O417&lt;&gt;"",$S417=""),AND(J417="Accepted",S417="")),"ERROR","OK")</f>
        <v>OK</v>
      </c>
      <c r="AB417" s="240" t="str">
        <f t="shared" si="53"/>
        <v>OK</v>
      </c>
      <c r="AC417" s="240" t="str" cm="1">
        <f t="array" ref="AC417">IF(AND(F417:H417&lt;&gt;"",I417=""),"ERROR","OK")</f>
        <v>OK</v>
      </c>
      <c r="AD417" s="240" t="str">
        <f t="shared" si="54"/>
        <v>OK</v>
      </c>
      <c r="AE417" s="240" t="str">
        <f t="shared" si="55"/>
        <v>OK</v>
      </c>
      <c r="AF417" s="240" t="str" cm="1">
        <f t="array" aca="1" ref="AF417" ca="1" xml:space="preserve">
IF(AND($G417&lt;&gt;"",$F417=""),"ERROR",
IF(OR($F417:$G417="",AND($G417="",$F417&lt;&gt;"")),"OK",
IF(COUNTIF(INDIRECT(IFERROR(LEFT($F417,FIND(" ",$F417)-1),$F417)), $G417)&gt;0, "OK", "ERROR")))</f>
        <v>OK</v>
      </c>
    </row>
    <row r="418" spans="1:32" s="240" customFormat="1">
      <c r="A418" s="48"/>
      <c r="B418" s="31"/>
      <c r="C418" s="48"/>
      <c r="D418" s="47"/>
      <c r="E418" s="47"/>
      <c r="F418" s="31"/>
      <c r="G418" s="31"/>
      <c r="H418" s="31"/>
      <c r="I418" s="47"/>
      <c r="J418" s="31"/>
      <c r="K418" s="47"/>
      <c r="L418" s="47"/>
      <c r="M418" s="47"/>
      <c r="N418" s="31"/>
      <c r="O418" s="47"/>
      <c r="P418" s="31"/>
      <c r="Q418" s="31"/>
      <c r="R418" s="31"/>
      <c r="S418" s="31"/>
      <c r="T418" s="270">
        <f t="shared" si="48"/>
        <v>0</v>
      </c>
      <c r="U418" s="270">
        <f t="shared" si="49"/>
        <v>0</v>
      </c>
      <c r="V418" s="31"/>
      <c r="X418" s="240" t="str">
        <f t="shared" si="50"/>
        <v>OK</v>
      </c>
      <c r="Y418" s="240" t="str">
        <f t="shared" si="51"/>
        <v>OK</v>
      </c>
      <c r="Z418" s="240" t="str">
        <f t="shared" si="52"/>
        <v>OK</v>
      </c>
      <c r="AA418" s="240" t="str" cm="1">
        <f t="array" ref="AA418">IF(OR(AND(J418="Not accepted",N418:O418&lt;&gt;"",$S418=""),AND(J418="Accepted",S418="")),"ERROR","OK")</f>
        <v>OK</v>
      </c>
      <c r="AB418" s="240" t="str">
        <f t="shared" si="53"/>
        <v>OK</v>
      </c>
      <c r="AC418" s="240" t="str" cm="1">
        <f t="array" ref="AC418">IF(AND(F418:H418&lt;&gt;"",I418=""),"ERROR","OK")</f>
        <v>OK</v>
      </c>
      <c r="AD418" s="240" t="str">
        <f t="shared" si="54"/>
        <v>OK</v>
      </c>
      <c r="AE418" s="240" t="str">
        <f t="shared" si="55"/>
        <v>OK</v>
      </c>
      <c r="AF418" s="240" t="str" cm="1">
        <f t="array" aca="1" ref="AF418" ca="1" xml:space="preserve">
IF(AND($G418&lt;&gt;"",$F418=""),"ERROR",
IF(OR($F418:$G418="",AND($G418="",$F418&lt;&gt;"")),"OK",
IF(COUNTIF(INDIRECT(IFERROR(LEFT($F418,FIND(" ",$F418)-1),$F418)), $G418)&gt;0, "OK", "ERROR")))</f>
        <v>OK</v>
      </c>
    </row>
    <row r="419" spans="1:32" s="240" customFormat="1">
      <c r="A419" s="48"/>
      <c r="B419" s="31"/>
      <c r="C419" s="48"/>
      <c r="D419" s="47"/>
      <c r="E419" s="47"/>
      <c r="F419" s="31"/>
      <c r="G419" s="31"/>
      <c r="H419" s="31"/>
      <c r="I419" s="47"/>
      <c r="J419" s="31"/>
      <c r="K419" s="47"/>
      <c r="L419" s="47"/>
      <c r="M419" s="47"/>
      <c r="N419" s="31"/>
      <c r="O419" s="47"/>
      <c r="P419" s="31"/>
      <c r="Q419" s="31"/>
      <c r="R419" s="31"/>
      <c r="S419" s="31"/>
      <c r="T419" s="270">
        <f t="shared" si="48"/>
        <v>0</v>
      </c>
      <c r="U419" s="270">
        <f t="shared" si="49"/>
        <v>0</v>
      </c>
      <c r="V419" s="31"/>
      <c r="X419" s="240" t="str">
        <f t="shared" si="50"/>
        <v>OK</v>
      </c>
      <c r="Y419" s="240" t="str">
        <f t="shared" si="51"/>
        <v>OK</v>
      </c>
      <c r="Z419" s="240" t="str">
        <f t="shared" si="52"/>
        <v>OK</v>
      </c>
      <c r="AA419" s="240" t="str" cm="1">
        <f t="array" ref="AA419">IF(OR(AND(J419="Not accepted",N419:O419&lt;&gt;"",$S419=""),AND(J419="Accepted",S419="")),"ERROR","OK")</f>
        <v>OK</v>
      </c>
      <c r="AB419" s="240" t="str">
        <f t="shared" si="53"/>
        <v>OK</v>
      </c>
      <c r="AC419" s="240" t="str" cm="1">
        <f t="array" ref="AC419">IF(AND(F419:H419&lt;&gt;"",I419=""),"ERROR","OK")</f>
        <v>OK</v>
      </c>
      <c r="AD419" s="240" t="str">
        <f t="shared" si="54"/>
        <v>OK</v>
      </c>
      <c r="AE419" s="240" t="str">
        <f t="shared" si="55"/>
        <v>OK</v>
      </c>
      <c r="AF419" s="240" t="str" cm="1">
        <f t="array" aca="1" ref="AF419" ca="1" xml:space="preserve">
IF(AND($G419&lt;&gt;"",$F419=""),"ERROR",
IF(OR($F419:$G419="",AND($G419="",$F419&lt;&gt;"")),"OK",
IF(COUNTIF(INDIRECT(IFERROR(LEFT($F419,FIND(" ",$F419)-1),$F419)), $G419)&gt;0, "OK", "ERROR")))</f>
        <v>OK</v>
      </c>
    </row>
    <row r="420" spans="1:32" s="240" customFormat="1">
      <c r="A420" s="48"/>
      <c r="B420" s="31"/>
      <c r="C420" s="48"/>
      <c r="D420" s="47"/>
      <c r="E420" s="47"/>
      <c r="F420" s="31"/>
      <c r="G420" s="31"/>
      <c r="H420" s="31"/>
      <c r="I420" s="47"/>
      <c r="J420" s="31"/>
      <c r="K420" s="47"/>
      <c r="L420" s="47"/>
      <c r="M420" s="47"/>
      <c r="N420" s="31"/>
      <c r="O420" s="47"/>
      <c r="P420" s="31"/>
      <c r="Q420" s="31"/>
      <c r="R420" s="31"/>
      <c r="S420" s="31"/>
      <c r="T420" s="270">
        <f t="shared" si="48"/>
        <v>0</v>
      </c>
      <c r="U420" s="270">
        <f t="shared" si="49"/>
        <v>0</v>
      </c>
      <c r="V420" s="31"/>
      <c r="X420" s="240" t="str">
        <f t="shared" si="50"/>
        <v>OK</v>
      </c>
      <c r="Y420" s="240" t="str">
        <f t="shared" si="51"/>
        <v>OK</v>
      </c>
      <c r="Z420" s="240" t="str">
        <f t="shared" si="52"/>
        <v>OK</v>
      </c>
      <c r="AA420" s="240" t="str" cm="1">
        <f t="array" ref="AA420">IF(OR(AND(J420="Not accepted",N420:O420&lt;&gt;"",$S420=""),AND(J420="Accepted",S420="")),"ERROR","OK")</f>
        <v>OK</v>
      </c>
      <c r="AB420" s="240" t="str">
        <f t="shared" si="53"/>
        <v>OK</v>
      </c>
      <c r="AC420" s="240" t="str" cm="1">
        <f t="array" ref="AC420">IF(AND(F420:H420&lt;&gt;"",I420=""),"ERROR","OK")</f>
        <v>OK</v>
      </c>
      <c r="AD420" s="240" t="str">
        <f t="shared" si="54"/>
        <v>OK</v>
      </c>
      <c r="AE420" s="240" t="str">
        <f t="shared" si="55"/>
        <v>OK</v>
      </c>
      <c r="AF420" s="240" t="str" cm="1">
        <f t="array" aca="1" ref="AF420" ca="1" xml:space="preserve">
IF(AND($G420&lt;&gt;"",$F420=""),"ERROR",
IF(OR($F420:$G420="",AND($G420="",$F420&lt;&gt;"")),"OK",
IF(COUNTIF(INDIRECT(IFERROR(LEFT($F420,FIND(" ",$F420)-1),$F420)), $G420)&gt;0, "OK", "ERROR")))</f>
        <v>OK</v>
      </c>
    </row>
    <row r="421" spans="1:32" s="240" customFormat="1">
      <c r="A421" s="48"/>
      <c r="B421" s="31"/>
      <c r="C421" s="48"/>
      <c r="D421" s="47"/>
      <c r="E421" s="47"/>
      <c r="F421" s="31"/>
      <c r="G421" s="31"/>
      <c r="H421" s="31"/>
      <c r="I421" s="47"/>
      <c r="J421" s="31"/>
      <c r="K421" s="47"/>
      <c r="L421" s="47"/>
      <c r="M421" s="47"/>
      <c r="N421" s="31"/>
      <c r="O421" s="47"/>
      <c r="P421" s="31"/>
      <c r="Q421" s="31"/>
      <c r="R421" s="31"/>
      <c r="S421" s="31"/>
      <c r="T421" s="270">
        <f t="shared" si="48"/>
        <v>0</v>
      </c>
      <c r="U421" s="270">
        <f t="shared" si="49"/>
        <v>0</v>
      </c>
      <c r="V421" s="31"/>
      <c r="X421" s="240" t="str">
        <f t="shared" si="50"/>
        <v>OK</v>
      </c>
      <c r="Y421" s="240" t="str">
        <f t="shared" si="51"/>
        <v>OK</v>
      </c>
      <c r="Z421" s="240" t="str">
        <f t="shared" si="52"/>
        <v>OK</v>
      </c>
      <c r="AA421" s="240" t="str" cm="1">
        <f t="array" ref="AA421">IF(OR(AND(J421="Not accepted",N421:O421&lt;&gt;"",$S421=""),AND(J421="Accepted",S421="")),"ERROR","OK")</f>
        <v>OK</v>
      </c>
      <c r="AB421" s="240" t="str">
        <f t="shared" si="53"/>
        <v>OK</v>
      </c>
      <c r="AC421" s="240" t="str" cm="1">
        <f t="array" ref="AC421">IF(AND(F421:H421&lt;&gt;"",I421=""),"ERROR","OK")</f>
        <v>OK</v>
      </c>
      <c r="AD421" s="240" t="str">
        <f t="shared" si="54"/>
        <v>OK</v>
      </c>
      <c r="AE421" s="240" t="str">
        <f t="shared" si="55"/>
        <v>OK</v>
      </c>
      <c r="AF421" s="240" t="str" cm="1">
        <f t="array" aca="1" ref="AF421" ca="1" xml:space="preserve">
IF(AND($G421&lt;&gt;"",$F421=""),"ERROR",
IF(OR($F421:$G421="",AND($G421="",$F421&lt;&gt;"")),"OK",
IF(COUNTIF(INDIRECT(IFERROR(LEFT($F421,FIND(" ",$F421)-1),$F421)), $G421)&gt;0, "OK", "ERROR")))</f>
        <v>OK</v>
      </c>
    </row>
    <row r="422" spans="1:32" s="240" customFormat="1">
      <c r="A422" s="48"/>
      <c r="B422" s="31"/>
      <c r="C422" s="48"/>
      <c r="D422" s="47"/>
      <c r="E422" s="47"/>
      <c r="F422" s="31"/>
      <c r="G422" s="31"/>
      <c r="H422" s="31"/>
      <c r="I422" s="47"/>
      <c r="J422" s="31"/>
      <c r="K422" s="47"/>
      <c r="L422" s="47"/>
      <c r="M422" s="47"/>
      <c r="N422" s="31"/>
      <c r="O422" s="47"/>
      <c r="P422" s="31"/>
      <c r="Q422" s="31"/>
      <c r="R422" s="31"/>
      <c r="S422" s="31"/>
      <c r="T422" s="270">
        <f t="shared" si="48"/>
        <v>0</v>
      </c>
      <c r="U422" s="270">
        <f t="shared" si="49"/>
        <v>0</v>
      </c>
      <c r="V422" s="31"/>
      <c r="X422" s="240" t="str">
        <f t="shared" si="50"/>
        <v>OK</v>
      </c>
      <c r="Y422" s="240" t="str">
        <f t="shared" si="51"/>
        <v>OK</v>
      </c>
      <c r="Z422" s="240" t="str">
        <f t="shared" si="52"/>
        <v>OK</v>
      </c>
      <c r="AA422" s="240" t="str" cm="1">
        <f t="array" ref="AA422">IF(OR(AND(J422="Not accepted",N422:O422&lt;&gt;"",$S422=""),AND(J422="Accepted",S422="")),"ERROR","OK")</f>
        <v>OK</v>
      </c>
      <c r="AB422" s="240" t="str">
        <f t="shared" si="53"/>
        <v>OK</v>
      </c>
      <c r="AC422" s="240" t="str" cm="1">
        <f t="array" ref="AC422">IF(AND(F422:H422&lt;&gt;"",I422=""),"ERROR","OK")</f>
        <v>OK</v>
      </c>
      <c r="AD422" s="240" t="str">
        <f t="shared" si="54"/>
        <v>OK</v>
      </c>
      <c r="AE422" s="240" t="str">
        <f t="shared" si="55"/>
        <v>OK</v>
      </c>
      <c r="AF422" s="240" t="str" cm="1">
        <f t="array" aca="1" ref="AF422" ca="1" xml:space="preserve">
IF(AND($G422&lt;&gt;"",$F422=""),"ERROR",
IF(OR($F422:$G422="",AND($G422="",$F422&lt;&gt;"")),"OK",
IF(COUNTIF(INDIRECT(IFERROR(LEFT($F422,FIND(" ",$F422)-1),$F422)), $G422)&gt;0, "OK", "ERROR")))</f>
        <v>OK</v>
      </c>
    </row>
    <row r="423" spans="1:32" s="240" customFormat="1">
      <c r="A423" s="48"/>
      <c r="B423" s="31"/>
      <c r="C423" s="48"/>
      <c r="D423" s="47"/>
      <c r="E423" s="47"/>
      <c r="F423" s="31"/>
      <c r="G423" s="31"/>
      <c r="H423" s="31"/>
      <c r="I423" s="47"/>
      <c r="J423" s="31"/>
      <c r="K423" s="47"/>
      <c r="L423" s="47"/>
      <c r="M423" s="47"/>
      <c r="N423" s="31"/>
      <c r="O423" s="47"/>
      <c r="P423" s="31"/>
      <c r="Q423" s="31"/>
      <c r="R423" s="31"/>
      <c r="S423" s="31"/>
      <c r="T423" s="270">
        <f t="shared" si="48"/>
        <v>0</v>
      </c>
      <c r="U423" s="270">
        <f t="shared" si="49"/>
        <v>0</v>
      </c>
      <c r="V423" s="31"/>
      <c r="X423" s="240" t="str">
        <f t="shared" si="50"/>
        <v>OK</v>
      </c>
      <c r="Y423" s="240" t="str">
        <f t="shared" si="51"/>
        <v>OK</v>
      </c>
      <c r="Z423" s="240" t="str">
        <f t="shared" si="52"/>
        <v>OK</v>
      </c>
      <c r="AA423" s="240" t="str" cm="1">
        <f t="array" ref="AA423">IF(OR(AND(J423="Not accepted",N423:O423&lt;&gt;"",$S423=""),AND(J423="Accepted",S423="")),"ERROR","OK")</f>
        <v>OK</v>
      </c>
      <c r="AB423" s="240" t="str">
        <f t="shared" si="53"/>
        <v>OK</v>
      </c>
      <c r="AC423" s="240" t="str" cm="1">
        <f t="array" ref="AC423">IF(AND(F423:H423&lt;&gt;"",I423=""),"ERROR","OK")</f>
        <v>OK</v>
      </c>
      <c r="AD423" s="240" t="str">
        <f t="shared" si="54"/>
        <v>OK</v>
      </c>
      <c r="AE423" s="240" t="str">
        <f t="shared" si="55"/>
        <v>OK</v>
      </c>
      <c r="AF423" s="240" t="str" cm="1">
        <f t="array" aca="1" ref="AF423" ca="1" xml:space="preserve">
IF(AND($G423&lt;&gt;"",$F423=""),"ERROR",
IF(OR($F423:$G423="",AND($G423="",$F423&lt;&gt;"")),"OK",
IF(COUNTIF(INDIRECT(IFERROR(LEFT($F423,FIND(" ",$F423)-1),$F423)), $G423)&gt;0, "OK", "ERROR")))</f>
        <v>OK</v>
      </c>
    </row>
    <row r="424" spans="1:32" s="240" customFormat="1">
      <c r="A424" s="48"/>
      <c r="B424" s="31"/>
      <c r="C424" s="48"/>
      <c r="D424" s="47"/>
      <c r="E424" s="47"/>
      <c r="F424" s="31"/>
      <c r="G424" s="31"/>
      <c r="H424" s="31"/>
      <c r="I424" s="47"/>
      <c r="J424" s="31"/>
      <c r="K424" s="47"/>
      <c r="L424" s="47"/>
      <c r="M424" s="47"/>
      <c r="N424" s="31"/>
      <c r="O424" s="47"/>
      <c r="P424" s="31"/>
      <c r="Q424" s="31"/>
      <c r="R424" s="31"/>
      <c r="S424" s="31"/>
      <c r="T424" s="270">
        <f t="shared" si="48"/>
        <v>0</v>
      </c>
      <c r="U424" s="270">
        <f t="shared" si="49"/>
        <v>0</v>
      </c>
      <c r="V424" s="31"/>
      <c r="X424" s="240" t="str">
        <f t="shared" si="50"/>
        <v>OK</v>
      </c>
      <c r="Y424" s="240" t="str">
        <f t="shared" si="51"/>
        <v>OK</v>
      </c>
      <c r="Z424" s="240" t="str">
        <f t="shared" si="52"/>
        <v>OK</v>
      </c>
      <c r="AA424" s="240" t="str" cm="1">
        <f t="array" ref="AA424">IF(OR(AND(J424="Not accepted",N424:O424&lt;&gt;"",$S424=""),AND(J424="Accepted",S424="")),"ERROR","OK")</f>
        <v>OK</v>
      </c>
      <c r="AB424" s="240" t="str">
        <f t="shared" si="53"/>
        <v>OK</v>
      </c>
      <c r="AC424" s="240" t="str" cm="1">
        <f t="array" ref="AC424">IF(AND(F424:H424&lt;&gt;"",I424=""),"ERROR","OK")</f>
        <v>OK</v>
      </c>
      <c r="AD424" s="240" t="str">
        <f t="shared" si="54"/>
        <v>OK</v>
      </c>
      <c r="AE424" s="240" t="str">
        <f t="shared" si="55"/>
        <v>OK</v>
      </c>
      <c r="AF424" s="240" t="str" cm="1">
        <f t="array" aca="1" ref="AF424" ca="1" xml:space="preserve">
IF(AND($G424&lt;&gt;"",$F424=""),"ERROR",
IF(OR($F424:$G424="",AND($G424="",$F424&lt;&gt;"")),"OK",
IF(COUNTIF(INDIRECT(IFERROR(LEFT($F424,FIND(" ",$F424)-1),$F424)), $G424)&gt;0, "OK", "ERROR")))</f>
        <v>OK</v>
      </c>
    </row>
    <row r="425" spans="1:32" s="240" customFormat="1">
      <c r="A425" s="48"/>
      <c r="B425" s="31"/>
      <c r="C425" s="48"/>
      <c r="D425" s="47"/>
      <c r="E425" s="47"/>
      <c r="F425" s="31"/>
      <c r="G425" s="31"/>
      <c r="H425" s="31"/>
      <c r="I425" s="47"/>
      <c r="J425" s="31"/>
      <c r="K425" s="47"/>
      <c r="L425" s="47"/>
      <c r="M425" s="47"/>
      <c r="N425" s="31"/>
      <c r="O425" s="47"/>
      <c r="P425" s="31"/>
      <c r="Q425" s="31"/>
      <c r="R425" s="31"/>
      <c r="S425" s="31"/>
      <c r="T425" s="270">
        <f t="shared" si="48"/>
        <v>0</v>
      </c>
      <c r="U425" s="270">
        <f t="shared" si="49"/>
        <v>0</v>
      </c>
      <c r="V425" s="31"/>
      <c r="X425" s="240" t="str">
        <f t="shared" si="50"/>
        <v>OK</v>
      </c>
      <c r="Y425" s="240" t="str">
        <f t="shared" si="51"/>
        <v>OK</v>
      </c>
      <c r="Z425" s="240" t="str">
        <f t="shared" si="52"/>
        <v>OK</v>
      </c>
      <c r="AA425" s="240" t="str" cm="1">
        <f t="array" ref="AA425">IF(OR(AND(J425="Not accepted",N425:O425&lt;&gt;"",$S425=""),AND(J425="Accepted",S425="")),"ERROR","OK")</f>
        <v>OK</v>
      </c>
      <c r="AB425" s="240" t="str">
        <f t="shared" si="53"/>
        <v>OK</v>
      </c>
      <c r="AC425" s="240" t="str" cm="1">
        <f t="array" ref="AC425">IF(AND(F425:H425&lt;&gt;"",I425=""),"ERROR","OK")</f>
        <v>OK</v>
      </c>
      <c r="AD425" s="240" t="str">
        <f t="shared" si="54"/>
        <v>OK</v>
      </c>
      <c r="AE425" s="240" t="str">
        <f t="shared" si="55"/>
        <v>OK</v>
      </c>
      <c r="AF425" s="240" t="str" cm="1">
        <f t="array" aca="1" ref="AF425" ca="1" xml:space="preserve">
IF(AND($G425&lt;&gt;"",$F425=""),"ERROR",
IF(OR($F425:$G425="",AND($G425="",$F425&lt;&gt;"")),"OK",
IF(COUNTIF(INDIRECT(IFERROR(LEFT($F425,FIND(" ",$F425)-1),$F425)), $G425)&gt;0, "OK", "ERROR")))</f>
        <v>OK</v>
      </c>
    </row>
    <row r="426" spans="1:32" s="240" customFormat="1">
      <c r="A426" s="48"/>
      <c r="B426" s="31"/>
      <c r="C426" s="48"/>
      <c r="D426" s="47"/>
      <c r="E426" s="47"/>
      <c r="F426" s="31"/>
      <c r="G426" s="31"/>
      <c r="H426" s="31"/>
      <c r="I426" s="47"/>
      <c r="J426" s="31"/>
      <c r="K426" s="47"/>
      <c r="L426" s="47"/>
      <c r="M426" s="47"/>
      <c r="N426" s="31"/>
      <c r="O426" s="47"/>
      <c r="P426" s="31"/>
      <c r="Q426" s="31"/>
      <c r="R426" s="31"/>
      <c r="S426" s="31"/>
      <c r="T426" s="270">
        <f t="shared" si="48"/>
        <v>0</v>
      </c>
      <c r="U426" s="270">
        <f t="shared" si="49"/>
        <v>0</v>
      </c>
      <c r="V426" s="31"/>
      <c r="X426" s="240" t="str">
        <f t="shared" si="50"/>
        <v>OK</v>
      </c>
      <c r="Y426" s="240" t="str">
        <f t="shared" si="51"/>
        <v>OK</v>
      </c>
      <c r="Z426" s="240" t="str">
        <f t="shared" si="52"/>
        <v>OK</v>
      </c>
      <c r="AA426" s="240" t="str" cm="1">
        <f t="array" ref="AA426">IF(OR(AND(J426="Not accepted",N426:O426&lt;&gt;"",$S426=""),AND(J426="Accepted",S426="")),"ERROR","OK")</f>
        <v>OK</v>
      </c>
      <c r="AB426" s="240" t="str">
        <f t="shared" si="53"/>
        <v>OK</v>
      </c>
      <c r="AC426" s="240" t="str" cm="1">
        <f t="array" ref="AC426">IF(AND(F426:H426&lt;&gt;"",I426=""),"ERROR","OK")</f>
        <v>OK</v>
      </c>
      <c r="AD426" s="240" t="str">
        <f t="shared" si="54"/>
        <v>OK</v>
      </c>
      <c r="AE426" s="240" t="str">
        <f t="shared" si="55"/>
        <v>OK</v>
      </c>
      <c r="AF426" s="240" t="str" cm="1">
        <f t="array" aca="1" ref="AF426" ca="1" xml:space="preserve">
IF(AND($G426&lt;&gt;"",$F426=""),"ERROR",
IF(OR($F426:$G426="",AND($G426="",$F426&lt;&gt;"")),"OK",
IF(COUNTIF(INDIRECT(IFERROR(LEFT($F426,FIND(" ",$F426)-1),$F426)), $G426)&gt;0, "OK", "ERROR")))</f>
        <v>OK</v>
      </c>
    </row>
    <row r="427" spans="1:32" s="240" customFormat="1">
      <c r="A427" s="48"/>
      <c r="B427" s="31"/>
      <c r="C427" s="48"/>
      <c r="D427" s="47"/>
      <c r="E427" s="47"/>
      <c r="F427" s="31"/>
      <c r="G427" s="31"/>
      <c r="H427" s="31"/>
      <c r="I427" s="47"/>
      <c r="J427" s="31"/>
      <c r="K427" s="47"/>
      <c r="L427" s="47"/>
      <c r="M427" s="47"/>
      <c r="N427" s="31"/>
      <c r="O427" s="47"/>
      <c r="P427" s="31"/>
      <c r="Q427" s="31"/>
      <c r="R427" s="31"/>
      <c r="S427" s="31"/>
      <c r="T427" s="270">
        <f t="shared" si="48"/>
        <v>0</v>
      </c>
      <c r="U427" s="270">
        <f t="shared" si="49"/>
        <v>0</v>
      </c>
      <c r="V427" s="31"/>
      <c r="X427" s="240" t="str">
        <f t="shared" si="50"/>
        <v>OK</v>
      </c>
      <c r="Y427" s="240" t="str">
        <f t="shared" si="51"/>
        <v>OK</v>
      </c>
      <c r="Z427" s="240" t="str">
        <f t="shared" si="52"/>
        <v>OK</v>
      </c>
      <c r="AA427" s="240" t="str" cm="1">
        <f t="array" ref="AA427">IF(OR(AND(J427="Not accepted",N427:O427&lt;&gt;"",$S427=""),AND(J427="Accepted",S427="")),"ERROR","OK")</f>
        <v>OK</v>
      </c>
      <c r="AB427" s="240" t="str">
        <f t="shared" si="53"/>
        <v>OK</v>
      </c>
      <c r="AC427" s="240" t="str" cm="1">
        <f t="array" ref="AC427">IF(AND(F427:H427&lt;&gt;"",I427=""),"ERROR","OK")</f>
        <v>OK</v>
      </c>
      <c r="AD427" s="240" t="str">
        <f t="shared" si="54"/>
        <v>OK</v>
      </c>
      <c r="AE427" s="240" t="str">
        <f t="shared" si="55"/>
        <v>OK</v>
      </c>
      <c r="AF427" s="240" t="str" cm="1">
        <f t="array" aca="1" ref="AF427" ca="1" xml:space="preserve">
IF(AND($G427&lt;&gt;"",$F427=""),"ERROR",
IF(OR($F427:$G427="",AND($G427="",$F427&lt;&gt;"")),"OK",
IF(COUNTIF(INDIRECT(IFERROR(LEFT($F427,FIND(" ",$F427)-1),$F427)), $G427)&gt;0, "OK", "ERROR")))</f>
        <v>OK</v>
      </c>
    </row>
    <row r="428" spans="1:32" s="240" customFormat="1">
      <c r="A428" s="48"/>
      <c r="B428" s="31"/>
      <c r="C428" s="48"/>
      <c r="D428" s="47"/>
      <c r="E428" s="47"/>
      <c r="F428" s="31"/>
      <c r="G428" s="31"/>
      <c r="H428" s="31"/>
      <c r="I428" s="47"/>
      <c r="J428" s="31"/>
      <c r="K428" s="47"/>
      <c r="L428" s="47"/>
      <c r="M428" s="47"/>
      <c r="N428" s="31"/>
      <c r="O428" s="47"/>
      <c r="P428" s="31"/>
      <c r="Q428" s="31"/>
      <c r="R428" s="31"/>
      <c r="S428" s="31"/>
      <c r="T428" s="270">
        <f t="shared" si="48"/>
        <v>0</v>
      </c>
      <c r="U428" s="270">
        <f t="shared" si="49"/>
        <v>0</v>
      </c>
      <c r="V428" s="31"/>
      <c r="X428" s="240" t="str">
        <f t="shared" si="50"/>
        <v>OK</v>
      </c>
      <c r="Y428" s="240" t="str">
        <f t="shared" si="51"/>
        <v>OK</v>
      </c>
      <c r="Z428" s="240" t="str">
        <f t="shared" si="52"/>
        <v>OK</v>
      </c>
      <c r="AA428" s="240" t="str" cm="1">
        <f t="array" ref="AA428">IF(OR(AND(J428="Not accepted",N428:O428&lt;&gt;"",$S428=""),AND(J428="Accepted",S428="")),"ERROR","OK")</f>
        <v>OK</v>
      </c>
      <c r="AB428" s="240" t="str">
        <f t="shared" si="53"/>
        <v>OK</v>
      </c>
      <c r="AC428" s="240" t="str" cm="1">
        <f t="array" ref="AC428">IF(AND(F428:H428&lt;&gt;"",I428=""),"ERROR","OK")</f>
        <v>OK</v>
      </c>
      <c r="AD428" s="240" t="str">
        <f t="shared" si="54"/>
        <v>OK</v>
      </c>
      <c r="AE428" s="240" t="str">
        <f t="shared" si="55"/>
        <v>OK</v>
      </c>
      <c r="AF428" s="240" t="str" cm="1">
        <f t="array" aca="1" ref="AF428" ca="1" xml:space="preserve">
IF(AND($G428&lt;&gt;"",$F428=""),"ERROR",
IF(OR($F428:$G428="",AND($G428="",$F428&lt;&gt;"")),"OK",
IF(COUNTIF(INDIRECT(IFERROR(LEFT($F428,FIND(" ",$F428)-1),$F428)), $G428)&gt;0, "OK", "ERROR")))</f>
        <v>OK</v>
      </c>
    </row>
    <row r="429" spans="1:32" s="240" customFormat="1">
      <c r="A429" s="48"/>
      <c r="B429" s="31"/>
      <c r="C429" s="48"/>
      <c r="D429" s="47"/>
      <c r="E429" s="47"/>
      <c r="F429" s="31"/>
      <c r="G429" s="31"/>
      <c r="H429" s="31"/>
      <c r="I429" s="47"/>
      <c r="J429" s="31"/>
      <c r="K429" s="47"/>
      <c r="L429" s="47"/>
      <c r="M429" s="47"/>
      <c r="N429" s="31"/>
      <c r="O429" s="47"/>
      <c r="P429" s="31"/>
      <c r="Q429" s="31"/>
      <c r="R429" s="31"/>
      <c r="S429" s="31"/>
      <c r="T429" s="270">
        <f t="shared" si="48"/>
        <v>0</v>
      </c>
      <c r="U429" s="270">
        <f t="shared" si="49"/>
        <v>0</v>
      </c>
      <c r="V429" s="31"/>
      <c r="X429" s="240" t="str">
        <f t="shared" si="50"/>
        <v>OK</v>
      </c>
      <c r="Y429" s="240" t="str">
        <f t="shared" si="51"/>
        <v>OK</v>
      </c>
      <c r="Z429" s="240" t="str">
        <f t="shared" si="52"/>
        <v>OK</v>
      </c>
      <c r="AA429" s="240" t="str" cm="1">
        <f t="array" ref="AA429">IF(OR(AND(J429="Not accepted",N429:O429&lt;&gt;"",$S429=""),AND(J429="Accepted",S429="")),"ERROR","OK")</f>
        <v>OK</v>
      </c>
      <c r="AB429" s="240" t="str">
        <f t="shared" si="53"/>
        <v>OK</v>
      </c>
      <c r="AC429" s="240" t="str" cm="1">
        <f t="array" ref="AC429">IF(AND(F429:H429&lt;&gt;"",I429=""),"ERROR","OK")</f>
        <v>OK</v>
      </c>
      <c r="AD429" s="240" t="str">
        <f t="shared" si="54"/>
        <v>OK</v>
      </c>
      <c r="AE429" s="240" t="str">
        <f t="shared" si="55"/>
        <v>OK</v>
      </c>
      <c r="AF429" s="240" t="str" cm="1">
        <f t="array" aca="1" ref="AF429" ca="1" xml:space="preserve">
IF(AND($G429&lt;&gt;"",$F429=""),"ERROR",
IF(OR($F429:$G429="",AND($G429="",$F429&lt;&gt;"")),"OK",
IF(COUNTIF(INDIRECT(IFERROR(LEFT($F429,FIND(" ",$F429)-1),$F429)), $G429)&gt;0, "OK", "ERROR")))</f>
        <v>OK</v>
      </c>
    </row>
    <row r="430" spans="1:32" s="240" customFormat="1">
      <c r="A430" s="48"/>
      <c r="B430" s="31"/>
      <c r="C430" s="48"/>
      <c r="D430" s="47"/>
      <c r="E430" s="47"/>
      <c r="F430" s="31"/>
      <c r="G430" s="31"/>
      <c r="H430" s="31"/>
      <c r="I430" s="47"/>
      <c r="J430" s="31"/>
      <c r="K430" s="47"/>
      <c r="L430" s="47"/>
      <c r="M430" s="47"/>
      <c r="N430" s="31"/>
      <c r="O430" s="47"/>
      <c r="P430" s="31"/>
      <c r="Q430" s="31"/>
      <c r="R430" s="31"/>
      <c r="S430" s="31"/>
      <c r="T430" s="270">
        <f t="shared" si="48"/>
        <v>0</v>
      </c>
      <c r="U430" s="270">
        <f t="shared" si="49"/>
        <v>0</v>
      </c>
      <c r="V430" s="31"/>
      <c r="X430" s="240" t="str">
        <f t="shared" si="50"/>
        <v>OK</v>
      </c>
      <c r="Y430" s="240" t="str">
        <f t="shared" si="51"/>
        <v>OK</v>
      </c>
      <c r="Z430" s="240" t="str">
        <f t="shared" si="52"/>
        <v>OK</v>
      </c>
      <c r="AA430" s="240" t="str" cm="1">
        <f t="array" ref="AA430">IF(OR(AND(J430="Not accepted",N430:O430&lt;&gt;"",$S430=""),AND(J430="Accepted",S430="")),"ERROR","OK")</f>
        <v>OK</v>
      </c>
      <c r="AB430" s="240" t="str">
        <f t="shared" si="53"/>
        <v>OK</v>
      </c>
      <c r="AC430" s="240" t="str" cm="1">
        <f t="array" ref="AC430">IF(AND(F430:H430&lt;&gt;"",I430=""),"ERROR","OK")</f>
        <v>OK</v>
      </c>
      <c r="AD430" s="240" t="str">
        <f t="shared" si="54"/>
        <v>OK</v>
      </c>
      <c r="AE430" s="240" t="str">
        <f t="shared" si="55"/>
        <v>OK</v>
      </c>
      <c r="AF430" s="240" t="str" cm="1">
        <f t="array" aca="1" ref="AF430" ca="1" xml:space="preserve">
IF(AND($G430&lt;&gt;"",$F430=""),"ERROR",
IF(OR($F430:$G430="",AND($G430="",$F430&lt;&gt;"")),"OK",
IF(COUNTIF(INDIRECT(IFERROR(LEFT($F430,FIND(" ",$F430)-1),$F430)), $G430)&gt;0, "OK", "ERROR")))</f>
        <v>OK</v>
      </c>
    </row>
    <row r="431" spans="1:32" s="240" customFormat="1">
      <c r="A431" s="48"/>
      <c r="B431" s="31"/>
      <c r="C431" s="48"/>
      <c r="D431" s="47"/>
      <c r="E431" s="47"/>
      <c r="F431" s="31"/>
      <c r="G431" s="31"/>
      <c r="H431" s="31"/>
      <c r="I431" s="47"/>
      <c r="J431" s="31"/>
      <c r="K431" s="47"/>
      <c r="L431" s="47"/>
      <c r="M431" s="47"/>
      <c r="N431" s="31"/>
      <c r="O431" s="47"/>
      <c r="P431" s="31"/>
      <c r="Q431" s="31"/>
      <c r="R431" s="31"/>
      <c r="S431" s="31"/>
      <c r="T431" s="270">
        <f t="shared" si="48"/>
        <v>0</v>
      </c>
      <c r="U431" s="270">
        <f t="shared" si="49"/>
        <v>0</v>
      </c>
      <c r="V431" s="31"/>
      <c r="X431" s="240" t="str">
        <f t="shared" si="50"/>
        <v>OK</v>
      </c>
      <c r="Y431" s="240" t="str">
        <f t="shared" si="51"/>
        <v>OK</v>
      </c>
      <c r="Z431" s="240" t="str">
        <f t="shared" si="52"/>
        <v>OK</v>
      </c>
      <c r="AA431" s="240" t="str" cm="1">
        <f t="array" ref="AA431">IF(OR(AND(J431="Not accepted",N431:O431&lt;&gt;"",$S431=""),AND(J431="Accepted",S431="")),"ERROR","OK")</f>
        <v>OK</v>
      </c>
      <c r="AB431" s="240" t="str">
        <f t="shared" si="53"/>
        <v>OK</v>
      </c>
      <c r="AC431" s="240" t="str" cm="1">
        <f t="array" ref="AC431">IF(AND(F431:H431&lt;&gt;"",I431=""),"ERROR","OK")</f>
        <v>OK</v>
      </c>
      <c r="AD431" s="240" t="str">
        <f t="shared" si="54"/>
        <v>OK</v>
      </c>
      <c r="AE431" s="240" t="str">
        <f t="shared" si="55"/>
        <v>OK</v>
      </c>
      <c r="AF431" s="240" t="str" cm="1">
        <f t="array" aca="1" ref="AF431" ca="1" xml:space="preserve">
IF(AND($G431&lt;&gt;"",$F431=""),"ERROR",
IF(OR($F431:$G431="",AND($G431="",$F431&lt;&gt;"")),"OK",
IF(COUNTIF(INDIRECT(IFERROR(LEFT($F431,FIND(" ",$F431)-1),$F431)), $G431)&gt;0, "OK", "ERROR")))</f>
        <v>OK</v>
      </c>
    </row>
    <row r="432" spans="1:32" s="240" customFormat="1">
      <c r="A432" s="48"/>
      <c r="B432" s="31"/>
      <c r="C432" s="48"/>
      <c r="D432" s="47"/>
      <c r="E432" s="47"/>
      <c r="F432" s="31"/>
      <c r="G432" s="31"/>
      <c r="H432" s="31"/>
      <c r="I432" s="47"/>
      <c r="J432" s="31"/>
      <c r="K432" s="47"/>
      <c r="L432" s="47"/>
      <c r="M432" s="47"/>
      <c r="N432" s="31"/>
      <c r="O432" s="47"/>
      <c r="P432" s="31"/>
      <c r="Q432" s="31"/>
      <c r="R432" s="31"/>
      <c r="S432" s="31"/>
      <c r="T432" s="270">
        <f t="shared" si="48"/>
        <v>0</v>
      </c>
      <c r="U432" s="270">
        <f t="shared" si="49"/>
        <v>0</v>
      </c>
      <c r="V432" s="31"/>
      <c r="X432" s="240" t="str">
        <f t="shared" si="50"/>
        <v>OK</v>
      </c>
      <c r="Y432" s="240" t="str">
        <f t="shared" si="51"/>
        <v>OK</v>
      </c>
      <c r="Z432" s="240" t="str">
        <f t="shared" si="52"/>
        <v>OK</v>
      </c>
      <c r="AA432" s="240" t="str" cm="1">
        <f t="array" ref="AA432">IF(OR(AND(J432="Not accepted",N432:O432&lt;&gt;"",$S432=""),AND(J432="Accepted",S432="")),"ERROR","OK")</f>
        <v>OK</v>
      </c>
      <c r="AB432" s="240" t="str">
        <f t="shared" si="53"/>
        <v>OK</v>
      </c>
      <c r="AC432" s="240" t="str" cm="1">
        <f t="array" ref="AC432">IF(AND(F432:H432&lt;&gt;"",I432=""),"ERROR","OK")</f>
        <v>OK</v>
      </c>
      <c r="AD432" s="240" t="str">
        <f t="shared" si="54"/>
        <v>OK</v>
      </c>
      <c r="AE432" s="240" t="str">
        <f t="shared" si="55"/>
        <v>OK</v>
      </c>
      <c r="AF432" s="240" t="str" cm="1">
        <f t="array" aca="1" ref="AF432" ca="1" xml:space="preserve">
IF(AND($G432&lt;&gt;"",$F432=""),"ERROR",
IF(OR($F432:$G432="",AND($G432="",$F432&lt;&gt;"")),"OK",
IF(COUNTIF(INDIRECT(IFERROR(LEFT($F432,FIND(" ",$F432)-1),$F432)), $G432)&gt;0, "OK", "ERROR")))</f>
        <v>OK</v>
      </c>
    </row>
    <row r="433" spans="1:32" s="240" customFormat="1">
      <c r="A433" s="48"/>
      <c r="B433" s="31"/>
      <c r="C433" s="48"/>
      <c r="D433" s="47"/>
      <c r="E433" s="47"/>
      <c r="F433" s="31"/>
      <c r="G433" s="31"/>
      <c r="H433" s="31"/>
      <c r="I433" s="47"/>
      <c r="J433" s="31"/>
      <c r="K433" s="47"/>
      <c r="L433" s="47"/>
      <c r="M433" s="47"/>
      <c r="N433" s="31"/>
      <c r="O433" s="47"/>
      <c r="P433" s="31"/>
      <c r="Q433" s="31"/>
      <c r="R433" s="31"/>
      <c r="S433" s="31"/>
      <c r="T433" s="270">
        <f t="shared" si="48"/>
        <v>0</v>
      </c>
      <c r="U433" s="270">
        <f t="shared" si="49"/>
        <v>0</v>
      </c>
      <c r="V433" s="31"/>
      <c r="X433" s="240" t="str">
        <f t="shared" si="50"/>
        <v>OK</v>
      </c>
      <c r="Y433" s="240" t="str">
        <f t="shared" si="51"/>
        <v>OK</v>
      </c>
      <c r="Z433" s="240" t="str">
        <f t="shared" si="52"/>
        <v>OK</v>
      </c>
      <c r="AA433" s="240" t="str" cm="1">
        <f t="array" ref="AA433">IF(OR(AND(J433="Not accepted",N433:O433&lt;&gt;"",$S433=""),AND(J433="Accepted",S433="")),"ERROR","OK")</f>
        <v>OK</v>
      </c>
      <c r="AB433" s="240" t="str">
        <f t="shared" si="53"/>
        <v>OK</v>
      </c>
      <c r="AC433" s="240" t="str" cm="1">
        <f t="array" ref="AC433">IF(AND(F433:H433&lt;&gt;"",I433=""),"ERROR","OK")</f>
        <v>OK</v>
      </c>
      <c r="AD433" s="240" t="str">
        <f t="shared" si="54"/>
        <v>OK</v>
      </c>
      <c r="AE433" s="240" t="str">
        <f t="shared" si="55"/>
        <v>OK</v>
      </c>
      <c r="AF433" s="240" t="str" cm="1">
        <f t="array" aca="1" ref="AF433" ca="1" xml:space="preserve">
IF(AND($G433&lt;&gt;"",$F433=""),"ERROR",
IF(OR($F433:$G433="",AND($G433="",$F433&lt;&gt;"")),"OK",
IF(COUNTIF(INDIRECT(IFERROR(LEFT($F433,FIND(" ",$F433)-1),$F433)), $G433)&gt;0, "OK", "ERROR")))</f>
        <v>OK</v>
      </c>
    </row>
    <row r="434" spans="1:32" s="240" customFormat="1">
      <c r="A434" s="48"/>
      <c r="B434" s="31"/>
      <c r="C434" s="48"/>
      <c r="D434" s="47"/>
      <c r="E434" s="47"/>
      <c r="F434" s="31"/>
      <c r="G434" s="31"/>
      <c r="H434" s="31"/>
      <c r="I434" s="47"/>
      <c r="J434" s="31"/>
      <c r="K434" s="47"/>
      <c r="L434" s="47"/>
      <c r="M434" s="47"/>
      <c r="N434" s="31"/>
      <c r="O434" s="47"/>
      <c r="P434" s="31"/>
      <c r="Q434" s="31"/>
      <c r="R434" s="31"/>
      <c r="S434" s="31"/>
      <c r="T434" s="270">
        <f t="shared" si="48"/>
        <v>0</v>
      </c>
      <c r="U434" s="270">
        <f t="shared" si="49"/>
        <v>0</v>
      </c>
      <c r="V434" s="31"/>
      <c r="X434" s="240" t="str">
        <f t="shared" si="50"/>
        <v>OK</v>
      </c>
      <c r="Y434" s="240" t="str">
        <f t="shared" si="51"/>
        <v>OK</v>
      </c>
      <c r="Z434" s="240" t="str">
        <f t="shared" si="52"/>
        <v>OK</v>
      </c>
      <c r="AA434" s="240" t="str" cm="1">
        <f t="array" ref="AA434">IF(OR(AND(J434="Not accepted",N434:O434&lt;&gt;"",$S434=""),AND(J434="Accepted",S434="")),"ERROR","OK")</f>
        <v>OK</v>
      </c>
      <c r="AB434" s="240" t="str">
        <f t="shared" si="53"/>
        <v>OK</v>
      </c>
      <c r="AC434" s="240" t="str" cm="1">
        <f t="array" ref="AC434">IF(AND(F434:H434&lt;&gt;"",I434=""),"ERROR","OK")</f>
        <v>OK</v>
      </c>
      <c r="AD434" s="240" t="str">
        <f t="shared" si="54"/>
        <v>OK</v>
      </c>
      <c r="AE434" s="240" t="str">
        <f t="shared" si="55"/>
        <v>OK</v>
      </c>
      <c r="AF434" s="240" t="str" cm="1">
        <f t="array" aca="1" ref="AF434" ca="1" xml:space="preserve">
IF(AND($G434&lt;&gt;"",$F434=""),"ERROR",
IF(OR($F434:$G434="",AND($G434="",$F434&lt;&gt;"")),"OK",
IF(COUNTIF(INDIRECT(IFERROR(LEFT($F434,FIND(" ",$F434)-1),$F434)), $G434)&gt;0, "OK", "ERROR")))</f>
        <v>OK</v>
      </c>
    </row>
    <row r="435" spans="1:32" s="240" customFormat="1">
      <c r="A435" s="48"/>
      <c r="B435" s="31"/>
      <c r="C435" s="48"/>
      <c r="D435" s="47"/>
      <c r="E435" s="47"/>
      <c r="F435" s="31"/>
      <c r="G435" s="31"/>
      <c r="H435" s="31"/>
      <c r="I435" s="47"/>
      <c r="J435" s="31"/>
      <c r="K435" s="47"/>
      <c r="L435" s="47"/>
      <c r="M435" s="47"/>
      <c r="N435" s="31"/>
      <c r="O435" s="47"/>
      <c r="P435" s="31"/>
      <c r="Q435" s="31"/>
      <c r="R435" s="31"/>
      <c r="S435" s="31"/>
      <c r="T435" s="270">
        <f t="shared" si="48"/>
        <v>0</v>
      </c>
      <c r="U435" s="270">
        <f t="shared" si="49"/>
        <v>0</v>
      </c>
      <c r="V435" s="31"/>
      <c r="X435" s="240" t="str">
        <f t="shared" si="50"/>
        <v>OK</v>
      </c>
      <c r="Y435" s="240" t="str">
        <f t="shared" si="51"/>
        <v>OK</v>
      </c>
      <c r="Z435" s="240" t="str">
        <f t="shared" si="52"/>
        <v>OK</v>
      </c>
      <c r="AA435" s="240" t="str" cm="1">
        <f t="array" ref="AA435">IF(OR(AND(J435="Not accepted",N435:O435&lt;&gt;"",$S435=""),AND(J435="Accepted",S435="")),"ERROR","OK")</f>
        <v>OK</v>
      </c>
      <c r="AB435" s="240" t="str">
        <f t="shared" si="53"/>
        <v>OK</v>
      </c>
      <c r="AC435" s="240" t="str" cm="1">
        <f t="array" ref="AC435">IF(AND(F435:H435&lt;&gt;"",I435=""),"ERROR","OK")</f>
        <v>OK</v>
      </c>
      <c r="AD435" s="240" t="str">
        <f t="shared" si="54"/>
        <v>OK</v>
      </c>
      <c r="AE435" s="240" t="str">
        <f t="shared" si="55"/>
        <v>OK</v>
      </c>
      <c r="AF435" s="240" t="str" cm="1">
        <f t="array" aca="1" ref="AF435" ca="1" xml:space="preserve">
IF(AND($G435&lt;&gt;"",$F435=""),"ERROR",
IF(OR($F435:$G435="",AND($G435="",$F435&lt;&gt;"")),"OK",
IF(COUNTIF(INDIRECT(IFERROR(LEFT($F435,FIND(" ",$F435)-1),$F435)), $G435)&gt;0, "OK", "ERROR")))</f>
        <v>OK</v>
      </c>
    </row>
    <row r="436" spans="1:32" s="240" customFormat="1">
      <c r="A436" s="48"/>
      <c r="B436" s="31"/>
      <c r="C436" s="48"/>
      <c r="D436" s="47"/>
      <c r="E436" s="47"/>
      <c r="F436" s="31"/>
      <c r="G436" s="31"/>
      <c r="H436" s="31"/>
      <c r="I436" s="47"/>
      <c r="J436" s="31"/>
      <c r="K436" s="47"/>
      <c r="L436" s="47"/>
      <c r="M436" s="47"/>
      <c r="N436" s="31"/>
      <c r="O436" s="47"/>
      <c r="P436" s="31"/>
      <c r="Q436" s="31"/>
      <c r="R436" s="31"/>
      <c r="S436" s="31"/>
      <c r="T436" s="270">
        <f t="shared" si="48"/>
        <v>0</v>
      </c>
      <c r="U436" s="270">
        <f t="shared" si="49"/>
        <v>0</v>
      </c>
      <c r="V436" s="31"/>
      <c r="X436" s="240" t="str">
        <f t="shared" si="50"/>
        <v>OK</v>
      </c>
      <c r="Y436" s="240" t="str">
        <f t="shared" si="51"/>
        <v>OK</v>
      </c>
      <c r="Z436" s="240" t="str">
        <f t="shared" si="52"/>
        <v>OK</v>
      </c>
      <c r="AA436" s="240" t="str" cm="1">
        <f t="array" ref="AA436">IF(OR(AND(J436="Not accepted",N436:O436&lt;&gt;"",$S436=""),AND(J436="Accepted",S436="")),"ERROR","OK")</f>
        <v>OK</v>
      </c>
      <c r="AB436" s="240" t="str">
        <f t="shared" si="53"/>
        <v>OK</v>
      </c>
      <c r="AC436" s="240" t="str" cm="1">
        <f t="array" ref="AC436">IF(AND(F436:H436&lt;&gt;"",I436=""),"ERROR","OK")</f>
        <v>OK</v>
      </c>
      <c r="AD436" s="240" t="str">
        <f t="shared" si="54"/>
        <v>OK</v>
      </c>
      <c r="AE436" s="240" t="str">
        <f t="shared" si="55"/>
        <v>OK</v>
      </c>
      <c r="AF436" s="240" t="str" cm="1">
        <f t="array" aca="1" ref="AF436" ca="1" xml:space="preserve">
IF(AND($G436&lt;&gt;"",$F436=""),"ERROR",
IF(OR($F436:$G436="",AND($G436="",$F436&lt;&gt;"")),"OK",
IF(COUNTIF(INDIRECT(IFERROR(LEFT($F436,FIND(" ",$F436)-1),$F436)), $G436)&gt;0, "OK", "ERROR")))</f>
        <v>OK</v>
      </c>
    </row>
    <row r="437" spans="1:32" s="240" customFormat="1">
      <c r="A437" s="48"/>
      <c r="B437" s="31"/>
      <c r="C437" s="48"/>
      <c r="D437" s="47"/>
      <c r="E437" s="47"/>
      <c r="F437" s="31"/>
      <c r="G437" s="31"/>
      <c r="H437" s="31"/>
      <c r="I437" s="47"/>
      <c r="J437" s="31"/>
      <c r="K437" s="47"/>
      <c r="L437" s="47"/>
      <c r="M437" s="47"/>
      <c r="N437" s="31"/>
      <c r="O437" s="47"/>
      <c r="P437" s="31"/>
      <c r="Q437" s="31"/>
      <c r="R437" s="31"/>
      <c r="S437" s="31"/>
      <c r="T437" s="270">
        <f t="shared" si="48"/>
        <v>0</v>
      </c>
      <c r="U437" s="270">
        <f t="shared" si="49"/>
        <v>0</v>
      </c>
      <c r="V437" s="31"/>
      <c r="X437" s="240" t="str">
        <f t="shared" si="50"/>
        <v>OK</v>
      </c>
      <c r="Y437" s="240" t="str">
        <f t="shared" si="51"/>
        <v>OK</v>
      </c>
      <c r="Z437" s="240" t="str">
        <f t="shared" si="52"/>
        <v>OK</v>
      </c>
      <c r="AA437" s="240" t="str" cm="1">
        <f t="array" ref="AA437">IF(OR(AND(J437="Not accepted",N437:O437&lt;&gt;"",$S437=""),AND(J437="Accepted",S437="")),"ERROR","OK")</f>
        <v>OK</v>
      </c>
      <c r="AB437" s="240" t="str">
        <f t="shared" si="53"/>
        <v>OK</v>
      </c>
      <c r="AC437" s="240" t="str" cm="1">
        <f t="array" ref="AC437">IF(AND(F437:H437&lt;&gt;"",I437=""),"ERROR","OK")</f>
        <v>OK</v>
      </c>
      <c r="AD437" s="240" t="str">
        <f t="shared" si="54"/>
        <v>OK</v>
      </c>
      <c r="AE437" s="240" t="str">
        <f t="shared" si="55"/>
        <v>OK</v>
      </c>
      <c r="AF437" s="240" t="str" cm="1">
        <f t="array" aca="1" ref="AF437" ca="1" xml:space="preserve">
IF(AND($G437&lt;&gt;"",$F437=""),"ERROR",
IF(OR($F437:$G437="",AND($G437="",$F437&lt;&gt;"")),"OK",
IF(COUNTIF(INDIRECT(IFERROR(LEFT($F437,FIND(" ",$F437)-1),$F437)), $G437)&gt;0, "OK", "ERROR")))</f>
        <v>OK</v>
      </c>
    </row>
    <row r="438" spans="1:32" s="240" customFormat="1">
      <c r="A438" s="48"/>
      <c r="B438" s="31"/>
      <c r="C438" s="48"/>
      <c r="D438" s="47"/>
      <c r="E438" s="47"/>
      <c r="F438" s="31"/>
      <c r="G438" s="31"/>
      <c r="H438" s="31"/>
      <c r="I438" s="47"/>
      <c r="J438" s="31"/>
      <c r="K438" s="47"/>
      <c r="L438" s="47"/>
      <c r="M438" s="47"/>
      <c r="N438" s="31"/>
      <c r="O438" s="47"/>
      <c r="P438" s="31"/>
      <c r="Q438" s="31"/>
      <c r="R438" s="31"/>
      <c r="S438" s="31"/>
      <c r="T438" s="270">
        <f t="shared" si="48"/>
        <v>0</v>
      </c>
      <c r="U438" s="270">
        <f t="shared" si="49"/>
        <v>0</v>
      </c>
      <c r="V438" s="31"/>
      <c r="X438" s="240" t="str">
        <f t="shared" si="50"/>
        <v>OK</v>
      </c>
      <c r="Y438" s="240" t="str">
        <f t="shared" si="51"/>
        <v>OK</v>
      </c>
      <c r="Z438" s="240" t="str">
        <f t="shared" si="52"/>
        <v>OK</v>
      </c>
      <c r="AA438" s="240" t="str" cm="1">
        <f t="array" ref="AA438">IF(OR(AND(J438="Not accepted",N438:O438&lt;&gt;"",$S438=""),AND(J438="Accepted",S438="")),"ERROR","OK")</f>
        <v>OK</v>
      </c>
      <c r="AB438" s="240" t="str">
        <f t="shared" si="53"/>
        <v>OK</v>
      </c>
      <c r="AC438" s="240" t="str" cm="1">
        <f t="array" ref="AC438">IF(AND(F438:H438&lt;&gt;"",I438=""),"ERROR","OK")</f>
        <v>OK</v>
      </c>
      <c r="AD438" s="240" t="str">
        <f t="shared" si="54"/>
        <v>OK</v>
      </c>
      <c r="AE438" s="240" t="str">
        <f t="shared" si="55"/>
        <v>OK</v>
      </c>
      <c r="AF438" s="240" t="str" cm="1">
        <f t="array" aca="1" ref="AF438" ca="1" xml:space="preserve">
IF(AND($G438&lt;&gt;"",$F438=""),"ERROR",
IF(OR($F438:$G438="",AND($G438="",$F438&lt;&gt;"")),"OK",
IF(COUNTIF(INDIRECT(IFERROR(LEFT($F438,FIND(" ",$F438)-1),$F438)), $G438)&gt;0, "OK", "ERROR")))</f>
        <v>OK</v>
      </c>
    </row>
    <row r="439" spans="1:32" s="240" customFormat="1">
      <c r="A439" s="48"/>
      <c r="B439" s="31"/>
      <c r="C439" s="48"/>
      <c r="D439" s="47"/>
      <c r="E439" s="47"/>
      <c r="F439" s="31"/>
      <c r="G439" s="31"/>
      <c r="H439" s="31"/>
      <c r="I439" s="47"/>
      <c r="J439" s="31"/>
      <c r="K439" s="47"/>
      <c r="L439" s="47"/>
      <c r="M439" s="47"/>
      <c r="N439" s="31"/>
      <c r="O439" s="47"/>
      <c r="P439" s="31"/>
      <c r="Q439" s="31"/>
      <c r="R439" s="31"/>
      <c r="S439" s="31"/>
      <c r="T439" s="270">
        <f t="shared" si="48"/>
        <v>0</v>
      </c>
      <c r="U439" s="270">
        <f t="shared" si="49"/>
        <v>0</v>
      </c>
      <c r="V439" s="31"/>
      <c r="X439" s="240" t="str">
        <f t="shared" si="50"/>
        <v>OK</v>
      </c>
      <c r="Y439" s="240" t="str">
        <f t="shared" si="51"/>
        <v>OK</v>
      </c>
      <c r="Z439" s="240" t="str">
        <f t="shared" si="52"/>
        <v>OK</v>
      </c>
      <c r="AA439" s="240" t="str" cm="1">
        <f t="array" ref="AA439">IF(OR(AND(J439="Not accepted",N439:O439&lt;&gt;"",$S439=""),AND(J439="Accepted",S439="")),"ERROR","OK")</f>
        <v>OK</v>
      </c>
      <c r="AB439" s="240" t="str">
        <f t="shared" si="53"/>
        <v>OK</v>
      </c>
      <c r="AC439" s="240" t="str" cm="1">
        <f t="array" ref="AC439">IF(AND(F439:H439&lt;&gt;"",I439=""),"ERROR","OK")</f>
        <v>OK</v>
      </c>
      <c r="AD439" s="240" t="str">
        <f t="shared" si="54"/>
        <v>OK</v>
      </c>
      <c r="AE439" s="240" t="str">
        <f t="shared" si="55"/>
        <v>OK</v>
      </c>
      <c r="AF439" s="240" t="str" cm="1">
        <f t="array" aca="1" ref="AF439" ca="1" xml:space="preserve">
IF(AND($G439&lt;&gt;"",$F439=""),"ERROR",
IF(OR($F439:$G439="",AND($G439="",$F439&lt;&gt;"")),"OK",
IF(COUNTIF(INDIRECT(IFERROR(LEFT($F439,FIND(" ",$F439)-1),$F439)), $G439)&gt;0, "OK", "ERROR")))</f>
        <v>OK</v>
      </c>
    </row>
    <row r="440" spans="1:32" s="240" customFormat="1">
      <c r="A440" s="48"/>
      <c r="B440" s="31"/>
      <c r="C440" s="48"/>
      <c r="D440" s="47"/>
      <c r="E440" s="47"/>
      <c r="F440" s="31"/>
      <c r="G440" s="31"/>
      <c r="H440" s="31"/>
      <c r="I440" s="47"/>
      <c r="J440" s="31"/>
      <c r="K440" s="47"/>
      <c r="L440" s="47"/>
      <c r="M440" s="47"/>
      <c r="N440" s="31"/>
      <c r="O440" s="47"/>
      <c r="P440" s="31"/>
      <c r="Q440" s="31"/>
      <c r="R440" s="31"/>
      <c r="S440" s="31"/>
      <c r="T440" s="270">
        <f t="shared" si="48"/>
        <v>0</v>
      </c>
      <c r="U440" s="270">
        <f t="shared" si="49"/>
        <v>0</v>
      </c>
      <c r="V440" s="31"/>
      <c r="X440" s="240" t="str">
        <f t="shared" si="50"/>
        <v>OK</v>
      </c>
      <c r="Y440" s="240" t="str">
        <f t="shared" si="51"/>
        <v>OK</v>
      </c>
      <c r="Z440" s="240" t="str">
        <f t="shared" si="52"/>
        <v>OK</v>
      </c>
      <c r="AA440" s="240" t="str" cm="1">
        <f t="array" ref="AA440">IF(OR(AND(J440="Not accepted",N440:O440&lt;&gt;"",$S440=""),AND(J440="Accepted",S440="")),"ERROR","OK")</f>
        <v>OK</v>
      </c>
      <c r="AB440" s="240" t="str">
        <f t="shared" si="53"/>
        <v>OK</v>
      </c>
      <c r="AC440" s="240" t="str" cm="1">
        <f t="array" ref="AC440">IF(AND(F440:H440&lt;&gt;"",I440=""),"ERROR","OK")</f>
        <v>OK</v>
      </c>
      <c r="AD440" s="240" t="str">
        <f t="shared" si="54"/>
        <v>OK</v>
      </c>
      <c r="AE440" s="240" t="str">
        <f t="shared" si="55"/>
        <v>OK</v>
      </c>
      <c r="AF440" s="240" t="str" cm="1">
        <f t="array" aca="1" ref="AF440" ca="1" xml:space="preserve">
IF(AND($G440&lt;&gt;"",$F440=""),"ERROR",
IF(OR($F440:$G440="",AND($G440="",$F440&lt;&gt;"")),"OK",
IF(COUNTIF(INDIRECT(IFERROR(LEFT($F440,FIND(" ",$F440)-1),$F440)), $G440)&gt;0, "OK", "ERROR")))</f>
        <v>OK</v>
      </c>
    </row>
    <row r="441" spans="1:32" s="240" customFormat="1">
      <c r="A441" s="48"/>
      <c r="B441" s="31"/>
      <c r="C441" s="48"/>
      <c r="D441" s="47"/>
      <c r="E441" s="47"/>
      <c r="F441" s="31"/>
      <c r="G441" s="31"/>
      <c r="H441" s="31"/>
      <c r="I441" s="47"/>
      <c r="J441" s="31"/>
      <c r="K441" s="47"/>
      <c r="L441" s="47"/>
      <c r="M441" s="47"/>
      <c r="N441" s="31"/>
      <c r="O441" s="47"/>
      <c r="P441" s="31"/>
      <c r="Q441" s="31"/>
      <c r="R441" s="31"/>
      <c r="S441" s="31"/>
      <c r="T441" s="270">
        <f t="shared" si="48"/>
        <v>0</v>
      </c>
      <c r="U441" s="270">
        <f t="shared" si="49"/>
        <v>0</v>
      </c>
      <c r="V441" s="31"/>
      <c r="X441" s="240" t="str">
        <f t="shared" si="50"/>
        <v>OK</v>
      </c>
      <c r="Y441" s="240" t="str">
        <f t="shared" si="51"/>
        <v>OK</v>
      </c>
      <c r="Z441" s="240" t="str">
        <f t="shared" si="52"/>
        <v>OK</v>
      </c>
      <c r="AA441" s="240" t="str" cm="1">
        <f t="array" ref="AA441">IF(OR(AND(J441="Not accepted",N441:O441&lt;&gt;"",$S441=""),AND(J441="Accepted",S441="")),"ERROR","OK")</f>
        <v>OK</v>
      </c>
      <c r="AB441" s="240" t="str">
        <f t="shared" si="53"/>
        <v>OK</v>
      </c>
      <c r="AC441" s="240" t="str" cm="1">
        <f t="array" ref="AC441">IF(AND(F441:H441&lt;&gt;"",I441=""),"ERROR","OK")</f>
        <v>OK</v>
      </c>
      <c r="AD441" s="240" t="str">
        <f t="shared" si="54"/>
        <v>OK</v>
      </c>
      <c r="AE441" s="240" t="str">
        <f t="shared" si="55"/>
        <v>OK</v>
      </c>
      <c r="AF441" s="240" t="str" cm="1">
        <f t="array" aca="1" ref="AF441" ca="1" xml:space="preserve">
IF(AND($G441&lt;&gt;"",$F441=""),"ERROR",
IF(OR($F441:$G441="",AND($G441="",$F441&lt;&gt;"")),"OK",
IF(COUNTIF(INDIRECT(IFERROR(LEFT($F441,FIND(" ",$F441)-1),$F441)), $G441)&gt;0, "OK", "ERROR")))</f>
        <v>OK</v>
      </c>
    </row>
    <row r="442" spans="1:32" s="240" customFormat="1">
      <c r="A442" s="48"/>
      <c r="B442" s="31"/>
      <c r="C442" s="48"/>
      <c r="D442" s="47"/>
      <c r="E442" s="47"/>
      <c r="F442" s="31"/>
      <c r="G442" s="31"/>
      <c r="H442" s="31"/>
      <c r="I442" s="47"/>
      <c r="J442" s="31"/>
      <c r="K442" s="47"/>
      <c r="L442" s="47"/>
      <c r="M442" s="47"/>
      <c r="N442" s="31"/>
      <c r="O442" s="47"/>
      <c r="P442" s="31"/>
      <c r="Q442" s="31"/>
      <c r="R442" s="31"/>
      <c r="S442" s="31"/>
      <c r="T442" s="270">
        <f t="shared" si="48"/>
        <v>0</v>
      </c>
      <c r="U442" s="270">
        <f t="shared" si="49"/>
        <v>0</v>
      </c>
      <c r="V442" s="31"/>
      <c r="X442" s="240" t="str">
        <f t="shared" si="50"/>
        <v>OK</v>
      </c>
      <c r="Y442" s="240" t="str">
        <f t="shared" si="51"/>
        <v>OK</v>
      </c>
      <c r="Z442" s="240" t="str">
        <f t="shared" si="52"/>
        <v>OK</v>
      </c>
      <c r="AA442" s="240" t="str" cm="1">
        <f t="array" ref="AA442">IF(OR(AND(J442="Not accepted",N442:O442&lt;&gt;"",$S442=""),AND(J442="Accepted",S442="")),"ERROR","OK")</f>
        <v>OK</v>
      </c>
      <c r="AB442" s="240" t="str">
        <f t="shared" si="53"/>
        <v>OK</v>
      </c>
      <c r="AC442" s="240" t="str" cm="1">
        <f t="array" ref="AC442">IF(AND(F442:H442&lt;&gt;"",I442=""),"ERROR","OK")</f>
        <v>OK</v>
      </c>
      <c r="AD442" s="240" t="str">
        <f t="shared" si="54"/>
        <v>OK</v>
      </c>
      <c r="AE442" s="240" t="str">
        <f t="shared" si="55"/>
        <v>OK</v>
      </c>
      <c r="AF442" s="240" t="str" cm="1">
        <f t="array" aca="1" ref="AF442" ca="1" xml:space="preserve">
IF(AND($G442&lt;&gt;"",$F442=""),"ERROR",
IF(OR($F442:$G442="",AND($G442="",$F442&lt;&gt;"")),"OK",
IF(COUNTIF(INDIRECT(IFERROR(LEFT($F442,FIND(" ",$F442)-1),$F442)), $G442)&gt;0, "OK", "ERROR")))</f>
        <v>OK</v>
      </c>
    </row>
    <row r="443" spans="1:32" s="240" customFormat="1">
      <c r="A443" s="48"/>
      <c r="B443" s="31"/>
      <c r="C443" s="48"/>
      <c r="D443" s="47"/>
      <c r="E443" s="47"/>
      <c r="F443" s="31"/>
      <c r="G443" s="31"/>
      <c r="H443" s="31"/>
      <c r="I443" s="47"/>
      <c r="J443" s="31"/>
      <c r="K443" s="47"/>
      <c r="L443" s="47"/>
      <c r="M443" s="47"/>
      <c r="N443" s="31"/>
      <c r="O443" s="47"/>
      <c r="P443" s="31"/>
      <c r="Q443" s="31"/>
      <c r="R443" s="31"/>
      <c r="S443" s="31"/>
      <c r="T443" s="270">
        <f t="shared" si="48"/>
        <v>0</v>
      </c>
      <c r="U443" s="270">
        <f t="shared" si="49"/>
        <v>0</v>
      </c>
      <c r="V443" s="31"/>
      <c r="X443" s="240" t="str">
        <f t="shared" si="50"/>
        <v>OK</v>
      </c>
      <c r="Y443" s="240" t="str">
        <f t="shared" si="51"/>
        <v>OK</v>
      </c>
      <c r="Z443" s="240" t="str">
        <f t="shared" si="52"/>
        <v>OK</v>
      </c>
      <c r="AA443" s="240" t="str" cm="1">
        <f t="array" ref="AA443">IF(OR(AND(J443="Not accepted",N443:O443&lt;&gt;"",$S443=""),AND(J443="Accepted",S443="")),"ERROR","OK")</f>
        <v>OK</v>
      </c>
      <c r="AB443" s="240" t="str">
        <f t="shared" si="53"/>
        <v>OK</v>
      </c>
      <c r="AC443" s="240" t="str" cm="1">
        <f t="array" ref="AC443">IF(AND(F443:H443&lt;&gt;"",I443=""),"ERROR","OK")</f>
        <v>OK</v>
      </c>
      <c r="AD443" s="240" t="str">
        <f t="shared" si="54"/>
        <v>OK</v>
      </c>
      <c r="AE443" s="240" t="str">
        <f t="shared" si="55"/>
        <v>OK</v>
      </c>
      <c r="AF443" s="240" t="str" cm="1">
        <f t="array" aca="1" ref="AF443" ca="1" xml:space="preserve">
IF(AND($G443&lt;&gt;"",$F443=""),"ERROR",
IF(OR($F443:$G443="",AND($G443="",$F443&lt;&gt;"")),"OK",
IF(COUNTIF(INDIRECT(IFERROR(LEFT($F443,FIND(" ",$F443)-1),$F443)), $G443)&gt;0, "OK", "ERROR")))</f>
        <v>OK</v>
      </c>
    </row>
    <row r="444" spans="1:32" s="240" customFormat="1">
      <c r="A444" s="48"/>
      <c r="B444" s="31"/>
      <c r="C444" s="48"/>
      <c r="D444" s="47"/>
      <c r="E444" s="47"/>
      <c r="F444" s="31"/>
      <c r="G444" s="31"/>
      <c r="H444" s="31"/>
      <c r="I444" s="47"/>
      <c r="J444" s="31"/>
      <c r="K444" s="47"/>
      <c r="L444" s="47"/>
      <c r="M444" s="47"/>
      <c r="N444" s="31"/>
      <c r="O444" s="47"/>
      <c r="P444" s="31"/>
      <c r="Q444" s="31"/>
      <c r="R444" s="31"/>
      <c r="S444" s="31"/>
      <c r="T444" s="270">
        <f t="shared" si="48"/>
        <v>0</v>
      </c>
      <c r="U444" s="270">
        <f t="shared" si="49"/>
        <v>0</v>
      </c>
      <c r="V444" s="31"/>
      <c r="X444" s="240" t="str">
        <f t="shared" si="50"/>
        <v>OK</v>
      </c>
      <c r="Y444" s="240" t="str">
        <f t="shared" si="51"/>
        <v>OK</v>
      </c>
      <c r="Z444" s="240" t="str">
        <f t="shared" si="52"/>
        <v>OK</v>
      </c>
      <c r="AA444" s="240" t="str" cm="1">
        <f t="array" ref="AA444">IF(OR(AND(J444="Not accepted",N444:O444&lt;&gt;"",$S444=""),AND(J444="Accepted",S444="")),"ERROR","OK")</f>
        <v>OK</v>
      </c>
      <c r="AB444" s="240" t="str">
        <f t="shared" si="53"/>
        <v>OK</v>
      </c>
      <c r="AC444" s="240" t="str" cm="1">
        <f t="array" ref="AC444">IF(AND(F444:H444&lt;&gt;"",I444=""),"ERROR","OK")</f>
        <v>OK</v>
      </c>
      <c r="AD444" s="240" t="str">
        <f t="shared" si="54"/>
        <v>OK</v>
      </c>
      <c r="AE444" s="240" t="str">
        <f t="shared" si="55"/>
        <v>OK</v>
      </c>
      <c r="AF444" s="240" t="str" cm="1">
        <f t="array" aca="1" ref="AF444" ca="1" xml:space="preserve">
IF(AND($G444&lt;&gt;"",$F444=""),"ERROR",
IF(OR($F444:$G444="",AND($G444="",$F444&lt;&gt;"")),"OK",
IF(COUNTIF(INDIRECT(IFERROR(LEFT($F444,FIND(" ",$F444)-1),$F444)), $G444)&gt;0, "OK", "ERROR")))</f>
        <v>OK</v>
      </c>
    </row>
    <row r="445" spans="1:32" s="240" customFormat="1">
      <c r="A445" s="48"/>
      <c r="B445" s="31"/>
      <c r="C445" s="48"/>
      <c r="D445" s="47"/>
      <c r="E445" s="47"/>
      <c r="F445" s="31"/>
      <c r="G445" s="31"/>
      <c r="H445" s="31"/>
      <c r="I445" s="47"/>
      <c r="J445" s="31"/>
      <c r="K445" s="47"/>
      <c r="L445" s="47"/>
      <c r="M445" s="47"/>
      <c r="N445" s="31"/>
      <c r="O445" s="47"/>
      <c r="P445" s="31"/>
      <c r="Q445" s="31"/>
      <c r="R445" s="31"/>
      <c r="S445" s="31"/>
      <c r="T445" s="270">
        <f t="shared" si="48"/>
        <v>0</v>
      </c>
      <c r="U445" s="270">
        <f t="shared" si="49"/>
        <v>0</v>
      </c>
      <c r="V445" s="31"/>
      <c r="X445" s="240" t="str">
        <f t="shared" si="50"/>
        <v>OK</v>
      </c>
      <c r="Y445" s="240" t="str">
        <f t="shared" si="51"/>
        <v>OK</v>
      </c>
      <c r="Z445" s="240" t="str">
        <f t="shared" si="52"/>
        <v>OK</v>
      </c>
      <c r="AA445" s="240" t="str" cm="1">
        <f t="array" ref="AA445">IF(OR(AND(J445="Not accepted",N445:O445&lt;&gt;"",$S445=""),AND(J445="Accepted",S445="")),"ERROR","OK")</f>
        <v>OK</v>
      </c>
      <c r="AB445" s="240" t="str">
        <f t="shared" si="53"/>
        <v>OK</v>
      </c>
      <c r="AC445" s="240" t="str" cm="1">
        <f t="array" ref="AC445">IF(AND(F445:H445&lt;&gt;"",I445=""),"ERROR","OK")</f>
        <v>OK</v>
      </c>
      <c r="AD445" s="240" t="str">
        <f t="shared" si="54"/>
        <v>OK</v>
      </c>
      <c r="AE445" s="240" t="str">
        <f t="shared" si="55"/>
        <v>OK</v>
      </c>
      <c r="AF445" s="240" t="str" cm="1">
        <f t="array" aca="1" ref="AF445" ca="1" xml:space="preserve">
IF(AND($G445&lt;&gt;"",$F445=""),"ERROR",
IF(OR($F445:$G445="",AND($G445="",$F445&lt;&gt;"")),"OK",
IF(COUNTIF(INDIRECT(IFERROR(LEFT($F445,FIND(" ",$F445)-1),$F445)), $G445)&gt;0, "OK", "ERROR")))</f>
        <v>OK</v>
      </c>
    </row>
    <row r="446" spans="1:32" s="240" customFormat="1">
      <c r="A446" s="48"/>
      <c r="B446" s="31"/>
      <c r="C446" s="48"/>
      <c r="D446" s="47"/>
      <c r="E446" s="47"/>
      <c r="F446" s="31"/>
      <c r="G446" s="31"/>
      <c r="H446" s="31"/>
      <c r="I446" s="47"/>
      <c r="J446" s="31"/>
      <c r="K446" s="47"/>
      <c r="L446" s="47"/>
      <c r="M446" s="47"/>
      <c r="N446" s="31"/>
      <c r="O446" s="47"/>
      <c r="P446" s="31"/>
      <c r="Q446" s="31"/>
      <c r="R446" s="31"/>
      <c r="S446" s="31"/>
      <c r="T446" s="270">
        <f t="shared" si="48"/>
        <v>0</v>
      </c>
      <c r="U446" s="270">
        <f t="shared" si="49"/>
        <v>0</v>
      </c>
      <c r="V446" s="31"/>
      <c r="X446" s="240" t="str">
        <f t="shared" si="50"/>
        <v>OK</v>
      </c>
      <c r="Y446" s="240" t="str">
        <f t="shared" si="51"/>
        <v>OK</v>
      </c>
      <c r="Z446" s="240" t="str">
        <f t="shared" si="52"/>
        <v>OK</v>
      </c>
      <c r="AA446" s="240" t="str" cm="1">
        <f t="array" ref="AA446">IF(OR(AND(J446="Not accepted",N446:O446&lt;&gt;"",$S446=""),AND(J446="Accepted",S446="")),"ERROR","OK")</f>
        <v>OK</v>
      </c>
      <c r="AB446" s="240" t="str">
        <f t="shared" si="53"/>
        <v>OK</v>
      </c>
      <c r="AC446" s="240" t="str" cm="1">
        <f t="array" ref="AC446">IF(AND(F446:H446&lt;&gt;"",I446=""),"ERROR","OK")</f>
        <v>OK</v>
      </c>
      <c r="AD446" s="240" t="str">
        <f t="shared" si="54"/>
        <v>OK</v>
      </c>
      <c r="AE446" s="240" t="str">
        <f t="shared" si="55"/>
        <v>OK</v>
      </c>
      <c r="AF446" s="240" t="str" cm="1">
        <f t="array" aca="1" ref="AF446" ca="1" xml:space="preserve">
IF(AND($G446&lt;&gt;"",$F446=""),"ERROR",
IF(OR($F446:$G446="",AND($G446="",$F446&lt;&gt;"")),"OK",
IF(COUNTIF(INDIRECT(IFERROR(LEFT($F446,FIND(" ",$F446)-1),$F446)), $G446)&gt;0, "OK", "ERROR")))</f>
        <v>OK</v>
      </c>
    </row>
    <row r="447" spans="1:32" s="240" customFormat="1">
      <c r="A447" s="48"/>
      <c r="B447" s="31"/>
      <c r="C447" s="48"/>
      <c r="D447" s="47"/>
      <c r="E447" s="47"/>
      <c r="F447" s="31"/>
      <c r="G447" s="31"/>
      <c r="H447" s="31"/>
      <c r="I447" s="47"/>
      <c r="J447" s="31"/>
      <c r="K447" s="47"/>
      <c r="L447" s="47"/>
      <c r="M447" s="47"/>
      <c r="N447" s="31"/>
      <c r="O447" s="47"/>
      <c r="P447" s="31"/>
      <c r="Q447" s="31"/>
      <c r="R447" s="31"/>
      <c r="S447" s="31"/>
      <c r="T447" s="270">
        <f t="shared" si="48"/>
        <v>0</v>
      </c>
      <c r="U447" s="270">
        <f t="shared" si="49"/>
        <v>0</v>
      </c>
      <c r="V447" s="31"/>
      <c r="X447" s="240" t="str">
        <f t="shared" si="50"/>
        <v>OK</v>
      </c>
      <c r="Y447" s="240" t="str">
        <f t="shared" si="51"/>
        <v>OK</v>
      </c>
      <c r="Z447" s="240" t="str">
        <f t="shared" si="52"/>
        <v>OK</v>
      </c>
      <c r="AA447" s="240" t="str" cm="1">
        <f t="array" ref="AA447">IF(OR(AND(J447="Not accepted",N447:O447&lt;&gt;"",$S447=""),AND(J447="Accepted",S447="")),"ERROR","OK")</f>
        <v>OK</v>
      </c>
      <c r="AB447" s="240" t="str">
        <f t="shared" si="53"/>
        <v>OK</v>
      </c>
      <c r="AC447" s="240" t="str" cm="1">
        <f t="array" ref="AC447">IF(AND(F447:H447&lt;&gt;"",I447=""),"ERROR","OK")</f>
        <v>OK</v>
      </c>
      <c r="AD447" s="240" t="str">
        <f t="shared" si="54"/>
        <v>OK</v>
      </c>
      <c r="AE447" s="240" t="str">
        <f t="shared" si="55"/>
        <v>OK</v>
      </c>
      <c r="AF447" s="240" t="str" cm="1">
        <f t="array" aca="1" ref="AF447" ca="1" xml:space="preserve">
IF(AND($G447&lt;&gt;"",$F447=""),"ERROR",
IF(OR($F447:$G447="",AND($G447="",$F447&lt;&gt;"")),"OK",
IF(COUNTIF(INDIRECT(IFERROR(LEFT($F447,FIND(" ",$F447)-1),$F447)), $G447)&gt;0, "OK", "ERROR")))</f>
        <v>OK</v>
      </c>
    </row>
    <row r="448" spans="1:32" s="240" customFormat="1">
      <c r="A448" s="48"/>
      <c r="B448" s="31"/>
      <c r="C448" s="48"/>
      <c r="D448" s="47"/>
      <c r="E448" s="47"/>
      <c r="F448" s="31"/>
      <c r="G448" s="31"/>
      <c r="H448" s="31"/>
      <c r="I448" s="47"/>
      <c r="J448" s="31"/>
      <c r="K448" s="47"/>
      <c r="L448" s="47"/>
      <c r="M448" s="47"/>
      <c r="N448" s="31"/>
      <c r="O448" s="47"/>
      <c r="P448" s="31"/>
      <c r="Q448" s="31"/>
      <c r="R448" s="31"/>
      <c r="S448" s="31"/>
      <c r="T448" s="270">
        <f t="shared" si="48"/>
        <v>0</v>
      </c>
      <c r="U448" s="270">
        <f t="shared" si="49"/>
        <v>0</v>
      </c>
      <c r="V448" s="31"/>
      <c r="X448" s="240" t="str">
        <f t="shared" si="50"/>
        <v>OK</v>
      </c>
      <c r="Y448" s="240" t="str">
        <f t="shared" si="51"/>
        <v>OK</v>
      </c>
      <c r="Z448" s="240" t="str">
        <f t="shared" si="52"/>
        <v>OK</v>
      </c>
      <c r="AA448" s="240" t="str" cm="1">
        <f t="array" ref="AA448">IF(OR(AND(J448="Not accepted",N448:O448&lt;&gt;"",$S448=""),AND(J448="Accepted",S448="")),"ERROR","OK")</f>
        <v>OK</v>
      </c>
      <c r="AB448" s="240" t="str">
        <f t="shared" si="53"/>
        <v>OK</v>
      </c>
      <c r="AC448" s="240" t="str" cm="1">
        <f t="array" ref="AC448">IF(AND(F448:H448&lt;&gt;"",I448=""),"ERROR","OK")</f>
        <v>OK</v>
      </c>
      <c r="AD448" s="240" t="str">
        <f t="shared" si="54"/>
        <v>OK</v>
      </c>
      <c r="AE448" s="240" t="str">
        <f t="shared" si="55"/>
        <v>OK</v>
      </c>
      <c r="AF448" s="240" t="str" cm="1">
        <f t="array" aca="1" ref="AF448" ca="1" xml:space="preserve">
IF(AND($G448&lt;&gt;"",$F448=""),"ERROR",
IF(OR($F448:$G448="",AND($G448="",$F448&lt;&gt;"")),"OK",
IF(COUNTIF(INDIRECT(IFERROR(LEFT($F448,FIND(" ",$F448)-1),$F448)), $G448)&gt;0, "OK", "ERROR")))</f>
        <v>OK</v>
      </c>
    </row>
    <row r="449" spans="1:32" s="240" customFormat="1">
      <c r="A449" s="48"/>
      <c r="B449" s="31"/>
      <c r="C449" s="48"/>
      <c r="D449" s="47"/>
      <c r="E449" s="47"/>
      <c r="F449" s="31"/>
      <c r="G449" s="31"/>
      <c r="H449" s="31"/>
      <c r="I449" s="47"/>
      <c r="J449" s="31"/>
      <c r="K449" s="47"/>
      <c r="L449" s="47"/>
      <c r="M449" s="47"/>
      <c r="N449" s="31"/>
      <c r="O449" s="47"/>
      <c r="P449" s="31"/>
      <c r="Q449" s="31"/>
      <c r="R449" s="31"/>
      <c r="S449" s="31"/>
      <c r="T449" s="270">
        <f t="shared" si="48"/>
        <v>0</v>
      </c>
      <c r="U449" s="270">
        <f t="shared" si="49"/>
        <v>0</v>
      </c>
      <c r="V449" s="31"/>
      <c r="X449" s="240" t="str">
        <f t="shared" si="50"/>
        <v>OK</v>
      </c>
      <c r="Y449" s="240" t="str">
        <f t="shared" si="51"/>
        <v>OK</v>
      </c>
      <c r="Z449" s="240" t="str">
        <f t="shared" si="52"/>
        <v>OK</v>
      </c>
      <c r="AA449" s="240" t="str" cm="1">
        <f t="array" ref="AA449">IF(OR(AND(J449="Not accepted",N449:O449&lt;&gt;"",$S449=""),AND(J449="Accepted",S449="")),"ERROR","OK")</f>
        <v>OK</v>
      </c>
      <c r="AB449" s="240" t="str">
        <f t="shared" si="53"/>
        <v>OK</v>
      </c>
      <c r="AC449" s="240" t="str" cm="1">
        <f t="array" ref="AC449">IF(AND(F449:H449&lt;&gt;"",I449=""),"ERROR","OK")</f>
        <v>OK</v>
      </c>
      <c r="AD449" s="240" t="str">
        <f t="shared" si="54"/>
        <v>OK</v>
      </c>
      <c r="AE449" s="240" t="str">
        <f t="shared" si="55"/>
        <v>OK</v>
      </c>
      <c r="AF449" s="240" t="str" cm="1">
        <f t="array" aca="1" ref="AF449" ca="1" xml:space="preserve">
IF(AND($G449&lt;&gt;"",$F449=""),"ERROR",
IF(OR($F449:$G449="",AND($G449="",$F449&lt;&gt;"")),"OK",
IF(COUNTIF(INDIRECT(IFERROR(LEFT($F449,FIND(" ",$F449)-1),$F449)), $G449)&gt;0, "OK", "ERROR")))</f>
        <v>OK</v>
      </c>
    </row>
    <row r="450" spans="1:32" s="240" customFormat="1">
      <c r="A450" s="48"/>
      <c r="B450" s="31"/>
      <c r="C450" s="48"/>
      <c r="D450" s="47"/>
      <c r="E450" s="47"/>
      <c r="F450" s="31"/>
      <c r="G450" s="31"/>
      <c r="H450" s="31"/>
      <c r="I450" s="47"/>
      <c r="J450" s="31"/>
      <c r="K450" s="47"/>
      <c r="L450" s="47"/>
      <c r="M450" s="47"/>
      <c r="N450" s="31"/>
      <c r="O450" s="47"/>
      <c r="P450" s="31"/>
      <c r="Q450" s="31"/>
      <c r="R450" s="31"/>
      <c r="S450" s="31"/>
      <c r="T450" s="270">
        <f t="shared" si="48"/>
        <v>0</v>
      </c>
      <c r="U450" s="270">
        <f t="shared" si="49"/>
        <v>0</v>
      </c>
      <c r="V450" s="31"/>
      <c r="X450" s="240" t="str">
        <f t="shared" si="50"/>
        <v>OK</v>
      </c>
      <c r="Y450" s="240" t="str">
        <f t="shared" si="51"/>
        <v>OK</v>
      </c>
      <c r="Z450" s="240" t="str">
        <f t="shared" si="52"/>
        <v>OK</v>
      </c>
      <c r="AA450" s="240" t="str" cm="1">
        <f t="array" ref="AA450">IF(OR(AND(J450="Not accepted",N450:O450&lt;&gt;"",$S450=""),AND(J450="Accepted",S450="")),"ERROR","OK")</f>
        <v>OK</v>
      </c>
      <c r="AB450" s="240" t="str">
        <f t="shared" si="53"/>
        <v>OK</v>
      </c>
      <c r="AC450" s="240" t="str" cm="1">
        <f t="array" ref="AC450">IF(AND(F450:H450&lt;&gt;"",I450=""),"ERROR","OK")</f>
        <v>OK</v>
      </c>
      <c r="AD450" s="240" t="str">
        <f t="shared" si="54"/>
        <v>OK</v>
      </c>
      <c r="AE450" s="240" t="str">
        <f t="shared" si="55"/>
        <v>OK</v>
      </c>
      <c r="AF450" s="240" t="str" cm="1">
        <f t="array" aca="1" ref="AF450" ca="1" xml:space="preserve">
IF(AND($G450&lt;&gt;"",$F450=""),"ERROR",
IF(OR($F450:$G450="",AND($G450="",$F450&lt;&gt;"")),"OK",
IF(COUNTIF(INDIRECT(IFERROR(LEFT($F450,FIND(" ",$F450)-1),$F450)), $G450)&gt;0, "OK", "ERROR")))</f>
        <v>OK</v>
      </c>
    </row>
    <row r="451" spans="1:32" s="240" customFormat="1">
      <c r="A451" s="48"/>
      <c r="B451" s="31"/>
      <c r="C451" s="48"/>
      <c r="D451" s="47"/>
      <c r="E451" s="47"/>
      <c r="F451" s="31"/>
      <c r="G451" s="31"/>
      <c r="H451" s="31"/>
      <c r="I451" s="47"/>
      <c r="J451" s="31"/>
      <c r="K451" s="47"/>
      <c r="L451" s="47"/>
      <c r="M451" s="47"/>
      <c r="N451" s="31"/>
      <c r="O451" s="47"/>
      <c r="P451" s="31"/>
      <c r="Q451" s="31"/>
      <c r="R451" s="31"/>
      <c r="S451" s="31"/>
      <c r="T451" s="270">
        <f t="shared" si="48"/>
        <v>0</v>
      </c>
      <c r="U451" s="270">
        <f t="shared" si="49"/>
        <v>0</v>
      </c>
      <c r="V451" s="31"/>
      <c r="X451" s="240" t="str">
        <f t="shared" si="50"/>
        <v>OK</v>
      </c>
      <c r="Y451" s="240" t="str">
        <f t="shared" si="51"/>
        <v>OK</v>
      </c>
      <c r="Z451" s="240" t="str">
        <f t="shared" si="52"/>
        <v>OK</v>
      </c>
      <c r="AA451" s="240" t="str" cm="1">
        <f t="array" ref="AA451">IF(OR(AND(J451="Not accepted",N451:O451&lt;&gt;"",$S451=""),AND(J451="Accepted",S451="")),"ERROR","OK")</f>
        <v>OK</v>
      </c>
      <c r="AB451" s="240" t="str">
        <f t="shared" si="53"/>
        <v>OK</v>
      </c>
      <c r="AC451" s="240" t="str" cm="1">
        <f t="array" ref="AC451">IF(AND(F451:H451&lt;&gt;"",I451=""),"ERROR","OK")</f>
        <v>OK</v>
      </c>
      <c r="AD451" s="240" t="str">
        <f t="shared" si="54"/>
        <v>OK</v>
      </c>
      <c r="AE451" s="240" t="str">
        <f t="shared" si="55"/>
        <v>OK</v>
      </c>
      <c r="AF451" s="240" t="str" cm="1">
        <f t="array" aca="1" ref="AF451" ca="1" xml:space="preserve">
IF(AND($G451&lt;&gt;"",$F451=""),"ERROR",
IF(OR($F451:$G451="",AND($G451="",$F451&lt;&gt;"")),"OK",
IF(COUNTIF(INDIRECT(IFERROR(LEFT($F451,FIND(" ",$F451)-1),$F451)), $G451)&gt;0, "OK", "ERROR")))</f>
        <v>OK</v>
      </c>
    </row>
    <row r="452" spans="1:32" s="240" customFormat="1">
      <c r="A452" s="48"/>
      <c r="B452" s="31"/>
      <c r="C452" s="48"/>
      <c r="D452" s="47"/>
      <c r="E452" s="47"/>
      <c r="F452" s="31"/>
      <c r="G452" s="31"/>
      <c r="H452" s="31"/>
      <c r="I452" s="47"/>
      <c r="J452" s="31"/>
      <c r="K452" s="47"/>
      <c r="L452" s="47"/>
      <c r="M452" s="47"/>
      <c r="N452" s="31"/>
      <c r="O452" s="47"/>
      <c r="P452" s="31"/>
      <c r="Q452" s="31"/>
      <c r="R452" s="31"/>
      <c r="S452" s="31"/>
      <c r="T452" s="270">
        <f t="shared" si="48"/>
        <v>0</v>
      </c>
      <c r="U452" s="270">
        <f t="shared" si="49"/>
        <v>0</v>
      </c>
      <c r="V452" s="31"/>
      <c r="X452" s="240" t="str">
        <f t="shared" si="50"/>
        <v>OK</v>
      </c>
      <c r="Y452" s="240" t="str">
        <f t="shared" si="51"/>
        <v>OK</v>
      </c>
      <c r="Z452" s="240" t="str">
        <f t="shared" si="52"/>
        <v>OK</v>
      </c>
      <c r="AA452" s="240" t="str" cm="1">
        <f t="array" ref="AA452">IF(OR(AND(J452="Not accepted",N452:O452&lt;&gt;"",$S452=""),AND(J452="Accepted",S452="")),"ERROR","OK")</f>
        <v>OK</v>
      </c>
      <c r="AB452" s="240" t="str">
        <f t="shared" si="53"/>
        <v>OK</v>
      </c>
      <c r="AC452" s="240" t="str" cm="1">
        <f t="array" ref="AC452">IF(AND(F452:H452&lt;&gt;"",I452=""),"ERROR","OK")</f>
        <v>OK</v>
      </c>
      <c r="AD452" s="240" t="str">
        <f t="shared" si="54"/>
        <v>OK</v>
      </c>
      <c r="AE452" s="240" t="str">
        <f t="shared" si="55"/>
        <v>OK</v>
      </c>
      <c r="AF452" s="240" t="str" cm="1">
        <f t="array" aca="1" ref="AF452" ca="1" xml:space="preserve">
IF(AND($G452&lt;&gt;"",$F452=""),"ERROR",
IF(OR($F452:$G452="",AND($G452="",$F452&lt;&gt;"")),"OK",
IF(COUNTIF(INDIRECT(IFERROR(LEFT($F452,FIND(" ",$F452)-1),$F452)), $G452)&gt;0, "OK", "ERROR")))</f>
        <v>OK</v>
      </c>
    </row>
    <row r="453" spans="1:32" s="240" customFormat="1">
      <c r="A453" s="48"/>
      <c r="B453" s="31"/>
      <c r="C453" s="48"/>
      <c r="D453" s="47"/>
      <c r="E453" s="47"/>
      <c r="F453" s="31"/>
      <c r="G453" s="31"/>
      <c r="H453" s="31"/>
      <c r="I453" s="47"/>
      <c r="J453" s="31"/>
      <c r="K453" s="47"/>
      <c r="L453" s="47"/>
      <c r="M453" s="47"/>
      <c r="N453" s="31"/>
      <c r="O453" s="47"/>
      <c r="P453" s="31"/>
      <c r="Q453" s="31"/>
      <c r="R453" s="31"/>
      <c r="S453" s="31"/>
      <c r="T453" s="270">
        <f t="shared" ref="T453:T516" si="56">IF(OR($J453="Accepted",ISBLANK($J453)),IF(AND($G453="Legacy Data",$Q453="Legacy Data"),1,IF(OR($G453="Legacy Data",$Q453="Legacy Data"),1,0)),IF(OR($N453="Agree with original translator",ISBLANK($N453)),IF(AND($G453="Source Text Data",$Q453="Legacy Data"),1,IF(AND($G453="Legacy Data",$Q453="Legacy Data"),1,IF($Q453="Legacy Data",1,0))),IF(AND($G453="Legacy Data",$Q453="Legacy Data"),1,IF(OR($Q453="Legacy Data",ISBLANK($Q453)),IF($G453&lt;&gt;"Legacy Data",IF(AND($G453="Source Text Data",$Q453="Legacy Data"),1,0),1),0))))</f>
        <v>0</v>
      </c>
      <c r="U453" s="270">
        <f t="shared" ref="U453:U516" si="57">IF(OR($J453="Accepted",ISBLANK($J453)),IF(AND($G453="Source Text Data",$Q453="Source Text Data"),1,IF(OR($G453="Source Text Data",$Q453="Source Text Data"),1,0)),IF(OR($N453="Agree with original translator",ISBLANK($N453)),IF(AND($G453="Legacy Data",$Q453="Source Text Data"),1,IF(AND($G453="Source Text Data",$Q453="Source Text Data"),1,IF($Q453="Source Text Data",1,0))),IF(AND($G453="Source Text Data",$Q453="Source Text Data"),1,IF(OR($Q453="Source Text Data",ISBLANK($Q453)),IF($G453&lt;&gt;"Source Text Data",IF(AND($G453="Legacy Data",$Q453="Source Text Data"),1,0),1),0))))</f>
        <v>0</v>
      </c>
      <c r="V453" s="31"/>
      <c r="X453" s="240" t="str">
        <f t="shared" ref="X453:X516" si="58">IF(AND(COUNTBLANK($F453:$H453)&lt;&gt;COLUMNS($F453:$H453),COUNTA($F453:$H453)&lt;&gt;COLUMNS($F453:$H453)),"ERROR","OK")</f>
        <v>OK</v>
      </c>
      <c r="Y453" s="240" t="str">
        <f t="shared" ref="Y453:Y516" si="59">IF(AND($J453="Not accepted",$K453=""),"ERROR","OK")</f>
        <v>OK</v>
      </c>
      <c r="Z453" s="240" t="str">
        <f t="shared" ref="Z453:Z516" si="60">IF(AND($F453&lt;&gt;"",$J453=""),"ERROR","OK")</f>
        <v>OK</v>
      </c>
      <c r="AA453" s="240" t="str" cm="1">
        <f t="array" ref="AA453">IF(OR(AND(J453="Not accepted",N453:O453&lt;&gt;"",$S453=""),AND(J453="Accepted",S453="")),"ERROR","OK")</f>
        <v>OK</v>
      </c>
      <c r="AB453" s="240" t="str">
        <f t="shared" ref="AB453:AB516" si="61">IF(AND($S453="Not Implemented",$V453=""),"ERROR","OK")</f>
        <v>OK</v>
      </c>
      <c r="AC453" s="240" t="str" cm="1">
        <f t="array" ref="AC453">IF(AND(F453:H453&lt;&gt;"",I453=""),"ERROR","OK")</f>
        <v>OK</v>
      </c>
      <c r="AD453" s="240" t="str">
        <f t="shared" ref="AD453:AD516" si="62">IF(AND($N453="",$J453="Not accepted",$K453&lt;&gt;""),"ERROR","OK")</f>
        <v>OK</v>
      </c>
      <c r="AE453" s="240" t="str">
        <f t="shared" ref="AE453:AE516" si="63">IF(AND($O453="",$N453&lt;&gt;""),"ERROR","OK")</f>
        <v>OK</v>
      </c>
      <c r="AF453" s="240" t="str" cm="1">
        <f t="array" aca="1" ref="AF453" ca="1" xml:space="preserve">
IF(AND($G453&lt;&gt;"",$F453=""),"ERROR",
IF(OR($F453:$G453="",AND($G453="",$F453&lt;&gt;"")),"OK",
IF(COUNTIF(INDIRECT(IFERROR(LEFT($F453,FIND(" ",$F453)-1),$F453)), $G453)&gt;0, "OK", "ERROR")))</f>
        <v>OK</v>
      </c>
    </row>
    <row r="454" spans="1:32" s="240" customFormat="1">
      <c r="A454" s="48"/>
      <c r="B454" s="31"/>
      <c r="C454" s="48"/>
      <c r="D454" s="47"/>
      <c r="E454" s="47"/>
      <c r="F454" s="31"/>
      <c r="G454" s="31"/>
      <c r="H454" s="31"/>
      <c r="I454" s="47"/>
      <c r="J454" s="31"/>
      <c r="K454" s="47"/>
      <c r="L454" s="47"/>
      <c r="M454" s="47"/>
      <c r="N454" s="31"/>
      <c r="O454" s="47"/>
      <c r="P454" s="31"/>
      <c r="Q454" s="31"/>
      <c r="R454" s="31"/>
      <c r="S454" s="31"/>
      <c r="T454" s="270">
        <f t="shared" si="56"/>
        <v>0</v>
      </c>
      <c r="U454" s="270">
        <f t="shared" si="57"/>
        <v>0</v>
      </c>
      <c r="V454" s="31"/>
      <c r="X454" s="240" t="str">
        <f t="shared" si="58"/>
        <v>OK</v>
      </c>
      <c r="Y454" s="240" t="str">
        <f t="shared" si="59"/>
        <v>OK</v>
      </c>
      <c r="Z454" s="240" t="str">
        <f t="shared" si="60"/>
        <v>OK</v>
      </c>
      <c r="AA454" s="240" t="str" cm="1">
        <f t="array" ref="AA454">IF(OR(AND(J454="Not accepted",N454:O454&lt;&gt;"",$S454=""),AND(J454="Accepted",S454="")),"ERROR","OK")</f>
        <v>OK</v>
      </c>
      <c r="AB454" s="240" t="str">
        <f t="shared" si="61"/>
        <v>OK</v>
      </c>
      <c r="AC454" s="240" t="str" cm="1">
        <f t="array" ref="AC454">IF(AND(F454:H454&lt;&gt;"",I454=""),"ERROR","OK")</f>
        <v>OK</v>
      </c>
      <c r="AD454" s="240" t="str">
        <f t="shared" si="62"/>
        <v>OK</v>
      </c>
      <c r="AE454" s="240" t="str">
        <f t="shared" si="63"/>
        <v>OK</v>
      </c>
      <c r="AF454" s="240" t="str" cm="1">
        <f t="array" aca="1" ref="AF454" ca="1" xml:space="preserve">
IF(AND($G454&lt;&gt;"",$F454=""),"ERROR",
IF(OR($F454:$G454="",AND($G454="",$F454&lt;&gt;"")),"OK",
IF(COUNTIF(INDIRECT(IFERROR(LEFT($F454,FIND(" ",$F454)-1),$F454)), $G454)&gt;0, "OK", "ERROR")))</f>
        <v>OK</v>
      </c>
    </row>
    <row r="455" spans="1:32" s="240" customFormat="1">
      <c r="A455" s="48"/>
      <c r="B455" s="31"/>
      <c r="C455" s="48"/>
      <c r="D455" s="47"/>
      <c r="E455" s="47"/>
      <c r="F455" s="31"/>
      <c r="G455" s="31"/>
      <c r="H455" s="31"/>
      <c r="I455" s="47"/>
      <c r="J455" s="31"/>
      <c r="K455" s="47"/>
      <c r="L455" s="47"/>
      <c r="M455" s="47"/>
      <c r="N455" s="31"/>
      <c r="O455" s="47"/>
      <c r="P455" s="31"/>
      <c r="Q455" s="31"/>
      <c r="R455" s="31"/>
      <c r="S455" s="31"/>
      <c r="T455" s="270">
        <f t="shared" si="56"/>
        <v>0</v>
      </c>
      <c r="U455" s="270">
        <f t="shared" si="57"/>
        <v>0</v>
      </c>
      <c r="V455" s="31"/>
      <c r="X455" s="240" t="str">
        <f t="shared" si="58"/>
        <v>OK</v>
      </c>
      <c r="Y455" s="240" t="str">
        <f t="shared" si="59"/>
        <v>OK</v>
      </c>
      <c r="Z455" s="240" t="str">
        <f t="shared" si="60"/>
        <v>OK</v>
      </c>
      <c r="AA455" s="240" t="str" cm="1">
        <f t="array" ref="AA455">IF(OR(AND(J455="Not accepted",N455:O455&lt;&gt;"",$S455=""),AND(J455="Accepted",S455="")),"ERROR","OK")</f>
        <v>OK</v>
      </c>
      <c r="AB455" s="240" t="str">
        <f t="shared" si="61"/>
        <v>OK</v>
      </c>
      <c r="AC455" s="240" t="str" cm="1">
        <f t="array" ref="AC455">IF(AND(F455:H455&lt;&gt;"",I455=""),"ERROR","OK")</f>
        <v>OK</v>
      </c>
      <c r="AD455" s="240" t="str">
        <f t="shared" si="62"/>
        <v>OK</v>
      </c>
      <c r="AE455" s="240" t="str">
        <f t="shared" si="63"/>
        <v>OK</v>
      </c>
      <c r="AF455" s="240" t="str" cm="1">
        <f t="array" aca="1" ref="AF455" ca="1" xml:space="preserve">
IF(AND($G455&lt;&gt;"",$F455=""),"ERROR",
IF(OR($F455:$G455="",AND($G455="",$F455&lt;&gt;"")),"OK",
IF(COUNTIF(INDIRECT(IFERROR(LEFT($F455,FIND(" ",$F455)-1),$F455)), $G455)&gt;0, "OK", "ERROR")))</f>
        <v>OK</v>
      </c>
    </row>
    <row r="456" spans="1:32" s="240" customFormat="1">
      <c r="A456" s="48"/>
      <c r="B456" s="31"/>
      <c r="C456" s="48"/>
      <c r="D456" s="47"/>
      <c r="E456" s="47"/>
      <c r="F456" s="31"/>
      <c r="G456" s="31"/>
      <c r="H456" s="31"/>
      <c r="I456" s="47"/>
      <c r="J456" s="31"/>
      <c r="K456" s="47"/>
      <c r="L456" s="47"/>
      <c r="M456" s="47"/>
      <c r="N456" s="31"/>
      <c r="O456" s="47"/>
      <c r="P456" s="31"/>
      <c r="Q456" s="31"/>
      <c r="R456" s="31"/>
      <c r="S456" s="31"/>
      <c r="T456" s="270">
        <f t="shared" si="56"/>
        <v>0</v>
      </c>
      <c r="U456" s="270">
        <f t="shared" si="57"/>
        <v>0</v>
      </c>
      <c r="V456" s="31"/>
      <c r="X456" s="240" t="str">
        <f t="shared" si="58"/>
        <v>OK</v>
      </c>
      <c r="Y456" s="240" t="str">
        <f t="shared" si="59"/>
        <v>OK</v>
      </c>
      <c r="Z456" s="240" t="str">
        <f t="shared" si="60"/>
        <v>OK</v>
      </c>
      <c r="AA456" s="240" t="str" cm="1">
        <f t="array" ref="AA456">IF(OR(AND(J456="Not accepted",N456:O456&lt;&gt;"",$S456=""),AND(J456="Accepted",S456="")),"ERROR","OK")</f>
        <v>OK</v>
      </c>
      <c r="AB456" s="240" t="str">
        <f t="shared" si="61"/>
        <v>OK</v>
      </c>
      <c r="AC456" s="240" t="str" cm="1">
        <f t="array" ref="AC456">IF(AND(F456:H456&lt;&gt;"",I456=""),"ERROR","OK")</f>
        <v>OK</v>
      </c>
      <c r="AD456" s="240" t="str">
        <f t="shared" si="62"/>
        <v>OK</v>
      </c>
      <c r="AE456" s="240" t="str">
        <f t="shared" si="63"/>
        <v>OK</v>
      </c>
      <c r="AF456" s="240" t="str" cm="1">
        <f t="array" aca="1" ref="AF456" ca="1" xml:space="preserve">
IF(AND($G456&lt;&gt;"",$F456=""),"ERROR",
IF(OR($F456:$G456="",AND($G456="",$F456&lt;&gt;"")),"OK",
IF(COUNTIF(INDIRECT(IFERROR(LEFT($F456,FIND(" ",$F456)-1),$F456)), $G456)&gt;0, "OK", "ERROR")))</f>
        <v>OK</v>
      </c>
    </row>
    <row r="457" spans="1:32" s="240" customFormat="1">
      <c r="A457" s="48"/>
      <c r="B457" s="31"/>
      <c r="C457" s="48"/>
      <c r="D457" s="47"/>
      <c r="E457" s="47"/>
      <c r="F457" s="31"/>
      <c r="G457" s="31"/>
      <c r="H457" s="31"/>
      <c r="I457" s="47"/>
      <c r="J457" s="31"/>
      <c r="K457" s="47"/>
      <c r="L457" s="47"/>
      <c r="M457" s="47"/>
      <c r="N457" s="31"/>
      <c r="O457" s="47"/>
      <c r="P457" s="31"/>
      <c r="Q457" s="31"/>
      <c r="R457" s="31"/>
      <c r="S457" s="31"/>
      <c r="T457" s="270">
        <f t="shared" si="56"/>
        <v>0</v>
      </c>
      <c r="U457" s="270">
        <f t="shared" si="57"/>
        <v>0</v>
      </c>
      <c r="V457" s="31"/>
      <c r="X457" s="240" t="str">
        <f t="shared" si="58"/>
        <v>OK</v>
      </c>
      <c r="Y457" s="240" t="str">
        <f t="shared" si="59"/>
        <v>OK</v>
      </c>
      <c r="Z457" s="240" t="str">
        <f t="shared" si="60"/>
        <v>OK</v>
      </c>
      <c r="AA457" s="240" t="str" cm="1">
        <f t="array" ref="AA457">IF(OR(AND(J457="Not accepted",N457:O457&lt;&gt;"",$S457=""),AND(J457="Accepted",S457="")),"ERROR","OK")</f>
        <v>OK</v>
      </c>
      <c r="AB457" s="240" t="str">
        <f t="shared" si="61"/>
        <v>OK</v>
      </c>
      <c r="AC457" s="240" t="str" cm="1">
        <f t="array" ref="AC457">IF(AND(F457:H457&lt;&gt;"",I457=""),"ERROR","OK")</f>
        <v>OK</v>
      </c>
      <c r="AD457" s="240" t="str">
        <f t="shared" si="62"/>
        <v>OK</v>
      </c>
      <c r="AE457" s="240" t="str">
        <f t="shared" si="63"/>
        <v>OK</v>
      </c>
      <c r="AF457" s="240" t="str" cm="1">
        <f t="array" aca="1" ref="AF457" ca="1" xml:space="preserve">
IF(AND($G457&lt;&gt;"",$F457=""),"ERROR",
IF(OR($F457:$G457="",AND($G457="",$F457&lt;&gt;"")),"OK",
IF(COUNTIF(INDIRECT(IFERROR(LEFT($F457,FIND(" ",$F457)-1),$F457)), $G457)&gt;0, "OK", "ERROR")))</f>
        <v>OK</v>
      </c>
    </row>
    <row r="458" spans="1:32" s="240" customFormat="1">
      <c r="A458" s="48"/>
      <c r="B458" s="31"/>
      <c r="C458" s="48"/>
      <c r="D458" s="47"/>
      <c r="E458" s="47"/>
      <c r="F458" s="31"/>
      <c r="G458" s="31"/>
      <c r="H458" s="31"/>
      <c r="I458" s="47"/>
      <c r="J458" s="31"/>
      <c r="K458" s="47"/>
      <c r="L458" s="47"/>
      <c r="M458" s="47"/>
      <c r="N458" s="31"/>
      <c r="O458" s="47"/>
      <c r="P458" s="31"/>
      <c r="Q458" s="31"/>
      <c r="R458" s="31"/>
      <c r="S458" s="31"/>
      <c r="T458" s="270">
        <f t="shared" si="56"/>
        <v>0</v>
      </c>
      <c r="U458" s="270">
        <f t="shared" si="57"/>
        <v>0</v>
      </c>
      <c r="V458" s="31"/>
      <c r="X458" s="240" t="str">
        <f t="shared" si="58"/>
        <v>OK</v>
      </c>
      <c r="Y458" s="240" t="str">
        <f t="shared" si="59"/>
        <v>OK</v>
      </c>
      <c r="Z458" s="240" t="str">
        <f t="shared" si="60"/>
        <v>OK</v>
      </c>
      <c r="AA458" s="240" t="str" cm="1">
        <f t="array" ref="AA458">IF(OR(AND(J458="Not accepted",N458:O458&lt;&gt;"",$S458=""),AND(J458="Accepted",S458="")),"ERROR","OK")</f>
        <v>OK</v>
      </c>
      <c r="AB458" s="240" t="str">
        <f t="shared" si="61"/>
        <v>OK</v>
      </c>
      <c r="AC458" s="240" t="str" cm="1">
        <f t="array" ref="AC458">IF(AND(F458:H458&lt;&gt;"",I458=""),"ERROR","OK")</f>
        <v>OK</v>
      </c>
      <c r="AD458" s="240" t="str">
        <f t="shared" si="62"/>
        <v>OK</v>
      </c>
      <c r="AE458" s="240" t="str">
        <f t="shared" si="63"/>
        <v>OK</v>
      </c>
      <c r="AF458" s="240" t="str" cm="1">
        <f t="array" aca="1" ref="AF458" ca="1" xml:space="preserve">
IF(AND($G458&lt;&gt;"",$F458=""),"ERROR",
IF(OR($F458:$G458="",AND($G458="",$F458&lt;&gt;"")),"OK",
IF(COUNTIF(INDIRECT(IFERROR(LEFT($F458,FIND(" ",$F458)-1),$F458)), $G458)&gt;0, "OK", "ERROR")))</f>
        <v>OK</v>
      </c>
    </row>
    <row r="459" spans="1:32" s="240" customFormat="1">
      <c r="A459" s="48"/>
      <c r="B459" s="31"/>
      <c r="C459" s="48"/>
      <c r="D459" s="47"/>
      <c r="E459" s="47"/>
      <c r="F459" s="31"/>
      <c r="G459" s="31"/>
      <c r="H459" s="31"/>
      <c r="I459" s="47"/>
      <c r="J459" s="31"/>
      <c r="K459" s="47"/>
      <c r="L459" s="47"/>
      <c r="M459" s="47"/>
      <c r="N459" s="31"/>
      <c r="O459" s="47"/>
      <c r="P459" s="31"/>
      <c r="Q459" s="31"/>
      <c r="R459" s="31"/>
      <c r="S459" s="31"/>
      <c r="T459" s="270">
        <f t="shared" si="56"/>
        <v>0</v>
      </c>
      <c r="U459" s="270">
        <f t="shared" si="57"/>
        <v>0</v>
      </c>
      <c r="V459" s="31"/>
      <c r="X459" s="240" t="str">
        <f t="shared" si="58"/>
        <v>OK</v>
      </c>
      <c r="Y459" s="240" t="str">
        <f t="shared" si="59"/>
        <v>OK</v>
      </c>
      <c r="Z459" s="240" t="str">
        <f t="shared" si="60"/>
        <v>OK</v>
      </c>
      <c r="AA459" s="240" t="str" cm="1">
        <f t="array" ref="AA459">IF(OR(AND(J459="Not accepted",N459:O459&lt;&gt;"",$S459=""),AND(J459="Accepted",S459="")),"ERROR","OK")</f>
        <v>OK</v>
      </c>
      <c r="AB459" s="240" t="str">
        <f t="shared" si="61"/>
        <v>OK</v>
      </c>
      <c r="AC459" s="240" t="str" cm="1">
        <f t="array" ref="AC459">IF(AND(F459:H459&lt;&gt;"",I459=""),"ERROR","OK")</f>
        <v>OK</v>
      </c>
      <c r="AD459" s="240" t="str">
        <f t="shared" si="62"/>
        <v>OK</v>
      </c>
      <c r="AE459" s="240" t="str">
        <f t="shared" si="63"/>
        <v>OK</v>
      </c>
      <c r="AF459" s="240" t="str" cm="1">
        <f t="array" aca="1" ref="AF459" ca="1" xml:space="preserve">
IF(AND($G459&lt;&gt;"",$F459=""),"ERROR",
IF(OR($F459:$G459="",AND($G459="",$F459&lt;&gt;"")),"OK",
IF(COUNTIF(INDIRECT(IFERROR(LEFT($F459,FIND(" ",$F459)-1),$F459)), $G459)&gt;0, "OK", "ERROR")))</f>
        <v>OK</v>
      </c>
    </row>
    <row r="460" spans="1:32" s="240" customFormat="1">
      <c r="A460" s="48"/>
      <c r="B460" s="31"/>
      <c r="C460" s="48"/>
      <c r="D460" s="47"/>
      <c r="E460" s="47"/>
      <c r="F460" s="31"/>
      <c r="G460" s="31"/>
      <c r="H460" s="31"/>
      <c r="I460" s="47"/>
      <c r="J460" s="31"/>
      <c r="K460" s="47"/>
      <c r="L460" s="47"/>
      <c r="M460" s="47"/>
      <c r="N460" s="31"/>
      <c r="O460" s="47"/>
      <c r="P460" s="31"/>
      <c r="Q460" s="31"/>
      <c r="R460" s="31"/>
      <c r="S460" s="31"/>
      <c r="T460" s="270">
        <f t="shared" si="56"/>
        <v>0</v>
      </c>
      <c r="U460" s="270">
        <f t="shared" si="57"/>
        <v>0</v>
      </c>
      <c r="V460" s="31"/>
      <c r="X460" s="240" t="str">
        <f t="shared" si="58"/>
        <v>OK</v>
      </c>
      <c r="Y460" s="240" t="str">
        <f t="shared" si="59"/>
        <v>OK</v>
      </c>
      <c r="Z460" s="240" t="str">
        <f t="shared" si="60"/>
        <v>OK</v>
      </c>
      <c r="AA460" s="240" t="str" cm="1">
        <f t="array" ref="AA460">IF(OR(AND(J460="Not accepted",N460:O460&lt;&gt;"",$S460=""),AND(J460="Accepted",S460="")),"ERROR","OK")</f>
        <v>OK</v>
      </c>
      <c r="AB460" s="240" t="str">
        <f t="shared" si="61"/>
        <v>OK</v>
      </c>
      <c r="AC460" s="240" t="str" cm="1">
        <f t="array" ref="AC460">IF(AND(F460:H460&lt;&gt;"",I460=""),"ERROR","OK")</f>
        <v>OK</v>
      </c>
      <c r="AD460" s="240" t="str">
        <f t="shared" si="62"/>
        <v>OK</v>
      </c>
      <c r="AE460" s="240" t="str">
        <f t="shared" si="63"/>
        <v>OK</v>
      </c>
      <c r="AF460" s="240" t="str" cm="1">
        <f t="array" aca="1" ref="AF460" ca="1" xml:space="preserve">
IF(AND($G460&lt;&gt;"",$F460=""),"ERROR",
IF(OR($F460:$G460="",AND($G460="",$F460&lt;&gt;"")),"OK",
IF(COUNTIF(INDIRECT(IFERROR(LEFT($F460,FIND(" ",$F460)-1),$F460)), $G460)&gt;0, "OK", "ERROR")))</f>
        <v>OK</v>
      </c>
    </row>
    <row r="461" spans="1:32" s="240" customFormat="1">
      <c r="A461" s="48"/>
      <c r="B461" s="31"/>
      <c r="C461" s="48"/>
      <c r="D461" s="47"/>
      <c r="E461" s="47"/>
      <c r="F461" s="31"/>
      <c r="G461" s="31"/>
      <c r="H461" s="31"/>
      <c r="I461" s="47"/>
      <c r="J461" s="31"/>
      <c r="K461" s="47"/>
      <c r="L461" s="47"/>
      <c r="M461" s="47"/>
      <c r="N461" s="31"/>
      <c r="O461" s="47"/>
      <c r="P461" s="31"/>
      <c r="Q461" s="31"/>
      <c r="R461" s="31"/>
      <c r="S461" s="31"/>
      <c r="T461" s="270">
        <f t="shared" si="56"/>
        <v>0</v>
      </c>
      <c r="U461" s="270">
        <f t="shared" si="57"/>
        <v>0</v>
      </c>
      <c r="V461" s="31"/>
      <c r="X461" s="240" t="str">
        <f t="shared" si="58"/>
        <v>OK</v>
      </c>
      <c r="Y461" s="240" t="str">
        <f t="shared" si="59"/>
        <v>OK</v>
      </c>
      <c r="Z461" s="240" t="str">
        <f t="shared" si="60"/>
        <v>OK</v>
      </c>
      <c r="AA461" s="240" t="str" cm="1">
        <f t="array" ref="AA461">IF(OR(AND(J461="Not accepted",N461:O461&lt;&gt;"",$S461=""),AND(J461="Accepted",S461="")),"ERROR","OK")</f>
        <v>OK</v>
      </c>
      <c r="AB461" s="240" t="str">
        <f t="shared" si="61"/>
        <v>OK</v>
      </c>
      <c r="AC461" s="240" t="str" cm="1">
        <f t="array" ref="AC461">IF(AND(F461:H461&lt;&gt;"",I461=""),"ERROR","OK")</f>
        <v>OK</v>
      </c>
      <c r="AD461" s="240" t="str">
        <f t="shared" si="62"/>
        <v>OK</v>
      </c>
      <c r="AE461" s="240" t="str">
        <f t="shared" si="63"/>
        <v>OK</v>
      </c>
      <c r="AF461" s="240" t="str" cm="1">
        <f t="array" aca="1" ref="AF461" ca="1" xml:space="preserve">
IF(AND($G461&lt;&gt;"",$F461=""),"ERROR",
IF(OR($F461:$G461="",AND($G461="",$F461&lt;&gt;"")),"OK",
IF(COUNTIF(INDIRECT(IFERROR(LEFT($F461,FIND(" ",$F461)-1),$F461)), $G461)&gt;0, "OK", "ERROR")))</f>
        <v>OK</v>
      </c>
    </row>
    <row r="462" spans="1:32" s="240" customFormat="1">
      <c r="A462" s="48"/>
      <c r="B462" s="31"/>
      <c r="C462" s="48"/>
      <c r="D462" s="47"/>
      <c r="E462" s="47"/>
      <c r="F462" s="31"/>
      <c r="G462" s="31"/>
      <c r="H462" s="31"/>
      <c r="I462" s="47"/>
      <c r="J462" s="31"/>
      <c r="K462" s="47"/>
      <c r="L462" s="47"/>
      <c r="M462" s="47"/>
      <c r="N462" s="31"/>
      <c r="O462" s="47"/>
      <c r="P462" s="31"/>
      <c r="Q462" s="31"/>
      <c r="R462" s="31"/>
      <c r="S462" s="31"/>
      <c r="T462" s="270">
        <f t="shared" si="56"/>
        <v>0</v>
      </c>
      <c r="U462" s="270">
        <f t="shared" si="57"/>
        <v>0</v>
      </c>
      <c r="V462" s="31"/>
      <c r="X462" s="240" t="str">
        <f t="shared" si="58"/>
        <v>OK</v>
      </c>
      <c r="Y462" s="240" t="str">
        <f t="shared" si="59"/>
        <v>OK</v>
      </c>
      <c r="Z462" s="240" t="str">
        <f t="shared" si="60"/>
        <v>OK</v>
      </c>
      <c r="AA462" s="240" t="str" cm="1">
        <f t="array" ref="AA462">IF(OR(AND(J462="Not accepted",N462:O462&lt;&gt;"",$S462=""),AND(J462="Accepted",S462="")),"ERROR","OK")</f>
        <v>OK</v>
      </c>
      <c r="AB462" s="240" t="str">
        <f t="shared" si="61"/>
        <v>OK</v>
      </c>
      <c r="AC462" s="240" t="str" cm="1">
        <f t="array" ref="AC462">IF(AND(F462:H462&lt;&gt;"",I462=""),"ERROR","OK")</f>
        <v>OK</v>
      </c>
      <c r="AD462" s="240" t="str">
        <f t="shared" si="62"/>
        <v>OK</v>
      </c>
      <c r="AE462" s="240" t="str">
        <f t="shared" si="63"/>
        <v>OK</v>
      </c>
      <c r="AF462" s="240" t="str" cm="1">
        <f t="array" aca="1" ref="AF462" ca="1" xml:space="preserve">
IF(AND($G462&lt;&gt;"",$F462=""),"ERROR",
IF(OR($F462:$G462="",AND($G462="",$F462&lt;&gt;"")),"OK",
IF(COUNTIF(INDIRECT(IFERROR(LEFT($F462,FIND(" ",$F462)-1),$F462)), $G462)&gt;0, "OK", "ERROR")))</f>
        <v>OK</v>
      </c>
    </row>
    <row r="463" spans="1:32" s="240" customFormat="1">
      <c r="A463" s="48"/>
      <c r="B463" s="31"/>
      <c r="C463" s="48"/>
      <c r="D463" s="47"/>
      <c r="E463" s="47"/>
      <c r="F463" s="31"/>
      <c r="G463" s="31"/>
      <c r="H463" s="31"/>
      <c r="I463" s="47"/>
      <c r="J463" s="31"/>
      <c r="K463" s="47"/>
      <c r="L463" s="47"/>
      <c r="M463" s="47"/>
      <c r="N463" s="31"/>
      <c r="O463" s="47"/>
      <c r="P463" s="31"/>
      <c r="Q463" s="31"/>
      <c r="R463" s="31"/>
      <c r="S463" s="31"/>
      <c r="T463" s="270">
        <f t="shared" si="56"/>
        <v>0</v>
      </c>
      <c r="U463" s="270">
        <f t="shared" si="57"/>
        <v>0</v>
      </c>
      <c r="V463" s="31"/>
      <c r="X463" s="240" t="str">
        <f t="shared" si="58"/>
        <v>OK</v>
      </c>
      <c r="Y463" s="240" t="str">
        <f t="shared" si="59"/>
        <v>OK</v>
      </c>
      <c r="Z463" s="240" t="str">
        <f t="shared" si="60"/>
        <v>OK</v>
      </c>
      <c r="AA463" s="240" t="str" cm="1">
        <f t="array" ref="AA463">IF(OR(AND(J463="Not accepted",N463:O463&lt;&gt;"",$S463=""),AND(J463="Accepted",S463="")),"ERROR","OK")</f>
        <v>OK</v>
      </c>
      <c r="AB463" s="240" t="str">
        <f t="shared" si="61"/>
        <v>OK</v>
      </c>
      <c r="AC463" s="240" t="str" cm="1">
        <f t="array" ref="AC463">IF(AND(F463:H463&lt;&gt;"",I463=""),"ERROR","OK")</f>
        <v>OK</v>
      </c>
      <c r="AD463" s="240" t="str">
        <f t="shared" si="62"/>
        <v>OK</v>
      </c>
      <c r="AE463" s="240" t="str">
        <f t="shared" si="63"/>
        <v>OK</v>
      </c>
      <c r="AF463" s="240" t="str" cm="1">
        <f t="array" aca="1" ref="AF463" ca="1" xml:space="preserve">
IF(AND($G463&lt;&gt;"",$F463=""),"ERROR",
IF(OR($F463:$G463="",AND($G463="",$F463&lt;&gt;"")),"OK",
IF(COUNTIF(INDIRECT(IFERROR(LEFT($F463,FIND(" ",$F463)-1),$F463)), $G463)&gt;0, "OK", "ERROR")))</f>
        <v>OK</v>
      </c>
    </row>
    <row r="464" spans="1:32" s="240" customFormat="1">
      <c r="A464" s="48"/>
      <c r="B464" s="31"/>
      <c r="C464" s="48"/>
      <c r="D464" s="47"/>
      <c r="E464" s="47"/>
      <c r="F464" s="31"/>
      <c r="G464" s="31"/>
      <c r="H464" s="31"/>
      <c r="I464" s="47"/>
      <c r="J464" s="31"/>
      <c r="K464" s="47"/>
      <c r="L464" s="47"/>
      <c r="M464" s="47"/>
      <c r="N464" s="31"/>
      <c r="O464" s="47"/>
      <c r="P464" s="31"/>
      <c r="Q464" s="31"/>
      <c r="R464" s="31"/>
      <c r="S464" s="31"/>
      <c r="T464" s="270">
        <f t="shared" si="56"/>
        <v>0</v>
      </c>
      <c r="U464" s="270">
        <f t="shared" si="57"/>
        <v>0</v>
      </c>
      <c r="V464" s="31"/>
      <c r="X464" s="240" t="str">
        <f t="shared" si="58"/>
        <v>OK</v>
      </c>
      <c r="Y464" s="240" t="str">
        <f t="shared" si="59"/>
        <v>OK</v>
      </c>
      <c r="Z464" s="240" t="str">
        <f t="shared" si="60"/>
        <v>OK</v>
      </c>
      <c r="AA464" s="240" t="str" cm="1">
        <f t="array" ref="AA464">IF(OR(AND(J464="Not accepted",N464:O464&lt;&gt;"",$S464=""),AND(J464="Accepted",S464="")),"ERROR","OK")</f>
        <v>OK</v>
      </c>
      <c r="AB464" s="240" t="str">
        <f t="shared" si="61"/>
        <v>OK</v>
      </c>
      <c r="AC464" s="240" t="str" cm="1">
        <f t="array" ref="AC464">IF(AND(F464:H464&lt;&gt;"",I464=""),"ERROR","OK")</f>
        <v>OK</v>
      </c>
      <c r="AD464" s="240" t="str">
        <f t="shared" si="62"/>
        <v>OK</v>
      </c>
      <c r="AE464" s="240" t="str">
        <f t="shared" si="63"/>
        <v>OK</v>
      </c>
      <c r="AF464" s="240" t="str" cm="1">
        <f t="array" aca="1" ref="AF464" ca="1" xml:space="preserve">
IF(AND($G464&lt;&gt;"",$F464=""),"ERROR",
IF(OR($F464:$G464="",AND($G464="",$F464&lt;&gt;"")),"OK",
IF(COUNTIF(INDIRECT(IFERROR(LEFT($F464,FIND(" ",$F464)-1),$F464)), $G464)&gt;0, "OK", "ERROR")))</f>
        <v>OK</v>
      </c>
    </row>
    <row r="465" spans="1:32" s="240" customFormat="1">
      <c r="A465" s="48"/>
      <c r="B465" s="31"/>
      <c r="C465" s="48"/>
      <c r="D465" s="47"/>
      <c r="E465" s="47"/>
      <c r="F465" s="31"/>
      <c r="G465" s="31"/>
      <c r="H465" s="31"/>
      <c r="I465" s="47"/>
      <c r="J465" s="31"/>
      <c r="K465" s="47"/>
      <c r="L465" s="47"/>
      <c r="M465" s="47"/>
      <c r="N465" s="31"/>
      <c r="O465" s="47"/>
      <c r="P465" s="31"/>
      <c r="Q465" s="31"/>
      <c r="R465" s="31"/>
      <c r="S465" s="31"/>
      <c r="T465" s="270">
        <f t="shared" si="56"/>
        <v>0</v>
      </c>
      <c r="U465" s="270">
        <f t="shared" si="57"/>
        <v>0</v>
      </c>
      <c r="V465" s="31"/>
      <c r="X465" s="240" t="str">
        <f t="shared" si="58"/>
        <v>OK</v>
      </c>
      <c r="Y465" s="240" t="str">
        <f t="shared" si="59"/>
        <v>OK</v>
      </c>
      <c r="Z465" s="240" t="str">
        <f t="shared" si="60"/>
        <v>OK</v>
      </c>
      <c r="AA465" s="240" t="str" cm="1">
        <f t="array" ref="AA465">IF(OR(AND(J465="Not accepted",N465:O465&lt;&gt;"",$S465=""),AND(J465="Accepted",S465="")),"ERROR","OK")</f>
        <v>OK</v>
      </c>
      <c r="AB465" s="240" t="str">
        <f t="shared" si="61"/>
        <v>OK</v>
      </c>
      <c r="AC465" s="240" t="str" cm="1">
        <f t="array" ref="AC465">IF(AND(F465:H465&lt;&gt;"",I465=""),"ERROR","OK")</f>
        <v>OK</v>
      </c>
      <c r="AD465" s="240" t="str">
        <f t="shared" si="62"/>
        <v>OK</v>
      </c>
      <c r="AE465" s="240" t="str">
        <f t="shared" si="63"/>
        <v>OK</v>
      </c>
      <c r="AF465" s="240" t="str" cm="1">
        <f t="array" aca="1" ref="AF465" ca="1" xml:space="preserve">
IF(AND($G465&lt;&gt;"",$F465=""),"ERROR",
IF(OR($F465:$G465="",AND($G465="",$F465&lt;&gt;"")),"OK",
IF(COUNTIF(INDIRECT(IFERROR(LEFT($F465,FIND(" ",$F465)-1),$F465)), $G465)&gt;0, "OK", "ERROR")))</f>
        <v>OK</v>
      </c>
    </row>
    <row r="466" spans="1:32" s="240" customFormat="1">
      <c r="A466" s="48"/>
      <c r="B466" s="31"/>
      <c r="C466" s="48"/>
      <c r="D466" s="47"/>
      <c r="E466" s="47"/>
      <c r="F466" s="31"/>
      <c r="G466" s="31"/>
      <c r="H466" s="31"/>
      <c r="I466" s="47"/>
      <c r="J466" s="31"/>
      <c r="K466" s="47"/>
      <c r="L466" s="47"/>
      <c r="M466" s="47"/>
      <c r="N466" s="31"/>
      <c r="O466" s="47"/>
      <c r="P466" s="31"/>
      <c r="Q466" s="31"/>
      <c r="R466" s="31"/>
      <c r="S466" s="31"/>
      <c r="T466" s="270">
        <f t="shared" si="56"/>
        <v>0</v>
      </c>
      <c r="U466" s="270">
        <f t="shared" si="57"/>
        <v>0</v>
      </c>
      <c r="V466" s="31"/>
      <c r="X466" s="240" t="str">
        <f t="shared" si="58"/>
        <v>OK</v>
      </c>
      <c r="Y466" s="240" t="str">
        <f t="shared" si="59"/>
        <v>OK</v>
      </c>
      <c r="Z466" s="240" t="str">
        <f t="shared" si="60"/>
        <v>OK</v>
      </c>
      <c r="AA466" s="240" t="str" cm="1">
        <f t="array" ref="AA466">IF(OR(AND(J466="Not accepted",N466:O466&lt;&gt;"",$S466=""),AND(J466="Accepted",S466="")),"ERROR","OK")</f>
        <v>OK</v>
      </c>
      <c r="AB466" s="240" t="str">
        <f t="shared" si="61"/>
        <v>OK</v>
      </c>
      <c r="AC466" s="240" t="str" cm="1">
        <f t="array" ref="AC466">IF(AND(F466:H466&lt;&gt;"",I466=""),"ERROR","OK")</f>
        <v>OK</v>
      </c>
      <c r="AD466" s="240" t="str">
        <f t="shared" si="62"/>
        <v>OK</v>
      </c>
      <c r="AE466" s="240" t="str">
        <f t="shared" si="63"/>
        <v>OK</v>
      </c>
      <c r="AF466" s="240" t="str" cm="1">
        <f t="array" aca="1" ref="AF466" ca="1" xml:space="preserve">
IF(AND($G466&lt;&gt;"",$F466=""),"ERROR",
IF(OR($F466:$G466="",AND($G466="",$F466&lt;&gt;"")),"OK",
IF(COUNTIF(INDIRECT(IFERROR(LEFT($F466,FIND(" ",$F466)-1),$F466)), $G466)&gt;0, "OK", "ERROR")))</f>
        <v>OK</v>
      </c>
    </row>
    <row r="467" spans="1:32" s="240" customFormat="1">
      <c r="A467" s="48"/>
      <c r="B467" s="31"/>
      <c r="C467" s="48"/>
      <c r="D467" s="47"/>
      <c r="E467" s="47"/>
      <c r="F467" s="31"/>
      <c r="G467" s="31"/>
      <c r="H467" s="31"/>
      <c r="I467" s="47"/>
      <c r="J467" s="31"/>
      <c r="K467" s="47"/>
      <c r="L467" s="47"/>
      <c r="M467" s="47"/>
      <c r="N467" s="31"/>
      <c r="O467" s="47"/>
      <c r="P467" s="31"/>
      <c r="Q467" s="31"/>
      <c r="R467" s="31"/>
      <c r="S467" s="31"/>
      <c r="T467" s="270">
        <f t="shared" si="56"/>
        <v>0</v>
      </c>
      <c r="U467" s="270">
        <f t="shared" si="57"/>
        <v>0</v>
      </c>
      <c r="V467" s="31"/>
      <c r="X467" s="240" t="str">
        <f t="shared" si="58"/>
        <v>OK</v>
      </c>
      <c r="Y467" s="240" t="str">
        <f t="shared" si="59"/>
        <v>OK</v>
      </c>
      <c r="Z467" s="240" t="str">
        <f t="shared" si="60"/>
        <v>OK</v>
      </c>
      <c r="AA467" s="240" t="str" cm="1">
        <f t="array" ref="AA467">IF(OR(AND(J467="Not accepted",N467:O467&lt;&gt;"",$S467=""),AND(J467="Accepted",S467="")),"ERROR","OK")</f>
        <v>OK</v>
      </c>
      <c r="AB467" s="240" t="str">
        <f t="shared" si="61"/>
        <v>OK</v>
      </c>
      <c r="AC467" s="240" t="str" cm="1">
        <f t="array" ref="AC467">IF(AND(F467:H467&lt;&gt;"",I467=""),"ERROR","OK")</f>
        <v>OK</v>
      </c>
      <c r="AD467" s="240" t="str">
        <f t="shared" si="62"/>
        <v>OK</v>
      </c>
      <c r="AE467" s="240" t="str">
        <f t="shared" si="63"/>
        <v>OK</v>
      </c>
      <c r="AF467" s="240" t="str" cm="1">
        <f t="array" aca="1" ref="AF467" ca="1" xml:space="preserve">
IF(AND($G467&lt;&gt;"",$F467=""),"ERROR",
IF(OR($F467:$G467="",AND($G467="",$F467&lt;&gt;"")),"OK",
IF(COUNTIF(INDIRECT(IFERROR(LEFT($F467,FIND(" ",$F467)-1),$F467)), $G467)&gt;0, "OK", "ERROR")))</f>
        <v>OK</v>
      </c>
    </row>
    <row r="468" spans="1:32" s="240" customFormat="1">
      <c r="A468" s="48"/>
      <c r="B468" s="31"/>
      <c r="C468" s="48"/>
      <c r="D468" s="47"/>
      <c r="E468" s="47"/>
      <c r="F468" s="31"/>
      <c r="G468" s="31"/>
      <c r="H468" s="31"/>
      <c r="I468" s="47"/>
      <c r="J468" s="31"/>
      <c r="K468" s="47"/>
      <c r="L468" s="47"/>
      <c r="M468" s="47"/>
      <c r="N468" s="31"/>
      <c r="O468" s="47"/>
      <c r="P468" s="31"/>
      <c r="Q468" s="31"/>
      <c r="R468" s="31"/>
      <c r="S468" s="31"/>
      <c r="T468" s="270">
        <f t="shared" si="56"/>
        <v>0</v>
      </c>
      <c r="U468" s="270">
        <f t="shared" si="57"/>
        <v>0</v>
      </c>
      <c r="V468" s="31"/>
      <c r="X468" s="240" t="str">
        <f t="shared" si="58"/>
        <v>OK</v>
      </c>
      <c r="Y468" s="240" t="str">
        <f t="shared" si="59"/>
        <v>OK</v>
      </c>
      <c r="Z468" s="240" t="str">
        <f t="shared" si="60"/>
        <v>OK</v>
      </c>
      <c r="AA468" s="240" t="str" cm="1">
        <f t="array" ref="AA468">IF(OR(AND(J468="Not accepted",N468:O468&lt;&gt;"",$S468=""),AND(J468="Accepted",S468="")),"ERROR","OK")</f>
        <v>OK</v>
      </c>
      <c r="AB468" s="240" t="str">
        <f t="shared" si="61"/>
        <v>OK</v>
      </c>
      <c r="AC468" s="240" t="str" cm="1">
        <f t="array" ref="AC468">IF(AND(F468:H468&lt;&gt;"",I468=""),"ERROR","OK")</f>
        <v>OK</v>
      </c>
      <c r="AD468" s="240" t="str">
        <f t="shared" si="62"/>
        <v>OK</v>
      </c>
      <c r="AE468" s="240" t="str">
        <f t="shared" si="63"/>
        <v>OK</v>
      </c>
      <c r="AF468" s="240" t="str" cm="1">
        <f t="array" aca="1" ref="AF468" ca="1" xml:space="preserve">
IF(AND($G468&lt;&gt;"",$F468=""),"ERROR",
IF(OR($F468:$G468="",AND($G468="",$F468&lt;&gt;"")),"OK",
IF(COUNTIF(INDIRECT(IFERROR(LEFT($F468,FIND(" ",$F468)-1),$F468)), $G468)&gt;0, "OK", "ERROR")))</f>
        <v>OK</v>
      </c>
    </row>
    <row r="469" spans="1:32" s="240" customFormat="1">
      <c r="A469" s="48"/>
      <c r="B469" s="31"/>
      <c r="C469" s="48"/>
      <c r="D469" s="47"/>
      <c r="E469" s="47"/>
      <c r="F469" s="31"/>
      <c r="G469" s="31"/>
      <c r="H469" s="31"/>
      <c r="I469" s="47"/>
      <c r="J469" s="31"/>
      <c r="K469" s="47"/>
      <c r="L469" s="47"/>
      <c r="M469" s="47"/>
      <c r="N469" s="31"/>
      <c r="O469" s="47"/>
      <c r="P469" s="31"/>
      <c r="Q469" s="31"/>
      <c r="R469" s="31"/>
      <c r="S469" s="31"/>
      <c r="T469" s="270">
        <f t="shared" si="56"/>
        <v>0</v>
      </c>
      <c r="U469" s="270">
        <f t="shared" si="57"/>
        <v>0</v>
      </c>
      <c r="V469" s="31"/>
      <c r="X469" s="240" t="str">
        <f t="shared" si="58"/>
        <v>OK</v>
      </c>
      <c r="Y469" s="240" t="str">
        <f t="shared" si="59"/>
        <v>OK</v>
      </c>
      <c r="Z469" s="240" t="str">
        <f t="shared" si="60"/>
        <v>OK</v>
      </c>
      <c r="AA469" s="240" t="str" cm="1">
        <f t="array" ref="AA469">IF(OR(AND(J469="Not accepted",N469:O469&lt;&gt;"",$S469=""),AND(J469="Accepted",S469="")),"ERROR","OK")</f>
        <v>OK</v>
      </c>
      <c r="AB469" s="240" t="str">
        <f t="shared" si="61"/>
        <v>OK</v>
      </c>
      <c r="AC469" s="240" t="str" cm="1">
        <f t="array" ref="AC469">IF(AND(F469:H469&lt;&gt;"",I469=""),"ERROR","OK")</f>
        <v>OK</v>
      </c>
      <c r="AD469" s="240" t="str">
        <f t="shared" si="62"/>
        <v>OK</v>
      </c>
      <c r="AE469" s="240" t="str">
        <f t="shared" si="63"/>
        <v>OK</v>
      </c>
      <c r="AF469" s="240" t="str" cm="1">
        <f t="array" aca="1" ref="AF469" ca="1" xml:space="preserve">
IF(AND($G469&lt;&gt;"",$F469=""),"ERROR",
IF(OR($F469:$G469="",AND($G469="",$F469&lt;&gt;"")),"OK",
IF(COUNTIF(INDIRECT(IFERROR(LEFT($F469,FIND(" ",$F469)-1),$F469)), $G469)&gt;0, "OK", "ERROR")))</f>
        <v>OK</v>
      </c>
    </row>
    <row r="470" spans="1:32" s="240" customFormat="1">
      <c r="A470" s="48"/>
      <c r="B470" s="31"/>
      <c r="C470" s="48"/>
      <c r="D470" s="47"/>
      <c r="E470" s="47"/>
      <c r="F470" s="31"/>
      <c r="G470" s="31"/>
      <c r="H470" s="31"/>
      <c r="I470" s="47"/>
      <c r="J470" s="31"/>
      <c r="K470" s="47"/>
      <c r="L470" s="47"/>
      <c r="M470" s="47"/>
      <c r="N470" s="31"/>
      <c r="O470" s="47"/>
      <c r="P470" s="31"/>
      <c r="Q470" s="31"/>
      <c r="R470" s="31"/>
      <c r="S470" s="31"/>
      <c r="T470" s="270">
        <f t="shared" si="56"/>
        <v>0</v>
      </c>
      <c r="U470" s="270">
        <f t="shared" si="57"/>
        <v>0</v>
      </c>
      <c r="V470" s="31"/>
      <c r="X470" s="240" t="str">
        <f t="shared" si="58"/>
        <v>OK</v>
      </c>
      <c r="Y470" s="240" t="str">
        <f t="shared" si="59"/>
        <v>OK</v>
      </c>
      <c r="Z470" s="240" t="str">
        <f t="shared" si="60"/>
        <v>OK</v>
      </c>
      <c r="AA470" s="240" t="str" cm="1">
        <f t="array" ref="AA470">IF(OR(AND(J470="Not accepted",N470:O470&lt;&gt;"",$S470=""),AND(J470="Accepted",S470="")),"ERROR","OK")</f>
        <v>OK</v>
      </c>
      <c r="AB470" s="240" t="str">
        <f t="shared" si="61"/>
        <v>OK</v>
      </c>
      <c r="AC470" s="240" t="str" cm="1">
        <f t="array" ref="AC470">IF(AND(F470:H470&lt;&gt;"",I470=""),"ERROR","OK")</f>
        <v>OK</v>
      </c>
      <c r="AD470" s="240" t="str">
        <f t="shared" si="62"/>
        <v>OK</v>
      </c>
      <c r="AE470" s="240" t="str">
        <f t="shared" si="63"/>
        <v>OK</v>
      </c>
      <c r="AF470" s="240" t="str" cm="1">
        <f t="array" aca="1" ref="AF470" ca="1" xml:space="preserve">
IF(AND($G470&lt;&gt;"",$F470=""),"ERROR",
IF(OR($F470:$G470="",AND($G470="",$F470&lt;&gt;"")),"OK",
IF(COUNTIF(INDIRECT(IFERROR(LEFT($F470,FIND(" ",$F470)-1),$F470)), $G470)&gt;0, "OK", "ERROR")))</f>
        <v>OK</v>
      </c>
    </row>
    <row r="471" spans="1:32" s="240" customFormat="1">
      <c r="A471" s="48"/>
      <c r="B471" s="31"/>
      <c r="C471" s="48"/>
      <c r="D471" s="47"/>
      <c r="E471" s="47"/>
      <c r="F471" s="31"/>
      <c r="G471" s="31"/>
      <c r="H471" s="31"/>
      <c r="I471" s="47"/>
      <c r="J471" s="31"/>
      <c r="K471" s="47"/>
      <c r="L471" s="47"/>
      <c r="M471" s="47"/>
      <c r="N471" s="31"/>
      <c r="O471" s="47"/>
      <c r="P471" s="31"/>
      <c r="Q471" s="31"/>
      <c r="R471" s="31"/>
      <c r="S471" s="31"/>
      <c r="T471" s="270">
        <f t="shared" si="56"/>
        <v>0</v>
      </c>
      <c r="U471" s="270">
        <f t="shared" si="57"/>
        <v>0</v>
      </c>
      <c r="V471" s="31"/>
      <c r="X471" s="240" t="str">
        <f t="shared" si="58"/>
        <v>OK</v>
      </c>
      <c r="Y471" s="240" t="str">
        <f t="shared" si="59"/>
        <v>OK</v>
      </c>
      <c r="Z471" s="240" t="str">
        <f t="shared" si="60"/>
        <v>OK</v>
      </c>
      <c r="AA471" s="240" t="str" cm="1">
        <f t="array" ref="AA471">IF(OR(AND(J471="Not accepted",N471:O471&lt;&gt;"",$S471=""),AND(J471="Accepted",S471="")),"ERROR","OK")</f>
        <v>OK</v>
      </c>
      <c r="AB471" s="240" t="str">
        <f t="shared" si="61"/>
        <v>OK</v>
      </c>
      <c r="AC471" s="240" t="str" cm="1">
        <f t="array" ref="AC471">IF(AND(F471:H471&lt;&gt;"",I471=""),"ERROR","OK")</f>
        <v>OK</v>
      </c>
      <c r="AD471" s="240" t="str">
        <f t="shared" si="62"/>
        <v>OK</v>
      </c>
      <c r="AE471" s="240" t="str">
        <f t="shared" si="63"/>
        <v>OK</v>
      </c>
      <c r="AF471" s="240" t="str" cm="1">
        <f t="array" aca="1" ref="AF471" ca="1" xml:space="preserve">
IF(AND($G471&lt;&gt;"",$F471=""),"ERROR",
IF(OR($F471:$G471="",AND($G471="",$F471&lt;&gt;"")),"OK",
IF(COUNTIF(INDIRECT(IFERROR(LEFT($F471,FIND(" ",$F471)-1),$F471)), $G471)&gt;0, "OK", "ERROR")))</f>
        <v>OK</v>
      </c>
    </row>
    <row r="472" spans="1:32" s="240" customFormat="1">
      <c r="A472" s="48"/>
      <c r="B472" s="31"/>
      <c r="C472" s="48"/>
      <c r="D472" s="47"/>
      <c r="E472" s="47"/>
      <c r="F472" s="31"/>
      <c r="G472" s="31"/>
      <c r="H472" s="31"/>
      <c r="I472" s="47"/>
      <c r="J472" s="31"/>
      <c r="K472" s="47"/>
      <c r="L472" s="47"/>
      <c r="M472" s="47"/>
      <c r="N472" s="31"/>
      <c r="O472" s="47"/>
      <c r="P472" s="31"/>
      <c r="Q472" s="31"/>
      <c r="R472" s="31"/>
      <c r="S472" s="31"/>
      <c r="T472" s="270">
        <f t="shared" si="56"/>
        <v>0</v>
      </c>
      <c r="U472" s="270">
        <f t="shared" si="57"/>
        <v>0</v>
      </c>
      <c r="V472" s="31"/>
      <c r="X472" s="240" t="str">
        <f t="shared" si="58"/>
        <v>OK</v>
      </c>
      <c r="Y472" s="240" t="str">
        <f t="shared" si="59"/>
        <v>OK</v>
      </c>
      <c r="Z472" s="240" t="str">
        <f t="shared" si="60"/>
        <v>OK</v>
      </c>
      <c r="AA472" s="240" t="str" cm="1">
        <f t="array" ref="AA472">IF(OR(AND(J472="Not accepted",N472:O472&lt;&gt;"",$S472=""),AND(J472="Accepted",S472="")),"ERROR","OK")</f>
        <v>OK</v>
      </c>
      <c r="AB472" s="240" t="str">
        <f t="shared" si="61"/>
        <v>OK</v>
      </c>
      <c r="AC472" s="240" t="str" cm="1">
        <f t="array" ref="AC472">IF(AND(F472:H472&lt;&gt;"",I472=""),"ERROR","OK")</f>
        <v>OK</v>
      </c>
      <c r="AD472" s="240" t="str">
        <f t="shared" si="62"/>
        <v>OK</v>
      </c>
      <c r="AE472" s="240" t="str">
        <f t="shared" si="63"/>
        <v>OK</v>
      </c>
      <c r="AF472" s="240" t="str" cm="1">
        <f t="array" aca="1" ref="AF472" ca="1" xml:space="preserve">
IF(AND($G472&lt;&gt;"",$F472=""),"ERROR",
IF(OR($F472:$G472="",AND($G472="",$F472&lt;&gt;"")),"OK",
IF(COUNTIF(INDIRECT(IFERROR(LEFT($F472,FIND(" ",$F472)-1),$F472)), $G472)&gt;0, "OK", "ERROR")))</f>
        <v>OK</v>
      </c>
    </row>
    <row r="473" spans="1:32" s="240" customFormat="1">
      <c r="A473" s="48"/>
      <c r="B473" s="31"/>
      <c r="C473" s="48"/>
      <c r="D473" s="47"/>
      <c r="E473" s="47"/>
      <c r="F473" s="31"/>
      <c r="G473" s="31"/>
      <c r="H473" s="31"/>
      <c r="I473" s="47"/>
      <c r="J473" s="31"/>
      <c r="K473" s="47"/>
      <c r="L473" s="47"/>
      <c r="M473" s="47"/>
      <c r="N473" s="31"/>
      <c r="O473" s="47"/>
      <c r="P473" s="31"/>
      <c r="Q473" s="31"/>
      <c r="R473" s="31"/>
      <c r="S473" s="31"/>
      <c r="T473" s="270">
        <f t="shared" si="56"/>
        <v>0</v>
      </c>
      <c r="U473" s="270">
        <f t="shared" si="57"/>
        <v>0</v>
      </c>
      <c r="V473" s="31"/>
      <c r="X473" s="240" t="str">
        <f t="shared" si="58"/>
        <v>OK</v>
      </c>
      <c r="Y473" s="240" t="str">
        <f t="shared" si="59"/>
        <v>OK</v>
      </c>
      <c r="Z473" s="240" t="str">
        <f t="shared" si="60"/>
        <v>OK</v>
      </c>
      <c r="AA473" s="240" t="str" cm="1">
        <f t="array" ref="AA473">IF(OR(AND(J473="Not accepted",N473:O473&lt;&gt;"",$S473=""),AND(J473="Accepted",S473="")),"ERROR","OK")</f>
        <v>OK</v>
      </c>
      <c r="AB473" s="240" t="str">
        <f t="shared" si="61"/>
        <v>OK</v>
      </c>
      <c r="AC473" s="240" t="str" cm="1">
        <f t="array" ref="AC473">IF(AND(F473:H473&lt;&gt;"",I473=""),"ERROR","OK")</f>
        <v>OK</v>
      </c>
      <c r="AD473" s="240" t="str">
        <f t="shared" si="62"/>
        <v>OK</v>
      </c>
      <c r="AE473" s="240" t="str">
        <f t="shared" si="63"/>
        <v>OK</v>
      </c>
      <c r="AF473" s="240" t="str" cm="1">
        <f t="array" aca="1" ref="AF473" ca="1" xml:space="preserve">
IF(AND($G473&lt;&gt;"",$F473=""),"ERROR",
IF(OR($F473:$G473="",AND($G473="",$F473&lt;&gt;"")),"OK",
IF(COUNTIF(INDIRECT(IFERROR(LEFT($F473,FIND(" ",$F473)-1),$F473)), $G473)&gt;0, "OK", "ERROR")))</f>
        <v>OK</v>
      </c>
    </row>
    <row r="474" spans="1:32" s="240" customFormat="1">
      <c r="A474" s="48"/>
      <c r="B474" s="31"/>
      <c r="C474" s="48"/>
      <c r="D474" s="47"/>
      <c r="E474" s="47"/>
      <c r="F474" s="31"/>
      <c r="G474" s="31"/>
      <c r="H474" s="31"/>
      <c r="I474" s="47"/>
      <c r="J474" s="31"/>
      <c r="K474" s="47"/>
      <c r="L474" s="47"/>
      <c r="M474" s="47"/>
      <c r="N474" s="31"/>
      <c r="O474" s="47"/>
      <c r="P474" s="31"/>
      <c r="Q474" s="31"/>
      <c r="R474" s="31"/>
      <c r="S474" s="31"/>
      <c r="T474" s="270">
        <f t="shared" si="56"/>
        <v>0</v>
      </c>
      <c r="U474" s="270">
        <f t="shared" si="57"/>
        <v>0</v>
      </c>
      <c r="V474" s="31"/>
      <c r="X474" s="240" t="str">
        <f t="shared" si="58"/>
        <v>OK</v>
      </c>
      <c r="Y474" s="240" t="str">
        <f t="shared" si="59"/>
        <v>OK</v>
      </c>
      <c r="Z474" s="240" t="str">
        <f t="shared" si="60"/>
        <v>OK</v>
      </c>
      <c r="AA474" s="240" t="str" cm="1">
        <f t="array" ref="AA474">IF(OR(AND(J474="Not accepted",N474:O474&lt;&gt;"",$S474=""),AND(J474="Accepted",S474="")),"ERROR","OK")</f>
        <v>OK</v>
      </c>
      <c r="AB474" s="240" t="str">
        <f t="shared" si="61"/>
        <v>OK</v>
      </c>
      <c r="AC474" s="240" t="str" cm="1">
        <f t="array" ref="AC474">IF(AND(F474:H474&lt;&gt;"",I474=""),"ERROR","OK")</f>
        <v>OK</v>
      </c>
      <c r="AD474" s="240" t="str">
        <f t="shared" si="62"/>
        <v>OK</v>
      </c>
      <c r="AE474" s="240" t="str">
        <f t="shared" si="63"/>
        <v>OK</v>
      </c>
      <c r="AF474" s="240" t="str" cm="1">
        <f t="array" aca="1" ref="AF474" ca="1" xml:space="preserve">
IF(AND($G474&lt;&gt;"",$F474=""),"ERROR",
IF(OR($F474:$G474="",AND($G474="",$F474&lt;&gt;"")),"OK",
IF(COUNTIF(INDIRECT(IFERROR(LEFT($F474,FIND(" ",$F474)-1),$F474)), $G474)&gt;0, "OK", "ERROR")))</f>
        <v>OK</v>
      </c>
    </row>
    <row r="475" spans="1:32" s="240" customFormat="1">
      <c r="A475" s="48"/>
      <c r="B475" s="31"/>
      <c r="C475" s="48"/>
      <c r="D475" s="47"/>
      <c r="E475" s="47"/>
      <c r="F475" s="31"/>
      <c r="G475" s="31"/>
      <c r="H475" s="31"/>
      <c r="I475" s="47"/>
      <c r="J475" s="31"/>
      <c r="K475" s="47"/>
      <c r="L475" s="47"/>
      <c r="M475" s="47"/>
      <c r="N475" s="31"/>
      <c r="O475" s="47"/>
      <c r="P475" s="31"/>
      <c r="Q475" s="31"/>
      <c r="R475" s="31"/>
      <c r="S475" s="31"/>
      <c r="T475" s="270">
        <f t="shared" si="56"/>
        <v>0</v>
      </c>
      <c r="U475" s="270">
        <f t="shared" si="57"/>
        <v>0</v>
      </c>
      <c r="V475" s="31"/>
      <c r="X475" s="240" t="str">
        <f t="shared" si="58"/>
        <v>OK</v>
      </c>
      <c r="Y475" s="240" t="str">
        <f t="shared" si="59"/>
        <v>OK</v>
      </c>
      <c r="Z475" s="240" t="str">
        <f t="shared" si="60"/>
        <v>OK</v>
      </c>
      <c r="AA475" s="240" t="str" cm="1">
        <f t="array" ref="AA475">IF(OR(AND(J475="Not accepted",N475:O475&lt;&gt;"",$S475=""),AND(J475="Accepted",S475="")),"ERROR","OK")</f>
        <v>OK</v>
      </c>
      <c r="AB475" s="240" t="str">
        <f t="shared" si="61"/>
        <v>OK</v>
      </c>
      <c r="AC475" s="240" t="str" cm="1">
        <f t="array" ref="AC475">IF(AND(F475:H475&lt;&gt;"",I475=""),"ERROR","OK")</f>
        <v>OK</v>
      </c>
      <c r="AD475" s="240" t="str">
        <f t="shared" si="62"/>
        <v>OK</v>
      </c>
      <c r="AE475" s="240" t="str">
        <f t="shared" si="63"/>
        <v>OK</v>
      </c>
      <c r="AF475" s="240" t="str" cm="1">
        <f t="array" aca="1" ref="AF475" ca="1" xml:space="preserve">
IF(AND($G475&lt;&gt;"",$F475=""),"ERROR",
IF(OR($F475:$G475="",AND($G475="",$F475&lt;&gt;"")),"OK",
IF(COUNTIF(INDIRECT(IFERROR(LEFT($F475,FIND(" ",$F475)-1),$F475)), $G475)&gt;0, "OK", "ERROR")))</f>
        <v>OK</v>
      </c>
    </row>
    <row r="476" spans="1:32" s="240" customFormat="1">
      <c r="A476" s="48"/>
      <c r="B476" s="31"/>
      <c r="C476" s="48"/>
      <c r="D476" s="47"/>
      <c r="E476" s="47"/>
      <c r="F476" s="31"/>
      <c r="G476" s="31"/>
      <c r="H476" s="31"/>
      <c r="I476" s="47"/>
      <c r="J476" s="31"/>
      <c r="K476" s="47"/>
      <c r="L476" s="47"/>
      <c r="M476" s="47"/>
      <c r="N476" s="31"/>
      <c r="O476" s="47"/>
      <c r="P476" s="31"/>
      <c r="Q476" s="31"/>
      <c r="R476" s="31"/>
      <c r="S476" s="31"/>
      <c r="T476" s="270">
        <f t="shared" si="56"/>
        <v>0</v>
      </c>
      <c r="U476" s="270">
        <f t="shared" si="57"/>
        <v>0</v>
      </c>
      <c r="V476" s="31"/>
      <c r="X476" s="240" t="str">
        <f t="shared" si="58"/>
        <v>OK</v>
      </c>
      <c r="Y476" s="240" t="str">
        <f t="shared" si="59"/>
        <v>OK</v>
      </c>
      <c r="Z476" s="240" t="str">
        <f t="shared" si="60"/>
        <v>OK</v>
      </c>
      <c r="AA476" s="240" t="str" cm="1">
        <f t="array" ref="AA476">IF(OR(AND(J476="Not accepted",N476:O476&lt;&gt;"",$S476=""),AND(J476="Accepted",S476="")),"ERROR","OK")</f>
        <v>OK</v>
      </c>
      <c r="AB476" s="240" t="str">
        <f t="shared" si="61"/>
        <v>OK</v>
      </c>
      <c r="AC476" s="240" t="str" cm="1">
        <f t="array" ref="AC476">IF(AND(F476:H476&lt;&gt;"",I476=""),"ERROR","OK")</f>
        <v>OK</v>
      </c>
      <c r="AD476" s="240" t="str">
        <f t="shared" si="62"/>
        <v>OK</v>
      </c>
      <c r="AE476" s="240" t="str">
        <f t="shared" si="63"/>
        <v>OK</v>
      </c>
      <c r="AF476" s="240" t="str" cm="1">
        <f t="array" aca="1" ref="AF476" ca="1" xml:space="preserve">
IF(AND($G476&lt;&gt;"",$F476=""),"ERROR",
IF(OR($F476:$G476="",AND($G476="",$F476&lt;&gt;"")),"OK",
IF(COUNTIF(INDIRECT(IFERROR(LEFT($F476,FIND(" ",$F476)-1),$F476)), $G476)&gt;0, "OK", "ERROR")))</f>
        <v>OK</v>
      </c>
    </row>
    <row r="477" spans="1:32" s="240" customFormat="1">
      <c r="A477" s="48"/>
      <c r="B477" s="31"/>
      <c r="C477" s="48"/>
      <c r="D477" s="47"/>
      <c r="E477" s="47"/>
      <c r="F477" s="31"/>
      <c r="G477" s="31"/>
      <c r="H477" s="31"/>
      <c r="I477" s="47"/>
      <c r="J477" s="31"/>
      <c r="K477" s="47"/>
      <c r="L477" s="47"/>
      <c r="M477" s="47"/>
      <c r="N477" s="31"/>
      <c r="O477" s="47"/>
      <c r="P477" s="31"/>
      <c r="Q477" s="31"/>
      <c r="R477" s="31"/>
      <c r="S477" s="31"/>
      <c r="T477" s="270">
        <f t="shared" si="56"/>
        <v>0</v>
      </c>
      <c r="U477" s="270">
        <f t="shared" si="57"/>
        <v>0</v>
      </c>
      <c r="V477" s="31"/>
      <c r="X477" s="240" t="str">
        <f t="shared" si="58"/>
        <v>OK</v>
      </c>
      <c r="Y477" s="240" t="str">
        <f t="shared" si="59"/>
        <v>OK</v>
      </c>
      <c r="Z477" s="240" t="str">
        <f t="shared" si="60"/>
        <v>OK</v>
      </c>
      <c r="AA477" s="240" t="str" cm="1">
        <f t="array" ref="AA477">IF(OR(AND(J477="Not accepted",N477:O477&lt;&gt;"",$S477=""),AND(J477="Accepted",S477="")),"ERROR","OK")</f>
        <v>OK</v>
      </c>
      <c r="AB477" s="240" t="str">
        <f t="shared" si="61"/>
        <v>OK</v>
      </c>
      <c r="AC477" s="240" t="str" cm="1">
        <f t="array" ref="AC477">IF(AND(F477:H477&lt;&gt;"",I477=""),"ERROR","OK")</f>
        <v>OK</v>
      </c>
      <c r="AD477" s="240" t="str">
        <f t="shared" si="62"/>
        <v>OK</v>
      </c>
      <c r="AE477" s="240" t="str">
        <f t="shared" si="63"/>
        <v>OK</v>
      </c>
      <c r="AF477" s="240" t="str" cm="1">
        <f t="array" aca="1" ref="AF477" ca="1" xml:space="preserve">
IF(AND($G477&lt;&gt;"",$F477=""),"ERROR",
IF(OR($F477:$G477="",AND($G477="",$F477&lt;&gt;"")),"OK",
IF(COUNTIF(INDIRECT(IFERROR(LEFT($F477,FIND(" ",$F477)-1),$F477)), $G477)&gt;0, "OK", "ERROR")))</f>
        <v>OK</v>
      </c>
    </row>
    <row r="478" spans="1:32" s="240" customFormat="1">
      <c r="A478" s="48"/>
      <c r="B478" s="31"/>
      <c r="C478" s="48"/>
      <c r="D478" s="47"/>
      <c r="E478" s="47"/>
      <c r="F478" s="31"/>
      <c r="G478" s="31"/>
      <c r="H478" s="31"/>
      <c r="I478" s="47"/>
      <c r="J478" s="31"/>
      <c r="K478" s="47"/>
      <c r="L478" s="47"/>
      <c r="M478" s="47"/>
      <c r="N478" s="31"/>
      <c r="O478" s="47"/>
      <c r="P478" s="31"/>
      <c r="Q478" s="31"/>
      <c r="R478" s="31"/>
      <c r="S478" s="31"/>
      <c r="T478" s="270">
        <f t="shared" si="56"/>
        <v>0</v>
      </c>
      <c r="U478" s="270">
        <f t="shared" si="57"/>
        <v>0</v>
      </c>
      <c r="V478" s="31"/>
      <c r="X478" s="240" t="str">
        <f t="shared" si="58"/>
        <v>OK</v>
      </c>
      <c r="Y478" s="240" t="str">
        <f t="shared" si="59"/>
        <v>OK</v>
      </c>
      <c r="Z478" s="240" t="str">
        <f t="shared" si="60"/>
        <v>OK</v>
      </c>
      <c r="AA478" s="240" t="str" cm="1">
        <f t="array" ref="AA478">IF(OR(AND(J478="Not accepted",N478:O478&lt;&gt;"",$S478=""),AND(J478="Accepted",S478="")),"ERROR","OK")</f>
        <v>OK</v>
      </c>
      <c r="AB478" s="240" t="str">
        <f t="shared" si="61"/>
        <v>OK</v>
      </c>
      <c r="AC478" s="240" t="str" cm="1">
        <f t="array" ref="AC478">IF(AND(F478:H478&lt;&gt;"",I478=""),"ERROR","OK")</f>
        <v>OK</v>
      </c>
      <c r="AD478" s="240" t="str">
        <f t="shared" si="62"/>
        <v>OK</v>
      </c>
      <c r="AE478" s="240" t="str">
        <f t="shared" si="63"/>
        <v>OK</v>
      </c>
      <c r="AF478" s="240" t="str" cm="1">
        <f t="array" aca="1" ref="AF478" ca="1" xml:space="preserve">
IF(AND($G478&lt;&gt;"",$F478=""),"ERROR",
IF(OR($F478:$G478="",AND($G478="",$F478&lt;&gt;"")),"OK",
IF(COUNTIF(INDIRECT(IFERROR(LEFT($F478,FIND(" ",$F478)-1),$F478)), $G478)&gt;0, "OK", "ERROR")))</f>
        <v>OK</v>
      </c>
    </row>
    <row r="479" spans="1:32" s="240" customFormat="1">
      <c r="A479" s="48"/>
      <c r="B479" s="31"/>
      <c r="C479" s="48"/>
      <c r="D479" s="47"/>
      <c r="E479" s="47"/>
      <c r="F479" s="31"/>
      <c r="G479" s="31"/>
      <c r="H479" s="31"/>
      <c r="I479" s="47"/>
      <c r="J479" s="31"/>
      <c r="K479" s="47"/>
      <c r="L479" s="47"/>
      <c r="M479" s="47"/>
      <c r="N479" s="31"/>
      <c r="O479" s="47"/>
      <c r="P479" s="31"/>
      <c r="Q479" s="31"/>
      <c r="R479" s="31"/>
      <c r="S479" s="31"/>
      <c r="T479" s="270">
        <f t="shared" si="56"/>
        <v>0</v>
      </c>
      <c r="U479" s="270">
        <f t="shared" si="57"/>
        <v>0</v>
      </c>
      <c r="V479" s="31"/>
      <c r="X479" s="240" t="str">
        <f t="shared" si="58"/>
        <v>OK</v>
      </c>
      <c r="Y479" s="240" t="str">
        <f t="shared" si="59"/>
        <v>OK</v>
      </c>
      <c r="Z479" s="240" t="str">
        <f t="shared" si="60"/>
        <v>OK</v>
      </c>
      <c r="AA479" s="240" t="str" cm="1">
        <f t="array" ref="AA479">IF(OR(AND(J479="Not accepted",N479:O479&lt;&gt;"",$S479=""),AND(J479="Accepted",S479="")),"ERROR","OK")</f>
        <v>OK</v>
      </c>
      <c r="AB479" s="240" t="str">
        <f t="shared" si="61"/>
        <v>OK</v>
      </c>
      <c r="AC479" s="240" t="str" cm="1">
        <f t="array" ref="AC479">IF(AND(F479:H479&lt;&gt;"",I479=""),"ERROR","OK")</f>
        <v>OK</v>
      </c>
      <c r="AD479" s="240" t="str">
        <f t="shared" si="62"/>
        <v>OK</v>
      </c>
      <c r="AE479" s="240" t="str">
        <f t="shared" si="63"/>
        <v>OK</v>
      </c>
      <c r="AF479" s="240" t="str" cm="1">
        <f t="array" aca="1" ref="AF479" ca="1" xml:space="preserve">
IF(AND($G479&lt;&gt;"",$F479=""),"ERROR",
IF(OR($F479:$G479="",AND($G479="",$F479&lt;&gt;"")),"OK",
IF(COUNTIF(INDIRECT(IFERROR(LEFT($F479,FIND(" ",$F479)-1),$F479)), $G479)&gt;0, "OK", "ERROR")))</f>
        <v>OK</v>
      </c>
    </row>
    <row r="480" spans="1:32" s="240" customFormat="1">
      <c r="A480" s="48"/>
      <c r="B480" s="31"/>
      <c r="C480" s="48"/>
      <c r="D480" s="47"/>
      <c r="E480" s="47"/>
      <c r="F480" s="31"/>
      <c r="G480" s="31"/>
      <c r="H480" s="31"/>
      <c r="I480" s="47"/>
      <c r="J480" s="31"/>
      <c r="K480" s="47"/>
      <c r="L480" s="47"/>
      <c r="M480" s="47"/>
      <c r="N480" s="31"/>
      <c r="O480" s="47"/>
      <c r="P480" s="31"/>
      <c r="Q480" s="31"/>
      <c r="R480" s="31"/>
      <c r="S480" s="31"/>
      <c r="T480" s="270">
        <f t="shared" si="56"/>
        <v>0</v>
      </c>
      <c r="U480" s="270">
        <f t="shared" si="57"/>
        <v>0</v>
      </c>
      <c r="V480" s="31"/>
      <c r="X480" s="240" t="str">
        <f t="shared" si="58"/>
        <v>OK</v>
      </c>
      <c r="Y480" s="240" t="str">
        <f t="shared" si="59"/>
        <v>OK</v>
      </c>
      <c r="Z480" s="240" t="str">
        <f t="shared" si="60"/>
        <v>OK</v>
      </c>
      <c r="AA480" s="240" t="str" cm="1">
        <f t="array" ref="AA480">IF(OR(AND(J480="Not accepted",N480:O480&lt;&gt;"",$S480=""),AND(J480="Accepted",S480="")),"ERROR","OK")</f>
        <v>OK</v>
      </c>
      <c r="AB480" s="240" t="str">
        <f t="shared" si="61"/>
        <v>OK</v>
      </c>
      <c r="AC480" s="240" t="str" cm="1">
        <f t="array" ref="AC480">IF(AND(F480:H480&lt;&gt;"",I480=""),"ERROR","OK")</f>
        <v>OK</v>
      </c>
      <c r="AD480" s="240" t="str">
        <f t="shared" si="62"/>
        <v>OK</v>
      </c>
      <c r="AE480" s="240" t="str">
        <f t="shared" si="63"/>
        <v>OK</v>
      </c>
      <c r="AF480" s="240" t="str" cm="1">
        <f t="array" aca="1" ref="AF480" ca="1" xml:space="preserve">
IF(AND($G480&lt;&gt;"",$F480=""),"ERROR",
IF(OR($F480:$G480="",AND($G480="",$F480&lt;&gt;"")),"OK",
IF(COUNTIF(INDIRECT(IFERROR(LEFT($F480,FIND(" ",$F480)-1),$F480)), $G480)&gt;0, "OK", "ERROR")))</f>
        <v>OK</v>
      </c>
    </row>
    <row r="481" spans="1:32" s="240" customFormat="1">
      <c r="A481" s="48"/>
      <c r="B481" s="31"/>
      <c r="C481" s="48"/>
      <c r="D481" s="47"/>
      <c r="E481" s="47"/>
      <c r="F481" s="31"/>
      <c r="G481" s="31"/>
      <c r="H481" s="31"/>
      <c r="I481" s="47"/>
      <c r="J481" s="31"/>
      <c r="K481" s="47"/>
      <c r="L481" s="47"/>
      <c r="M481" s="47"/>
      <c r="N481" s="31"/>
      <c r="O481" s="47"/>
      <c r="P481" s="31"/>
      <c r="Q481" s="31"/>
      <c r="R481" s="31"/>
      <c r="S481" s="31"/>
      <c r="T481" s="270">
        <f t="shared" si="56"/>
        <v>0</v>
      </c>
      <c r="U481" s="270">
        <f t="shared" si="57"/>
        <v>0</v>
      </c>
      <c r="V481" s="31"/>
      <c r="X481" s="240" t="str">
        <f t="shared" si="58"/>
        <v>OK</v>
      </c>
      <c r="Y481" s="240" t="str">
        <f t="shared" si="59"/>
        <v>OK</v>
      </c>
      <c r="Z481" s="240" t="str">
        <f t="shared" si="60"/>
        <v>OK</v>
      </c>
      <c r="AA481" s="240" t="str" cm="1">
        <f t="array" ref="AA481">IF(OR(AND(J481="Not accepted",N481:O481&lt;&gt;"",$S481=""),AND(J481="Accepted",S481="")),"ERROR","OK")</f>
        <v>OK</v>
      </c>
      <c r="AB481" s="240" t="str">
        <f t="shared" si="61"/>
        <v>OK</v>
      </c>
      <c r="AC481" s="240" t="str" cm="1">
        <f t="array" ref="AC481">IF(AND(F481:H481&lt;&gt;"",I481=""),"ERROR","OK")</f>
        <v>OK</v>
      </c>
      <c r="AD481" s="240" t="str">
        <f t="shared" si="62"/>
        <v>OK</v>
      </c>
      <c r="AE481" s="240" t="str">
        <f t="shared" si="63"/>
        <v>OK</v>
      </c>
      <c r="AF481" s="240" t="str" cm="1">
        <f t="array" aca="1" ref="AF481" ca="1" xml:space="preserve">
IF(AND($G481&lt;&gt;"",$F481=""),"ERROR",
IF(OR($F481:$G481="",AND($G481="",$F481&lt;&gt;"")),"OK",
IF(COUNTIF(INDIRECT(IFERROR(LEFT($F481,FIND(" ",$F481)-1),$F481)), $G481)&gt;0, "OK", "ERROR")))</f>
        <v>OK</v>
      </c>
    </row>
    <row r="482" spans="1:32" s="240" customFormat="1">
      <c r="A482" s="48"/>
      <c r="B482" s="31"/>
      <c r="C482" s="48"/>
      <c r="D482" s="47"/>
      <c r="E482" s="47"/>
      <c r="F482" s="31"/>
      <c r="G482" s="31"/>
      <c r="H482" s="31"/>
      <c r="I482" s="47"/>
      <c r="J482" s="31"/>
      <c r="K482" s="47"/>
      <c r="L482" s="47"/>
      <c r="M482" s="47"/>
      <c r="N482" s="31"/>
      <c r="O482" s="47"/>
      <c r="P482" s="31"/>
      <c r="Q482" s="31"/>
      <c r="R482" s="31"/>
      <c r="S482" s="31"/>
      <c r="T482" s="270">
        <f t="shared" si="56"/>
        <v>0</v>
      </c>
      <c r="U482" s="270">
        <f t="shared" si="57"/>
        <v>0</v>
      </c>
      <c r="V482" s="31"/>
      <c r="X482" s="240" t="str">
        <f t="shared" si="58"/>
        <v>OK</v>
      </c>
      <c r="Y482" s="240" t="str">
        <f t="shared" si="59"/>
        <v>OK</v>
      </c>
      <c r="Z482" s="240" t="str">
        <f t="shared" si="60"/>
        <v>OK</v>
      </c>
      <c r="AA482" s="240" t="str" cm="1">
        <f t="array" ref="AA482">IF(OR(AND(J482="Not accepted",N482:O482&lt;&gt;"",$S482=""),AND(J482="Accepted",S482="")),"ERROR","OK")</f>
        <v>OK</v>
      </c>
      <c r="AB482" s="240" t="str">
        <f t="shared" si="61"/>
        <v>OK</v>
      </c>
      <c r="AC482" s="240" t="str" cm="1">
        <f t="array" ref="AC482">IF(AND(F482:H482&lt;&gt;"",I482=""),"ERROR","OK")</f>
        <v>OK</v>
      </c>
      <c r="AD482" s="240" t="str">
        <f t="shared" si="62"/>
        <v>OK</v>
      </c>
      <c r="AE482" s="240" t="str">
        <f t="shared" si="63"/>
        <v>OK</v>
      </c>
      <c r="AF482" s="240" t="str" cm="1">
        <f t="array" aca="1" ref="AF482" ca="1" xml:space="preserve">
IF(AND($G482&lt;&gt;"",$F482=""),"ERROR",
IF(OR($F482:$G482="",AND($G482="",$F482&lt;&gt;"")),"OK",
IF(COUNTIF(INDIRECT(IFERROR(LEFT($F482,FIND(" ",$F482)-1),$F482)), $G482)&gt;0, "OK", "ERROR")))</f>
        <v>OK</v>
      </c>
    </row>
    <row r="483" spans="1:32" s="240" customFormat="1">
      <c r="A483" s="48"/>
      <c r="B483" s="31"/>
      <c r="C483" s="48"/>
      <c r="D483" s="47"/>
      <c r="E483" s="47"/>
      <c r="F483" s="31"/>
      <c r="G483" s="31"/>
      <c r="H483" s="31"/>
      <c r="I483" s="47"/>
      <c r="J483" s="31"/>
      <c r="K483" s="47"/>
      <c r="L483" s="47"/>
      <c r="M483" s="47"/>
      <c r="N483" s="31"/>
      <c r="O483" s="47"/>
      <c r="P483" s="31"/>
      <c r="Q483" s="31"/>
      <c r="R483" s="31"/>
      <c r="S483" s="31"/>
      <c r="T483" s="270">
        <f t="shared" si="56"/>
        <v>0</v>
      </c>
      <c r="U483" s="270">
        <f t="shared" si="57"/>
        <v>0</v>
      </c>
      <c r="V483" s="31"/>
      <c r="X483" s="240" t="str">
        <f t="shared" si="58"/>
        <v>OK</v>
      </c>
      <c r="Y483" s="240" t="str">
        <f t="shared" si="59"/>
        <v>OK</v>
      </c>
      <c r="Z483" s="240" t="str">
        <f t="shared" si="60"/>
        <v>OK</v>
      </c>
      <c r="AA483" s="240" t="str" cm="1">
        <f t="array" ref="AA483">IF(OR(AND(J483="Not accepted",N483:O483&lt;&gt;"",$S483=""),AND(J483="Accepted",S483="")),"ERROR","OK")</f>
        <v>OK</v>
      </c>
      <c r="AB483" s="240" t="str">
        <f t="shared" si="61"/>
        <v>OK</v>
      </c>
      <c r="AC483" s="240" t="str" cm="1">
        <f t="array" ref="AC483">IF(AND(F483:H483&lt;&gt;"",I483=""),"ERROR","OK")</f>
        <v>OK</v>
      </c>
      <c r="AD483" s="240" t="str">
        <f t="shared" si="62"/>
        <v>OK</v>
      </c>
      <c r="AE483" s="240" t="str">
        <f t="shared" si="63"/>
        <v>OK</v>
      </c>
      <c r="AF483" s="240" t="str" cm="1">
        <f t="array" aca="1" ref="AF483" ca="1" xml:space="preserve">
IF(AND($G483&lt;&gt;"",$F483=""),"ERROR",
IF(OR($F483:$G483="",AND($G483="",$F483&lt;&gt;"")),"OK",
IF(COUNTIF(INDIRECT(IFERROR(LEFT($F483,FIND(" ",$F483)-1),$F483)), $G483)&gt;0, "OK", "ERROR")))</f>
        <v>OK</v>
      </c>
    </row>
    <row r="484" spans="1:32" s="240" customFormat="1">
      <c r="A484" s="48"/>
      <c r="B484" s="31"/>
      <c r="C484" s="48"/>
      <c r="D484" s="47"/>
      <c r="E484" s="47"/>
      <c r="F484" s="31"/>
      <c r="G484" s="31"/>
      <c r="H484" s="31"/>
      <c r="I484" s="47"/>
      <c r="J484" s="31"/>
      <c r="K484" s="47"/>
      <c r="L484" s="47"/>
      <c r="M484" s="47"/>
      <c r="N484" s="31"/>
      <c r="O484" s="47"/>
      <c r="P484" s="31"/>
      <c r="Q484" s="31"/>
      <c r="R484" s="31"/>
      <c r="S484" s="31"/>
      <c r="T484" s="270">
        <f t="shared" si="56"/>
        <v>0</v>
      </c>
      <c r="U484" s="270">
        <f t="shared" si="57"/>
        <v>0</v>
      </c>
      <c r="V484" s="31"/>
      <c r="X484" s="240" t="str">
        <f t="shared" si="58"/>
        <v>OK</v>
      </c>
      <c r="Y484" s="240" t="str">
        <f t="shared" si="59"/>
        <v>OK</v>
      </c>
      <c r="Z484" s="240" t="str">
        <f t="shared" si="60"/>
        <v>OK</v>
      </c>
      <c r="AA484" s="240" t="str" cm="1">
        <f t="array" ref="AA484">IF(OR(AND(J484="Not accepted",N484:O484&lt;&gt;"",$S484=""),AND(J484="Accepted",S484="")),"ERROR","OK")</f>
        <v>OK</v>
      </c>
      <c r="AB484" s="240" t="str">
        <f t="shared" si="61"/>
        <v>OK</v>
      </c>
      <c r="AC484" s="240" t="str" cm="1">
        <f t="array" ref="AC484">IF(AND(F484:H484&lt;&gt;"",I484=""),"ERROR","OK")</f>
        <v>OK</v>
      </c>
      <c r="AD484" s="240" t="str">
        <f t="shared" si="62"/>
        <v>OK</v>
      </c>
      <c r="AE484" s="240" t="str">
        <f t="shared" si="63"/>
        <v>OK</v>
      </c>
      <c r="AF484" s="240" t="str" cm="1">
        <f t="array" aca="1" ref="AF484" ca="1" xml:space="preserve">
IF(AND($G484&lt;&gt;"",$F484=""),"ERROR",
IF(OR($F484:$G484="",AND($G484="",$F484&lt;&gt;"")),"OK",
IF(COUNTIF(INDIRECT(IFERROR(LEFT($F484,FIND(" ",$F484)-1),$F484)), $G484)&gt;0, "OK", "ERROR")))</f>
        <v>OK</v>
      </c>
    </row>
    <row r="485" spans="1:32" s="240" customFormat="1">
      <c r="A485" s="48"/>
      <c r="B485" s="31"/>
      <c r="C485" s="48"/>
      <c r="D485" s="47"/>
      <c r="E485" s="47"/>
      <c r="F485" s="31"/>
      <c r="G485" s="31"/>
      <c r="H485" s="31"/>
      <c r="I485" s="47"/>
      <c r="J485" s="31"/>
      <c r="K485" s="47"/>
      <c r="L485" s="47"/>
      <c r="M485" s="47"/>
      <c r="N485" s="31"/>
      <c r="O485" s="47"/>
      <c r="P485" s="31"/>
      <c r="Q485" s="31"/>
      <c r="R485" s="31"/>
      <c r="S485" s="31"/>
      <c r="T485" s="270">
        <f t="shared" si="56"/>
        <v>0</v>
      </c>
      <c r="U485" s="270">
        <f t="shared" si="57"/>
        <v>0</v>
      </c>
      <c r="V485" s="31"/>
      <c r="X485" s="240" t="str">
        <f t="shared" si="58"/>
        <v>OK</v>
      </c>
      <c r="Y485" s="240" t="str">
        <f t="shared" si="59"/>
        <v>OK</v>
      </c>
      <c r="Z485" s="240" t="str">
        <f t="shared" si="60"/>
        <v>OK</v>
      </c>
      <c r="AA485" s="240" t="str" cm="1">
        <f t="array" ref="AA485">IF(OR(AND(J485="Not accepted",N485:O485&lt;&gt;"",$S485=""),AND(J485="Accepted",S485="")),"ERROR","OK")</f>
        <v>OK</v>
      </c>
      <c r="AB485" s="240" t="str">
        <f t="shared" si="61"/>
        <v>OK</v>
      </c>
      <c r="AC485" s="240" t="str" cm="1">
        <f t="array" ref="AC485">IF(AND(F485:H485&lt;&gt;"",I485=""),"ERROR","OK")</f>
        <v>OK</v>
      </c>
      <c r="AD485" s="240" t="str">
        <f t="shared" si="62"/>
        <v>OK</v>
      </c>
      <c r="AE485" s="240" t="str">
        <f t="shared" si="63"/>
        <v>OK</v>
      </c>
      <c r="AF485" s="240" t="str" cm="1">
        <f t="array" aca="1" ref="AF485" ca="1" xml:space="preserve">
IF(AND($G485&lt;&gt;"",$F485=""),"ERROR",
IF(OR($F485:$G485="",AND($G485="",$F485&lt;&gt;"")),"OK",
IF(COUNTIF(INDIRECT(IFERROR(LEFT($F485,FIND(" ",$F485)-1),$F485)), $G485)&gt;0, "OK", "ERROR")))</f>
        <v>OK</v>
      </c>
    </row>
    <row r="486" spans="1:32" s="240" customFormat="1">
      <c r="A486" s="48"/>
      <c r="B486" s="31"/>
      <c r="C486" s="48"/>
      <c r="D486" s="47"/>
      <c r="E486" s="47"/>
      <c r="F486" s="31"/>
      <c r="G486" s="31"/>
      <c r="H486" s="31"/>
      <c r="I486" s="47"/>
      <c r="J486" s="31"/>
      <c r="K486" s="47"/>
      <c r="L486" s="47"/>
      <c r="M486" s="47"/>
      <c r="N486" s="31"/>
      <c r="O486" s="47"/>
      <c r="P486" s="31"/>
      <c r="Q486" s="31"/>
      <c r="R486" s="31"/>
      <c r="S486" s="31"/>
      <c r="T486" s="270">
        <f t="shared" si="56"/>
        <v>0</v>
      </c>
      <c r="U486" s="270">
        <f t="shared" si="57"/>
        <v>0</v>
      </c>
      <c r="V486" s="31"/>
      <c r="X486" s="240" t="str">
        <f t="shared" si="58"/>
        <v>OK</v>
      </c>
      <c r="Y486" s="240" t="str">
        <f t="shared" si="59"/>
        <v>OK</v>
      </c>
      <c r="Z486" s="240" t="str">
        <f t="shared" si="60"/>
        <v>OK</v>
      </c>
      <c r="AA486" s="240" t="str" cm="1">
        <f t="array" ref="AA486">IF(OR(AND(J486="Not accepted",N486:O486&lt;&gt;"",$S486=""),AND(J486="Accepted",S486="")),"ERROR","OK")</f>
        <v>OK</v>
      </c>
      <c r="AB486" s="240" t="str">
        <f t="shared" si="61"/>
        <v>OK</v>
      </c>
      <c r="AC486" s="240" t="str" cm="1">
        <f t="array" ref="AC486">IF(AND(F486:H486&lt;&gt;"",I486=""),"ERROR","OK")</f>
        <v>OK</v>
      </c>
      <c r="AD486" s="240" t="str">
        <f t="shared" si="62"/>
        <v>OK</v>
      </c>
      <c r="AE486" s="240" t="str">
        <f t="shared" si="63"/>
        <v>OK</v>
      </c>
      <c r="AF486" s="240" t="str" cm="1">
        <f t="array" aca="1" ref="AF486" ca="1" xml:space="preserve">
IF(AND($G486&lt;&gt;"",$F486=""),"ERROR",
IF(OR($F486:$G486="",AND($G486="",$F486&lt;&gt;"")),"OK",
IF(COUNTIF(INDIRECT(IFERROR(LEFT($F486,FIND(" ",$F486)-1),$F486)), $G486)&gt;0, "OK", "ERROR")))</f>
        <v>OK</v>
      </c>
    </row>
    <row r="487" spans="1:32" s="240" customFormat="1">
      <c r="A487" s="48"/>
      <c r="B487" s="31"/>
      <c r="C487" s="48"/>
      <c r="D487" s="47"/>
      <c r="E487" s="47"/>
      <c r="F487" s="31"/>
      <c r="G487" s="31"/>
      <c r="H487" s="31"/>
      <c r="I487" s="47"/>
      <c r="J487" s="31"/>
      <c r="K487" s="47"/>
      <c r="L487" s="47"/>
      <c r="M487" s="47"/>
      <c r="N487" s="31"/>
      <c r="O487" s="47"/>
      <c r="P487" s="31"/>
      <c r="Q487" s="31"/>
      <c r="R487" s="31"/>
      <c r="S487" s="31"/>
      <c r="T487" s="270">
        <f t="shared" si="56"/>
        <v>0</v>
      </c>
      <c r="U487" s="270">
        <f t="shared" si="57"/>
        <v>0</v>
      </c>
      <c r="V487" s="31"/>
      <c r="X487" s="240" t="str">
        <f t="shared" si="58"/>
        <v>OK</v>
      </c>
      <c r="Y487" s="240" t="str">
        <f t="shared" si="59"/>
        <v>OK</v>
      </c>
      <c r="Z487" s="240" t="str">
        <f t="shared" si="60"/>
        <v>OK</v>
      </c>
      <c r="AA487" s="240" t="str" cm="1">
        <f t="array" ref="AA487">IF(OR(AND(J487="Not accepted",N487:O487&lt;&gt;"",$S487=""),AND(J487="Accepted",S487="")),"ERROR","OK")</f>
        <v>OK</v>
      </c>
      <c r="AB487" s="240" t="str">
        <f t="shared" si="61"/>
        <v>OK</v>
      </c>
      <c r="AC487" s="240" t="str" cm="1">
        <f t="array" ref="AC487">IF(AND(F487:H487&lt;&gt;"",I487=""),"ERROR","OK")</f>
        <v>OK</v>
      </c>
      <c r="AD487" s="240" t="str">
        <f t="shared" si="62"/>
        <v>OK</v>
      </c>
      <c r="AE487" s="240" t="str">
        <f t="shared" si="63"/>
        <v>OK</v>
      </c>
      <c r="AF487" s="240" t="str" cm="1">
        <f t="array" aca="1" ref="AF487" ca="1" xml:space="preserve">
IF(AND($G487&lt;&gt;"",$F487=""),"ERROR",
IF(OR($F487:$G487="",AND($G487="",$F487&lt;&gt;"")),"OK",
IF(COUNTIF(INDIRECT(IFERROR(LEFT($F487,FIND(" ",$F487)-1),$F487)), $G487)&gt;0, "OK", "ERROR")))</f>
        <v>OK</v>
      </c>
    </row>
    <row r="488" spans="1:32" s="240" customFormat="1">
      <c r="A488" s="48"/>
      <c r="B488" s="31"/>
      <c r="C488" s="48"/>
      <c r="D488" s="47"/>
      <c r="E488" s="47"/>
      <c r="F488" s="31"/>
      <c r="G488" s="31"/>
      <c r="H488" s="31"/>
      <c r="I488" s="47"/>
      <c r="J488" s="31"/>
      <c r="K488" s="47"/>
      <c r="L488" s="47"/>
      <c r="M488" s="47"/>
      <c r="N488" s="31"/>
      <c r="O488" s="47"/>
      <c r="P488" s="31"/>
      <c r="Q488" s="31"/>
      <c r="R488" s="31"/>
      <c r="S488" s="31"/>
      <c r="T488" s="270">
        <f t="shared" si="56"/>
        <v>0</v>
      </c>
      <c r="U488" s="270">
        <f t="shared" si="57"/>
        <v>0</v>
      </c>
      <c r="V488" s="31"/>
      <c r="X488" s="240" t="str">
        <f t="shared" si="58"/>
        <v>OK</v>
      </c>
      <c r="Y488" s="240" t="str">
        <f t="shared" si="59"/>
        <v>OK</v>
      </c>
      <c r="Z488" s="240" t="str">
        <f t="shared" si="60"/>
        <v>OK</v>
      </c>
      <c r="AA488" s="240" t="str" cm="1">
        <f t="array" ref="AA488">IF(OR(AND(J488="Not accepted",N488:O488&lt;&gt;"",$S488=""),AND(J488="Accepted",S488="")),"ERROR","OK")</f>
        <v>OK</v>
      </c>
      <c r="AB488" s="240" t="str">
        <f t="shared" si="61"/>
        <v>OK</v>
      </c>
      <c r="AC488" s="240" t="str" cm="1">
        <f t="array" ref="AC488">IF(AND(F488:H488&lt;&gt;"",I488=""),"ERROR","OK")</f>
        <v>OK</v>
      </c>
      <c r="AD488" s="240" t="str">
        <f t="shared" si="62"/>
        <v>OK</v>
      </c>
      <c r="AE488" s="240" t="str">
        <f t="shared" si="63"/>
        <v>OK</v>
      </c>
      <c r="AF488" s="240" t="str" cm="1">
        <f t="array" aca="1" ref="AF488" ca="1" xml:space="preserve">
IF(AND($G488&lt;&gt;"",$F488=""),"ERROR",
IF(OR($F488:$G488="",AND($G488="",$F488&lt;&gt;"")),"OK",
IF(COUNTIF(INDIRECT(IFERROR(LEFT($F488,FIND(" ",$F488)-1),$F488)), $G488)&gt;0, "OK", "ERROR")))</f>
        <v>OK</v>
      </c>
    </row>
    <row r="489" spans="1:32" s="240" customFormat="1">
      <c r="A489" s="48"/>
      <c r="B489" s="31"/>
      <c r="C489" s="48"/>
      <c r="D489" s="47"/>
      <c r="E489" s="47"/>
      <c r="F489" s="31"/>
      <c r="G489" s="31"/>
      <c r="H489" s="31"/>
      <c r="I489" s="47"/>
      <c r="J489" s="31"/>
      <c r="K489" s="47"/>
      <c r="L489" s="47"/>
      <c r="M489" s="47"/>
      <c r="N489" s="31"/>
      <c r="O489" s="47"/>
      <c r="P489" s="31"/>
      <c r="Q489" s="31"/>
      <c r="R489" s="31"/>
      <c r="S489" s="31"/>
      <c r="T489" s="270">
        <f t="shared" si="56"/>
        <v>0</v>
      </c>
      <c r="U489" s="270">
        <f t="shared" si="57"/>
        <v>0</v>
      </c>
      <c r="V489" s="31"/>
      <c r="X489" s="240" t="str">
        <f t="shared" si="58"/>
        <v>OK</v>
      </c>
      <c r="Y489" s="240" t="str">
        <f t="shared" si="59"/>
        <v>OK</v>
      </c>
      <c r="Z489" s="240" t="str">
        <f t="shared" si="60"/>
        <v>OK</v>
      </c>
      <c r="AA489" s="240" t="str" cm="1">
        <f t="array" ref="AA489">IF(OR(AND(J489="Not accepted",N489:O489&lt;&gt;"",$S489=""),AND(J489="Accepted",S489="")),"ERROR","OK")</f>
        <v>OK</v>
      </c>
      <c r="AB489" s="240" t="str">
        <f t="shared" si="61"/>
        <v>OK</v>
      </c>
      <c r="AC489" s="240" t="str" cm="1">
        <f t="array" ref="AC489">IF(AND(F489:H489&lt;&gt;"",I489=""),"ERROR","OK")</f>
        <v>OK</v>
      </c>
      <c r="AD489" s="240" t="str">
        <f t="shared" si="62"/>
        <v>OK</v>
      </c>
      <c r="AE489" s="240" t="str">
        <f t="shared" si="63"/>
        <v>OK</v>
      </c>
      <c r="AF489" s="240" t="str" cm="1">
        <f t="array" aca="1" ref="AF489" ca="1" xml:space="preserve">
IF(AND($G489&lt;&gt;"",$F489=""),"ERROR",
IF(OR($F489:$G489="",AND($G489="",$F489&lt;&gt;"")),"OK",
IF(COUNTIF(INDIRECT(IFERROR(LEFT($F489,FIND(" ",$F489)-1),$F489)), $G489)&gt;0, "OK", "ERROR")))</f>
        <v>OK</v>
      </c>
    </row>
    <row r="490" spans="1:32" s="240" customFormat="1">
      <c r="A490" s="48"/>
      <c r="B490" s="31"/>
      <c r="C490" s="48"/>
      <c r="D490" s="47"/>
      <c r="E490" s="47"/>
      <c r="F490" s="31"/>
      <c r="G490" s="31"/>
      <c r="H490" s="31"/>
      <c r="I490" s="47"/>
      <c r="J490" s="31"/>
      <c r="K490" s="47"/>
      <c r="L490" s="47"/>
      <c r="M490" s="47"/>
      <c r="N490" s="31"/>
      <c r="O490" s="47"/>
      <c r="P490" s="31"/>
      <c r="Q490" s="31"/>
      <c r="R490" s="31"/>
      <c r="S490" s="31"/>
      <c r="T490" s="270">
        <f t="shared" si="56"/>
        <v>0</v>
      </c>
      <c r="U490" s="270">
        <f t="shared" si="57"/>
        <v>0</v>
      </c>
      <c r="V490" s="31"/>
      <c r="X490" s="240" t="str">
        <f t="shared" si="58"/>
        <v>OK</v>
      </c>
      <c r="Y490" s="240" t="str">
        <f t="shared" si="59"/>
        <v>OK</v>
      </c>
      <c r="Z490" s="240" t="str">
        <f t="shared" si="60"/>
        <v>OK</v>
      </c>
      <c r="AA490" s="240" t="str" cm="1">
        <f t="array" ref="AA490">IF(OR(AND(J490="Not accepted",N490:O490&lt;&gt;"",$S490=""),AND(J490="Accepted",S490="")),"ERROR","OK")</f>
        <v>OK</v>
      </c>
      <c r="AB490" s="240" t="str">
        <f t="shared" si="61"/>
        <v>OK</v>
      </c>
      <c r="AC490" s="240" t="str" cm="1">
        <f t="array" ref="AC490">IF(AND(F490:H490&lt;&gt;"",I490=""),"ERROR","OK")</f>
        <v>OK</v>
      </c>
      <c r="AD490" s="240" t="str">
        <f t="shared" si="62"/>
        <v>OK</v>
      </c>
      <c r="AE490" s="240" t="str">
        <f t="shared" si="63"/>
        <v>OK</v>
      </c>
      <c r="AF490" s="240" t="str" cm="1">
        <f t="array" aca="1" ref="AF490" ca="1" xml:space="preserve">
IF(AND($G490&lt;&gt;"",$F490=""),"ERROR",
IF(OR($F490:$G490="",AND($G490="",$F490&lt;&gt;"")),"OK",
IF(COUNTIF(INDIRECT(IFERROR(LEFT($F490,FIND(" ",$F490)-1),$F490)), $G490)&gt;0, "OK", "ERROR")))</f>
        <v>OK</v>
      </c>
    </row>
    <row r="491" spans="1:32" s="240" customFormat="1">
      <c r="A491" s="48"/>
      <c r="B491" s="31"/>
      <c r="C491" s="48"/>
      <c r="D491" s="47"/>
      <c r="E491" s="47"/>
      <c r="F491" s="31"/>
      <c r="G491" s="31"/>
      <c r="H491" s="31"/>
      <c r="I491" s="47"/>
      <c r="J491" s="31"/>
      <c r="K491" s="47"/>
      <c r="L491" s="47"/>
      <c r="M491" s="47"/>
      <c r="N491" s="31"/>
      <c r="O491" s="47"/>
      <c r="P491" s="31"/>
      <c r="Q491" s="31"/>
      <c r="R491" s="31"/>
      <c r="S491" s="31"/>
      <c r="T491" s="270">
        <f t="shared" si="56"/>
        <v>0</v>
      </c>
      <c r="U491" s="270">
        <f t="shared" si="57"/>
        <v>0</v>
      </c>
      <c r="V491" s="31"/>
      <c r="X491" s="240" t="str">
        <f t="shared" si="58"/>
        <v>OK</v>
      </c>
      <c r="Y491" s="240" t="str">
        <f t="shared" si="59"/>
        <v>OK</v>
      </c>
      <c r="Z491" s="240" t="str">
        <f t="shared" si="60"/>
        <v>OK</v>
      </c>
      <c r="AA491" s="240" t="str" cm="1">
        <f t="array" ref="AA491">IF(OR(AND(J491="Not accepted",N491:O491&lt;&gt;"",$S491=""),AND(J491="Accepted",S491="")),"ERROR","OK")</f>
        <v>OK</v>
      </c>
      <c r="AB491" s="240" t="str">
        <f t="shared" si="61"/>
        <v>OK</v>
      </c>
      <c r="AC491" s="240" t="str" cm="1">
        <f t="array" ref="AC491">IF(AND(F491:H491&lt;&gt;"",I491=""),"ERROR","OK")</f>
        <v>OK</v>
      </c>
      <c r="AD491" s="240" t="str">
        <f t="shared" si="62"/>
        <v>OK</v>
      </c>
      <c r="AE491" s="240" t="str">
        <f t="shared" si="63"/>
        <v>OK</v>
      </c>
      <c r="AF491" s="240" t="str" cm="1">
        <f t="array" aca="1" ref="AF491" ca="1" xml:space="preserve">
IF(AND($G491&lt;&gt;"",$F491=""),"ERROR",
IF(OR($F491:$G491="",AND($G491="",$F491&lt;&gt;"")),"OK",
IF(COUNTIF(INDIRECT(IFERROR(LEFT($F491,FIND(" ",$F491)-1),$F491)), $G491)&gt;0, "OK", "ERROR")))</f>
        <v>OK</v>
      </c>
    </row>
    <row r="492" spans="1:32" s="240" customFormat="1">
      <c r="A492" s="48"/>
      <c r="B492" s="31"/>
      <c r="C492" s="48"/>
      <c r="D492" s="47"/>
      <c r="E492" s="47"/>
      <c r="F492" s="31"/>
      <c r="G492" s="31"/>
      <c r="H492" s="31"/>
      <c r="I492" s="47"/>
      <c r="J492" s="31"/>
      <c r="K492" s="47"/>
      <c r="L492" s="47"/>
      <c r="M492" s="47"/>
      <c r="N492" s="31"/>
      <c r="O492" s="47"/>
      <c r="P492" s="31"/>
      <c r="Q492" s="31"/>
      <c r="R492" s="31"/>
      <c r="S492" s="31"/>
      <c r="T492" s="270">
        <f t="shared" si="56"/>
        <v>0</v>
      </c>
      <c r="U492" s="270">
        <f t="shared" si="57"/>
        <v>0</v>
      </c>
      <c r="V492" s="31"/>
      <c r="X492" s="240" t="str">
        <f t="shared" si="58"/>
        <v>OK</v>
      </c>
      <c r="Y492" s="240" t="str">
        <f t="shared" si="59"/>
        <v>OK</v>
      </c>
      <c r="Z492" s="240" t="str">
        <f t="shared" si="60"/>
        <v>OK</v>
      </c>
      <c r="AA492" s="240" t="str" cm="1">
        <f t="array" ref="AA492">IF(OR(AND(J492="Not accepted",N492:O492&lt;&gt;"",$S492=""),AND(J492="Accepted",S492="")),"ERROR","OK")</f>
        <v>OK</v>
      </c>
      <c r="AB492" s="240" t="str">
        <f t="shared" si="61"/>
        <v>OK</v>
      </c>
      <c r="AC492" s="240" t="str" cm="1">
        <f t="array" ref="AC492">IF(AND(F492:H492&lt;&gt;"",I492=""),"ERROR","OK")</f>
        <v>OK</v>
      </c>
      <c r="AD492" s="240" t="str">
        <f t="shared" si="62"/>
        <v>OK</v>
      </c>
      <c r="AE492" s="240" t="str">
        <f t="shared" si="63"/>
        <v>OK</v>
      </c>
      <c r="AF492" s="240" t="str" cm="1">
        <f t="array" aca="1" ref="AF492" ca="1" xml:space="preserve">
IF(AND($G492&lt;&gt;"",$F492=""),"ERROR",
IF(OR($F492:$G492="",AND($G492="",$F492&lt;&gt;"")),"OK",
IF(COUNTIF(INDIRECT(IFERROR(LEFT($F492,FIND(" ",$F492)-1),$F492)), $G492)&gt;0, "OK", "ERROR")))</f>
        <v>OK</v>
      </c>
    </row>
    <row r="493" spans="1:32" s="240" customFormat="1">
      <c r="A493" s="48"/>
      <c r="B493" s="31"/>
      <c r="C493" s="48"/>
      <c r="D493" s="47"/>
      <c r="E493" s="47"/>
      <c r="F493" s="31"/>
      <c r="G493" s="31"/>
      <c r="H493" s="31"/>
      <c r="I493" s="47"/>
      <c r="J493" s="31"/>
      <c r="K493" s="47"/>
      <c r="L493" s="47"/>
      <c r="M493" s="47"/>
      <c r="N493" s="31"/>
      <c r="O493" s="47"/>
      <c r="P493" s="31"/>
      <c r="Q493" s="31"/>
      <c r="R493" s="31"/>
      <c r="S493" s="31"/>
      <c r="T493" s="270">
        <f t="shared" si="56"/>
        <v>0</v>
      </c>
      <c r="U493" s="270">
        <f t="shared" si="57"/>
        <v>0</v>
      </c>
      <c r="V493" s="31"/>
      <c r="X493" s="240" t="str">
        <f t="shared" si="58"/>
        <v>OK</v>
      </c>
      <c r="Y493" s="240" t="str">
        <f t="shared" si="59"/>
        <v>OK</v>
      </c>
      <c r="Z493" s="240" t="str">
        <f t="shared" si="60"/>
        <v>OK</v>
      </c>
      <c r="AA493" s="240" t="str" cm="1">
        <f t="array" ref="AA493">IF(OR(AND(J493="Not accepted",N493:O493&lt;&gt;"",$S493=""),AND(J493="Accepted",S493="")),"ERROR","OK")</f>
        <v>OK</v>
      </c>
      <c r="AB493" s="240" t="str">
        <f t="shared" si="61"/>
        <v>OK</v>
      </c>
      <c r="AC493" s="240" t="str" cm="1">
        <f t="array" ref="AC493">IF(AND(F493:H493&lt;&gt;"",I493=""),"ERROR","OK")</f>
        <v>OK</v>
      </c>
      <c r="AD493" s="240" t="str">
        <f t="shared" si="62"/>
        <v>OK</v>
      </c>
      <c r="AE493" s="240" t="str">
        <f t="shared" si="63"/>
        <v>OK</v>
      </c>
      <c r="AF493" s="240" t="str" cm="1">
        <f t="array" aca="1" ref="AF493" ca="1" xml:space="preserve">
IF(AND($G493&lt;&gt;"",$F493=""),"ERROR",
IF(OR($F493:$G493="",AND($G493="",$F493&lt;&gt;"")),"OK",
IF(COUNTIF(INDIRECT(IFERROR(LEFT($F493,FIND(" ",$F493)-1),$F493)), $G493)&gt;0, "OK", "ERROR")))</f>
        <v>OK</v>
      </c>
    </row>
    <row r="494" spans="1:32" s="240" customFormat="1">
      <c r="A494" s="48"/>
      <c r="B494" s="31"/>
      <c r="C494" s="48"/>
      <c r="D494" s="47"/>
      <c r="E494" s="47"/>
      <c r="F494" s="31"/>
      <c r="G494" s="31"/>
      <c r="H494" s="31"/>
      <c r="I494" s="47"/>
      <c r="J494" s="31"/>
      <c r="K494" s="47"/>
      <c r="L494" s="47"/>
      <c r="M494" s="47"/>
      <c r="N494" s="31"/>
      <c r="O494" s="47"/>
      <c r="P494" s="31"/>
      <c r="Q494" s="31"/>
      <c r="R494" s="31"/>
      <c r="S494" s="31"/>
      <c r="T494" s="270">
        <f t="shared" si="56"/>
        <v>0</v>
      </c>
      <c r="U494" s="270">
        <f t="shared" si="57"/>
        <v>0</v>
      </c>
      <c r="V494" s="31"/>
      <c r="X494" s="240" t="str">
        <f t="shared" si="58"/>
        <v>OK</v>
      </c>
      <c r="Y494" s="240" t="str">
        <f t="shared" si="59"/>
        <v>OK</v>
      </c>
      <c r="Z494" s="240" t="str">
        <f t="shared" si="60"/>
        <v>OK</v>
      </c>
      <c r="AA494" s="240" t="str" cm="1">
        <f t="array" ref="AA494">IF(OR(AND(J494="Not accepted",N494:O494&lt;&gt;"",$S494=""),AND(J494="Accepted",S494="")),"ERROR","OK")</f>
        <v>OK</v>
      </c>
      <c r="AB494" s="240" t="str">
        <f t="shared" si="61"/>
        <v>OK</v>
      </c>
      <c r="AC494" s="240" t="str" cm="1">
        <f t="array" ref="AC494">IF(AND(F494:H494&lt;&gt;"",I494=""),"ERROR","OK")</f>
        <v>OK</v>
      </c>
      <c r="AD494" s="240" t="str">
        <f t="shared" si="62"/>
        <v>OK</v>
      </c>
      <c r="AE494" s="240" t="str">
        <f t="shared" si="63"/>
        <v>OK</v>
      </c>
      <c r="AF494" s="240" t="str" cm="1">
        <f t="array" aca="1" ref="AF494" ca="1" xml:space="preserve">
IF(AND($G494&lt;&gt;"",$F494=""),"ERROR",
IF(OR($F494:$G494="",AND($G494="",$F494&lt;&gt;"")),"OK",
IF(COUNTIF(INDIRECT(IFERROR(LEFT($F494,FIND(" ",$F494)-1),$F494)), $G494)&gt;0, "OK", "ERROR")))</f>
        <v>OK</v>
      </c>
    </row>
    <row r="495" spans="1:32" s="240" customFormat="1">
      <c r="A495" s="48"/>
      <c r="B495" s="31"/>
      <c r="C495" s="48"/>
      <c r="D495" s="47"/>
      <c r="E495" s="47"/>
      <c r="F495" s="31"/>
      <c r="G495" s="31"/>
      <c r="H495" s="31"/>
      <c r="I495" s="47"/>
      <c r="J495" s="31"/>
      <c r="K495" s="47"/>
      <c r="L495" s="47"/>
      <c r="M495" s="47"/>
      <c r="N495" s="31"/>
      <c r="O495" s="47"/>
      <c r="P495" s="31"/>
      <c r="Q495" s="31"/>
      <c r="R495" s="31"/>
      <c r="S495" s="31"/>
      <c r="T495" s="270">
        <f t="shared" si="56"/>
        <v>0</v>
      </c>
      <c r="U495" s="270">
        <f t="shared" si="57"/>
        <v>0</v>
      </c>
      <c r="V495" s="31"/>
      <c r="X495" s="240" t="str">
        <f t="shared" si="58"/>
        <v>OK</v>
      </c>
      <c r="Y495" s="240" t="str">
        <f t="shared" si="59"/>
        <v>OK</v>
      </c>
      <c r="Z495" s="240" t="str">
        <f t="shared" si="60"/>
        <v>OK</v>
      </c>
      <c r="AA495" s="240" t="str" cm="1">
        <f t="array" ref="AA495">IF(OR(AND(J495="Not accepted",N495:O495&lt;&gt;"",$S495=""),AND(J495="Accepted",S495="")),"ERROR","OK")</f>
        <v>OK</v>
      </c>
      <c r="AB495" s="240" t="str">
        <f t="shared" si="61"/>
        <v>OK</v>
      </c>
      <c r="AC495" s="240" t="str" cm="1">
        <f t="array" ref="AC495">IF(AND(F495:H495&lt;&gt;"",I495=""),"ERROR","OK")</f>
        <v>OK</v>
      </c>
      <c r="AD495" s="240" t="str">
        <f t="shared" si="62"/>
        <v>OK</v>
      </c>
      <c r="AE495" s="240" t="str">
        <f t="shared" si="63"/>
        <v>OK</v>
      </c>
      <c r="AF495" s="240" t="str" cm="1">
        <f t="array" aca="1" ref="AF495" ca="1" xml:space="preserve">
IF(AND($G495&lt;&gt;"",$F495=""),"ERROR",
IF(OR($F495:$G495="",AND($G495="",$F495&lt;&gt;"")),"OK",
IF(COUNTIF(INDIRECT(IFERROR(LEFT($F495,FIND(" ",$F495)-1),$F495)), $G495)&gt;0, "OK", "ERROR")))</f>
        <v>OK</v>
      </c>
    </row>
    <row r="496" spans="1:32" s="240" customFormat="1">
      <c r="A496" s="48"/>
      <c r="B496" s="31"/>
      <c r="C496" s="48"/>
      <c r="D496" s="47"/>
      <c r="E496" s="47"/>
      <c r="F496" s="31"/>
      <c r="G496" s="31"/>
      <c r="H496" s="31"/>
      <c r="I496" s="47"/>
      <c r="J496" s="31"/>
      <c r="K496" s="47"/>
      <c r="L496" s="47"/>
      <c r="M496" s="47"/>
      <c r="N496" s="31"/>
      <c r="O496" s="47"/>
      <c r="P496" s="31"/>
      <c r="Q496" s="31"/>
      <c r="R496" s="31"/>
      <c r="S496" s="31"/>
      <c r="T496" s="270">
        <f t="shared" si="56"/>
        <v>0</v>
      </c>
      <c r="U496" s="270">
        <f t="shared" si="57"/>
        <v>0</v>
      </c>
      <c r="V496" s="31"/>
      <c r="X496" s="240" t="str">
        <f t="shared" si="58"/>
        <v>OK</v>
      </c>
      <c r="Y496" s="240" t="str">
        <f t="shared" si="59"/>
        <v>OK</v>
      </c>
      <c r="Z496" s="240" t="str">
        <f t="shared" si="60"/>
        <v>OK</v>
      </c>
      <c r="AA496" s="240" t="str" cm="1">
        <f t="array" ref="AA496">IF(OR(AND(J496="Not accepted",N496:O496&lt;&gt;"",$S496=""),AND(J496="Accepted",S496="")),"ERROR","OK")</f>
        <v>OK</v>
      </c>
      <c r="AB496" s="240" t="str">
        <f t="shared" si="61"/>
        <v>OK</v>
      </c>
      <c r="AC496" s="240" t="str" cm="1">
        <f t="array" ref="AC496">IF(AND(F496:H496&lt;&gt;"",I496=""),"ERROR","OK")</f>
        <v>OK</v>
      </c>
      <c r="AD496" s="240" t="str">
        <f t="shared" si="62"/>
        <v>OK</v>
      </c>
      <c r="AE496" s="240" t="str">
        <f t="shared" si="63"/>
        <v>OK</v>
      </c>
      <c r="AF496" s="240" t="str" cm="1">
        <f t="array" aca="1" ref="AF496" ca="1" xml:space="preserve">
IF(AND($G496&lt;&gt;"",$F496=""),"ERROR",
IF(OR($F496:$G496="",AND($G496="",$F496&lt;&gt;"")),"OK",
IF(COUNTIF(INDIRECT(IFERROR(LEFT($F496,FIND(" ",$F496)-1),$F496)), $G496)&gt;0, "OK", "ERROR")))</f>
        <v>OK</v>
      </c>
    </row>
    <row r="497" spans="1:32" s="240" customFormat="1">
      <c r="A497" s="48"/>
      <c r="B497" s="31"/>
      <c r="C497" s="48"/>
      <c r="D497" s="47"/>
      <c r="E497" s="47"/>
      <c r="F497" s="31"/>
      <c r="G497" s="31"/>
      <c r="H497" s="31"/>
      <c r="I497" s="47"/>
      <c r="J497" s="31"/>
      <c r="K497" s="47"/>
      <c r="L497" s="47"/>
      <c r="M497" s="47"/>
      <c r="N497" s="31"/>
      <c r="O497" s="47"/>
      <c r="P497" s="31"/>
      <c r="Q497" s="31"/>
      <c r="R497" s="31"/>
      <c r="S497" s="31"/>
      <c r="T497" s="270">
        <f t="shared" si="56"/>
        <v>0</v>
      </c>
      <c r="U497" s="270">
        <f t="shared" si="57"/>
        <v>0</v>
      </c>
      <c r="V497" s="31"/>
      <c r="X497" s="240" t="str">
        <f t="shared" si="58"/>
        <v>OK</v>
      </c>
      <c r="Y497" s="240" t="str">
        <f t="shared" si="59"/>
        <v>OK</v>
      </c>
      <c r="Z497" s="240" t="str">
        <f t="shared" si="60"/>
        <v>OK</v>
      </c>
      <c r="AA497" s="240" t="str" cm="1">
        <f t="array" ref="AA497">IF(OR(AND(J497="Not accepted",N497:O497&lt;&gt;"",$S497=""),AND(J497="Accepted",S497="")),"ERROR","OK")</f>
        <v>OK</v>
      </c>
      <c r="AB497" s="240" t="str">
        <f t="shared" si="61"/>
        <v>OK</v>
      </c>
      <c r="AC497" s="240" t="str" cm="1">
        <f t="array" ref="AC497">IF(AND(F497:H497&lt;&gt;"",I497=""),"ERROR","OK")</f>
        <v>OK</v>
      </c>
      <c r="AD497" s="240" t="str">
        <f t="shared" si="62"/>
        <v>OK</v>
      </c>
      <c r="AE497" s="240" t="str">
        <f t="shared" si="63"/>
        <v>OK</v>
      </c>
      <c r="AF497" s="240" t="str" cm="1">
        <f t="array" aca="1" ref="AF497" ca="1" xml:space="preserve">
IF(AND($G497&lt;&gt;"",$F497=""),"ERROR",
IF(OR($F497:$G497="",AND($G497="",$F497&lt;&gt;"")),"OK",
IF(COUNTIF(INDIRECT(IFERROR(LEFT($F497,FIND(" ",$F497)-1),$F497)), $G497)&gt;0, "OK", "ERROR")))</f>
        <v>OK</v>
      </c>
    </row>
    <row r="498" spans="1:32" s="240" customFormat="1">
      <c r="A498" s="48"/>
      <c r="B498" s="31"/>
      <c r="C498" s="48"/>
      <c r="D498" s="47"/>
      <c r="E498" s="47"/>
      <c r="F498" s="31"/>
      <c r="G498" s="31"/>
      <c r="H498" s="31"/>
      <c r="I498" s="47"/>
      <c r="J498" s="31"/>
      <c r="K498" s="47"/>
      <c r="L498" s="47"/>
      <c r="M498" s="47"/>
      <c r="N498" s="31"/>
      <c r="O498" s="47"/>
      <c r="P498" s="31"/>
      <c r="Q498" s="31"/>
      <c r="R498" s="31"/>
      <c r="S498" s="31"/>
      <c r="T498" s="270">
        <f t="shared" si="56"/>
        <v>0</v>
      </c>
      <c r="U498" s="270">
        <f t="shared" si="57"/>
        <v>0</v>
      </c>
      <c r="V498" s="31"/>
      <c r="X498" s="240" t="str">
        <f t="shared" si="58"/>
        <v>OK</v>
      </c>
      <c r="Y498" s="240" t="str">
        <f t="shared" si="59"/>
        <v>OK</v>
      </c>
      <c r="Z498" s="240" t="str">
        <f t="shared" si="60"/>
        <v>OK</v>
      </c>
      <c r="AA498" s="240" t="str" cm="1">
        <f t="array" ref="AA498">IF(OR(AND(J498="Not accepted",N498:O498&lt;&gt;"",$S498=""),AND(J498="Accepted",S498="")),"ERROR","OK")</f>
        <v>OK</v>
      </c>
      <c r="AB498" s="240" t="str">
        <f t="shared" si="61"/>
        <v>OK</v>
      </c>
      <c r="AC498" s="240" t="str" cm="1">
        <f t="array" ref="AC498">IF(AND(F498:H498&lt;&gt;"",I498=""),"ERROR","OK")</f>
        <v>OK</v>
      </c>
      <c r="AD498" s="240" t="str">
        <f t="shared" si="62"/>
        <v>OK</v>
      </c>
      <c r="AE498" s="240" t="str">
        <f t="shared" si="63"/>
        <v>OK</v>
      </c>
      <c r="AF498" s="240" t="str" cm="1">
        <f t="array" aca="1" ref="AF498" ca="1" xml:space="preserve">
IF(AND($G498&lt;&gt;"",$F498=""),"ERROR",
IF(OR($F498:$G498="",AND($G498="",$F498&lt;&gt;"")),"OK",
IF(COUNTIF(INDIRECT(IFERROR(LEFT($F498,FIND(" ",$F498)-1),$F498)), $G498)&gt;0, "OK", "ERROR")))</f>
        <v>OK</v>
      </c>
    </row>
    <row r="499" spans="1:32" s="240" customFormat="1">
      <c r="A499" s="48"/>
      <c r="B499" s="31"/>
      <c r="C499" s="48"/>
      <c r="D499" s="47"/>
      <c r="E499" s="47"/>
      <c r="F499" s="31"/>
      <c r="G499" s="31"/>
      <c r="H499" s="31"/>
      <c r="I499" s="47"/>
      <c r="J499" s="31"/>
      <c r="K499" s="47"/>
      <c r="L499" s="47"/>
      <c r="M499" s="47"/>
      <c r="N499" s="31"/>
      <c r="O499" s="47"/>
      <c r="P499" s="31"/>
      <c r="Q499" s="31"/>
      <c r="R499" s="31"/>
      <c r="S499" s="31"/>
      <c r="T499" s="270">
        <f t="shared" si="56"/>
        <v>0</v>
      </c>
      <c r="U499" s="270">
        <f t="shared" si="57"/>
        <v>0</v>
      </c>
      <c r="V499" s="31"/>
      <c r="X499" s="240" t="str">
        <f t="shared" si="58"/>
        <v>OK</v>
      </c>
      <c r="Y499" s="240" t="str">
        <f t="shared" si="59"/>
        <v>OK</v>
      </c>
      <c r="Z499" s="240" t="str">
        <f t="shared" si="60"/>
        <v>OK</v>
      </c>
      <c r="AA499" s="240" t="str" cm="1">
        <f t="array" ref="AA499">IF(OR(AND(J499="Not accepted",N499:O499&lt;&gt;"",$S499=""),AND(J499="Accepted",S499="")),"ERROR","OK")</f>
        <v>OK</v>
      </c>
      <c r="AB499" s="240" t="str">
        <f t="shared" si="61"/>
        <v>OK</v>
      </c>
      <c r="AC499" s="240" t="str" cm="1">
        <f t="array" ref="AC499">IF(AND(F499:H499&lt;&gt;"",I499=""),"ERROR","OK")</f>
        <v>OK</v>
      </c>
      <c r="AD499" s="240" t="str">
        <f t="shared" si="62"/>
        <v>OK</v>
      </c>
      <c r="AE499" s="240" t="str">
        <f t="shared" si="63"/>
        <v>OK</v>
      </c>
      <c r="AF499" s="240" t="str" cm="1">
        <f t="array" aca="1" ref="AF499" ca="1" xml:space="preserve">
IF(AND($G499&lt;&gt;"",$F499=""),"ERROR",
IF(OR($F499:$G499="",AND($G499="",$F499&lt;&gt;"")),"OK",
IF(COUNTIF(INDIRECT(IFERROR(LEFT($F499,FIND(" ",$F499)-1),$F499)), $G499)&gt;0, "OK", "ERROR")))</f>
        <v>OK</v>
      </c>
    </row>
    <row r="500" spans="1:32" s="240" customFormat="1">
      <c r="A500" s="48"/>
      <c r="B500" s="31"/>
      <c r="C500" s="48"/>
      <c r="D500" s="47"/>
      <c r="E500" s="47"/>
      <c r="F500" s="31"/>
      <c r="G500" s="31"/>
      <c r="H500" s="31"/>
      <c r="I500" s="47"/>
      <c r="J500" s="31"/>
      <c r="K500" s="47"/>
      <c r="L500" s="47"/>
      <c r="M500" s="47"/>
      <c r="N500" s="31"/>
      <c r="O500" s="47"/>
      <c r="P500" s="31"/>
      <c r="Q500" s="31"/>
      <c r="R500" s="31"/>
      <c r="S500" s="31"/>
      <c r="T500" s="270">
        <f t="shared" si="56"/>
        <v>0</v>
      </c>
      <c r="U500" s="270">
        <f t="shared" si="57"/>
        <v>0</v>
      </c>
      <c r="V500" s="31"/>
      <c r="X500" s="240" t="str">
        <f t="shared" si="58"/>
        <v>OK</v>
      </c>
      <c r="Y500" s="240" t="str">
        <f t="shared" si="59"/>
        <v>OK</v>
      </c>
      <c r="Z500" s="240" t="str">
        <f t="shared" si="60"/>
        <v>OK</v>
      </c>
      <c r="AA500" s="240" t="str" cm="1">
        <f t="array" ref="AA500">IF(OR(AND(J500="Not accepted",N500:O500&lt;&gt;"",$S500=""),AND(J500="Accepted",S500="")),"ERROR","OK")</f>
        <v>OK</v>
      </c>
      <c r="AB500" s="240" t="str">
        <f t="shared" si="61"/>
        <v>OK</v>
      </c>
      <c r="AC500" s="240" t="str" cm="1">
        <f t="array" ref="AC500">IF(AND(F500:H500&lt;&gt;"",I500=""),"ERROR","OK")</f>
        <v>OK</v>
      </c>
      <c r="AD500" s="240" t="str">
        <f t="shared" si="62"/>
        <v>OK</v>
      </c>
      <c r="AE500" s="240" t="str">
        <f t="shared" si="63"/>
        <v>OK</v>
      </c>
      <c r="AF500" s="240" t="str" cm="1">
        <f t="array" aca="1" ref="AF500" ca="1" xml:space="preserve">
IF(AND($G500&lt;&gt;"",$F500=""),"ERROR",
IF(OR($F500:$G500="",AND($G500="",$F500&lt;&gt;"")),"OK",
IF(COUNTIF(INDIRECT(IFERROR(LEFT($F500,FIND(" ",$F500)-1),$F500)), $G500)&gt;0, "OK", "ERROR")))</f>
        <v>OK</v>
      </c>
    </row>
    <row r="501" spans="1:32" s="240" customFormat="1">
      <c r="A501" s="48"/>
      <c r="B501" s="31"/>
      <c r="C501" s="48"/>
      <c r="D501" s="47"/>
      <c r="E501" s="47"/>
      <c r="F501" s="31"/>
      <c r="G501" s="31"/>
      <c r="H501" s="31"/>
      <c r="I501" s="47"/>
      <c r="J501" s="31"/>
      <c r="K501" s="47"/>
      <c r="L501" s="47"/>
      <c r="M501" s="47"/>
      <c r="N501" s="31"/>
      <c r="O501" s="47"/>
      <c r="P501" s="31"/>
      <c r="Q501" s="31"/>
      <c r="R501" s="31"/>
      <c r="S501" s="31"/>
      <c r="T501" s="270">
        <f t="shared" si="56"/>
        <v>0</v>
      </c>
      <c r="U501" s="270">
        <f t="shared" si="57"/>
        <v>0</v>
      </c>
      <c r="V501" s="31"/>
      <c r="X501" s="240" t="str">
        <f t="shared" si="58"/>
        <v>OK</v>
      </c>
      <c r="Y501" s="240" t="str">
        <f t="shared" si="59"/>
        <v>OK</v>
      </c>
      <c r="Z501" s="240" t="str">
        <f t="shared" si="60"/>
        <v>OK</v>
      </c>
      <c r="AA501" s="240" t="str" cm="1">
        <f t="array" ref="AA501">IF(OR(AND(J501="Not accepted",N501:O501&lt;&gt;"",$S501=""),AND(J501="Accepted",S501="")),"ERROR","OK")</f>
        <v>OK</v>
      </c>
      <c r="AB501" s="240" t="str">
        <f t="shared" si="61"/>
        <v>OK</v>
      </c>
      <c r="AC501" s="240" t="str" cm="1">
        <f t="array" ref="AC501">IF(AND(F501:H501&lt;&gt;"",I501=""),"ERROR","OK")</f>
        <v>OK</v>
      </c>
      <c r="AD501" s="240" t="str">
        <f t="shared" si="62"/>
        <v>OK</v>
      </c>
      <c r="AE501" s="240" t="str">
        <f t="shared" si="63"/>
        <v>OK</v>
      </c>
      <c r="AF501" s="240" t="str" cm="1">
        <f t="array" aca="1" ref="AF501" ca="1" xml:space="preserve">
IF(AND($G501&lt;&gt;"",$F501=""),"ERROR",
IF(OR($F501:$G501="",AND($G501="",$F501&lt;&gt;"")),"OK",
IF(COUNTIF(INDIRECT(IFERROR(LEFT($F501,FIND(" ",$F501)-1),$F501)), $G501)&gt;0, "OK", "ERROR")))</f>
        <v>OK</v>
      </c>
    </row>
    <row r="502" spans="1:32" s="240" customFormat="1">
      <c r="A502" s="48"/>
      <c r="B502" s="31"/>
      <c r="C502" s="48"/>
      <c r="D502" s="47"/>
      <c r="E502" s="47"/>
      <c r="F502" s="31"/>
      <c r="G502" s="31"/>
      <c r="H502" s="31"/>
      <c r="I502" s="47"/>
      <c r="J502" s="31"/>
      <c r="K502" s="47"/>
      <c r="L502" s="47"/>
      <c r="M502" s="47"/>
      <c r="N502" s="31"/>
      <c r="O502" s="47"/>
      <c r="P502" s="31"/>
      <c r="Q502" s="31"/>
      <c r="R502" s="31"/>
      <c r="S502" s="31"/>
      <c r="T502" s="270">
        <f t="shared" si="56"/>
        <v>0</v>
      </c>
      <c r="U502" s="270">
        <f t="shared" si="57"/>
        <v>0</v>
      </c>
      <c r="V502" s="31"/>
      <c r="X502" s="240" t="str">
        <f t="shared" si="58"/>
        <v>OK</v>
      </c>
      <c r="Y502" s="240" t="str">
        <f t="shared" si="59"/>
        <v>OK</v>
      </c>
      <c r="Z502" s="240" t="str">
        <f t="shared" si="60"/>
        <v>OK</v>
      </c>
      <c r="AA502" s="240" t="str" cm="1">
        <f t="array" ref="AA502">IF(OR(AND(J502="Not accepted",N502:O502&lt;&gt;"",$S502=""),AND(J502="Accepted",S502="")),"ERROR","OK")</f>
        <v>OK</v>
      </c>
      <c r="AB502" s="240" t="str">
        <f t="shared" si="61"/>
        <v>OK</v>
      </c>
      <c r="AC502" s="240" t="str" cm="1">
        <f t="array" ref="AC502">IF(AND(F502:H502&lt;&gt;"",I502=""),"ERROR","OK")</f>
        <v>OK</v>
      </c>
      <c r="AD502" s="240" t="str">
        <f t="shared" si="62"/>
        <v>OK</v>
      </c>
      <c r="AE502" s="240" t="str">
        <f t="shared" si="63"/>
        <v>OK</v>
      </c>
      <c r="AF502" s="240" t="str" cm="1">
        <f t="array" aca="1" ref="AF502" ca="1" xml:space="preserve">
IF(AND($G502&lt;&gt;"",$F502=""),"ERROR",
IF(OR($F502:$G502="",AND($G502="",$F502&lt;&gt;"")),"OK",
IF(COUNTIF(INDIRECT(IFERROR(LEFT($F502,FIND(" ",$F502)-1),$F502)), $G502)&gt;0, "OK", "ERROR")))</f>
        <v>OK</v>
      </c>
    </row>
    <row r="503" spans="1:32" s="240" customFormat="1">
      <c r="A503" s="48"/>
      <c r="B503" s="31"/>
      <c r="C503" s="48"/>
      <c r="D503" s="47"/>
      <c r="E503" s="47"/>
      <c r="F503" s="31"/>
      <c r="G503" s="31"/>
      <c r="H503" s="31"/>
      <c r="I503" s="47"/>
      <c r="J503" s="31"/>
      <c r="K503" s="47"/>
      <c r="L503" s="47"/>
      <c r="M503" s="47"/>
      <c r="N503" s="31"/>
      <c r="O503" s="47"/>
      <c r="P503" s="31"/>
      <c r="Q503" s="31"/>
      <c r="R503" s="31"/>
      <c r="S503" s="31"/>
      <c r="T503" s="270">
        <f t="shared" si="56"/>
        <v>0</v>
      </c>
      <c r="U503" s="270">
        <f t="shared" si="57"/>
        <v>0</v>
      </c>
      <c r="V503" s="31"/>
      <c r="X503" s="240" t="str">
        <f t="shared" si="58"/>
        <v>OK</v>
      </c>
      <c r="Y503" s="240" t="str">
        <f t="shared" si="59"/>
        <v>OK</v>
      </c>
      <c r="Z503" s="240" t="str">
        <f t="shared" si="60"/>
        <v>OK</v>
      </c>
      <c r="AA503" s="240" t="str" cm="1">
        <f t="array" ref="AA503">IF(OR(AND(J503="Not accepted",N503:O503&lt;&gt;"",$S503=""),AND(J503="Accepted",S503="")),"ERROR","OK")</f>
        <v>OK</v>
      </c>
      <c r="AB503" s="240" t="str">
        <f t="shared" si="61"/>
        <v>OK</v>
      </c>
      <c r="AC503" s="240" t="str" cm="1">
        <f t="array" ref="AC503">IF(AND(F503:H503&lt;&gt;"",I503=""),"ERROR","OK")</f>
        <v>OK</v>
      </c>
      <c r="AD503" s="240" t="str">
        <f t="shared" si="62"/>
        <v>OK</v>
      </c>
      <c r="AE503" s="240" t="str">
        <f t="shared" si="63"/>
        <v>OK</v>
      </c>
      <c r="AF503" s="240" t="str" cm="1">
        <f t="array" aca="1" ref="AF503" ca="1" xml:space="preserve">
IF(AND($G503&lt;&gt;"",$F503=""),"ERROR",
IF(OR($F503:$G503="",AND($G503="",$F503&lt;&gt;"")),"OK",
IF(COUNTIF(INDIRECT(IFERROR(LEFT($F503,FIND(" ",$F503)-1),$F503)), $G503)&gt;0, "OK", "ERROR")))</f>
        <v>OK</v>
      </c>
    </row>
    <row r="504" spans="1:32" s="240" customFormat="1">
      <c r="A504" s="48"/>
      <c r="B504" s="31"/>
      <c r="C504" s="48"/>
      <c r="D504" s="47"/>
      <c r="E504" s="47"/>
      <c r="F504" s="31"/>
      <c r="G504" s="31"/>
      <c r="H504" s="31"/>
      <c r="I504" s="47"/>
      <c r="J504" s="31"/>
      <c r="K504" s="47"/>
      <c r="L504" s="47"/>
      <c r="M504" s="47"/>
      <c r="N504" s="31"/>
      <c r="O504" s="47"/>
      <c r="P504" s="31"/>
      <c r="Q504" s="31"/>
      <c r="R504" s="31"/>
      <c r="S504" s="31"/>
      <c r="T504" s="270">
        <f t="shared" si="56"/>
        <v>0</v>
      </c>
      <c r="U504" s="270">
        <f t="shared" si="57"/>
        <v>0</v>
      </c>
      <c r="V504" s="31"/>
      <c r="X504" s="240" t="str">
        <f t="shared" si="58"/>
        <v>OK</v>
      </c>
      <c r="Y504" s="240" t="str">
        <f t="shared" si="59"/>
        <v>OK</v>
      </c>
      <c r="Z504" s="240" t="str">
        <f t="shared" si="60"/>
        <v>OK</v>
      </c>
      <c r="AA504" s="240" t="str" cm="1">
        <f t="array" ref="AA504">IF(OR(AND(J504="Not accepted",N504:O504&lt;&gt;"",$S504=""),AND(J504="Accepted",S504="")),"ERROR","OK")</f>
        <v>OK</v>
      </c>
      <c r="AB504" s="240" t="str">
        <f t="shared" si="61"/>
        <v>OK</v>
      </c>
      <c r="AC504" s="240" t="str" cm="1">
        <f t="array" ref="AC504">IF(AND(F504:H504&lt;&gt;"",I504=""),"ERROR","OK")</f>
        <v>OK</v>
      </c>
      <c r="AD504" s="240" t="str">
        <f t="shared" si="62"/>
        <v>OK</v>
      </c>
      <c r="AE504" s="240" t="str">
        <f t="shared" si="63"/>
        <v>OK</v>
      </c>
      <c r="AF504" s="240" t="str" cm="1">
        <f t="array" aca="1" ref="AF504" ca="1" xml:space="preserve">
IF(AND($G504&lt;&gt;"",$F504=""),"ERROR",
IF(OR($F504:$G504="",AND($G504="",$F504&lt;&gt;"")),"OK",
IF(COUNTIF(INDIRECT(IFERROR(LEFT($F504,FIND(" ",$F504)-1),$F504)), $G504)&gt;0, "OK", "ERROR")))</f>
        <v>OK</v>
      </c>
    </row>
    <row r="505" spans="1:32" s="240" customFormat="1">
      <c r="A505" s="48"/>
      <c r="B505" s="31"/>
      <c r="C505" s="48"/>
      <c r="D505" s="47"/>
      <c r="E505" s="47"/>
      <c r="F505" s="31"/>
      <c r="G505" s="31"/>
      <c r="H505" s="31"/>
      <c r="I505" s="47"/>
      <c r="J505" s="31"/>
      <c r="K505" s="47"/>
      <c r="L505" s="47"/>
      <c r="M505" s="47"/>
      <c r="N505" s="31"/>
      <c r="O505" s="47"/>
      <c r="P505" s="31"/>
      <c r="Q505" s="31"/>
      <c r="R505" s="31"/>
      <c r="S505" s="31"/>
      <c r="T505" s="270">
        <f t="shared" si="56"/>
        <v>0</v>
      </c>
      <c r="U505" s="270">
        <f t="shared" si="57"/>
        <v>0</v>
      </c>
      <c r="V505" s="31"/>
      <c r="X505" s="240" t="str">
        <f t="shared" si="58"/>
        <v>OK</v>
      </c>
      <c r="Y505" s="240" t="str">
        <f t="shared" si="59"/>
        <v>OK</v>
      </c>
      <c r="Z505" s="240" t="str">
        <f t="shared" si="60"/>
        <v>OK</v>
      </c>
      <c r="AA505" s="240" t="str" cm="1">
        <f t="array" ref="AA505">IF(OR(AND(J505="Not accepted",N505:O505&lt;&gt;"",$S505=""),AND(J505="Accepted",S505="")),"ERROR","OK")</f>
        <v>OK</v>
      </c>
      <c r="AB505" s="240" t="str">
        <f t="shared" si="61"/>
        <v>OK</v>
      </c>
      <c r="AC505" s="240" t="str" cm="1">
        <f t="array" ref="AC505">IF(AND(F505:H505&lt;&gt;"",I505=""),"ERROR","OK")</f>
        <v>OK</v>
      </c>
      <c r="AD505" s="240" t="str">
        <f t="shared" si="62"/>
        <v>OK</v>
      </c>
      <c r="AE505" s="240" t="str">
        <f t="shared" si="63"/>
        <v>OK</v>
      </c>
      <c r="AF505" s="240" t="str" cm="1">
        <f t="array" aca="1" ref="AF505" ca="1" xml:space="preserve">
IF(AND($G505&lt;&gt;"",$F505=""),"ERROR",
IF(OR($F505:$G505="",AND($G505="",$F505&lt;&gt;"")),"OK",
IF(COUNTIF(INDIRECT(IFERROR(LEFT($F505,FIND(" ",$F505)-1),$F505)), $G505)&gt;0, "OK", "ERROR")))</f>
        <v>OK</v>
      </c>
    </row>
    <row r="506" spans="1:32" s="240" customFormat="1">
      <c r="A506" s="48"/>
      <c r="B506" s="31"/>
      <c r="C506" s="48"/>
      <c r="D506" s="47"/>
      <c r="E506" s="47"/>
      <c r="F506" s="31"/>
      <c r="G506" s="31"/>
      <c r="H506" s="31"/>
      <c r="I506" s="47"/>
      <c r="J506" s="31"/>
      <c r="K506" s="47"/>
      <c r="L506" s="47"/>
      <c r="M506" s="47"/>
      <c r="N506" s="31"/>
      <c r="O506" s="47"/>
      <c r="P506" s="31"/>
      <c r="Q506" s="31"/>
      <c r="R506" s="31"/>
      <c r="S506" s="31"/>
      <c r="T506" s="270">
        <f t="shared" si="56"/>
        <v>0</v>
      </c>
      <c r="U506" s="270">
        <f t="shared" si="57"/>
        <v>0</v>
      </c>
      <c r="V506" s="31"/>
      <c r="X506" s="240" t="str">
        <f t="shared" si="58"/>
        <v>OK</v>
      </c>
      <c r="Y506" s="240" t="str">
        <f t="shared" si="59"/>
        <v>OK</v>
      </c>
      <c r="Z506" s="240" t="str">
        <f t="shared" si="60"/>
        <v>OK</v>
      </c>
      <c r="AA506" s="240" t="str" cm="1">
        <f t="array" ref="AA506">IF(OR(AND(J506="Not accepted",N506:O506&lt;&gt;"",$S506=""),AND(J506="Accepted",S506="")),"ERROR","OK")</f>
        <v>OK</v>
      </c>
      <c r="AB506" s="240" t="str">
        <f t="shared" si="61"/>
        <v>OK</v>
      </c>
      <c r="AC506" s="240" t="str" cm="1">
        <f t="array" ref="AC506">IF(AND(F506:H506&lt;&gt;"",I506=""),"ERROR","OK")</f>
        <v>OK</v>
      </c>
      <c r="AD506" s="240" t="str">
        <f t="shared" si="62"/>
        <v>OK</v>
      </c>
      <c r="AE506" s="240" t="str">
        <f t="shared" si="63"/>
        <v>OK</v>
      </c>
      <c r="AF506" s="240" t="str" cm="1">
        <f t="array" aca="1" ref="AF506" ca="1" xml:space="preserve">
IF(AND($G506&lt;&gt;"",$F506=""),"ERROR",
IF(OR($F506:$G506="",AND($G506="",$F506&lt;&gt;"")),"OK",
IF(COUNTIF(INDIRECT(IFERROR(LEFT($F506,FIND(" ",$F506)-1),$F506)), $G506)&gt;0, "OK", "ERROR")))</f>
        <v>OK</v>
      </c>
    </row>
    <row r="507" spans="1:32" s="240" customFormat="1">
      <c r="A507" s="48"/>
      <c r="B507" s="31"/>
      <c r="C507" s="48"/>
      <c r="D507" s="47"/>
      <c r="E507" s="47"/>
      <c r="F507" s="31"/>
      <c r="G507" s="31"/>
      <c r="H507" s="31"/>
      <c r="I507" s="47"/>
      <c r="J507" s="31"/>
      <c r="K507" s="47"/>
      <c r="L507" s="47"/>
      <c r="M507" s="47"/>
      <c r="N507" s="31"/>
      <c r="O507" s="47"/>
      <c r="P507" s="31"/>
      <c r="Q507" s="31"/>
      <c r="R507" s="31"/>
      <c r="S507" s="31"/>
      <c r="T507" s="270">
        <f t="shared" si="56"/>
        <v>0</v>
      </c>
      <c r="U507" s="270">
        <f t="shared" si="57"/>
        <v>0</v>
      </c>
      <c r="V507" s="31"/>
      <c r="X507" s="240" t="str">
        <f t="shared" si="58"/>
        <v>OK</v>
      </c>
      <c r="Y507" s="240" t="str">
        <f t="shared" si="59"/>
        <v>OK</v>
      </c>
      <c r="Z507" s="240" t="str">
        <f t="shared" si="60"/>
        <v>OK</v>
      </c>
      <c r="AA507" s="240" t="str" cm="1">
        <f t="array" ref="AA507">IF(OR(AND(J507="Not accepted",N507:O507&lt;&gt;"",$S507=""),AND(J507="Accepted",S507="")),"ERROR","OK")</f>
        <v>OK</v>
      </c>
      <c r="AB507" s="240" t="str">
        <f t="shared" si="61"/>
        <v>OK</v>
      </c>
      <c r="AC507" s="240" t="str" cm="1">
        <f t="array" ref="AC507">IF(AND(F507:H507&lt;&gt;"",I507=""),"ERROR","OK")</f>
        <v>OK</v>
      </c>
      <c r="AD507" s="240" t="str">
        <f t="shared" si="62"/>
        <v>OK</v>
      </c>
      <c r="AE507" s="240" t="str">
        <f t="shared" si="63"/>
        <v>OK</v>
      </c>
      <c r="AF507" s="240" t="str" cm="1">
        <f t="array" aca="1" ref="AF507" ca="1" xml:space="preserve">
IF(AND($G507&lt;&gt;"",$F507=""),"ERROR",
IF(OR($F507:$G507="",AND($G507="",$F507&lt;&gt;"")),"OK",
IF(COUNTIF(INDIRECT(IFERROR(LEFT($F507,FIND(" ",$F507)-1),$F507)), $G507)&gt;0, "OK", "ERROR")))</f>
        <v>OK</v>
      </c>
    </row>
    <row r="508" spans="1:32" s="240" customFormat="1">
      <c r="A508" s="48"/>
      <c r="B508" s="31"/>
      <c r="C508" s="48"/>
      <c r="D508" s="47"/>
      <c r="E508" s="47"/>
      <c r="F508" s="31"/>
      <c r="G508" s="31"/>
      <c r="H508" s="31"/>
      <c r="I508" s="47"/>
      <c r="J508" s="31"/>
      <c r="K508" s="47"/>
      <c r="L508" s="47"/>
      <c r="M508" s="47"/>
      <c r="N508" s="31"/>
      <c r="O508" s="47"/>
      <c r="P508" s="31"/>
      <c r="Q508" s="31"/>
      <c r="R508" s="31"/>
      <c r="S508" s="31"/>
      <c r="T508" s="270">
        <f t="shared" si="56"/>
        <v>0</v>
      </c>
      <c r="U508" s="270">
        <f t="shared" si="57"/>
        <v>0</v>
      </c>
      <c r="V508" s="31"/>
      <c r="X508" s="240" t="str">
        <f t="shared" si="58"/>
        <v>OK</v>
      </c>
      <c r="Y508" s="240" t="str">
        <f t="shared" si="59"/>
        <v>OK</v>
      </c>
      <c r="Z508" s="240" t="str">
        <f t="shared" si="60"/>
        <v>OK</v>
      </c>
      <c r="AA508" s="240" t="str" cm="1">
        <f t="array" ref="AA508">IF(OR(AND(J508="Not accepted",N508:O508&lt;&gt;"",$S508=""),AND(J508="Accepted",S508="")),"ERROR","OK")</f>
        <v>OK</v>
      </c>
      <c r="AB508" s="240" t="str">
        <f t="shared" si="61"/>
        <v>OK</v>
      </c>
      <c r="AC508" s="240" t="str" cm="1">
        <f t="array" ref="AC508">IF(AND(F508:H508&lt;&gt;"",I508=""),"ERROR","OK")</f>
        <v>OK</v>
      </c>
      <c r="AD508" s="240" t="str">
        <f t="shared" si="62"/>
        <v>OK</v>
      </c>
      <c r="AE508" s="240" t="str">
        <f t="shared" si="63"/>
        <v>OK</v>
      </c>
      <c r="AF508" s="240" t="str" cm="1">
        <f t="array" aca="1" ref="AF508" ca="1" xml:space="preserve">
IF(AND($G508&lt;&gt;"",$F508=""),"ERROR",
IF(OR($F508:$G508="",AND($G508="",$F508&lt;&gt;"")),"OK",
IF(COUNTIF(INDIRECT(IFERROR(LEFT($F508,FIND(" ",$F508)-1),$F508)), $G508)&gt;0, "OK", "ERROR")))</f>
        <v>OK</v>
      </c>
    </row>
    <row r="509" spans="1:32" s="240" customFormat="1">
      <c r="A509" s="48"/>
      <c r="B509" s="31"/>
      <c r="C509" s="48"/>
      <c r="D509" s="47"/>
      <c r="E509" s="47"/>
      <c r="F509" s="31"/>
      <c r="G509" s="31"/>
      <c r="H509" s="31"/>
      <c r="I509" s="47"/>
      <c r="J509" s="31"/>
      <c r="K509" s="47"/>
      <c r="L509" s="47"/>
      <c r="M509" s="47"/>
      <c r="N509" s="31"/>
      <c r="O509" s="47"/>
      <c r="P509" s="31"/>
      <c r="Q509" s="31"/>
      <c r="R509" s="31"/>
      <c r="S509" s="31"/>
      <c r="T509" s="270">
        <f t="shared" si="56"/>
        <v>0</v>
      </c>
      <c r="U509" s="270">
        <f t="shared" si="57"/>
        <v>0</v>
      </c>
      <c r="V509" s="31"/>
      <c r="X509" s="240" t="str">
        <f t="shared" si="58"/>
        <v>OK</v>
      </c>
      <c r="Y509" s="240" t="str">
        <f t="shared" si="59"/>
        <v>OK</v>
      </c>
      <c r="Z509" s="240" t="str">
        <f t="shared" si="60"/>
        <v>OK</v>
      </c>
      <c r="AA509" s="240" t="str" cm="1">
        <f t="array" ref="AA509">IF(OR(AND(J509="Not accepted",N509:O509&lt;&gt;"",$S509=""),AND(J509="Accepted",S509="")),"ERROR","OK")</f>
        <v>OK</v>
      </c>
      <c r="AB509" s="240" t="str">
        <f t="shared" si="61"/>
        <v>OK</v>
      </c>
      <c r="AC509" s="240" t="str" cm="1">
        <f t="array" ref="AC509">IF(AND(F509:H509&lt;&gt;"",I509=""),"ERROR","OK")</f>
        <v>OK</v>
      </c>
      <c r="AD509" s="240" t="str">
        <f t="shared" si="62"/>
        <v>OK</v>
      </c>
      <c r="AE509" s="240" t="str">
        <f t="shared" si="63"/>
        <v>OK</v>
      </c>
      <c r="AF509" s="240" t="str" cm="1">
        <f t="array" aca="1" ref="AF509" ca="1" xml:space="preserve">
IF(AND($G509&lt;&gt;"",$F509=""),"ERROR",
IF(OR($F509:$G509="",AND($G509="",$F509&lt;&gt;"")),"OK",
IF(COUNTIF(INDIRECT(IFERROR(LEFT($F509,FIND(" ",$F509)-1),$F509)), $G509)&gt;0, "OK", "ERROR")))</f>
        <v>OK</v>
      </c>
    </row>
    <row r="510" spans="1:32" s="240" customFormat="1">
      <c r="A510" s="48"/>
      <c r="B510" s="31"/>
      <c r="C510" s="48"/>
      <c r="D510" s="47"/>
      <c r="E510" s="47"/>
      <c r="F510" s="31"/>
      <c r="G510" s="31"/>
      <c r="H510" s="31"/>
      <c r="I510" s="47"/>
      <c r="J510" s="31"/>
      <c r="K510" s="47"/>
      <c r="L510" s="47"/>
      <c r="M510" s="47"/>
      <c r="N510" s="31"/>
      <c r="O510" s="47"/>
      <c r="P510" s="31"/>
      <c r="Q510" s="31"/>
      <c r="R510" s="31"/>
      <c r="S510" s="31"/>
      <c r="T510" s="270">
        <f t="shared" si="56"/>
        <v>0</v>
      </c>
      <c r="U510" s="270">
        <f t="shared" si="57"/>
        <v>0</v>
      </c>
      <c r="V510" s="31"/>
      <c r="X510" s="240" t="str">
        <f t="shared" si="58"/>
        <v>OK</v>
      </c>
      <c r="Y510" s="240" t="str">
        <f t="shared" si="59"/>
        <v>OK</v>
      </c>
      <c r="Z510" s="240" t="str">
        <f t="shared" si="60"/>
        <v>OK</v>
      </c>
      <c r="AA510" s="240" t="str" cm="1">
        <f t="array" ref="AA510">IF(OR(AND(J510="Not accepted",N510:O510&lt;&gt;"",$S510=""),AND(J510="Accepted",S510="")),"ERROR","OK")</f>
        <v>OK</v>
      </c>
      <c r="AB510" s="240" t="str">
        <f t="shared" si="61"/>
        <v>OK</v>
      </c>
      <c r="AC510" s="240" t="str" cm="1">
        <f t="array" ref="AC510">IF(AND(F510:H510&lt;&gt;"",I510=""),"ERROR","OK")</f>
        <v>OK</v>
      </c>
      <c r="AD510" s="240" t="str">
        <f t="shared" si="62"/>
        <v>OK</v>
      </c>
      <c r="AE510" s="240" t="str">
        <f t="shared" si="63"/>
        <v>OK</v>
      </c>
      <c r="AF510" s="240" t="str" cm="1">
        <f t="array" aca="1" ref="AF510" ca="1" xml:space="preserve">
IF(AND($G510&lt;&gt;"",$F510=""),"ERROR",
IF(OR($F510:$G510="",AND($G510="",$F510&lt;&gt;"")),"OK",
IF(COUNTIF(INDIRECT(IFERROR(LEFT($F510,FIND(" ",$F510)-1),$F510)), $G510)&gt;0, "OK", "ERROR")))</f>
        <v>OK</v>
      </c>
    </row>
    <row r="511" spans="1:32" s="240" customFormat="1">
      <c r="A511" s="48"/>
      <c r="B511" s="31"/>
      <c r="C511" s="48"/>
      <c r="D511" s="47"/>
      <c r="E511" s="47"/>
      <c r="F511" s="31"/>
      <c r="G511" s="31"/>
      <c r="H511" s="31"/>
      <c r="I511" s="47"/>
      <c r="J511" s="31"/>
      <c r="K511" s="47"/>
      <c r="L511" s="47"/>
      <c r="M511" s="47"/>
      <c r="N511" s="31"/>
      <c r="O511" s="47"/>
      <c r="P511" s="31"/>
      <c r="Q511" s="31"/>
      <c r="R511" s="31"/>
      <c r="S511" s="31"/>
      <c r="T511" s="270">
        <f t="shared" si="56"/>
        <v>0</v>
      </c>
      <c r="U511" s="270">
        <f t="shared" si="57"/>
        <v>0</v>
      </c>
      <c r="V511" s="31"/>
      <c r="X511" s="240" t="str">
        <f t="shared" si="58"/>
        <v>OK</v>
      </c>
      <c r="Y511" s="240" t="str">
        <f t="shared" si="59"/>
        <v>OK</v>
      </c>
      <c r="Z511" s="240" t="str">
        <f t="shared" si="60"/>
        <v>OK</v>
      </c>
      <c r="AA511" s="240" t="str" cm="1">
        <f t="array" ref="AA511">IF(OR(AND(J511="Not accepted",N511:O511&lt;&gt;"",$S511=""),AND(J511="Accepted",S511="")),"ERROR","OK")</f>
        <v>OK</v>
      </c>
      <c r="AB511" s="240" t="str">
        <f t="shared" si="61"/>
        <v>OK</v>
      </c>
      <c r="AC511" s="240" t="str" cm="1">
        <f t="array" ref="AC511">IF(AND(F511:H511&lt;&gt;"",I511=""),"ERROR","OK")</f>
        <v>OK</v>
      </c>
      <c r="AD511" s="240" t="str">
        <f t="shared" si="62"/>
        <v>OK</v>
      </c>
      <c r="AE511" s="240" t="str">
        <f t="shared" si="63"/>
        <v>OK</v>
      </c>
      <c r="AF511" s="240" t="str" cm="1">
        <f t="array" aca="1" ref="AF511" ca="1" xml:space="preserve">
IF(AND($G511&lt;&gt;"",$F511=""),"ERROR",
IF(OR($F511:$G511="",AND($G511="",$F511&lt;&gt;"")),"OK",
IF(COUNTIF(INDIRECT(IFERROR(LEFT($F511,FIND(" ",$F511)-1),$F511)), $G511)&gt;0, "OK", "ERROR")))</f>
        <v>OK</v>
      </c>
    </row>
    <row r="512" spans="1:32" s="240" customFormat="1">
      <c r="A512" s="48"/>
      <c r="B512" s="31"/>
      <c r="C512" s="48"/>
      <c r="D512" s="47"/>
      <c r="E512" s="47"/>
      <c r="F512" s="31"/>
      <c r="G512" s="31"/>
      <c r="H512" s="31"/>
      <c r="I512" s="47"/>
      <c r="J512" s="31"/>
      <c r="K512" s="47"/>
      <c r="L512" s="47"/>
      <c r="M512" s="47"/>
      <c r="N512" s="31"/>
      <c r="O512" s="47"/>
      <c r="P512" s="31"/>
      <c r="Q512" s="31"/>
      <c r="R512" s="31"/>
      <c r="S512" s="31"/>
      <c r="T512" s="270">
        <f t="shared" si="56"/>
        <v>0</v>
      </c>
      <c r="U512" s="270">
        <f t="shared" si="57"/>
        <v>0</v>
      </c>
      <c r="V512" s="31"/>
      <c r="X512" s="240" t="str">
        <f t="shared" si="58"/>
        <v>OK</v>
      </c>
      <c r="Y512" s="240" t="str">
        <f t="shared" si="59"/>
        <v>OK</v>
      </c>
      <c r="Z512" s="240" t="str">
        <f t="shared" si="60"/>
        <v>OK</v>
      </c>
      <c r="AA512" s="240" t="str" cm="1">
        <f t="array" ref="AA512">IF(OR(AND(J512="Not accepted",N512:O512&lt;&gt;"",$S512=""),AND(J512="Accepted",S512="")),"ERROR","OK")</f>
        <v>OK</v>
      </c>
      <c r="AB512" s="240" t="str">
        <f t="shared" si="61"/>
        <v>OK</v>
      </c>
      <c r="AC512" s="240" t="str" cm="1">
        <f t="array" ref="AC512">IF(AND(F512:H512&lt;&gt;"",I512=""),"ERROR","OK")</f>
        <v>OK</v>
      </c>
      <c r="AD512" s="240" t="str">
        <f t="shared" si="62"/>
        <v>OK</v>
      </c>
      <c r="AE512" s="240" t="str">
        <f t="shared" si="63"/>
        <v>OK</v>
      </c>
      <c r="AF512" s="240" t="str" cm="1">
        <f t="array" aca="1" ref="AF512" ca="1" xml:space="preserve">
IF(AND($G512&lt;&gt;"",$F512=""),"ERROR",
IF(OR($F512:$G512="",AND($G512="",$F512&lt;&gt;"")),"OK",
IF(COUNTIF(INDIRECT(IFERROR(LEFT($F512,FIND(" ",$F512)-1),$F512)), $G512)&gt;0, "OK", "ERROR")))</f>
        <v>OK</v>
      </c>
    </row>
    <row r="513" spans="1:32" s="240" customFormat="1">
      <c r="A513" s="48"/>
      <c r="B513" s="31"/>
      <c r="C513" s="48"/>
      <c r="D513" s="47"/>
      <c r="E513" s="47"/>
      <c r="F513" s="31"/>
      <c r="G513" s="31"/>
      <c r="H513" s="31"/>
      <c r="I513" s="47"/>
      <c r="J513" s="31"/>
      <c r="K513" s="47"/>
      <c r="L513" s="47"/>
      <c r="M513" s="47"/>
      <c r="N513" s="31"/>
      <c r="O513" s="47"/>
      <c r="P513" s="31"/>
      <c r="Q513" s="31"/>
      <c r="R513" s="31"/>
      <c r="S513" s="31"/>
      <c r="T513" s="270">
        <f t="shared" si="56"/>
        <v>0</v>
      </c>
      <c r="U513" s="270">
        <f t="shared" si="57"/>
        <v>0</v>
      </c>
      <c r="V513" s="31"/>
      <c r="X513" s="240" t="str">
        <f t="shared" si="58"/>
        <v>OK</v>
      </c>
      <c r="Y513" s="240" t="str">
        <f t="shared" si="59"/>
        <v>OK</v>
      </c>
      <c r="Z513" s="240" t="str">
        <f t="shared" si="60"/>
        <v>OK</v>
      </c>
      <c r="AA513" s="240" t="str" cm="1">
        <f t="array" ref="AA513">IF(OR(AND(J513="Not accepted",N513:O513&lt;&gt;"",$S513=""),AND(J513="Accepted",S513="")),"ERROR","OK")</f>
        <v>OK</v>
      </c>
      <c r="AB513" s="240" t="str">
        <f t="shared" si="61"/>
        <v>OK</v>
      </c>
      <c r="AC513" s="240" t="str" cm="1">
        <f t="array" ref="AC513">IF(AND(F513:H513&lt;&gt;"",I513=""),"ERROR","OK")</f>
        <v>OK</v>
      </c>
      <c r="AD513" s="240" t="str">
        <f t="shared" si="62"/>
        <v>OK</v>
      </c>
      <c r="AE513" s="240" t="str">
        <f t="shared" si="63"/>
        <v>OK</v>
      </c>
      <c r="AF513" s="240" t="str" cm="1">
        <f t="array" aca="1" ref="AF513" ca="1" xml:space="preserve">
IF(AND($G513&lt;&gt;"",$F513=""),"ERROR",
IF(OR($F513:$G513="",AND($G513="",$F513&lt;&gt;"")),"OK",
IF(COUNTIF(INDIRECT(IFERROR(LEFT($F513,FIND(" ",$F513)-1),$F513)), $G513)&gt;0, "OK", "ERROR")))</f>
        <v>OK</v>
      </c>
    </row>
    <row r="514" spans="1:32" s="240" customFormat="1">
      <c r="A514" s="48"/>
      <c r="B514" s="31"/>
      <c r="C514" s="48"/>
      <c r="D514" s="47"/>
      <c r="E514" s="47"/>
      <c r="F514" s="31"/>
      <c r="G514" s="31"/>
      <c r="H514" s="31"/>
      <c r="I514" s="47"/>
      <c r="J514" s="31"/>
      <c r="K514" s="47"/>
      <c r="L514" s="47"/>
      <c r="M514" s="47"/>
      <c r="N514" s="31"/>
      <c r="O514" s="47"/>
      <c r="P514" s="31"/>
      <c r="Q514" s="31"/>
      <c r="R514" s="31"/>
      <c r="S514" s="31"/>
      <c r="T514" s="270">
        <f t="shared" si="56"/>
        <v>0</v>
      </c>
      <c r="U514" s="270">
        <f t="shared" si="57"/>
        <v>0</v>
      </c>
      <c r="V514" s="31"/>
      <c r="X514" s="240" t="str">
        <f t="shared" si="58"/>
        <v>OK</v>
      </c>
      <c r="Y514" s="240" t="str">
        <f t="shared" si="59"/>
        <v>OK</v>
      </c>
      <c r="Z514" s="240" t="str">
        <f t="shared" si="60"/>
        <v>OK</v>
      </c>
      <c r="AA514" s="240" t="str" cm="1">
        <f t="array" ref="AA514">IF(OR(AND(J514="Not accepted",N514:O514&lt;&gt;"",$S514=""),AND(J514="Accepted",S514="")),"ERROR","OK")</f>
        <v>OK</v>
      </c>
      <c r="AB514" s="240" t="str">
        <f t="shared" si="61"/>
        <v>OK</v>
      </c>
      <c r="AC514" s="240" t="str" cm="1">
        <f t="array" ref="AC514">IF(AND(F514:H514&lt;&gt;"",I514=""),"ERROR","OK")</f>
        <v>OK</v>
      </c>
      <c r="AD514" s="240" t="str">
        <f t="shared" si="62"/>
        <v>OK</v>
      </c>
      <c r="AE514" s="240" t="str">
        <f t="shared" si="63"/>
        <v>OK</v>
      </c>
      <c r="AF514" s="240" t="str" cm="1">
        <f t="array" aca="1" ref="AF514" ca="1" xml:space="preserve">
IF(AND($G514&lt;&gt;"",$F514=""),"ERROR",
IF(OR($F514:$G514="",AND($G514="",$F514&lt;&gt;"")),"OK",
IF(COUNTIF(INDIRECT(IFERROR(LEFT($F514,FIND(" ",$F514)-1),$F514)), $G514)&gt;0, "OK", "ERROR")))</f>
        <v>OK</v>
      </c>
    </row>
    <row r="515" spans="1:32" s="240" customFormat="1">
      <c r="A515" s="48"/>
      <c r="B515" s="31"/>
      <c r="C515" s="48"/>
      <c r="D515" s="47"/>
      <c r="E515" s="47"/>
      <c r="F515" s="31"/>
      <c r="G515" s="31"/>
      <c r="H515" s="31"/>
      <c r="I515" s="47"/>
      <c r="J515" s="31"/>
      <c r="K515" s="47"/>
      <c r="L515" s="47"/>
      <c r="M515" s="47"/>
      <c r="N515" s="31"/>
      <c r="O515" s="47"/>
      <c r="P515" s="31"/>
      <c r="Q515" s="31"/>
      <c r="R515" s="31"/>
      <c r="S515" s="31"/>
      <c r="T515" s="270">
        <f t="shared" si="56"/>
        <v>0</v>
      </c>
      <c r="U515" s="270">
        <f t="shared" si="57"/>
        <v>0</v>
      </c>
      <c r="V515" s="31"/>
      <c r="X515" s="240" t="str">
        <f t="shared" si="58"/>
        <v>OK</v>
      </c>
      <c r="Y515" s="240" t="str">
        <f t="shared" si="59"/>
        <v>OK</v>
      </c>
      <c r="Z515" s="240" t="str">
        <f t="shared" si="60"/>
        <v>OK</v>
      </c>
      <c r="AA515" s="240" t="str" cm="1">
        <f t="array" ref="AA515">IF(OR(AND(J515="Not accepted",N515:O515&lt;&gt;"",$S515=""),AND(J515="Accepted",S515="")),"ERROR","OK")</f>
        <v>OK</v>
      </c>
      <c r="AB515" s="240" t="str">
        <f t="shared" si="61"/>
        <v>OK</v>
      </c>
      <c r="AC515" s="240" t="str" cm="1">
        <f t="array" ref="AC515">IF(AND(F515:H515&lt;&gt;"",I515=""),"ERROR","OK")</f>
        <v>OK</v>
      </c>
      <c r="AD515" s="240" t="str">
        <f t="shared" si="62"/>
        <v>OK</v>
      </c>
      <c r="AE515" s="240" t="str">
        <f t="shared" si="63"/>
        <v>OK</v>
      </c>
      <c r="AF515" s="240" t="str" cm="1">
        <f t="array" aca="1" ref="AF515" ca="1" xml:space="preserve">
IF(AND($G515&lt;&gt;"",$F515=""),"ERROR",
IF(OR($F515:$G515="",AND($G515="",$F515&lt;&gt;"")),"OK",
IF(COUNTIF(INDIRECT(IFERROR(LEFT($F515,FIND(" ",$F515)-1),$F515)), $G515)&gt;0, "OK", "ERROR")))</f>
        <v>OK</v>
      </c>
    </row>
    <row r="516" spans="1:32" s="240" customFormat="1">
      <c r="A516" s="48"/>
      <c r="B516" s="31"/>
      <c r="C516" s="48"/>
      <c r="D516" s="47"/>
      <c r="E516" s="47"/>
      <c r="F516" s="31"/>
      <c r="G516" s="31"/>
      <c r="H516" s="31"/>
      <c r="I516" s="47"/>
      <c r="J516" s="31"/>
      <c r="K516" s="47"/>
      <c r="L516" s="47"/>
      <c r="M516" s="47"/>
      <c r="N516" s="31"/>
      <c r="O516" s="47"/>
      <c r="P516" s="31"/>
      <c r="Q516" s="31"/>
      <c r="R516" s="31"/>
      <c r="S516" s="31"/>
      <c r="T516" s="270">
        <f t="shared" si="56"/>
        <v>0</v>
      </c>
      <c r="U516" s="270">
        <f t="shared" si="57"/>
        <v>0</v>
      </c>
      <c r="V516" s="31"/>
      <c r="X516" s="240" t="str">
        <f t="shared" si="58"/>
        <v>OK</v>
      </c>
      <c r="Y516" s="240" t="str">
        <f t="shared" si="59"/>
        <v>OK</v>
      </c>
      <c r="Z516" s="240" t="str">
        <f t="shared" si="60"/>
        <v>OK</v>
      </c>
      <c r="AA516" s="240" t="str" cm="1">
        <f t="array" ref="AA516">IF(OR(AND(J516="Not accepted",N516:O516&lt;&gt;"",$S516=""),AND(J516="Accepted",S516="")),"ERROR","OK")</f>
        <v>OK</v>
      </c>
      <c r="AB516" s="240" t="str">
        <f t="shared" si="61"/>
        <v>OK</v>
      </c>
      <c r="AC516" s="240" t="str" cm="1">
        <f t="array" ref="AC516">IF(AND(F516:H516&lt;&gt;"",I516=""),"ERROR","OK")</f>
        <v>OK</v>
      </c>
      <c r="AD516" s="240" t="str">
        <f t="shared" si="62"/>
        <v>OK</v>
      </c>
      <c r="AE516" s="240" t="str">
        <f t="shared" si="63"/>
        <v>OK</v>
      </c>
      <c r="AF516" s="240" t="str" cm="1">
        <f t="array" aca="1" ref="AF516" ca="1" xml:space="preserve">
IF(AND($G516&lt;&gt;"",$F516=""),"ERROR",
IF(OR($F516:$G516="",AND($G516="",$F516&lt;&gt;"")),"OK",
IF(COUNTIF(INDIRECT(IFERROR(LEFT($F516,FIND(" ",$F516)-1),$F516)), $G516)&gt;0, "OK", "ERROR")))</f>
        <v>OK</v>
      </c>
    </row>
    <row r="517" spans="1:32" s="240" customFormat="1">
      <c r="A517" s="48"/>
      <c r="B517" s="31"/>
      <c r="C517" s="48"/>
      <c r="D517" s="47"/>
      <c r="E517" s="47"/>
      <c r="F517" s="31"/>
      <c r="G517" s="31"/>
      <c r="H517" s="31"/>
      <c r="I517" s="47"/>
      <c r="J517" s="31"/>
      <c r="K517" s="47"/>
      <c r="L517" s="47"/>
      <c r="M517" s="47"/>
      <c r="N517" s="31"/>
      <c r="O517" s="47"/>
      <c r="P517" s="31"/>
      <c r="Q517" s="31"/>
      <c r="R517" s="31"/>
      <c r="S517" s="31"/>
      <c r="T517" s="270">
        <f t="shared" ref="T517:T580" si="64">IF(OR($J517="Accepted",ISBLANK($J517)),IF(AND($G517="Legacy Data",$Q517="Legacy Data"),1,IF(OR($G517="Legacy Data",$Q517="Legacy Data"),1,0)),IF(OR($N517="Agree with original translator",ISBLANK($N517)),IF(AND($G517="Source Text Data",$Q517="Legacy Data"),1,IF(AND($G517="Legacy Data",$Q517="Legacy Data"),1,IF($Q517="Legacy Data",1,0))),IF(AND($G517="Legacy Data",$Q517="Legacy Data"),1,IF(OR($Q517="Legacy Data",ISBLANK($Q517)),IF($G517&lt;&gt;"Legacy Data",IF(AND($G517="Source Text Data",$Q517="Legacy Data"),1,0),1),0))))</f>
        <v>0</v>
      </c>
      <c r="U517" s="270">
        <f t="shared" ref="U517:U580" si="65">IF(OR($J517="Accepted",ISBLANK($J517)),IF(AND($G517="Source Text Data",$Q517="Source Text Data"),1,IF(OR($G517="Source Text Data",$Q517="Source Text Data"),1,0)),IF(OR($N517="Agree with original translator",ISBLANK($N517)),IF(AND($G517="Legacy Data",$Q517="Source Text Data"),1,IF(AND($G517="Source Text Data",$Q517="Source Text Data"),1,IF($Q517="Source Text Data",1,0))),IF(AND($G517="Source Text Data",$Q517="Source Text Data"),1,IF(OR($Q517="Source Text Data",ISBLANK($Q517)),IF($G517&lt;&gt;"Source Text Data",IF(AND($G517="Legacy Data",$Q517="Source Text Data"),1,0),1),0))))</f>
        <v>0</v>
      </c>
      <c r="V517" s="31"/>
      <c r="X517" s="240" t="str">
        <f t="shared" ref="X517:X580" si="66">IF(AND(COUNTBLANK($F517:$H517)&lt;&gt;COLUMNS($F517:$H517),COUNTA($F517:$H517)&lt;&gt;COLUMNS($F517:$H517)),"ERROR","OK")</f>
        <v>OK</v>
      </c>
      <c r="Y517" s="240" t="str">
        <f t="shared" ref="Y517:Y580" si="67">IF(AND($J517="Not accepted",$K517=""),"ERROR","OK")</f>
        <v>OK</v>
      </c>
      <c r="Z517" s="240" t="str">
        <f t="shared" ref="Z517:Z580" si="68">IF(AND($F517&lt;&gt;"",$J517=""),"ERROR","OK")</f>
        <v>OK</v>
      </c>
      <c r="AA517" s="240" t="str" cm="1">
        <f t="array" ref="AA517">IF(OR(AND(J517="Not accepted",N517:O517&lt;&gt;"",$S517=""),AND(J517="Accepted",S517="")),"ERROR","OK")</f>
        <v>OK</v>
      </c>
      <c r="AB517" s="240" t="str">
        <f t="shared" ref="AB517:AB580" si="69">IF(AND($S517="Not Implemented",$V517=""),"ERROR","OK")</f>
        <v>OK</v>
      </c>
      <c r="AC517" s="240" t="str" cm="1">
        <f t="array" ref="AC517">IF(AND(F517:H517&lt;&gt;"",I517=""),"ERROR","OK")</f>
        <v>OK</v>
      </c>
      <c r="AD517" s="240" t="str">
        <f t="shared" ref="AD517:AD580" si="70">IF(AND($N517="",$J517="Not accepted",$K517&lt;&gt;""),"ERROR","OK")</f>
        <v>OK</v>
      </c>
      <c r="AE517" s="240" t="str">
        <f t="shared" ref="AE517:AE580" si="71">IF(AND($O517="",$N517&lt;&gt;""),"ERROR","OK")</f>
        <v>OK</v>
      </c>
      <c r="AF517" s="240" t="str" cm="1">
        <f t="array" aca="1" ref="AF517" ca="1" xml:space="preserve">
IF(AND($G517&lt;&gt;"",$F517=""),"ERROR",
IF(OR($F517:$G517="",AND($G517="",$F517&lt;&gt;"")),"OK",
IF(COUNTIF(INDIRECT(IFERROR(LEFT($F517,FIND(" ",$F517)-1),$F517)), $G517)&gt;0, "OK", "ERROR")))</f>
        <v>OK</v>
      </c>
    </row>
    <row r="518" spans="1:32" s="240" customFormat="1">
      <c r="A518" s="48"/>
      <c r="B518" s="31"/>
      <c r="C518" s="48"/>
      <c r="D518" s="47"/>
      <c r="E518" s="47"/>
      <c r="F518" s="31"/>
      <c r="G518" s="31"/>
      <c r="H518" s="31"/>
      <c r="I518" s="47"/>
      <c r="J518" s="31"/>
      <c r="K518" s="47"/>
      <c r="L518" s="47"/>
      <c r="M518" s="47"/>
      <c r="N518" s="31"/>
      <c r="O518" s="47"/>
      <c r="P518" s="31"/>
      <c r="Q518" s="31"/>
      <c r="R518" s="31"/>
      <c r="S518" s="31"/>
      <c r="T518" s="270">
        <f t="shared" si="64"/>
        <v>0</v>
      </c>
      <c r="U518" s="270">
        <f t="shared" si="65"/>
        <v>0</v>
      </c>
      <c r="V518" s="31"/>
      <c r="X518" s="240" t="str">
        <f t="shared" si="66"/>
        <v>OK</v>
      </c>
      <c r="Y518" s="240" t="str">
        <f t="shared" si="67"/>
        <v>OK</v>
      </c>
      <c r="Z518" s="240" t="str">
        <f t="shared" si="68"/>
        <v>OK</v>
      </c>
      <c r="AA518" s="240" t="str" cm="1">
        <f t="array" ref="AA518">IF(OR(AND(J518="Not accepted",N518:O518&lt;&gt;"",$S518=""),AND(J518="Accepted",S518="")),"ERROR","OK")</f>
        <v>OK</v>
      </c>
      <c r="AB518" s="240" t="str">
        <f t="shared" si="69"/>
        <v>OK</v>
      </c>
      <c r="AC518" s="240" t="str" cm="1">
        <f t="array" ref="AC518">IF(AND(F518:H518&lt;&gt;"",I518=""),"ERROR","OK")</f>
        <v>OK</v>
      </c>
      <c r="AD518" s="240" t="str">
        <f t="shared" si="70"/>
        <v>OK</v>
      </c>
      <c r="AE518" s="240" t="str">
        <f t="shared" si="71"/>
        <v>OK</v>
      </c>
      <c r="AF518" s="240" t="str" cm="1">
        <f t="array" aca="1" ref="AF518" ca="1" xml:space="preserve">
IF(AND($G518&lt;&gt;"",$F518=""),"ERROR",
IF(OR($F518:$G518="",AND($G518="",$F518&lt;&gt;"")),"OK",
IF(COUNTIF(INDIRECT(IFERROR(LEFT($F518,FIND(" ",$F518)-1),$F518)), $G518)&gt;0, "OK", "ERROR")))</f>
        <v>OK</v>
      </c>
    </row>
    <row r="519" spans="1:32" s="240" customFormat="1">
      <c r="A519" s="48"/>
      <c r="B519" s="31"/>
      <c r="C519" s="48"/>
      <c r="D519" s="47"/>
      <c r="E519" s="47"/>
      <c r="F519" s="31"/>
      <c r="G519" s="31"/>
      <c r="H519" s="31"/>
      <c r="I519" s="47"/>
      <c r="J519" s="31"/>
      <c r="K519" s="47"/>
      <c r="L519" s="47"/>
      <c r="M519" s="47"/>
      <c r="N519" s="31"/>
      <c r="O519" s="47"/>
      <c r="P519" s="31"/>
      <c r="Q519" s="31"/>
      <c r="R519" s="31"/>
      <c r="S519" s="31"/>
      <c r="T519" s="270">
        <f t="shared" si="64"/>
        <v>0</v>
      </c>
      <c r="U519" s="270">
        <f t="shared" si="65"/>
        <v>0</v>
      </c>
      <c r="V519" s="31"/>
      <c r="X519" s="240" t="str">
        <f t="shared" si="66"/>
        <v>OK</v>
      </c>
      <c r="Y519" s="240" t="str">
        <f t="shared" si="67"/>
        <v>OK</v>
      </c>
      <c r="Z519" s="240" t="str">
        <f t="shared" si="68"/>
        <v>OK</v>
      </c>
      <c r="AA519" s="240" t="str" cm="1">
        <f t="array" ref="AA519">IF(OR(AND(J519="Not accepted",N519:O519&lt;&gt;"",$S519=""),AND(J519="Accepted",S519="")),"ERROR","OK")</f>
        <v>OK</v>
      </c>
      <c r="AB519" s="240" t="str">
        <f t="shared" si="69"/>
        <v>OK</v>
      </c>
      <c r="AC519" s="240" t="str" cm="1">
        <f t="array" ref="AC519">IF(AND(F519:H519&lt;&gt;"",I519=""),"ERROR","OK")</f>
        <v>OK</v>
      </c>
      <c r="AD519" s="240" t="str">
        <f t="shared" si="70"/>
        <v>OK</v>
      </c>
      <c r="AE519" s="240" t="str">
        <f t="shared" si="71"/>
        <v>OK</v>
      </c>
      <c r="AF519" s="240" t="str" cm="1">
        <f t="array" aca="1" ref="AF519" ca="1" xml:space="preserve">
IF(AND($G519&lt;&gt;"",$F519=""),"ERROR",
IF(OR($F519:$G519="",AND($G519="",$F519&lt;&gt;"")),"OK",
IF(COUNTIF(INDIRECT(IFERROR(LEFT($F519,FIND(" ",$F519)-1),$F519)), $G519)&gt;0, "OK", "ERROR")))</f>
        <v>OK</v>
      </c>
    </row>
    <row r="520" spans="1:32" s="240" customFormat="1">
      <c r="A520" s="48"/>
      <c r="B520" s="31"/>
      <c r="C520" s="48"/>
      <c r="D520" s="47"/>
      <c r="E520" s="47"/>
      <c r="F520" s="31"/>
      <c r="G520" s="31"/>
      <c r="H520" s="31"/>
      <c r="I520" s="47"/>
      <c r="J520" s="31"/>
      <c r="K520" s="47"/>
      <c r="L520" s="47"/>
      <c r="M520" s="47"/>
      <c r="N520" s="31"/>
      <c r="O520" s="47"/>
      <c r="P520" s="31"/>
      <c r="Q520" s="31"/>
      <c r="R520" s="31"/>
      <c r="S520" s="31"/>
      <c r="T520" s="270">
        <f t="shared" si="64"/>
        <v>0</v>
      </c>
      <c r="U520" s="270">
        <f t="shared" si="65"/>
        <v>0</v>
      </c>
      <c r="V520" s="31"/>
      <c r="X520" s="240" t="str">
        <f t="shared" si="66"/>
        <v>OK</v>
      </c>
      <c r="Y520" s="240" t="str">
        <f t="shared" si="67"/>
        <v>OK</v>
      </c>
      <c r="Z520" s="240" t="str">
        <f t="shared" si="68"/>
        <v>OK</v>
      </c>
      <c r="AA520" s="240" t="str" cm="1">
        <f t="array" ref="AA520">IF(OR(AND(J520="Not accepted",N520:O520&lt;&gt;"",$S520=""),AND(J520="Accepted",S520="")),"ERROR","OK")</f>
        <v>OK</v>
      </c>
      <c r="AB520" s="240" t="str">
        <f t="shared" si="69"/>
        <v>OK</v>
      </c>
      <c r="AC520" s="240" t="str" cm="1">
        <f t="array" ref="AC520">IF(AND(F520:H520&lt;&gt;"",I520=""),"ERROR","OK")</f>
        <v>OK</v>
      </c>
      <c r="AD520" s="240" t="str">
        <f t="shared" si="70"/>
        <v>OK</v>
      </c>
      <c r="AE520" s="240" t="str">
        <f t="shared" si="71"/>
        <v>OK</v>
      </c>
      <c r="AF520" s="240" t="str" cm="1">
        <f t="array" aca="1" ref="AF520" ca="1" xml:space="preserve">
IF(AND($G520&lt;&gt;"",$F520=""),"ERROR",
IF(OR($F520:$G520="",AND($G520="",$F520&lt;&gt;"")),"OK",
IF(COUNTIF(INDIRECT(IFERROR(LEFT($F520,FIND(" ",$F520)-1),$F520)), $G520)&gt;0, "OK", "ERROR")))</f>
        <v>OK</v>
      </c>
    </row>
    <row r="521" spans="1:32" s="240" customFormat="1">
      <c r="A521" s="48"/>
      <c r="B521" s="31"/>
      <c r="C521" s="48"/>
      <c r="D521" s="47"/>
      <c r="E521" s="47"/>
      <c r="F521" s="31"/>
      <c r="G521" s="31"/>
      <c r="H521" s="31"/>
      <c r="I521" s="47"/>
      <c r="J521" s="31"/>
      <c r="K521" s="47"/>
      <c r="L521" s="47"/>
      <c r="M521" s="47"/>
      <c r="N521" s="31"/>
      <c r="O521" s="47"/>
      <c r="P521" s="31"/>
      <c r="Q521" s="31"/>
      <c r="R521" s="31"/>
      <c r="S521" s="31"/>
      <c r="T521" s="270">
        <f t="shared" si="64"/>
        <v>0</v>
      </c>
      <c r="U521" s="270">
        <f t="shared" si="65"/>
        <v>0</v>
      </c>
      <c r="V521" s="31"/>
      <c r="X521" s="240" t="str">
        <f t="shared" si="66"/>
        <v>OK</v>
      </c>
      <c r="Y521" s="240" t="str">
        <f t="shared" si="67"/>
        <v>OK</v>
      </c>
      <c r="Z521" s="240" t="str">
        <f t="shared" si="68"/>
        <v>OK</v>
      </c>
      <c r="AA521" s="240" t="str" cm="1">
        <f t="array" ref="AA521">IF(OR(AND(J521="Not accepted",N521:O521&lt;&gt;"",$S521=""),AND(J521="Accepted",S521="")),"ERROR","OK")</f>
        <v>OK</v>
      </c>
      <c r="AB521" s="240" t="str">
        <f t="shared" si="69"/>
        <v>OK</v>
      </c>
      <c r="AC521" s="240" t="str" cm="1">
        <f t="array" ref="AC521">IF(AND(F521:H521&lt;&gt;"",I521=""),"ERROR","OK")</f>
        <v>OK</v>
      </c>
      <c r="AD521" s="240" t="str">
        <f t="shared" si="70"/>
        <v>OK</v>
      </c>
      <c r="AE521" s="240" t="str">
        <f t="shared" si="71"/>
        <v>OK</v>
      </c>
      <c r="AF521" s="240" t="str" cm="1">
        <f t="array" aca="1" ref="AF521" ca="1" xml:space="preserve">
IF(AND($G521&lt;&gt;"",$F521=""),"ERROR",
IF(OR($F521:$G521="",AND($G521="",$F521&lt;&gt;"")),"OK",
IF(COUNTIF(INDIRECT(IFERROR(LEFT($F521,FIND(" ",$F521)-1),$F521)), $G521)&gt;0, "OK", "ERROR")))</f>
        <v>OK</v>
      </c>
    </row>
    <row r="522" spans="1:32" s="240" customFormat="1">
      <c r="A522" s="48"/>
      <c r="B522" s="31"/>
      <c r="C522" s="48"/>
      <c r="D522" s="47"/>
      <c r="E522" s="47"/>
      <c r="F522" s="31"/>
      <c r="G522" s="31"/>
      <c r="H522" s="31"/>
      <c r="I522" s="47"/>
      <c r="J522" s="31"/>
      <c r="K522" s="47"/>
      <c r="L522" s="47"/>
      <c r="M522" s="47"/>
      <c r="N522" s="31"/>
      <c r="O522" s="47"/>
      <c r="P522" s="31"/>
      <c r="Q522" s="31"/>
      <c r="R522" s="31"/>
      <c r="S522" s="31"/>
      <c r="T522" s="270">
        <f t="shared" si="64"/>
        <v>0</v>
      </c>
      <c r="U522" s="270">
        <f t="shared" si="65"/>
        <v>0</v>
      </c>
      <c r="V522" s="31"/>
      <c r="X522" s="240" t="str">
        <f t="shared" si="66"/>
        <v>OK</v>
      </c>
      <c r="Y522" s="240" t="str">
        <f t="shared" si="67"/>
        <v>OK</v>
      </c>
      <c r="Z522" s="240" t="str">
        <f t="shared" si="68"/>
        <v>OK</v>
      </c>
      <c r="AA522" s="240" t="str" cm="1">
        <f t="array" ref="AA522">IF(OR(AND(J522="Not accepted",N522:O522&lt;&gt;"",$S522=""),AND(J522="Accepted",S522="")),"ERROR","OK")</f>
        <v>OK</v>
      </c>
      <c r="AB522" s="240" t="str">
        <f t="shared" si="69"/>
        <v>OK</v>
      </c>
      <c r="AC522" s="240" t="str" cm="1">
        <f t="array" ref="AC522">IF(AND(F522:H522&lt;&gt;"",I522=""),"ERROR","OK")</f>
        <v>OK</v>
      </c>
      <c r="AD522" s="240" t="str">
        <f t="shared" si="70"/>
        <v>OK</v>
      </c>
      <c r="AE522" s="240" t="str">
        <f t="shared" si="71"/>
        <v>OK</v>
      </c>
      <c r="AF522" s="240" t="str" cm="1">
        <f t="array" aca="1" ref="AF522" ca="1" xml:space="preserve">
IF(AND($G522&lt;&gt;"",$F522=""),"ERROR",
IF(OR($F522:$G522="",AND($G522="",$F522&lt;&gt;"")),"OK",
IF(COUNTIF(INDIRECT(IFERROR(LEFT($F522,FIND(" ",$F522)-1),$F522)), $G522)&gt;0, "OK", "ERROR")))</f>
        <v>OK</v>
      </c>
    </row>
    <row r="523" spans="1:32" s="240" customFormat="1">
      <c r="A523" s="48"/>
      <c r="B523" s="31"/>
      <c r="C523" s="48"/>
      <c r="D523" s="47"/>
      <c r="E523" s="47"/>
      <c r="F523" s="31"/>
      <c r="G523" s="31"/>
      <c r="H523" s="31"/>
      <c r="I523" s="47"/>
      <c r="J523" s="31"/>
      <c r="K523" s="47"/>
      <c r="L523" s="47"/>
      <c r="M523" s="47"/>
      <c r="N523" s="31"/>
      <c r="O523" s="47"/>
      <c r="P523" s="31"/>
      <c r="Q523" s="31"/>
      <c r="R523" s="31"/>
      <c r="S523" s="31"/>
      <c r="T523" s="270">
        <f t="shared" si="64"/>
        <v>0</v>
      </c>
      <c r="U523" s="270">
        <f t="shared" si="65"/>
        <v>0</v>
      </c>
      <c r="V523" s="31"/>
      <c r="X523" s="240" t="str">
        <f t="shared" si="66"/>
        <v>OK</v>
      </c>
      <c r="Y523" s="240" t="str">
        <f t="shared" si="67"/>
        <v>OK</v>
      </c>
      <c r="Z523" s="240" t="str">
        <f t="shared" si="68"/>
        <v>OK</v>
      </c>
      <c r="AA523" s="240" t="str" cm="1">
        <f t="array" ref="AA523">IF(OR(AND(J523="Not accepted",N523:O523&lt;&gt;"",$S523=""),AND(J523="Accepted",S523="")),"ERROR","OK")</f>
        <v>OK</v>
      </c>
      <c r="AB523" s="240" t="str">
        <f t="shared" si="69"/>
        <v>OK</v>
      </c>
      <c r="AC523" s="240" t="str" cm="1">
        <f t="array" ref="AC523">IF(AND(F523:H523&lt;&gt;"",I523=""),"ERROR","OK")</f>
        <v>OK</v>
      </c>
      <c r="AD523" s="240" t="str">
        <f t="shared" si="70"/>
        <v>OK</v>
      </c>
      <c r="AE523" s="240" t="str">
        <f t="shared" si="71"/>
        <v>OK</v>
      </c>
      <c r="AF523" s="240" t="str" cm="1">
        <f t="array" aca="1" ref="AF523" ca="1" xml:space="preserve">
IF(AND($G523&lt;&gt;"",$F523=""),"ERROR",
IF(OR($F523:$G523="",AND($G523="",$F523&lt;&gt;"")),"OK",
IF(COUNTIF(INDIRECT(IFERROR(LEFT($F523,FIND(" ",$F523)-1),$F523)), $G523)&gt;0, "OK", "ERROR")))</f>
        <v>OK</v>
      </c>
    </row>
    <row r="524" spans="1:32" s="240" customFormat="1">
      <c r="A524" s="48"/>
      <c r="B524" s="31"/>
      <c r="C524" s="48"/>
      <c r="D524" s="47"/>
      <c r="E524" s="47"/>
      <c r="F524" s="31"/>
      <c r="G524" s="31"/>
      <c r="H524" s="31"/>
      <c r="I524" s="47"/>
      <c r="J524" s="31"/>
      <c r="K524" s="47"/>
      <c r="L524" s="47"/>
      <c r="M524" s="47"/>
      <c r="N524" s="31"/>
      <c r="O524" s="47"/>
      <c r="P524" s="31"/>
      <c r="Q524" s="31"/>
      <c r="R524" s="31"/>
      <c r="S524" s="31"/>
      <c r="T524" s="270">
        <f t="shared" si="64"/>
        <v>0</v>
      </c>
      <c r="U524" s="270">
        <f t="shared" si="65"/>
        <v>0</v>
      </c>
      <c r="V524" s="31"/>
      <c r="X524" s="240" t="str">
        <f t="shared" si="66"/>
        <v>OK</v>
      </c>
      <c r="Y524" s="240" t="str">
        <f t="shared" si="67"/>
        <v>OK</v>
      </c>
      <c r="Z524" s="240" t="str">
        <f t="shared" si="68"/>
        <v>OK</v>
      </c>
      <c r="AA524" s="240" t="str" cm="1">
        <f t="array" ref="AA524">IF(OR(AND(J524="Not accepted",N524:O524&lt;&gt;"",$S524=""),AND(J524="Accepted",S524="")),"ERROR","OK")</f>
        <v>OK</v>
      </c>
      <c r="AB524" s="240" t="str">
        <f t="shared" si="69"/>
        <v>OK</v>
      </c>
      <c r="AC524" s="240" t="str" cm="1">
        <f t="array" ref="AC524">IF(AND(F524:H524&lt;&gt;"",I524=""),"ERROR","OK")</f>
        <v>OK</v>
      </c>
      <c r="AD524" s="240" t="str">
        <f t="shared" si="70"/>
        <v>OK</v>
      </c>
      <c r="AE524" s="240" t="str">
        <f t="shared" si="71"/>
        <v>OK</v>
      </c>
      <c r="AF524" s="240" t="str" cm="1">
        <f t="array" aca="1" ref="AF524" ca="1" xml:space="preserve">
IF(AND($G524&lt;&gt;"",$F524=""),"ERROR",
IF(OR($F524:$G524="",AND($G524="",$F524&lt;&gt;"")),"OK",
IF(COUNTIF(INDIRECT(IFERROR(LEFT($F524,FIND(" ",$F524)-1),$F524)), $G524)&gt;0, "OK", "ERROR")))</f>
        <v>OK</v>
      </c>
    </row>
    <row r="525" spans="1:32" s="240" customFormat="1">
      <c r="A525" s="48"/>
      <c r="B525" s="31"/>
      <c r="C525" s="48"/>
      <c r="D525" s="47"/>
      <c r="E525" s="47"/>
      <c r="F525" s="31"/>
      <c r="G525" s="31"/>
      <c r="H525" s="31"/>
      <c r="I525" s="47"/>
      <c r="J525" s="31"/>
      <c r="K525" s="47"/>
      <c r="L525" s="47"/>
      <c r="M525" s="47"/>
      <c r="N525" s="31"/>
      <c r="O525" s="47"/>
      <c r="P525" s="31"/>
      <c r="Q525" s="31"/>
      <c r="R525" s="31"/>
      <c r="S525" s="31"/>
      <c r="T525" s="270">
        <f t="shared" si="64"/>
        <v>0</v>
      </c>
      <c r="U525" s="270">
        <f t="shared" si="65"/>
        <v>0</v>
      </c>
      <c r="V525" s="31"/>
      <c r="X525" s="240" t="str">
        <f t="shared" si="66"/>
        <v>OK</v>
      </c>
      <c r="Y525" s="240" t="str">
        <f t="shared" si="67"/>
        <v>OK</v>
      </c>
      <c r="Z525" s="240" t="str">
        <f t="shared" si="68"/>
        <v>OK</v>
      </c>
      <c r="AA525" s="240" t="str" cm="1">
        <f t="array" ref="AA525">IF(OR(AND(J525="Not accepted",N525:O525&lt;&gt;"",$S525=""),AND(J525="Accepted",S525="")),"ERROR","OK")</f>
        <v>OK</v>
      </c>
      <c r="AB525" s="240" t="str">
        <f t="shared" si="69"/>
        <v>OK</v>
      </c>
      <c r="AC525" s="240" t="str" cm="1">
        <f t="array" ref="AC525">IF(AND(F525:H525&lt;&gt;"",I525=""),"ERROR","OK")</f>
        <v>OK</v>
      </c>
      <c r="AD525" s="240" t="str">
        <f t="shared" si="70"/>
        <v>OK</v>
      </c>
      <c r="AE525" s="240" t="str">
        <f t="shared" si="71"/>
        <v>OK</v>
      </c>
      <c r="AF525" s="240" t="str" cm="1">
        <f t="array" aca="1" ref="AF525" ca="1" xml:space="preserve">
IF(AND($G525&lt;&gt;"",$F525=""),"ERROR",
IF(OR($F525:$G525="",AND($G525="",$F525&lt;&gt;"")),"OK",
IF(COUNTIF(INDIRECT(IFERROR(LEFT($F525,FIND(" ",$F525)-1),$F525)), $G525)&gt;0, "OK", "ERROR")))</f>
        <v>OK</v>
      </c>
    </row>
    <row r="526" spans="1:32" s="240" customFormat="1">
      <c r="A526" s="48"/>
      <c r="B526" s="31"/>
      <c r="C526" s="48"/>
      <c r="D526" s="47"/>
      <c r="E526" s="47"/>
      <c r="F526" s="31"/>
      <c r="G526" s="31"/>
      <c r="H526" s="31"/>
      <c r="I526" s="47"/>
      <c r="J526" s="31"/>
      <c r="K526" s="47"/>
      <c r="L526" s="47"/>
      <c r="M526" s="47"/>
      <c r="N526" s="31"/>
      <c r="O526" s="47"/>
      <c r="P526" s="31"/>
      <c r="Q526" s="31"/>
      <c r="R526" s="31"/>
      <c r="S526" s="31"/>
      <c r="T526" s="270">
        <f t="shared" si="64"/>
        <v>0</v>
      </c>
      <c r="U526" s="270">
        <f t="shared" si="65"/>
        <v>0</v>
      </c>
      <c r="V526" s="31"/>
      <c r="X526" s="240" t="str">
        <f t="shared" si="66"/>
        <v>OK</v>
      </c>
      <c r="Y526" s="240" t="str">
        <f t="shared" si="67"/>
        <v>OK</v>
      </c>
      <c r="Z526" s="240" t="str">
        <f t="shared" si="68"/>
        <v>OK</v>
      </c>
      <c r="AA526" s="240" t="str" cm="1">
        <f t="array" ref="AA526">IF(OR(AND(J526="Not accepted",N526:O526&lt;&gt;"",$S526=""),AND(J526="Accepted",S526="")),"ERROR","OK")</f>
        <v>OK</v>
      </c>
      <c r="AB526" s="240" t="str">
        <f t="shared" si="69"/>
        <v>OK</v>
      </c>
      <c r="AC526" s="240" t="str" cm="1">
        <f t="array" ref="AC526">IF(AND(F526:H526&lt;&gt;"",I526=""),"ERROR","OK")</f>
        <v>OK</v>
      </c>
      <c r="AD526" s="240" t="str">
        <f t="shared" si="70"/>
        <v>OK</v>
      </c>
      <c r="AE526" s="240" t="str">
        <f t="shared" si="71"/>
        <v>OK</v>
      </c>
      <c r="AF526" s="240" t="str" cm="1">
        <f t="array" aca="1" ref="AF526" ca="1" xml:space="preserve">
IF(AND($G526&lt;&gt;"",$F526=""),"ERROR",
IF(OR($F526:$G526="",AND($G526="",$F526&lt;&gt;"")),"OK",
IF(COUNTIF(INDIRECT(IFERROR(LEFT($F526,FIND(" ",$F526)-1),$F526)), $G526)&gt;0, "OK", "ERROR")))</f>
        <v>OK</v>
      </c>
    </row>
    <row r="527" spans="1:32" s="240" customFormat="1">
      <c r="A527" s="48"/>
      <c r="B527" s="31"/>
      <c r="C527" s="48"/>
      <c r="D527" s="47"/>
      <c r="E527" s="47"/>
      <c r="F527" s="31"/>
      <c r="G527" s="31"/>
      <c r="H527" s="31"/>
      <c r="I527" s="47"/>
      <c r="J527" s="31"/>
      <c r="K527" s="47"/>
      <c r="L527" s="47"/>
      <c r="M527" s="47"/>
      <c r="N527" s="31"/>
      <c r="O527" s="47"/>
      <c r="P527" s="31"/>
      <c r="Q527" s="31"/>
      <c r="R527" s="31"/>
      <c r="S527" s="31"/>
      <c r="T527" s="270">
        <f t="shared" si="64"/>
        <v>0</v>
      </c>
      <c r="U527" s="270">
        <f t="shared" si="65"/>
        <v>0</v>
      </c>
      <c r="V527" s="31"/>
      <c r="X527" s="240" t="str">
        <f t="shared" si="66"/>
        <v>OK</v>
      </c>
      <c r="Y527" s="240" t="str">
        <f t="shared" si="67"/>
        <v>OK</v>
      </c>
      <c r="Z527" s="240" t="str">
        <f t="shared" si="68"/>
        <v>OK</v>
      </c>
      <c r="AA527" s="240" t="str" cm="1">
        <f t="array" ref="AA527">IF(OR(AND(J527="Not accepted",N527:O527&lt;&gt;"",$S527=""),AND(J527="Accepted",S527="")),"ERROR","OK")</f>
        <v>OK</v>
      </c>
      <c r="AB527" s="240" t="str">
        <f t="shared" si="69"/>
        <v>OK</v>
      </c>
      <c r="AC527" s="240" t="str" cm="1">
        <f t="array" ref="AC527">IF(AND(F527:H527&lt;&gt;"",I527=""),"ERROR","OK")</f>
        <v>OK</v>
      </c>
      <c r="AD527" s="240" t="str">
        <f t="shared" si="70"/>
        <v>OK</v>
      </c>
      <c r="AE527" s="240" t="str">
        <f t="shared" si="71"/>
        <v>OK</v>
      </c>
      <c r="AF527" s="240" t="str" cm="1">
        <f t="array" aca="1" ref="AF527" ca="1" xml:space="preserve">
IF(AND($G527&lt;&gt;"",$F527=""),"ERROR",
IF(OR($F527:$G527="",AND($G527="",$F527&lt;&gt;"")),"OK",
IF(COUNTIF(INDIRECT(IFERROR(LEFT($F527,FIND(" ",$F527)-1),$F527)), $G527)&gt;0, "OK", "ERROR")))</f>
        <v>OK</v>
      </c>
    </row>
    <row r="528" spans="1:32" s="240" customFormat="1">
      <c r="A528" s="48"/>
      <c r="B528" s="31"/>
      <c r="C528" s="48"/>
      <c r="D528" s="47"/>
      <c r="E528" s="47"/>
      <c r="F528" s="31"/>
      <c r="G528" s="31"/>
      <c r="H528" s="31"/>
      <c r="I528" s="47"/>
      <c r="J528" s="31"/>
      <c r="K528" s="47"/>
      <c r="L528" s="47"/>
      <c r="M528" s="47"/>
      <c r="N528" s="31"/>
      <c r="O528" s="47"/>
      <c r="P528" s="31"/>
      <c r="Q528" s="31"/>
      <c r="R528" s="31"/>
      <c r="S528" s="31"/>
      <c r="T528" s="270">
        <f t="shared" si="64"/>
        <v>0</v>
      </c>
      <c r="U528" s="270">
        <f t="shared" si="65"/>
        <v>0</v>
      </c>
      <c r="V528" s="31"/>
      <c r="X528" s="240" t="str">
        <f t="shared" si="66"/>
        <v>OK</v>
      </c>
      <c r="Y528" s="240" t="str">
        <f t="shared" si="67"/>
        <v>OK</v>
      </c>
      <c r="Z528" s="240" t="str">
        <f t="shared" si="68"/>
        <v>OK</v>
      </c>
      <c r="AA528" s="240" t="str" cm="1">
        <f t="array" ref="AA528">IF(OR(AND(J528="Not accepted",N528:O528&lt;&gt;"",$S528=""),AND(J528="Accepted",S528="")),"ERROR","OK")</f>
        <v>OK</v>
      </c>
      <c r="AB528" s="240" t="str">
        <f t="shared" si="69"/>
        <v>OK</v>
      </c>
      <c r="AC528" s="240" t="str" cm="1">
        <f t="array" ref="AC528">IF(AND(F528:H528&lt;&gt;"",I528=""),"ERROR","OK")</f>
        <v>OK</v>
      </c>
      <c r="AD528" s="240" t="str">
        <f t="shared" si="70"/>
        <v>OK</v>
      </c>
      <c r="AE528" s="240" t="str">
        <f t="shared" si="71"/>
        <v>OK</v>
      </c>
      <c r="AF528" s="240" t="str" cm="1">
        <f t="array" aca="1" ref="AF528" ca="1" xml:space="preserve">
IF(AND($G528&lt;&gt;"",$F528=""),"ERROR",
IF(OR($F528:$G528="",AND($G528="",$F528&lt;&gt;"")),"OK",
IF(COUNTIF(INDIRECT(IFERROR(LEFT($F528,FIND(" ",$F528)-1),$F528)), $G528)&gt;0, "OK", "ERROR")))</f>
        <v>OK</v>
      </c>
    </row>
    <row r="529" spans="1:32" s="240" customFormat="1">
      <c r="A529" s="48"/>
      <c r="B529" s="31"/>
      <c r="C529" s="48"/>
      <c r="D529" s="47"/>
      <c r="E529" s="47"/>
      <c r="F529" s="31"/>
      <c r="G529" s="31"/>
      <c r="H529" s="31"/>
      <c r="I529" s="47"/>
      <c r="J529" s="31"/>
      <c r="K529" s="47"/>
      <c r="L529" s="47"/>
      <c r="M529" s="47"/>
      <c r="N529" s="31"/>
      <c r="O529" s="47"/>
      <c r="P529" s="31"/>
      <c r="Q529" s="31"/>
      <c r="R529" s="31"/>
      <c r="S529" s="31"/>
      <c r="T529" s="270">
        <f t="shared" si="64"/>
        <v>0</v>
      </c>
      <c r="U529" s="270">
        <f t="shared" si="65"/>
        <v>0</v>
      </c>
      <c r="V529" s="31"/>
      <c r="X529" s="240" t="str">
        <f t="shared" si="66"/>
        <v>OK</v>
      </c>
      <c r="Y529" s="240" t="str">
        <f t="shared" si="67"/>
        <v>OK</v>
      </c>
      <c r="Z529" s="240" t="str">
        <f t="shared" si="68"/>
        <v>OK</v>
      </c>
      <c r="AA529" s="240" t="str" cm="1">
        <f t="array" ref="AA529">IF(OR(AND(J529="Not accepted",N529:O529&lt;&gt;"",$S529=""),AND(J529="Accepted",S529="")),"ERROR","OK")</f>
        <v>OK</v>
      </c>
      <c r="AB529" s="240" t="str">
        <f t="shared" si="69"/>
        <v>OK</v>
      </c>
      <c r="AC529" s="240" t="str" cm="1">
        <f t="array" ref="AC529">IF(AND(F529:H529&lt;&gt;"",I529=""),"ERROR","OK")</f>
        <v>OK</v>
      </c>
      <c r="AD529" s="240" t="str">
        <f t="shared" si="70"/>
        <v>OK</v>
      </c>
      <c r="AE529" s="240" t="str">
        <f t="shared" si="71"/>
        <v>OK</v>
      </c>
      <c r="AF529" s="240" t="str" cm="1">
        <f t="array" aca="1" ref="AF529" ca="1" xml:space="preserve">
IF(AND($G529&lt;&gt;"",$F529=""),"ERROR",
IF(OR($F529:$G529="",AND($G529="",$F529&lt;&gt;"")),"OK",
IF(COUNTIF(INDIRECT(IFERROR(LEFT($F529,FIND(" ",$F529)-1),$F529)), $G529)&gt;0, "OK", "ERROR")))</f>
        <v>OK</v>
      </c>
    </row>
    <row r="530" spans="1:32" s="240" customFormat="1">
      <c r="A530" s="48"/>
      <c r="B530" s="31"/>
      <c r="C530" s="48"/>
      <c r="D530" s="47"/>
      <c r="E530" s="47"/>
      <c r="F530" s="31"/>
      <c r="G530" s="31"/>
      <c r="H530" s="31"/>
      <c r="I530" s="47"/>
      <c r="J530" s="31"/>
      <c r="K530" s="47"/>
      <c r="L530" s="47"/>
      <c r="M530" s="47"/>
      <c r="N530" s="31"/>
      <c r="O530" s="47"/>
      <c r="P530" s="31"/>
      <c r="Q530" s="31"/>
      <c r="R530" s="31"/>
      <c r="S530" s="31"/>
      <c r="T530" s="270">
        <f t="shared" si="64"/>
        <v>0</v>
      </c>
      <c r="U530" s="270">
        <f t="shared" si="65"/>
        <v>0</v>
      </c>
      <c r="V530" s="31"/>
      <c r="X530" s="240" t="str">
        <f t="shared" si="66"/>
        <v>OK</v>
      </c>
      <c r="Y530" s="240" t="str">
        <f t="shared" si="67"/>
        <v>OK</v>
      </c>
      <c r="Z530" s="240" t="str">
        <f t="shared" si="68"/>
        <v>OK</v>
      </c>
      <c r="AA530" s="240" t="str" cm="1">
        <f t="array" ref="AA530">IF(OR(AND(J530="Not accepted",N530:O530&lt;&gt;"",$S530=""),AND(J530="Accepted",S530="")),"ERROR","OK")</f>
        <v>OK</v>
      </c>
      <c r="AB530" s="240" t="str">
        <f t="shared" si="69"/>
        <v>OK</v>
      </c>
      <c r="AC530" s="240" t="str" cm="1">
        <f t="array" ref="AC530">IF(AND(F530:H530&lt;&gt;"",I530=""),"ERROR","OK")</f>
        <v>OK</v>
      </c>
      <c r="AD530" s="240" t="str">
        <f t="shared" si="70"/>
        <v>OK</v>
      </c>
      <c r="AE530" s="240" t="str">
        <f t="shared" si="71"/>
        <v>OK</v>
      </c>
      <c r="AF530" s="240" t="str" cm="1">
        <f t="array" aca="1" ref="AF530" ca="1" xml:space="preserve">
IF(AND($G530&lt;&gt;"",$F530=""),"ERROR",
IF(OR($F530:$G530="",AND($G530="",$F530&lt;&gt;"")),"OK",
IF(COUNTIF(INDIRECT(IFERROR(LEFT($F530,FIND(" ",$F530)-1),$F530)), $G530)&gt;0, "OK", "ERROR")))</f>
        <v>OK</v>
      </c>
    </row>
    <row r="531" spans="1:32" s="240" customFormat="1">
      <c r="A531" s="48"/>
      <c r="B531" s="31"/>
      <c r="C531" s="48"/>
      <c r="D531" s="47"/>
      <c r="E531" s="47"/>
      <c r="F531" s="31"/>
      <c r="G531" s="31"/>
      <c r="H531" s="31"/>
      <c r="I531" s="47"/>
      <c r="J531" s="31"/>
      <c r="K531" s="47"/>
      <c r="L531" s="47"/>
      <c r="M531" s="47"/>
      <c r="N531" s="31"/>
      <c r="O531" s="47"/>
      <c r="P531" s="31"/>
      <c r="Q531" s="31"/>
      <c r="R531" s="31"/>
      <c r="S531" s="31"/>
      <c r="T531" s="270">
        <f t="shared" si="64"/>
        <v>0</v>
      </c>
      <c r="U531" s="270">
        <f t="shared" si="65"/>
        <v>0</v>
      </c>
      <c r="V531" s="31"/>
      <c r="X531" s="240" t="str">
        <f t="shared" si="66"/>
        <v>OK</v>
      </c>
      <c r="Y531" s="240" t="str">
        <f t="shared" si="67"/>
        <v>OK</v>
      </c>
      <c r="Z531" s="240" t="str">
        <f t="shared" si="68"/>
        <v>OK</v>
      </c>
      <c r="AA531" s="240" t="str" cm="1">
        <f t="array" ref="AA531">IF(OR(AND(J531="Not accepted",N531:O531&lt;&gt;"",$S531=""),AND(J531="Accepted",S531="")),"ERROR","OK")</f>
        <v>OK</v>
      </c>
      <c r="AB531" s="240" t="str">
        <f t="shared" si="69"/>
        <v>OK</v>
      </c>
      <c r="AC531" s="240" t="str" cm="1">
        <f t="array" ref="AC531">IF(AND(F531:H531&lt;&gt;"",I531=""),"ERROR","OK")</f>
        <v>OK</v>
      </c>
      <c r="AD531" s="240" t="str">
        <f t="shared" si="70"/>
        <v>OK</v>
      </c>
      <c r="AE531" s="240" t="str">
        <f t="shared" si="71"/>
        <v>OK</v>
      </c>
      <c r="AF531" s="240" t="str" cm="1">
        <f t="array" aca="1" ref="AF531" ca="1" xml:space="preserve">
IF(AND($G531&lt;&gt;"",$F531=""),"ERROR",
IF(OR($F531:$G531="",AND($G531="",$F531&lt;&gt;"")),"OK",
IF(COUNTIF(INDIRECT(IFERROR(LEFT($F531,FIND(" ",$F531)-1),$F531)), $G531)&gt;0, "OK", "ERROR")))</f>
        <v>OK</v>
      </c>
    </row>
    <row r="532" spans="1:32" s="240" customFormat="1">
      <c r="A532" s="48"/>
      <c r="B532" s="31"/>
      <c r="C532" s="48"/>
      <c r="D532" s="47"/>
      <c r="E532" s="47"/>
      <c r="F532" s="31"/>
      <c r="G532" s="31"/>
      <c r="H532" s="31"/>
      <c r="I532" s="47"/>
      <c r="J532" s="31"/>
      <c r="K532" s="47"/>
      <c r="L532" s="47"/>
      <c r="M532" s="47"/>
      <c r="N532" s="31"/>
      <c r="O532" s="47"/>
      <c r="P532" s="31"/>
      <c r="Q532" s="31"/>
      <c r="R532" s="31"/>
      <c r="S532" s="31"/>
      <c r="T532" s="270">
        <f t="shared" si="64"/>
        <v>0</v>
      </c>
      <c r="U532" s="270">
        <f t="shared" si="65"/>
        <v>0</v>
      </c>
      <c r="V532" s="31"/>
      <c r="X532" s="240" t="str">
        <f t="shared" si="66"/>
        <v>OK</v>
      </c>
      <c r="Y532" s="240" t="str">
        <f t="shared" si="67"/>
        <v>OK</v>
      </c>
      <c r="Z532" s="240" t="str">
        <f t="shared" si="68"/>
        <v>OK</v>
      </c>
      <c r="AA532" s="240" t="str" cm="1">
        <f t="array" ref="AA532">IF(OR(AND(J532="Not accepted",N532:O532&lt;&gt;"",$S532=""),AND(J532="Accepted",S532="")),"ERROR","OK")</f>
        <v>OK</v>
      </c>
      <c r="AB532" s="240" t="str">
        <f t="shared" si="69"/>
        <v>OK</v>
      </c>
      <c r="AC532" s="240" t="str" cm="1">
        <f t="array" ref="AC532">IF(AND(F532:H532&lt;&gt;"",I532=""),"ERROR","OK")</f>
        <v>OK</v>
      </c>
      <c r="AD532" s="240" t="str">
        <f t="shared" si="70"/>
        <v>OK</v>
      </c>
      <c r="AE532" s="240" t="str">
        <f t="shared" si="71"/>
        <v>OK</v>
      </c>
      <c r="AF532" s="240" t="str" cm="1">
        <f t="array" aca="1" ref="AF532" ca="1" xml:space="preserve">
IF(AND($G532&lt;&gt;"",$F532=""),"ERROR",
IF(OR($F532:$G532="",AND($G532="",$F532&lt;&gt;"")),"OK",
IF(COUNTIF(INDIRECT(IFERROR(LEFT($F532,FIND(" ",$F532)-1),$F532)), $G532)&gt;0, "OK", "ERROR")))</f>
        <v>OK</v>
      </c>
    </row>
    <row r="533" spans="1:32" s="240" customFormat="1">
      <c r="A533" s="48"/>
      <c r="B533" s="31"/>
      <c r="C533" s="48"/>
      <c r="D533" s="47"/>
      <c r="E533" s="47"/>
      <c r="F533" s="31"/>
      <c r="G533" s="31"/>
      <c r="H533" s="31"/>
      <c r="I533" s="47"/>
      <c r="J533" s="31"/>
      <c r="K533" s="47"/>
      <c r="L533" s="47"/>
      <c r="M533" s="47"/>
      <c r="N533" s="31"/>
      <c r="O533" s="47"/>
      <c r="P533" s="31"/>
      <c r="Q533" s="31"/>
      <c r="R533" s="31"/>
      <c r="S533" s="31"/>
      <c r="T533" s="270">
        <f t="shared" si="64"/>
        <v>0</v>
      </c>
      <c r="U533" s="270">
        <f t="shared" si="65"/>
        <v>0</v>
      </c>
      <c r="V533" s="31"/>
      <c r="X533" s="240" t="str">
        <f t="shared" si="66"/>
        <v>OK</v>
      </c>
      <c r="Y533" s="240" t="str">
        <f t="shared" si="67"/>
        <v>OK</v>
      </c>
      <c r="Z533" s="240" t="str">
        <f t="shared" si="68"/>
        <v>OK</v>
      </c>
      <c r="AA533" s="240" t="str" cm="1">
        <f t="array" ref="AA533">IF(OR(AND(J533="Not accepted",N533:O533&lt;&gt;"",$S533=""),AND(J533="Accepted",S533="")),"ERROR","OK")</f>
        <v>OK</v>
      </c>
      <c r="AB533" s="240" t="str">
        <f t="shared" si="69"/>
        <v>OK</v>
      </c>
      <c r="AC533" s="240" t="str" cm="1">
        <f t="array" ref="AC533">IF(AND(F533:H533&lt;&gt;"",I533=""),"ERROR","OK")</f>
        <v>OK</v>
      </c>
      <c r="AD533" s="240" t="str">
        <f t="shared" si="70"/>
        <v>OK</v>
      </c>
      <c r="AE533" s="240" t="str">
        <f t="shared" si="71"/>
        <v>OK</v>
      </c>
      <c r="AF533" s="240" t="str" cm="1">
        <f t="array" aca="1" ref="AF533" ca="1" xml:space="preserve">
IF(AND($G533&lt;&gt;"",$F533=""),"ERROR",
IF(OR($F533:$G533="",AND($G533="",$F533&lt;&gt;"")),"OK",
IF(COUNTIF(INDIRECT(IFERROR(LEFT($F533,FIND(" ",$F533)-1),$F533)), $G533)&gt;0, "OK", "ERROR")))</f>
        <v>OK</v>
      </c>
    </row>
    <row r="534" spans="1:32" s="240" customFormat="1">
      <c r="A534" s="48"/>
      <c r="B534" s="31"/>
      <c r="C534" s="48"/>
      <c r="D534" s="47"/>
      <c r="E534" s="47"/>
      <c r="F534" s="31"/>
      <c r="G534" s="31"/>
      <c r="H534" s="31"/>
      <c r="I534" s="47"/>
      <c r="J534" s="31"/>
      <c r="K534" s="47"/>
      <c r="L534" s="47"/>
      <c r="M534" s="47"/>
      <c r="N534" s="31"/>
      <c r="O534" s="47"/>
      <c r="P534" s="31"/>
      <c r="Q534" s="31"/>
      <c r="R534" s="31"/>
      <c r="S534" s="31"/>
      <c r="T534" s="270">
        <f t="shared" si="64"/>
        <v>0</v>
      </c>
      <c r="U534" s="270">
        <f t="shared" si="65"/>
        <v>0</v>
      </c>
      <c r="V534" s="31"/>
      <c r="X534" s="240" t="str">
        <f t="shared" si="66"/>
        <v>OK</v>
      </c>
      <c r="Y534" s="240" t="str">
        <f t="shared" si="67"/>
        <v>OK</v>
      </c>
      <c r="Z534" s="240" t="str">
        <f t="shared" si="68"/>
        <v>OK</v>
      </c>
      <c r="AA534" s="240" t="str" cm="1">
        <f t="array" ref="AA534">IF(OR(AND(J534="Not accepted",N534:O534&lt;&gt;"",$S534=""),AND(J534="Accepted",S534="")),"ERROR","OK")</f>
        <v>OK</v>
      </c>
      <c r="AB534" s="240" t="str">
        <f t="shared" si="69"/>
        <v>OK</v>
      </c>
      <c r="AC534" s="240" t="str" cm="1">
        <f t="array" ref="AC534">IF(AND(F534:H534&lt;&gt;"",I534=""),"ERROR","OK")</f>
        <v>OK</v>
      </c>
      <c r="AD534" s="240" t="str">
        <f t="shared" si="70"/>
        <v>OK</v>
      </c>
      <c r="AE534" s="240" t="str">
        <f t="shared" si="71"/>
        <v>OK</v>
      </c>
      <c r="AF534" s="240" t="str" cm="1">
        <f t="array" aca="1" ref="AF534" ca="1" xml:space="preserve">
IF(AND($G534&lt;&gt;"",$F534=""),"ERROR",
IF(OR($F534:$G534="",AND($G534="",$F534&lt;&gt;"")),"OK",
IF(COUNTIF(INDIRECT(IFERROR(LEFT($F534,FIND(" ",$F534)-1),$F534)), $G534)&gt;0, "OK", "ERROR")))</f>
        <v>OK</v>
      </c>
    </row>
    <row r="535" spans="1:32" s="240" customFormat="1">
      <c r="A535" s="48"/>
      <c r="B535" s="31"/>
      <c r="C535" s="48"/>
      <c r="D535" s="47"/>
      <c r="E535" s="47"/>
      <c r="F535" s="31"/>
      <c r="G535" s="31"/>
      <c r="H535" s="31"/>
      <c r="I535" s="47"/>
      <c r="J535" s="31"/>
      <c r="K535" s="47"/>
      <c r="L535" s="47"/>
      <c r="M535" s="47"/>
      <c r="N535" s="31"/>
      <c r="O535" s="47"/>
      <c r="P535" s="31"/>
      <c r="Q535" s="31"/>
      <c r="R535" s="31"/>
      <c r="S535" s="31"/>
      <c r="T535" s="270">
        <f t="shared" si="64"/>
        <v>0</v>
      </c>
      <c r="U535" s="270">
        <f t="shared" si="65"/>
        <v>0</v>
      </c>
      <c r="V535" s="31"/>
      <c r="X535" s="240" t="str">
        <f t="shared" si="66"/>
        <v>OK</v>
      </c>
      <c r="Y535" s="240" t="str">
        <f t="shared" si="67"/>
        <v>OK</v>
      </c>
      <c r="Z535" s="240" t="str">
        <f t="shared" si="68"/>
        <v>OK</v>
      </c>
      <c r="AA535" s="240" t="str" cm="1">
        <f t="array" ref="AA535">IF(OR(AND(J535="Not accepted",N535:O535&lt;&gt;"",$S535=""),AND(J535="Accepted",S535="")),"ERROR","OK")</f>
        <v>OK</v>
      </c>
      <c r="AB535" s="240" t="str">
        <f t="shared" si="69"/>
        <v>OK</v>
      </c>
      <c r="AC535" s="240" t="str" cm="1">
        <f t="array" ref="AC535">IF(AND(F535:H535&lt;&gt;"",I535=""),"ERROR","OK")</f>
        <v>OK</v>
      </c>
      <c r="AD535" s="240" t="str">
        <f t="shared" si="70"/>
        <v>OK</v>
      </c>
      <c r="AE535" s="240" t="str">
        <f t="shared" si="71"/>
        <v>OK</v>
      </c>
      <c r="AF535" s="240" t="str" cm="1">
        <f t="array" aca="1" ref="AF535" ca="1" xml:space="preserve">
IF(AND($G535&lt;&gt;"",$F535=""),"ERROR",
IF(OR($F535:$G535="",AND($G535="",$F535&lt;&gt;"")),"OK",
IF(COUNTIF(INDIRECT(IFERROR(LEFT($F535,FIND(" ",$F535)-1),$F535)), $G535)&gt;0, "OK", "ERROR")))</f>
        <v>OK</v>
      </c>
    </row>
    <row r="536" spans="1:32" s="240" customFormat="1">
      <c r="A536" s="48"/>
      <c r="B536" s="31"/>
      <c r="C536" s="48"/>
      <c r="D536" s="47"/>
      <c r="E536" s="47"/>
      <c r="F536" s="31"/>
      <c r="G536" s="31"/>
      <c r="H536" s="31"/>
      <c r="I536" s="47"/>
      <c r="J536" s="31"/>
      <c r="K536" s="47"/>
      <c r="L536" s="47"/>
      <c r="M536" s="47"/>
      <c r="N536" s="31"/>
      <c r="O536" s="47"/>
      <c r="P536" s="31"/>
      <c r="Q536" s="31"/>
      <c r="R536" s="31"/>
      <c r="S536" s="31"/>
      <c r="T536" s="270">
        <f t="shared" si="64"/>
        <v>0</v>
      </c>
      <c r="U536" s="270">
        <f t="shared" si="65"/>
        <v>0</v>
      </c>
      <c r="V536" s="31"/>
      <c r="X536" s="240" t="str">
        <f t="shared" si="66"/>
        <v>OK</v>
      </c>
      <c r="Y536" s="240" t="str">
        <f t="shared" si="67"/>
        <v>OK</v>
      </c>
      <c r="Z536" s="240" t="str">
        <f t="shared" si="68"/>
        <v>OK</v>
      </c>
      <c r="AA536" s="240" t="str" cm="1">
        <f t="array" ref="AA536">IF(OR(AND(J536="Not accepted",N536:O536&lt;&gt;"",$S536=""),AND(J536="Accepted",S536="")),"ERROR","OK")</f>
        <v>OK</v>
      </c>
      <c r="AB536" s="240" t="str">
        <f t="shared" si="69"/>
        <v>OK</v>
      </c>
      <c r="AC536" s="240" t="str" cm="1">
        <f t="array" ref="AC536">IF(AND(F536:H536&lt;&gt;"",I536=""),"ERROR","OK")</f>
        <v>OK</v>
      </c>
      <c r="AD536" s="240" t="str">
        <f t="shared" si="70"/>
        <v>OK</v>
      </c>
      <c r="AE536" s="240" t="str">
        <f t="shared" si="71"/>
        <v>OK</v>
      </c>
      <c r="AF536" s="240" t="str" cm="1">
        <f t="array" aca="1" ref="AF536" ca="1" xml:space="preserve">
IF(AND($G536&lt;&gt;"",$F536=""),"ERROR",
IF(OR($F536:$G536="",AND($G536="",$F536&lt;&gt;"")),"OK",
IF(COUNTIF(INDIRECT(IFERROR(LEFT($F536,FIND(" ",$F536)-1),$F536)), $G536)&gt;0, "OK", "ERROR")))</f>
        <v>OK</v>
      </c>
    </row>
    <row r="537" spans="1:32" s="240" customFormat="1">
      <c r="A537" s="48"/>
      <c r="B537" s="31"/>
      <c r="C537" s="48"/>
      <c r="D537" s="47"/>
      <c r="E537" s="47"/>
      <c r="F537" s="31"/>
      <c r="G537" s="31"/>
      <c r="H537" s="31"/>
      <c r="I537" s="47"/>
      <c r="J537" s="31"/>
      <c r="K537" s="47"/>
      <c r="L537" s="47"/>
      <c r="M537" s="47"/>
      <c r="N537" s="31"/>
      <c r="O537" s="47"/>
      <c r="P537" s="31"/>
      <c r="Q537" s="31"/>
      <c r="R537" s="31"/>
      <c r="S537" s="31"/>
      <c r="T537" s="270">
        <f t="shared" si="64"/>
        <v>0</v>
      </c>
      <c r="U537" s="270">
        <f t="shared" si="65"/>
        <v>0</v>
      </c>
      <c r="V537" s="31"/>
      <c r="X537" s="240" t="str">
        <f t="shared" si="66"/>
        <v>OK</v>
      </c>
      <c r="Y537" s="240" t="str">
        <f t="shared" si="67"/>
        <v>OK</v>
      </c>
      <c r="Z537" s="240" t="str">
        <f t="shared" si="68"/>
        <v>OK</v>
      </c>
      <c r="AA537" s="240" t="str" cm="1">
        <f t="array" ref="AA537">IF(OR(AND(J537="Not accepted",N537:O537&lt;&gt;"",$S537=""),AND(J537="Accepted",S537="")),"ERROR","OK")</f>
        <v>OK</v>
      </c>
      <c r="AB537" s="240" t="str">
        <f t="shared" si="69"/>
        <v>OK</v>
      </c>
      <c r="AC537" s="240" t="str" cm="1">
        <f t="array" ref="AC537">IF(AND(F537:H537&lt;&gt;"",I537=""),"ERROR","OK")</f>
        <v>OK</v>
      </c>
      <c r="AD537" s="240" t="str">
        <f t="shared" si="70"/>
        <v>OK</v>
      </c>
      <c r="AE537" s="240" t="str">
        <f t="shared" si="71"/>
        <v>OK</v>
      </c>
      <c r="AF537" s="240" t="str" cm="1">
        <f t="array" aca="1" ref="AF537" ca="1" xml:space="preserve">
IF(AND($G537&lt;&gt;"",$F537=""),"ERROR",
IF(OR($F537:$G537="",AND($G537="",$F537&lt;&gt;"")),"OK",
IF(COUNTIF(INDIRECT(IFERROR(LEFT($F537,FIND(" ",$F537)-1),$F537)), $G537)&gt;0, "OK", "ERROR")))</f>
        <v>OK</v>
      </c>
    </row>
    <row r="538" spans="1:32" s="240" customFormat="1">
      <c r="A538" s="48"/>
      <c r="B538" s="31"/>
      <c r="C538" s="48"/>
      <c r="D538" s="47"/>
      <c r="E538" s="47"/>
      <c r="F538" s="31"/>
      <c r="G538" s="31"/>
      <c r="H538" s="31"/>
      <c r="I538" s="47"/>
      <c r="J538" s="31"/>
      <c r="K538" s="47"/>
      <c r="L538" s="47"/>
      <c r="M538" s="47"/>
      <c r="N538" s="31"/>
      <c r="O538" s="47"/>
      <c r="P538" s="31"/>
      <c r="Q538" s="31"/>
      <c r="R538" s="31"/>
      <c r="S538" s="31"/>
      <c r="T538" s="270">
        <f t="shared" si="64"/>
        <v>0</v>
      </c>
      <c r="U538" s="270">
        <f t="shared" si="65"/>
        <v>0</v>
      </c>
      <c r="V538" s="31"/>
      <c r="X538" s="240" t="str">
        <f t="shared" si="66"/>
        <v>OK</v>
      </c>
      <c r="Y538" s="240" t="str">
        <f t="shared" si="67"/>
        <v>OK</v>
      </c>
      <c r="Z538" s="240" t="str">
        <f t="shared" si="68"/>
        <v>OK</v>
      </c>
      <c r="AA538" s="240" t="str" cm="1">
        <f t="array" ref="AA538">IF(OR(AND(J538="Not accepted",N538:O538&lt;&gt;"",$S538=""),AND(J538="Accepted",S538="")),"ERROR","OK")</f>
        <v>OK</v>
      </c>
      <c r="AB538" s="240" t="str">
        <f t="shared" si="69"/>
        <v>OK</v>
      </c>
      <c r="AC538" s="240" t="str" cm="1">
        <f t="array" ref="AC538">IF(AND(F538:H538&lt;&gt;"",I538=""),"ERROR","OK")</f>
        <v>OK</v>
      </c>
      <c r="AD538" s="240" t="str">
        <f t="shared" si="70"/>
        <v>OK</v>
      </c>
      <c r="AE538" s="240" t="str">
        <f t="shared" si="71"/>
        <v>OK</v>
      </c>
      <c r="AF538" s="240" t="str" cm="1">
        <f t="array" aca="1" ref="AF538" ca="1" xml:space="preserve">
IF(AND($G538&lt;&gt;"",$F538=""),"ERROR",
IF(OR($F538:$G538="",AND($G538="",$F538&lt;&gt;"")),"OK",
IF(COUNTIF(INDIRECT(IFERROR(LEFT($F538,FIND(" ",$F538)-1),$F538)), $G538)&gt;0, "OK", "ERROR")))</f>
        <v>OK</v>
      </c>
    </row>
    <row r="539" spans="1:32" s="240" customFormat="1">
      <c r="A539" s="48"/>
      <c r="B539" s="31"/>
      <c r="C539" s="48"/>
      <c r="D539" s="47"/>
      <c r="E539" s="47"/>
      <c r="F539" s="31"/>
      <c r="G539" s="31"/>
      <c r="H539" s="31"/>
      <c r="I539" s="47"/>
      <c r="J539" s="31"/>
      <c r="K539" s="47"/>
      <c r="L539" s="47"/>
      <c r="M539" s="47"/>
      <c r="N539" s="31"/>
      <c r="O539" s="47"/>
      <c r="P539" s="31"/>
      <c r="Q539" s="31"/>
      <c r="R539" s="31"/>
      <c r="S539" s="31"/>
      <c r="T539" s="270">
        <f t="shared" si="64"/>
        <v>0</v>
      </c>
      <c r="U539" s="270">
        <f t="shared" si="65"/>
        <v>0</v>
      </c>
      <c r="V539" s="31"/>
      <c r="X539" s="240" t="str">
        <f t="shared" si="66"/>
        <v>OK</v>
      </c>
      <c r="Y539" s="240" t="str">
        <f t="shared" si="67"/>
        <v>OK</v>
      </c>
      <c r="Z539" s="240" t="str">
        <f t="shared" si="68"/>
        <v>OK</v>
      </c>
      <c r="AA539" s="240" t="str" cm="1">
        <f t="array" ref="AA539">IF(OR(AND(J539="Not accepted",N539:O539&lt;&gt;"",$S539=""),AND(J539="Accepted",S539="")),"ERROR","OK")</f>
        <v>OK</v>
      </c>
      <c r="AB539" s="240" t="str">
        <f t="shared" si="69"/>
        <v>OK</v>
      </c>
      <c r="AC539" s="240" t="str" cm="1">
        <f t="array" ref="AC539">IF(AND(F539:H539&lt;&gt;"",I539=""),"ERROR","OK")</f>
        <v>OK</v>
      </c>
      <c r="AD539" s="240" t="str">
        <f t="shared" si="70"/>
        <v>OK</v>
      </c>
      <c r="AE539" s="240" t="str">
        <f t="shared" si="71"/>
        <v>OK</v>
      </c>
      <c r="AF539" s="240" t="str" cm="1">
        <f t="array" aca="1" ref="AF539" ca="1" xml:space="preserve">
IF(AND($G539&lt;&gt;"",$F539=""),"ERROR",
IF(OR($F539:$G539="",AND($G539="",$F539&lt;&gt;"")),"OK",
IF(COUNTIF(INDIRECT(IFERROR(LEFT($F539,FIND(" ",$F539)-1),$F539)), $G539)&gt;0, "OK", "ERROR")))</f>
        <v>OK</v>
      </c>
    </row>
    <row r="540" spans="1:32" s="240" customFormat="1">
      <c r="A540" s="48"/>
      <c r="B540" s="31"/>
      <c r="C540" s="48"/>
      <c r="D540" s="47"/>
      <c r="E540" s="47"/>
      <c r="F540" s="31"/>
      <c r="G540" s="31"/>
      <c r="H540" s="31"/>
      <c r="I540" s="47"/>
      <c r="J540" s="31"/>
      <c r="K540" s="47"/>
      <c r="L540" s="47"/>
      <c r="M540" s="47"/>
      <c r="N540" s="31"/>
      <c r="O540" s="47"/>
      <c r="P540" s="31"/>
      <c r="Q540" s="31"/>
      <c r="R540" s="31"/>
      <c r="S540" s="31"/>
      <c r="T540" s="270">
        <f t="shared" si="64"/>
        <v>0</v>
      </c>
      <c r="U540" s="270">
        <f t="shared" si="65"/>
        <v>0</v>
      </c>
      <c r="V540" s="31"/>
      <c r="X540" s="240" t="str">
        <f t="shared" si="66"/>
        <v>OK</v>
      </c>
      <c r="Y540" s="240" t="str">
        <f t="shared" si="67"/>
        <v>OK</v>
      </c>
      <c r="Z540" s="240" t="str">
        <f t="shared" si="68"/>
        <v>OK</v>
      </c>
      <c r="AA540" s="240" t="str" cm="1">
        <f t="array" ref="AA540">IF(OR(AND(J540="Not accepted",N540:O540&lt;&gt;"",$S540=""),AND(J540="Accepted",S540="")),"ERROR","OK")</f>
        <v>OK</v>
      </c>
      <c r="AB540" s="240" t="str">
        <f t="shared" si="69"/>
        <v>OK</v>
      </c>
      <c r="AC540" s="240" t="str" cm="1">
        <f t="array" ref="AC540">IF(AND(F540:H540&lt;&gt;"",I540=""),"ERROR","OK")</f>
        <v>OK</v>
      </c>
      <c r="AD540" s="240" t="str">
        <f t="shared" si="70"/>
        <v>OK</v>
      </c>
      <c r="AE540" s="240" t="str">
        <f t="shared" si="71"/>
        <v>OK</v>
      </c>
      <c r="AF540" s="240" t="str" cm="1">
        <f t="array" aca="1" ref="AF540" ca="1" xml:space="preserve">
IF(AND($G540&lt;&gt;"",$F540=""),"ERROR",
IF(OR($F540:$G540="",AND($G540="",$F540&lt;&gt;"")),"OK",
IF(COUNTIF(INDIRECT(IFERROR(LEFT($F540,FIND(" ",$F540)-1),$F540)), $G540)&gt;0, "OK", "ERROR")))</f>
        <v>OK</v>
      </c>
    </row>
    <row r="541" spans="1:32" s="240" customFormat="1">
      <c r="A541" s="48"/>
      <c r="B541" s="31"/>
      <c r="C541" s="48"/>
      <c r="D541" s="47"/>
      <c r="E541" s="47"/>
      <c r="F541" s="31"/>
      <c r="G541" s="31"/>
      <c r="H541" s="31"/>
      <c r="I541" s="47"/>
      <c r="J541" s="31"/>
      <c r="K541" s="47"/>
      <c r="L541" s="47"/>
      <c r="M541" s="47"/>
      <c r="N541" s="31"/>
      <c r="O541" s="47"/>
      <c r="P541" s="31"/>
      <c r="Q541" s="31"/>
      <c r="R541" s="31"/>
      <c r="S541" s="31"/>
      <c r="T541" s="270">
        <f t="shared" si="64"/>
        <v>0</v>
      </c>
      <c r="U541" s="270">
        <f t="shared" si="65"/>
        <v>0</v>
      </c>
      <c r="V541" s="31"/>
      <c r="X541" s="240" t="str">
        <f t="shared" si="66"/>
        <v>OK</v>
      </c>
      <c r="Y541" s="240" t="str">
        <f t="shared" si="67"/>
        <v>OK</v>
      </c>
      <c r="Z541" s="240" t="str">
        <f t="shared" si="68"/>
        <v>OK</v>
      </c>
      <c r="AA541" s="240" t="str" cm="1">
        <f t="array" ref="AA541">IF(OR(AND(J541="Not accepted",N541:O541&lt;&gt;"",$S541=""),AND(J541="Accepted",S541="")),"ERROR","OK")</f>
        <v>OK</v>
      </c>
      <c r="AB541" s="240" t="str">
        <f t="shared" si="69"/>
        <v>OK</v>
      </c>
      <c r="AC541" s="240" t="str" cm="1">
        <f t="array" ref="AC541">IF(AND(F541:H541&lt;&gt;"",I541=""),"ERROR","OK")</f>
        <v>OK</v>
      </c>
      <c r="AD541" s="240" t="str">
        <f t="shared" si="70"/>
        <v>OK</v>
      </c>
      <c r="AE541" s="240" t="str">
        <f t="shared" si="71"/>
        <v>OK</v>
      </c>
      <c r="AF541" s="240" t="str" cm="1">
        <f t="array" aca="1" ref="AF541" ca="1" xml:space="preserve">
IF(AND($G541&lt;&gt;"",$F541=""),"ERROR",
IF(OR($F541:$G541="",AND($G541="",$F541&lt;&gt;"")),"OK",
IF(COUNTIF(INDIRECT(IFERROR(LEFT($F541,FIND(" ",$F541)-1),$F541)), $G541)&gt;0, "OK", "ERROR")))</f>
        <v>OK</v>
      </c>
    </row>
    <row r="542" spans="1:32" s="240" customFormat="1">
      <c r="A542" s="48"/>
      <c r="B542" s="31"/>
      <c r="C542" s="48"/>
      <c r="D542" s="47"/>
      <c r="E542" s="47"/>
      <c r="F542" s="31"/>
      <c r="G542" s="31"/>
      <c r="H542" s="31"/>
      <c r="I542" s="47"/>
      <c r="J542" s="31"/>
      <c r="K542" s="47"/>
      <c r="L542" s="47"/>
      <c r="M542" s="47"/>
      <c r="N542" s="31"/>
      <c r="O542" s="47"/>
      <c r="P542" s="31"/>
      <c r="Q542" s="31"/>
      <c r="R542" s="31"/>
      <c r="S542" s="31"/>
      <c r="T542" s="270">
        <f t="shared" si="64"/>
        <v>0</v>
      </c>
      <c r="U542" s="270">
        <f t="shared" si="65"/>
        <v>0</v>
      </c>
      <c r="V542" s="31"/>
      <c r="X542" s="240" t="str">
        <f t="shared" si="66"/>
        <v>OK</v>
      </c>
      <c r="Y542" s="240" t="str">
        <f t="shared" si="67"/>
        <v>OK</v>
      </c>
      <c r="Z542" s="240" t="str">
        <f t="shared" si="68"/>
        <v>OK</v>
      </c>
      <c r="AA542" s="240" t="str" cm="1">
        <f t="array" ref="AA542">IF(OR(AND(J542="Not accepted",N542:O542&lt;&gt;"",$S542=""),AND(J542="Accepted",S542="")),"ERROR","OK")</f>
        <v>OK</v>
      </c>
      <c r="AB542" s="240" t="str">
        <f t="shared" si="69"/>
        <v>OK</v>
      </c>
      <c r="AC542" s="240" t="str" cm="1">
        <f t="array" ref="AC542">IF(AND(F542:H542&lt;&gt;"",I542=""),"ERROR","OK")</f>
        <v>OK</v>
      </c>
      <c r="AD542" s="240" t="str">
        <f t="shared" si="70"/>
        <v>OK</v>
      </c>
      <c r="AE542" s="240" t="str">
        <f t="shared" si="71"/>
        <v>OK</v>
      </c>
      <c r="AF542" s="240" t="str" cm="1">
        <f t="array" aca="1" ref="AF542" ca="1" xml:space="preserve">
IF(AND($G542&lt;&gt;"",$F542=""),"ERROR",
IF(OR($F542:$G542="",AND($G542="",$F542&lt;&gt;"")),"OK",
IF(COUNTIF(INDIRECT(IFERROR(LEFT($F542,FIND(" ",$F542)-1),$F542)), $G542)&gt;0, "OK", "ERROR")))</f>
        <v>OK</v>
      </c>
    </row>
    <row r="543" spans="1:32" s="240" customFormat="1">
      <c r="A543" s="48"/>
      <c r="B543" s="31"/>
      <c r="C543" s="48"/>
      <c r="D543" s="47"/>
      <c r="E543" s="47"/>
      <c r="F543" s="31"/>
      <c r="G543" s="31"/>
      <c r="H543" s="31"/>
      <c r="I543" s="47"/>
      <c r="J543" s="31"/>
      <c r="K543" s="47"/>
      <c r="L543" s="47"/>
      <c r="M543" s="47"/>
      <c r="N543" s="31"/>
      <c r="O543" s="47"/>
      <c r="P543" s="31"/>
      <c r="Q543" s="31"/>
      <c r="R543" s="31"/>
      <c r="S543" s="31"/>
      <c r="T543" s="270">
        <f t="shared" si="64"/>
        <v>0</v>
      </c>
      <c r="U543" s="270">
        <f t="shared" si="65"/>
        <v>0</v>
      </c>
      <c r="V543" s="31"/>
      <c r="X543" s="240" t="str">
        <f t="shared" si="66"/>
        <v>OK</v>
      </c>
      <c r="Y543" s="240" t="str">
        <f t="shared" si="67"/>
        <v>OK</v>
      </c>
      <c r="Z543" s="240" t="str">
        <f t="shared" si="68"/>
        <v>OK</v>
      </c>
      <c r="AA543" s="240" t="str" cm="1">
        <f t="array" ref="AA543">IF(OR(AND(J543="Not accepted",N543:O543&lt;&gt;"",$S543=""),AND(J543="Accepted",S543="")),"ERROR","OK")</f>
        <v>OK</v>
      </c>
      <c r="AB543" s="240" t="str">
        <f t="shared" si="69"/>
        <v>OK</v>
      </c>
      <c r="AC543" s="240" t="str" cm="1">
        <f t="array" ref="AC543">IF(AND(F543:H543&lt;&gt;"",I543=""),"ERROR","OK")</f>
        <v>OK</v>
      </c>
      <c r="AD543" s="240" t="str">
        <f t="shared" si="70"/>
        <v>OK</v>
      </c>
      <c r="AE543" s="240" t="str">
        <f t="shared" si="71"/>
        <v>OK</v>
      </c>
      <c r="AF543" s="240" t="str" cm="1">
        <f t="array" aca="1" ref="AF543" ca="1" xml:space="preserve">
IF(AND($G543&lt;&gt;"",$F543=""),"ERROR",
IF(OR($F543:$G543="",AND($G543="",$F543&lt;&gt;"")),"OK",
IF(COUNTIF(INDIRECT(IFERROR(LEFT($F543,FIND(" ",$F543)-1),$F543)), $G543)&gt;0, "OK", "ERROR")))</f>
        <v>OK</v>
      </c>
    </row>
    <row r="544" spans="1:32" s="240" customFormat="1">
      <c r="A544" s="48"/>
      <c r="B544" s="31"/>
      <c r="C544" s="48"/>
      <c r="D544" s="47"/>
      <c r="E544" s="47"/>
      <c r="F544" s="31"/>
      <c r="G544" s="31"/>
      <c r="H544" s="31"/>
      <c r="I544" s="47"/>
      <c r="J544" s="31"/>
      <c r="K544" s="47"/>
      <c r="L544" s="47"/>
      <c r="M544" s="47"/>
      <c r="N544" s="31"/>
      <c r="O544" s="47"/>
      <c r="P544" s="31"/>
      <c r="Q544" s="31"/>
      <c r="R544" s="31"/>
      <c r="S544" s="31"/>
      <c r="T544" s="270">
        <f t="shared" si="64"/>
        <v>0</v>
      </c>
      <c r="U544" s="270">
        <f t="shared" si="65"/>
        <v>0</v>
      </c>
      <c r="V544" s="31"/>
      <c r="X544" s="240" t="str">
        <f t="shared" si="66"/>
        <v>OK</v>
      </c>
      <c r="Y544" s="240" t="str">
        <f t="shared" si="67"/>
        <v>OK</v>
      </c>
      <c r="Z544" s="240" t="str">
        <f t="shared" si="68"/>
        <v>OK</v>
      </c>
      <c r="AA544" s="240" t="str" cm="1">
        <f t="array" ref="AA544">IF(OR(AND(J544="Not accepted",N544:O544&lt;&gt;"",$S544=""),AND(J544="Accepted",S544="")),"ERROR","OK")</f>
        <v>OK</v>
      </c>
      <c r="AB544" s="240" t="str">
        <f t="shared" si="69"/>
        <v>OK</v>
      </c>
      <c r="AC544" s="240" t="str" cm="1">
        <f t="array" ref="AC544">IF(AND(F544:H544&lt;&gt;"",I544=""),"ERROR","OK")</f>
        <v>OK</v>
      </c>
      <c r="AD544" s="240" t="str">
        <f t="shared" si="70"/>
        <v>OK</v>
      </c>
      <c r="AE544" s="240" t="str">
        <f t="shared" si="71"/>
        <v>OK</v>
      </c>
      <c r="AF544" s="240" t="str" cm="1">
        <f t="array" aca="1" ref="AF544" ca="1" xml:space="preserve">
IF(AND($G544&lt;&gt;"",$F544=""),"ERROR",
IF(OR($F544:$G544="",AND($G544="",$F544&lt;&gt;"")),"OK",
IF(COUNTIF(INDIRECT(IFERROR(LEFT($F544,FIND(" ",$F544)-1),$F544)), $G544)&gt;0, "OK", "ERROR")))</f>
        <v>OK</v>
      </c>
    </row>
    <row r="545" spans="1:32" s="240" customFormat="1">
      <c r="A545" s="48"/>
      <c r="B545" s="31"/>
      <c r="C545" s="48"/>
      <c r="D545" s="47"/>
      <c r="E545" s="47"/>
      <c r="F545" s="31"/>
      <c r="G545" s="31"/>
      <c r="H545" s="31"/>
      <c r="I545" s="47"/>
      <c r="J545" s="31"/>
      <c r="K545" s="47"/>
      <c r="L545" s="47"/>
      <c r="M545" s="47"/>
      <c r="N545" s="31"/>
      <c r="O545" s="47"/>
      <c r="P545" s="31"/>
      <c r="Q545" s="31"/>
      <c r="R545" s="31"/>
      <c r="S545" s="31"/>
      <c r="T545" s="270">
        <f t="shared" si="64"/>
        <v>0</v>
      </c>
      <c r="U545" s="270">
        <f t="shared" si="65"/>
        <v>0</v>
      </c>
      <c r="V545" s="31"/>
      <c r="X545" s="240" t="str">
        <f t="shared" si="66"/>
        <v>OK</v>
      </c>
      <c r="Y545" s="240" t="str">
        <f t="shared" si="67"/>
        <v>OK</v>
      </c>
      <c r="Z545" s="240" t="str">
        <f t="shared" si="68"/>
        <v>OK</v>
      </c>
      <c r="AA545" s="240" t="str" cm="1">
        <f t="array" ref="AA545">IF(OR(AND(J545="Not accepted",N545:O545&lt;&gt;"",$S545=""),AND(J545="Accepted",S545="")),"ERROR","OK")</f>
        <v>OK</v>
      </c>
      <c r="AB545" s="240" t="str">
        <f t="shared" si="69"/>
        <v>OK</v>
      </c>
      <c r="AC545" s="240" t="str" cm="1">
        <f t="array" ref="AC545">IF(AND(F545:H545&lt;&gt;"",I545=""),"ERROR","OK")</f>
        <v>OK</v>
      </c>
      <c r="AD545" s="240" t="str">
        <f t="shared" si="70"/>
        <v>OK</v>
      </c>
      <c r="AE545" s="240" t="str">
        <f t="shared" si="71"/>
        <v>OK</v>
      </c>
      <c r="AF545" s="240" t="str" cm="1">
        <f t="array" aca="1" ref="AF545" ca="1" xml:space="preserve">
IF(AND($G545&lt;&gt;"",$F545=""),"ERROR",
IF(OR($F545:$G545="",AND($G545="",$F545&lt;&gt;"")),"OK",
IF(COUNTIF(INDIRECT(IFERROR(LEFT($F545,FIND(" ",$F545)-1),$F545)), $G545)&gt;0, "OK", "ERROR")))</f>
        <v>OK</v>
      </c>
    </row>
    <row r="546" spans="1:32" s="240" customFormat="1">
      <c r="A546" s="48"/>
      <c r="B546" s="31"/>
      <c r="C546" s="48"/>
      <c r="D546" s="47"/>
      <c r="E546" s="47"/>
      <c r="F546" s="31"/>
      <c r="G546" s="31"/>
      <c r="H546" s="31"/>
      <c r="I546" s="47"/>
      <c r="J546" s="31"/>
      <c r="K546" s="47"/>
      <c r="L546" s="47"/>
      <c r="M546" s="47"/>
      <c r="N546" s="31"/>
      <c r="O546" s="47"/>
      <c r="P546" s="31"/>
      <c r="Q546" s="31"/>
      <c r="R546" s="31"/>
      <c r="S546" s="31"/>
      <c r="T546" s="270">
        <f t="shared" si="64"/>
        <v>0</v>
      </c>
      <c r="U546" s="270">
        <f t="shared" si="65"/>
        <v>0</v>
      </c>
      <c r="V546" s="31"/>
      <c r="X546" s="240" t="str">
        <f t="shared" si="66"/>
        <v>OK</v>
      </c>
      <c r="Y546" s="240" t="str">
        <f t="shared" si="67"/>
        <v>OK</v>
      </c>
      <c r="Z546" s="240" t="str">
        <f t="shared" si="68"/>
        <v>OK</v>
      </c>
      <c r="AA546" s="240" t="str" cm="1">
        <f t="array" ref="AA546">IF(OR(AND(J546="Not accepted",N546:O546&lt;&gt;"",$S546=""),AND(J546="Accepted",S546="")),"ERROR","OK")</f>
        <v>OK</v>
      </c>
      <c r="AB546" s="240" t="str">
        <f t="shared" si="69"/>
        <v>OK</v>
      </c>
      <c r="AC546" s="240" t="str" cm="1">
        <f t="array" ref="AC546">IF(AND(F546:H546&lt;&gt;"",I546=""),"ERROR","OK")</f>
        <v>OK</v>
      </c>
      <c r="AD546" s="240" t="str">
        <f t="shared" si="70"/>
        <v>OK</v>
      </c>
      <c r="AE546" s="240" t="str">
        <f t="shared" si="71"/>
        <v>OK</v>
      </c>
      <c r="AF546" s="240" t="str" cm="1">
        <f t="array" aca="1" ref="AF546" ca="1" xml:space="preserve">
IF(AND($G546&lt;&gt;"",$F546=""),"ERROR",
IF(OR($F546:$G546="",AND($G546="",$F546&lt;&gt;"")),"OK",
IF(COUNTIF(INDIRECT(IFERROR(LEFT($F546,FIND(" ",$F546)-1),$F546)), $G546)&gt;0, "OK", "ERROR")))</f>
        <v>OK</v>
      </c>
    </row>
    <row r="547" spans="1:32" s="240" customFormat="1">
      <c r="A547" s="48"/>
      <c r="B547" s="31"/>
      <c r="C547" s="48"/>
      <c r="D547" s="47"/>
      <c r="E547" s="47"/>
      <c r="F547" s="31"/>
      <c r="G547" s="31"/>
      <c r="H547" s="31"/>
      <c r="I547" s="47"/>
      <c r="J547" s="31"/>
      <c r="K547" s="47"/>
      <c r="L547" s="47"/>
      <c r="M547" s="47"/>
      <c r="N547" s="31"/>
      <c r="O547" s="47"/>
      <c r="P547" s="31"/>
      <c r="Q547" s="31"/>
      <c r="R547" s="31"/>
      <c r="S547" s="31"/>
      <c r="T547" s="270">
        <f t="shared" si="64"/>
        <v>0</v>
      </c>
      <c r="U547" s="270">
        <f t="shared" si="65"/>
        <v>0</v>
      </c>
      <c r="V547" s="31"/>
      <c r="X547" s="240" t="str">
        <f t="shared" si="66"/>
        <v>OK</v>
      </c>
      <c r="Y547" s="240" t="str">
        <f t="shared" si="67"/>
        <v>OK</v>
      </c>
      <c r="Z547" s="240" t="str">
        <f t="shared" si="68"/>
        <v>OK</v>
      </c>
      <c r="AA547" s="240" t="str" cm="1">
        <f t="array" ref="AA547">IF(OR(AND(J547="Not accepted",N547:O547&lt;&gt;"",$S547=""),AND(J547="Accepted",S547="")),"ERROR","OK")</f>
        <v>OK</v>
      </c>
      <c r="AB547" s="240" t="str">
        <f t="shared" si="69"/>
        <v>OK</v>
      </c>
      <c r="AC547" s="240" t="str" cm="1">
        <f t="array" ref="AC547">IF(AND(F547:H547&lt;&gt;"",I547=""),"ERROR","OK")</f>
        <v>OK</v>
      </c>
      <c r="AD547" s="240" t="str">
        <f t="shared" si="70"/>
        <v>OK</v>
      </c>
      <c r="AE547" s="240" t="str">
        <f t="shared" si="71"/>
        <v>OK</v>
      </c>
      <c r="AF547" s="240" t="str" cm="1">
        <f t="array" aca="1" ref="AF547" ca="1" xml:space="preserve">
IF(AND($G547&lt;&gt;"",$F547=""),"ERROR",
IF(OR($F547:$G547="",AND($G547="",$F547&lt;&gt;"")),"OK",
IF(COUNTIF(INDIRECT(IFERROR(LEFT($F547,FIND(" ",$F547)-1),$F547)), $G547)&gt;0, "OK", "ERROR")))</f>
        <v>OK</v>
      </c>
    </row>
    <row r="548" spans="1:32" s="240" customFormat="1">
      <c r="A548" s="48"/>
      <c r="B548" s="31"/>
      <c r="C548" s="48"/>
      <c r="D548" s="47"/>
      <c r="E548" s="47"/>
      <c r="F548" s="31"/>
      <c r="G548" s="31"/>
      <c r="H548" s="31"/>
      <c r="I548" s="47"/>
      <c r="J548" s="31"/>
      <c r="K548" s="47"/>
      <c r="L548" s="47"/>
      <c r="M548" s="47"/>
      <c r="N548" s="31"/>
      <c r="O548" s="47"/>
      <c r="P548" s="31"/>
      <c r="Q548" s="31"/>
      <c r="R548" s="31"/>
      <c r="S548" s="31"/>
      <c r="T548" s="270">
        <f t="shared" si="64"/>
        <v>0</v>
      </c>
      <c r="U548" s="270">
        <f t="shared" si="65"/>
        <v>0</v>
      </c>
      <c r="V548" s="31"/>
      <c r="X548" s="240" t="str">
        <f t="shared" si="66"/>
        <v>OK</v>
      </c>
      <c r="Y548" s="240" t="str">
        <f t="shared" si="67"/>
        <v>OK</v>
      </c>
      <c r="Z548" s="240" t="str">
        <f t="shared" si="68"/>
        <v>OK</v>
      </c>
      <c r="AA548" s="240" t="str" cm="1">
        <f t="array" ref="AA548">IF(OR(AND(J548="Not accepted",N548:O548&lt;&gt;"",$S548=""),AND(J548="Accepted",S548="")),"ERROR","OK")</f>
        <v>OK</v>
      </c>
      <c r="AB548" s="240" t="str">
        <f t="shared" si="69"/>
        <v>OK</v>
      </c>
      <c r="AC548" s="240" t="str" cm="1">
        <f t="array" ref="AC548">IF(AND(F548:H548&lt;&gt;"",I548=""),"ERROR","OK")</f>
        <v>OK</v>
      </c>
      <c r="AD548" s="240" t="str">
        <f t="shared" si="70"/>
        <v>OK</v>
      </c>
      <c r="AE548" s="240" t="str">
        <f t="shared" si="71"/>
        <v>OK</v>
      </c>
      <c r="AF548" s="240" t="str" cm="1">
        <f t="array" aca="1" ref="AF548" ca="1" xml:space="preserve">
IF(AND($G548&lt;&gt;"",$F548=""),"ERROR",
IF(OR($F548:$G548="",AND($G548="",$F548&lt;&gt;"")),"OK",
IF(COUNTIF(INDIRECT(IFERROR(LEFT($F548,FIND(" ",$F548)-1),$F548)), $G548)&gt;0, "OK", "ERROR")))</f>
        <v>OK</v>
      </c>
    </row>
    <row r="549" spans="1:32" s="240" customFormat="1">
      <c r="A549" s="48"/>
      <c r="B549" s="31"/>
      <c r="C549" s="48"/>
      <c r="D549" s="47"/>
      <c r="E549" s="47"/>
      <c r="F549" s="31"/>
      <c r="G549" s="31"/>
      <c r="H549" s="31"/>
      <c r="I549" s="47"/>
      <c r="J549" s="31"/>
      <c r="K549" s="47"/>
      <c r="L549" s="47"/>
      <c r="M549" s="47"/>
      <c r="N549" s="31"/>
      <c r="O549" s="47"/>
      <c r="P549" s="31"/>
      <c r="Q549" s="31"/>
      <c r="R549" s="31"/>
      <c r="S549" s="31"/>
      <c r="T549" s="270">
        <f t="shared" si="64"/>
        <v>0</v>
      </c>
      <c r="U549" s="270">
        <f t="shared" si="65"/>
        <v>0</v>
      </c>
      <c r="V549" s="31"/>
      <c r="X549" s="240" t="str">
        <f t="shared" si="66"/>
        <v>OK</v>
      </c>
      <c r="Y549" s="240" t="str">
        <f t="shared" si="67"/>
        <v>OK</v>
      </c>
      <c r="Z549" s="240" t="str">
        <f t="shared" si="68"/>
        <v>OK</v>
      </c>
      <c r="AA549" s="240" t="str" cm="1">
        <f t="array" ref="AA549">IF(OR(AND(J549="Not accepted",N549:O549&lt;&gt;"",$S549=""),AND(J549="Accepted",S549="")),"ERROR","OK")</f>
        <v>OK</v>
      </c>
      <c r="AB549" s="240" t="str">
        <f t="shared" si="69"/>
        <v>OK</v>
      </c>
      <c r="AC549" s="240" t="str" cm="1">
        <f t="array" ref="AC549">IF(AND(F549:H549&lt;&gt;"",I549=""),"ERROR","OK")</f>
        <v>OK</v>
      </c>
      <c r="AD549" s="240" t="str">
        <f t="shared" si="70"/>
        <v>OK</v>
      </c>
      <c r="AE549" s="240" t="str">
        <f t="shared" si="71"/>
        <v>OK</v>
      </c>
      <c r="AF549" s="240" t="str" cm="1">
        <f t="array" aca="1" ref="AF549" ca="1" xml:space="preserve">
IF(AND($G549&lt;&gt;"",$F549=""),"ERROR",
IF(OR($F549:$G549="",AND($G549="",$F549&lt;&gt;"")),"OK",
IF(COUNTIF(INDIRECT(IFERROR(LEFT($F549,FIND(" ",$F549)-1),$F549)), $G549)&gt;0, "OK", "ERROR")))</f>
        <v>OK</v>
      </c>
    </row>
    <row r="550" spans="1:32" s="240" customFormat="1">
      <c r="A550" s="48"/>
      <c r="B550" s="31"/>
      <c r="C550" s="48"/>
      <c r="D550" s="47"/>
      <c r="E550" s="47"/>
      <c r="F550" s="31"/>
      <c r="G550" s="31"/>
      <c r="H550" s="31"/>
      <c r="I550" s="47"/>
      <c r="J550" s="31"/>
      <c r="K550" s="47"/>
      <c r="L550" s="47"/>
      <c r="M550" s="47"/>
      <c r="N550" s="31"/>
      <c r="O550" s="47"/>
      <c r="P550" s="31"/>
      <c r="Q550" s="31"/>
      <c r="R550" s="31"/>
      <c r="S550" s="31"/>
      <c r="T550" s="270">
        <f t="shared" si="64"/>
        <v>0</v>
      </c>
      <c r="U550" s="270">
        <f t="shared" si="65"/>
        <v>0</v>
      </c>
      <c r="V550" s="31"/>
      <c r="X550" s="240" t="str">
        <f t="shared" si="66"/>
        <v>OK</v>
      </c>
      <c r="Y550" s="240" t="str">
        <f t="shared" si="67"/>
        <v>OK</v>
      </c>
      <c r="Z550" s="240" t="str">
        <f t="shared" si="68"/>
        <v>OK</v>
      </c>
      <c r="AA550" s="240" t="str" cm="1">
        <f t="array" ref="AA550">IF(OR(AND(J550="Not accepted",N550:O550&lt;&gt;"",$S550=""),AND(J550="Accepted",S550="")),"ERROR","OK")</f>
        <v>OK</v>
      </c>
      <c r="AB550" s="240" t="str">
        <f t="shared" si="69"/>
        <v>OK</v>
      </c>
      <c r="AC550" s="240" t="str" cm="1">
        <f t="array" ref="AC550">IF(AND(F550:H550&lt;&gt;"",I550=""),"ERROR","OK")</f>
        <v>OK</v>
      </c>
      <c r="AD550" s="240" t="str">
        <f t="shared" si="70"/>
        <v>OK</v>
      </c>
      <c r="AE550" s="240" t="str">
        <f t="shared" si="71"/>
        <v>OK</v>
      </c>
      <c r="AF550" s="240" t="str" cm="1">
        <f t="array" aca="1" ref="AF550" ca="1" xml:space="preserve">
IF(AND($G550&lt;&gt;"",$F550=""),"ERROR",
IF(OR($F550:$G550="",AND($G550="",$F550&lt;&gt;"")),"OK",
IF(COUNTIF(INDIRECT(IFERROR(LEFT($F550,FIND(" ",$F550)-1),$F550)), $G550)&gt;0, "OK", "ERROR")))</f>
        <v>OK</v>
      </c>
    </row>
    <row r="551" spans="1:32" s="240" customFormat="1">
      <c r="A551" s="48"/>
      <c r="B551" s="31"/>
      <c r="C551" s="48"/>
      <c r="D551" s="47"/>
      <c r="E551" s="47"/>
      <c r="F551" s="31"/>
      <c r="G551" s="31"/>
      <c r="H551" s="31"/>
      <c r="I551" s="47"/>
      <c r="J551" s="31"/>
      <c r="K551" s="47"/>
      <c r="L551" s="47"/>
      <c r="M551" s="47"/>
      <c r="N551" s="31"/>
      <c r="O551" s="47"/>
      <c r="P551" s="31"/>
      <c r="Q551" s="31"/>
      <c r="R551" s="31"/>
      <c r="S551" s="31"/>
      <c r="T551" s="270">
        <f t="shared" si="64"/>
        <v>0</v>
      </c>
      <c r="U551" s="270">
        <f t="shared" si="65"/>
        <v>0</v>
      </c>
      <c r="V551" s="31"/>
      <c r="X551" s="240" t="str">
        <f t="shared" si="66"/>
        <v>OK</v>
      </c>
      <c r="Y551" s="240" t="str">
        <f t="shared" si="67"/>
        <v>OK</v>
      </c>
      <c r="Z551" s="240" t="str">
        <f t="shared" si="68"/>
        <v>OK</v>
      </c>
      <c r="AA551" s="240" t="str" cm="1">
        <f t="array" ref="AA551">IF(OR(AND(J551="Not accepted",N551:O551&lt;&gt;"",$S551=""),AND(J551="Accepted",S551="")),"ERROR","OK")</f>
        <v>OK</v>
      </c>
      <c r="AB551" s="240" t="str">
        <f t="shared" si="69"/>
        <v>OK</v>
      </c>
      <c r="AC551" s="240" t="str" cm="1">
        <f t="array" ref="AC551">IF(AND(F551:H551&lt;&gt;"",I551=""),"ERROR","OK")</f>
        <v>OK</v>
      </c>
      <c r="AD551" s="240" t="str">
        <f t="shared" si="70"/>
        <v>OK</v>
      </c>
      <c r="AE551" s="240" t="str">
        <f t="shared" si="71"/>
        <v>OK</v>
      </c>
      <c r="AF551" s="240" t="str" cm="1">
        <f t="array" aca="1" ref="AF551" ca="1" xml:space="preserve">
IF(AND($G551&lt;&gt;"",$F551=""),"ERROR",
IF(OR($F551:$G551="",AND($G551="",$F551&lt;&gt;"")),"OK",
IF(COUNTIF(INDIRECT(IFERROR(LEFT($F551,FIND(" ",$F551)-1),$F551)), $G551)&gt;0, "OK", "ERROR")))</f>
        <v>OK</v>
      </c>
    </row>
    <row r="552" spans="1:32" s="240" customFormat="1">
      <c r="A552" s="48"/>
      <c r="B552" s="31"/>
      <c r="C552" s="48"/>
      <c r="D552" s="47"/>
      <c r="E552" s="47"/>
      <c r="F552" s="31"/>
      <c r="G552" s="31"/>
      <c r="H552" s="31"/>
      <c r="I552" s="47"/>
      <c r="J552" s="31"/>
      <c r="K552" s="47"/>
      <c r="L552" s="47"/>
      <c r="M552" s="47"/>
      <c r="N552" s="31"/>
      <c r="O552" s="47"/>
      <c r="P552" s="31"/>
      <c r="Q552" s="31"/>
      <c r="R552" s="31"/>
      <c r="S552" s="31"/>
      <c r="T552" s="270">
        <f t="shared" si="64"/>
        <v>0</v>
      </c>
      <c r="U552" s="270">
        <f t="shared" si="65"/>
        <v>0</v>
      </c>
      <c r="V552" s="31"/>
      <c r="X552" s="240" t="str">
        <f t="shared" si="66"/>
        <v>OK</v>
      </c>
      <c r="Y552" s="240" t="str">
        <f t="shared" si="67"/>
        <v>OK</v>
      </c>
      <c r="Z552" s="240" t="str">
        <f t="shared" si="68"/>
        <v>OK</v>
      </c>
      <c r="AA552" s="240" t="str" cm="1">
        <f t="array" ref="AA552">IF(OR(AND(J552="Not accepted",N552:O552&lt;&gt;"",$S552=""),AND(J552="Accepted",S552="")),"ERROR","OK")</f>
        <v>OK</v>
      </c>
      <c r="AB552" s="240" t="str">
        <f t="shared" si="69"/>
        <v>OK</v>
      </c>
      <c r="AC552" s="240" t="str" cm="1">
        <f t="array" ref="AC552">IF(AND(F552:H552&lt;&gt;"",I552=""),"ERROR","OK")</f>
        <v>OK</v>
      </c>
      <c r="AD552" s="240" t="str">
        <f t="shared" si="70"/>
        <v>OK</v>
      </c>
      <c r="AE552" s="240" t="str">
        <f t="shared" si="71"/>
        <v>OK</v>
      </c>
      <c r="AF552" s="240" t="str" cm="1">
        <f t="array" aca="1" ref="AF552" ca="1" xml:space="preserve">
IF(AND($G552&lt;&gt;"",$F552=""),"ERROR",
IF(OR($F552:$G552="",AND($G552="",$F552&lt;&gt;"")),"OK",
IF(COUNTIF(INDIRECT(IFERROR(LEFT($F552,FIND(" ",$F552)-1),$F552)), $G552)&gt;0, "OK", "ERROR")))</f>
        <v>OK</v>
      </c>
    </row>
    <row r="553" spans="1:32" s="240" customFormat="1">
      <c r="A553" s="48"/>
      <c r="B553" s="31"/>
      <c r="C553" s="48"/>
      <c r="D553" s="47"/>
      <c r="E553" s="47"/>
      <c r="F553" s="31"/>
      <c r="G553" s="31"/>
      <c r="H553" s="31"/>
      <c r="I553" s="47"/>
      <c r="J553" s="31"/>
      <c r="K553" s="47"/>
      <c r="L553" s="47"/>
      <c r="M553" s="47"/>
      <c r="N553" s="31"/>
      <c r="O553" s="47"/>
      <c r="P553" s="31"/>
      <c r="Q553" s="31"/>
      <c r="R553" s="31"/>
      <c r="S553" s="31"/>
      <c r="T553" s="270">
        <f t="shared" si="64"/>
        <v>0</v>
      </c>
      <c r="U553" s="270">
        <f t="shared" si="65"/>
        <v>0</v>
      </c>
      <c r="V553" s="31"/>
      <c r="X553" s="240" t="str">
        <f t="shared" si="66"/>
        <v>OK</v>
      </c>
      <c r="Y553" s="240" t="str">
        <f t="shared" si="67"/>
        <v>OK</v>
      </c>
      <c r="Z553" s="240" t="str">
        <f t="shared" si="68"/>
        <v>OK</v>
      </c>
      <c r="AA553" s="240" t="str" cm="1">
        <f t="array" ref="AA553">IF(OR(AND(J553="Not accepted",N553:O553&lt;&gt;"",$S553=""),AND(J553="Accepted",S553="")),"ERROR","OK")</f>
        <v>OK</v>
      </c>
      <c r="AB553" s="240" t="str">
        <f t="shared" si="69"/>
        <v>OK</v>
      </c>
      <c r="AC553" s="240" t="str" cm="1">
        <f t="array" ref="AC553">IF(AND(F553:H553&lt;&gt;"",I553=""),"ERROR","OK")</f>
        <v>OK</v>
      </c>
      <c r="AD553" s="240" t="str">
        <f t="shared" si="70"/>
        <v>OK</v>
      </c>
      <c r="AE553" s="240" t="str">
        <f t="shared" si="71"/>
        <v>OK</v>
      </c>
      <c r="AF553" s="240" t="str" cm="1">
        <f t="array" aca="1" ref="AF553" ca="1" xml:space="preserve">
IF(AND($G553&lt;&gt;"",$F553=""),"ERROR",
IF(OR($F553:$G553="",AND($G553="",$F553&lt;&gt;"")),"OK",
IF(COUNTIF(INDIRECT(IFERROR(LEFT($F553,FIND(" ",$F553)-1),$F553)), $G553)&gt;0, "OK", "ERROR")))</f>
        <v>OK</v>
      </c>
    </row>
    <row r="554" spans="1:32" s="240" customFormat="1">
      <c r="A554" s="48"/>
      <c r="B554" s="31"/>
      <c r="C554" s="48"/>
      <c r="D554" s="47"/>
      <c r="E554" s="47"/>
      <c r="F554" s="31"/>
      <c r="G554" s="31"/>
      <c r="H554" s="31"/>
      <c r="I554" s="47"/>
      <c r="J554" s="31"/>
      <c r="K554" s="47"/>
      <c r="L554" s="47"/>
      <c r="M554" s="47"/>
      <c r="N554" s="31"/>
      <c r="O554" s="47"/>
      <c r="P554" s="31"/>
      <c r="Q554" s="31"/>
      <c r="R554" s="31"/>
      <c r="S554" s="31"/>
      <c r="T554" s="270">
        <f t="shared" si="64"/>
        <v>0</v>
      </c>
      <c r="U554" s="270">
        <f t="shared" si="65"/>
        <v>0</v>
      </c>
      <c r="V554" s="31"/>
      <c r="X554" s="240" t="str">
        <f t="shared" si="66"/>
        <v>OK</v>
      </c>
      <c r="Y554" s="240" t="str">
        <f t="shared" si="67"/>
        <v>OK</v>
      </c>
      <c r="Z554" s="240" t="str">
        <f t="shared" si="68"/>
        <v>OK</v>
      </c>
      <c r="AA554" s="240" t="str" cm="1">
        <f t="array" ref="AA554">IF(OR(AND(J554="Not accepted",N554:O554&lt;&gt;"",$S554=""),AND(J554="Accepted",S554="")),"ERROR","OK")</f>
        <v>OK</v>
      </c>
      <c r="AB554" s="240" t="str">
        <f t="shared" si="69"/>
        <v>OK</v>
      </c>
      <c r="AC554" s="240" t="str" cm="1">
        <f t="array" ref="AC554">IF(AND(F554:H554&lt;&gt;"",I554=""),"ERROR","OK")</f>
        <v>OK</v>
      </c>
      <c r="AD554" s="240" t="str">
        <f t="shared" si="70"/>
        <v>OK</v>
      </c>
      <c r="AE554" s="240" t="str">
        <f t="shared" si="71"/>
        <v>OK</v>
      </c>
      <c r="AF554" s="240" t="str" cm="1">
        <f t="array" aca="1" ref="AF554" ca="1" xml:space="preserve">
IF(AND($G554&lt;&gt;"",$F554=""),"ERROR",
IF(OR($F554:$G554="",AND($G554="",$F554&lt;&gt;"")),"OK",
IF(COUNTIF(INDIRECT(IFERROR(LEFT($F554,FIND(" ",$F554)-1),$F554)), $G554)&gt;0, "OK", "ERROR")))</f>
        <v>OK</v>
      </c>
    </row>
    <row r="555" spans="1:32" s="240" customFormat="1">
      <c r="A555" s="48"/>
      <c r="B555" s="31"/>
      <c r="C555" s="48"/>
      <c r="D555" s="47"/>
      <c r="E555" s="47"/>
      <c r="F555" s="31"/>
      <c r="G555" s="31"/>
      <c r="H555" s="31"/>
      <c r="I555" s="47"/>
      <c r="J555" s="31"/>
      <c r="K555" s="47"/>
      <c r="L555" s="47"/>
      <c r="M555" s="47"/>
      <c r="N555" s="31"/>
      <c r="O555" s="47"/>
      <c r="P555" s="31"/>
      <c r="Q555" s="31"/>
      <c r="R555" s="31"/>
      <c r="S555" s="31"/>
      <c r="T555" s="270">
        <f t="shared" si="64"/>
        <v>0</v>
      </c>
      <c r="U555" s="270">
        <f t="shared" si="65"/>
        <v>0</v>
      </c>
      <c r="V555" s="31"/>
      <c r="X555" s="240" t="str">
        <f t="shared" si="66"/>
        <v>OK</v>
      </c>
      <c r="Y555" s="240" t="str">
        <f t="shared" si="67"/>
        <v>OK</v>
      </c>
      <c r="Z555" s="240" t="str">
        <f t="shared" si="68"/>
        <v>OK</v>
      </c>
      <c r="AA555" s="240" t="str" cm="1">
        <f t="array" ref="AA555">IF(OR(AND(J555="Not accepted",N555:O555&lt;&gt;"",$S555=""),AND(J555="Accepted",S555="")),"ERROR","OK")</f>
        <v>OK</v>
      </c>
      <c r="AB555" s="240" t="str">
        <f t="shared" si="69"/>
        <v>OK</v>
      </c>
      <c r="AC555" s="240" t="str" cm="1">
        <f t="array" ref="AC555">IF(AND(F555:H555&lt;&gt;"",I555=""),"ERROR","OK")</f>
        <v>OK</v>
      </c>
      <c r="AD555" s="240" t="str">
        <f t="shared" si="70"/>
        <v>OK</v>
      </c>
      <c r="AE555" s="240" t="str">
        <f t="shared" si="71"/>
        <v>OK</v>
      </c>
      <c r="AF555" s="240" t="str" cm="1">
        <f t="array" aca="1" ref="AF555" ca="1" xml:space="preserve">
IF(AND($G555&lt;&gt;"",$F555=""),"ERROR",
IF(OR($F555:$G555="",AND($G555="",$F555&lt;&gt;"")),"OK",
IF(COUNTIF(INDIRECT(IFERROR(LEFT($F555,FIND(" ",$F555)-1),$F555)), $G555)&gt;0, "OK", "ERROR")))</f>
        <v>OK</v>
      </c>
    </row>
    <row r="556" spans="1:32" s="240" customFormat="1">
      <c r="A556" s="48"/>
      <c r="B556" s="31"/>
      <c r="C556" s="48"/>
      <c r="D556" s="47"/>
      <c r="E556" s="47"/>
      <c r="F556" s="31"/>
      <c r="G556" s="31"/>
      <c r="H556" s="31"/>
      <c r="I556" s="47"/>
      <c r="J556" s="31"/>
      <c r="K556" s="47"/>
      <c r="L556" s="47"/>
      <c r="M556" s="47"/>
      <c r="N556" s="31"/>
      <c r="O556" s="47"/>
      <c r="P556" s="31"/>
      <c r="Q556" s="31"/>
      <c r="R556" s="31"/>
      <c r="S556" s="31"/>
      <c r="T556" s="270">
        <f t="shared" si="64"/>
        <v>0</v>
      </c>
      <c r="U556" s="270">
        <f t="shared" si="65"/>
        <v>0</v>
      </c>
      <c r="V556" s="31"/>
      <c r="X556" s="240" t="str">
        <f t="shared" si="66"/>
        <v>OK</v>
      </c>
      <c r="Y556" s="240" t="str">
        <f t="shared" si="67"/>
        <v>OK</v>
      </c>
      <c r="Z556" s="240" t="str">
        <f t="shared" si="68"/>
        <v>OK</v>
      </c>
      <c r="AA556" s="240" t="str" cm="1">
        <f t="array" ref="AA556">IF(OR(AND(J556="Not accepted",N556:O556&lt;&gt;"",$S556=""),AND(J556="Accepted",S556="")),"ERROR","OK")</f>
        <v>OK</v>
      </c>
      <c r="AB556" s="240" t="str">
        <f t="shared" si="69"/>
        <v>OK</v>
      </c>
      <c r="AC556" s="240" t="str" cm="1">
        <f t="array" ref="AC556">IF(AND(F556:H556&lt;&gt;"",I556=""),"ERROR","OK")</f>
        <v>OK</v>
      </c>
      <c r="AD556" s="240" t="str">
        <f t="shared" si="70"/>
        <v>OK</v>
      </c>
      <c r="AE556" s="240" t="str">
        <f t="shared" si="71"/>
        <v>OK</v>
      </c>
      <c r="AF556" s="240" t="str" cm="1">
        <f t="array" aca="1" ref="AF556" ca="1" xml:space="preserve">
IF(AND($G556&lt;&gt;"",$F556=""),"ERROR",
IF(OR($F556:$G556="",AND($G556="",$F556&lt;&gt;"")),"OK",
IF(COUNTIF(INDIRECT(IFERROR(LEFT($F556,FIND(" ",$F556)-1),$F556)), $G556)&gt;0, "OK", "ERROR")))</f>
        <v>OK</v>
      </c>
    </row>
    <row r="557" spans="1:32" s="240" customFormat="1">
      <c r="A557" s="48"/>
      <c r="B557" s="31"/>
      <c r="C557" s="48"/>
      <c r="D557" s="47"/>
      <c r="E557" s="47"/>
      <c r="F557" s="31"/>
      <c r="G557" s="31"/>
      <c r="H557" s="31"/>
      <c r="I557" s="47"/>
      <c r="J557" s="31"/>
      <c r="K557" s="47"/>
      <c r="L557" s="47"/>
      <c r="M557" s="47"/>
      <c r="N557" s="31"/>
      <c r="O557" s="47"/>
      <c r="P557" s="31"/>
      <c r="Q557" s="31"/>
      <c r="R557" s="31"/>
      <c r="S557" s="31"/>
      <c r="T557" s="270">
        <f t="shared" si="64"/>
        <v>0</v>
      </c>
      <c r="U557" s="270">
        <f t="shared" si="65"/>
        <v>0</v>
      </c>
      <c r="V557" s="31"/>
      <c r="X557" s="240" t="str">
        <f t="shared" si="66"/>
        <v>OK</v>
      </c>
      <c r="Y557" s="240" t="str">
        <f t="shared" si="67"/>
        <v>OK</v>
      </c>
      <c r="Z557" s="240" t="str">
        <f t="shared" si="68"/>
        <v>OK</v>
      </c>
      <c r="AA557" s="240" t="str" cm="1">
        <f t="array" ref="AA557">IF(OR(AND(J557="Not accepted",N557:O557&lt;&gt;"",$S557=""),AND(J557="Accepted",S557="")),"ERROR","OK")</f>
        <v>OK</v>
      </c>
      <c r="AB557" s="240" t="str">
        <f t="shared" si="69"/>
        <v>OK</v>
      </c>
      <c r="AC557" s="240" t="str" cm="1">
        <f t="array" ref="AC557">IF(AND(F557:H557&lt;&gt;"",I557=""),"ERROR","OK")</f>
        <v>OK</v>
      </c>
      <c r="AD557" s="240" t="str">
        <f t="shared" si="70"/>
        <v>OK</v>
      </c>
      <c r="AE557" s="240" t="str">
        <f t="shared" si="71"/>
        <v>OK</v>
      </c>
      <c r="AF557" s="240" t="str" cm="1">
        <f t="array" aca="1" ref="AF557" ca="1" xml:space="preserve">
IF(AND($G557&lt;&gt;"",$F557=""),"ERROR",
IF(OR($F557:$G557="",AND($G557="",$F557&lt;&gt;"")),"OK",
IF(COUNTIF(INDIRECT(IFERROR(LEFT($F557,FIND(" ",$F557)-1),$F557)), $G557)&gt;0, "OK", "ERROR")))</f>
        <v>OK</v>
      </c>
    </row>
    <row r="558" spans="1:32" s="240" customFormat="1">
      <c r="A558" s="48"/>
      <c r="B558" s="31"/>
      <c r="C558" s="48"/>
      <c r="D558" s="47"/>
      <c r="E558" s="47"/>
      <c r="F558" s="31"/>
      <c r="G558" s="31"/>
      <c r="H558" s="31"/>
      <c r="I558" s="47"/>
      <c r="J558" s="31"/>
      <c r="K558" s="47"/>
      <c r="L558" s="47"/>
      <c r="M558" s="47"/>
      <c r="N558" s="31"/>
      <c r="O558" s="47"/>
      <c r="P558" s="31"/>
      <c r="Q558" s="31"/>
      <c r="R558" s="31"/>
      <c r="S558" s="31"/>
      <c r="T558" s="270">
        <f t="shared" si="64"/>
        <v>0</v>
      </c>
      <c r="U558" s="270">
        <f t="shared" si="65"/>
        <v>0</v>
      </c>
      <c r="V558" s="31"/>
      <c r="X558" s="240" t="str">
        <f t="shared" si="66"/>
        <v>OK</v>
      </c>
      <c r="Y558" s="240" t="str">
        <f t="shared" si="67"/>
        <v>OK</v>
      </c>
      <c r="Z558" s="240" t="str">
        <f t="shared" si="68"/>
        <v>OK</v>
      </c>
      <c r="AA558" s="240" t="str" cm="1">
        <f t="array" ref="AA558">IF(OR(AND(J558="Not accepted",N558:O558&lt;&gt;"",$S558=""),AND(J558="Accepted",S558="")),"ERROR","OK")</f>
        <v>OK</v>
      </c>
      <c r="AB558" s="240" t="str">
        <f t="shared" si="69"/>
        <v>OK</v>
      </c>
      <c r="AC558" s="240" t="str" cm="1">
        <f t="array" ref="AC558">IF(AND(F558:H558&lt;&gt;"",I558=""),"ERROR","OK")</f>
        <v>OK</v>
      </c>
      <c r="AD558" s="240" t="str">
        <f t="shared" si="70"/>
        <v>OK</v>
      </c>
      <c r="AE558" s="240" t="str">
        <f t="shared" si="71"/>
        <v>OK</v>
      </c>
      <c r="AF558" s="240" t="str" cm="1">
        <f t="array" aca="1" ref="AF558" ca="1" xml:space="preserve">
IF(AND($G558&lt;&gt;"",$F558=""),"ERROR",
IF(OR($F558:$G558="",AND($G558="",$F558&lt;&gt;"")),"OK",
IF(COUNTIF(INDIRECT(IFERROR(LEFT($F558,FIND(" ",$F558)-1),$F558)), $G558)&gt;0, "OK", "ERROR")))</f>
        <v>OK</v>
      </c>
    </row>
    <row r="559" spans="1:32" s="240" customFormat="1">
      <c r="A559" s="48"/>
      <c r="B559" s="31"/>
      <c r="C559" s="48"/>
      <c r="D559" s="47"/>
      <c r="E559" s="47"/>
      <c r="F559" s="31"/>
      <c r="G559" s="31"/>
      <c r="H559" s="31"/>
      <c r="I559" s="47"/>
      <c r="J559" s="31"/>
      <c r="K559" s="47"/>
      <c r="L559" s="47"/>
      <c r="M559" s="47"/>
      <c r="N559" s="31"/>
      <c r="O559" s="47"/>
      <c r="P559" s="31"/>
      <c r="Q559" s="31"/>
      <c r="R559" s="31"/>
      <c r="S559" s="31"/>
      <c r="T559" s="270">
        <f t="shared" si="64"/>
        <v>0</v>
      </c>
      <c r="U559" s="270">
        <f t="shared" si="65"/>
        <v>0</v>
      </c>
      <c r="V559" s="31"/>
      <c r="X559" s="240" t="str">
        <f t="shared" si="66"/>
        <v>OK</v>
      </c>
      <c r="Y559" s="240" t="str">
        <f t="shared" si="67"/>
        <v>OK</v>
      </c>
      <c r="Z559" s="240" t="str">
        <f t="shared" si="68"/>
        <v>OK</v>
      </c>
      <c r="AA559" s="240" t="str" cm="1">
        <f t="array" ref="AA559">IF(OR(AND(J559="Not accepted",N559:O559&lt;&gt;"",$S559=""),AND(J559="Accepted",S559="")),"ERROR","OK")</f>
        <v>OK</v>
      </c>
      <c r="AB559" s="240" t="str">
        <f t="shared" si="69"/>
        <v>OK</v>
      </c>
      <c r="AC559" s="240" t="str" cm="1">
        <f t="array" ref="AC559">IF(AND(F559:H559&lt;&gt;"",I559=""),"ERROR","OK")</f>
        <v>OK</v>
      </c>
      <c r="AD559" s="240" t="str">
        <f t="shared" si="70"/>
        <v>OK</v>
      </c>
      <c r="AE559" s="240" t="str">
        <f t="shared" si="71"/>
        <v>OK</v>
      </c>
      <c r="AF559" s="240" t="str" cm="1">
        <f t="array" aca="1" ref="AF559" ca="1" xml:space="preserve">
IF(AND($G559&lt;&gt;"",$F559=""),"ERROR",
IF(OR($F559:$G559="",AND($G559="",$F559&lt;&gt;"")),"OK",
IF(COUNTIF(INDIRECT(IFERROR(LEFT($F559,FIND(" ",$F559)-1),$F559)), $G559)&gt;0, "OK", "ERROR")))</f>
        <v>OK</v>
      </c>
    </row>
    <row r="560" spans="1:32" s="240" customFormat="1">
      <c r="A560" s="48"/>
      <c r="B560" s="31"/>
      <c r="C560" s="48"/>
      <c r="D560" s="47"/>
      <c r="E560" s="47"/>
      <c r="F560" s="31"/>
      <c r="G560" s="31"/>
      <c r="H560" s="31"/>
      <c r="I560" s="47"/>
      <c r="J560" s="31"/>
      <c r="K560" s="47"/>
      <c r="L560" s="47"/>
      <c r="M560" s="47"/>
      <c r="N560" s="31"/>
      <c r="O560" s="47"/>
      <c r="P560" s="31"/>
      <c r="Q560" s="31"/>
      <c r="R560" s="31"/>
      <c r="S560" s="31"/>
      <c r="T560" s="270">
        <f t="shared" si="64"/>
        <v>0</v>
      </c>
      <c r="U560" s="270">
        <f t="shared" si="65"/>
        <v>0</v>
      </c>
      <c r="V560" s="31"/>
      <c r="X560" s="240" t="str">
        <f t="shared" si="66"/>
        <v>OK</v>
      </c>
      <c r="Y560" s="240" t="str">
        <f t="shared" si="67"/>
        <v>OK</v>
      </c>
      <c r="Z560" s="240" t="str">
        <f t="shared" si="68"/>
        <v>OK</v>
      </c>
      <c r="AA560" s="240" t="str" cm="1">
        <f t="array" ref="AA560">IF(OR(AND(J560="Not accepted",N560:O560&lt;&gt;"",$S560=""),AND(J560="Accepted",S560="")),"ERROR","OK")</f>
        <v>OK</v>
      </c>
      <c r="AB560" s="240" t="str">
        <f t="shared" si="69"/>
        <v>OK</v>
      </c>
      <c r="AC560" s="240" t="str" cm="1">
        <f t="array" ref="AC560">IF(AND(F560:H560&lt;&gt;"",I560=""),"ERROR","OK")</f>
        <v>OK</v>
      </c>
      <c r="AD560" s="240" t="str">
        <f t="shared" si="70"/>
        <v>OK</v>
      </c>
      <c r="AE560" s="240" t="str">
        <f t="shared" si="71"/>
        <v>OK</v>
      </c>
      <c r="AF560" s="240" t="str" cm="1">
        <f t="array" aca="1" ref="AF560" ca="1" xml:space="preserve">
IF(AND($G560&lt;&gt;"",$F560=""),"ERROR",
IF(OR($F560:$G560="",AND($G560="",$F560&lt;&gt;"")),"OK",
IF(COUNTIF(INDIRECT(IFERROR(LEFT($F560,FIND(" ",$F560)-1),$F560)), $G560)&gt;0, "OK", "ERROR")))</f>
        <v>OK</v>
      </c>
    </row>
    <row r="561" spans="1:32" s="240" customFormat="1">
      <c r="A561" s="48"/>
      <c r="B561" s="31"/>
      <c r="C561" s="48"/>
      <c r="D561" s="47"/>
      <c r="E561" s="47"/>
      <c r="F561" s="31"/>
      <c r="G561" s="31"/>
      <c r="H561" s="31"/>
      <c r="I561" s="47"/>
      <c r="J561" s="31"/>
      <c r="K561" s="47"/>
      <c r="L561" s="47"/>
      <c r="M561" s="47"/>
      <c r="N561" s="31"/>
      <c r="O561" s="47"/>
      <c r="P561" s="31"/>
      <c r="Q561" s="31"/>
      <c r="R561" s="31"/>
      <c r="S561" s="31"/>
      <c r="T561" s="270">
        <f t="shared" si="64"/>
        <v>0</v>
      </c>
      <c r="U561" s="270">
        <f t="shared" si="65"/>
        <v>0</v>
      </c>
      <c r="V561" s="31"/>
      <c r="X561" s="240" t="str">
        <f t="shared" si="66"/>
        <v>OK</v>
      </c>
      <c r="Y561" s="240" t="str">
        <f t="shared" si="67"/>
        <v>OK</v>
      </c>
      <c r="Z561" s="240" t="str">
        <f t="shared" si="68"/>
        <v>OK</v>
      </c>
      <c r="AA561" s="240" t="str" cm="1">
        <f t="array" ref="AA561">IF(OR(AND(J561="Not accepted",N561:O561&lt;&gt;"",$S561=""),AND(J561="Accepted",S561="")),"ERROR","OK")</f>
        <v>OK</v>
      </c>
      <c r="AB561" s="240" t="str">
        <f t="shared" si="69"/>
        <v>OK</v>
      </c>
      <c r="AC561" s="240" t="str" cm="1">
        <f t="array" ref="AC561">IF(AND(F561:H561&lt;&gt;"",I561=""),"ERROR","OK")</f>
        <v>OK</v>
      </c>
      <c r="AD561" s="240" t="str">
        <f t="shared" si="70"/>
        <v>OK</v>
      </c>
      <c r="AE561" s="240" t="str">
        <f t="shared" si="71"/>
        <v>OK</v>
      </c>
      <c r="AF561" s="240" t="str" cm="1">
        <f t="array" aca="1" ref="AF561" ca="1" xml:space="preserve">
IF(AND($G561&lt;&gt;"",$F561=""),"ERROR",
IF(OR($F561:$G561="",AND($G561="",$F561&lt;&gt;"")),"OK",
IF(COUNTIF(INDIRECT(IFERROR(LEFT($F561,FIND(" ",$F561)-1),$F561)), $G561)&gt;0, "OK", "ERROR")))</f>
        <v>OK</v>
      </c>
    </row>
    <row r="562" spans="1:32" s="240" customFormat="1">
      <c r="A562" s="48"/>
      <c r="B562" s="31"/>
      <c r="C562" s="48"/>
      <c r="D562" s="47"/>
      <c r="E562" s="47"/>
      <c r="F562" s="31"/>
      <c r="G562" s="31"/>
      <c r="H562" s="31"/>
      <c r="I562" s="47"/>
      <c r="J562" s="31"/>
      <c r="K562" s="47"/>
      <c r="L562" s="47"/>
      <c r="M562" s="47"/>
      <c r="N562" s="31"/>
      <c r="O562" s="47"/>
      <c r="P562" s="31"/>
      <c r="Q562" s="31"/>
      <c r="R562" s="31"/>
      <c r="S562" s="31"/>
      <c r="T562" s="270">
        <f t="shared" si="64"/>
        <v>0</v>
      </c>
      <c r="U562" s="270">
        <f t="shared" si="65"/>
        <v>0</v>
      </c>
      <c r="V562" s="31"/>
      <c r="X562" s="240" t="str">
        <f t="shared" si="66"/>
        <v>OK</v>
      </c>
      <c r="Y562" s="240" t="str">
        <f t="shared" si="67"/>
        <v>OK</v>
      </c>
      <c r="Z562" s="240" t="str">
        <f t="shared" si="68"/>
        <v>OK</v>
      </c>
      <c r="AA562" s="240" t="str" cm="1">
        <f t="array" ref="AA562">IF(OR(AND(J562="Not accepted",N562:O562&lt;&gt;"",$S562=""),AND(J562="Accepted",S562="")),"ERROR","OK")</f>
        <v>OK</v>
      </c>
      <c r="AB562" s="240" t="str">
        <f t="shared" si="69"/>
        <v>OK</v>
      </c>
      <c r="AC562" s="240" t="str" cm="1">
        <f t="array" ref="AC562">IF(AND(F562:H562&lt;&gt;"",I562=""),"ERROR","OK")</f>
        <v>OK</v>
      </c>
      <c r="AD562" s="240" t="str">
        <f t="shared" si="70"/>
        <v>OK</v>
      </c>
      <c r="AE562" s="240" t="str">
        <f t="shared" si="71"/>
        <v>OK</v>
      </c>
      <c r="AF562" s="240" t="str" cm="1">
        <f t="array" aca="1" ref="AF562" ca="1" xml:space="preserve">
IF(AND($G562&lt;&gt;"",$F562=""),"ERROR",
IF(OR($F562:$G562="",AND($G562="",$F562&lt;&gt;"")),"OK",
IF(COUNTIF(INDIRECT(IFERROR(LEFT($F562,FIND(" ",$F562)-1),$F562)), $G562)&gt;0, "OK", "ERROR")))</f>
        <v>OK</v>
      </c>
    </row>
    <row r="563" spans="1:32" s="240" customFormat="1">
      <c r="A563" s="48"/>
      <c r="B563" s="31"/>
      <c r="C563" s="48"/>
      <c r="D563" s="47"/>
      <c r="E563" s="47"/>
      <c r="F563" s="31"/>
      <c r="G563" s="31"/>
      <c r="H563" s="31"/>
      <c r="I563" s="47"/>
      <c r="J563" s="31"/>
      <c r="K563" s="47"/>
      <c r="L563" s="47"/>
      <c r="M563" s="47"/>
      <c r="N563" s="31"/>
      <c r="O563" s="47"/>
      <c r="P563" s="31"/>
      <c r="Q563" s="31"/>
      <c r="R563" s="31"/>
      <c r="S563" s="31"/>
      <c r="T563" s="270">
        <f t="shared" si="64"/>
        <v>0</v>
      </c>
      <c r="U563" s="270">
        <f t="shared" si="65"/>
        <v>0</v>
      </c>
      <c r="V563" s="31"/>
      <c r="X563" s="240" t="str">
        <f t="shared" si="66"/>
        <v>OK</v>
      </c>
      <c r="Y563" s="240" t="str">
        <f t="shared" si="67"/>
        <v>OK</v>
      </c>
      <c r="Z563" s="240" t="str">
        <f t="shared" si="68"/>
        <v>OK</v>
      </c>
      <c r="AA563" s="240" t="str" cm="1">
        <f t="array" ref="AA563">IF(OR(AND(J563="Not accepted",N563:O563&lt;&gt;"",$S563=""),AND(J563="Accepted",S563="")),"ERROR","OK")</f>
        <v>OK</v>
      </c>
      <c r="AB563" s="240" t="str">
        <f t="shared" si="69"/>
        <v>OK</v>
      </c>
      <c r="AC563" s="240" t="str" cm="1">
        <f t="array" ref="AC563">IF(AND(F563:H563&lt;&gt;"",I563=""),"ERROR","OK")</f>
        <v>OK</v>
      </c>
      <c r="AD563" s="240" t="str">
        <f t="shared" si="70"/>
        <v>OK</v>
      </c>
      <c r="AE563" s="240" t="str">
        <f t="shared" si="71"/>
        <v>OK</v>
      </c>
      <c r="AF563" s="240" t="str" cm="1">
        <f t="array" aca="1" ref="AF563" ca="1" xml:space="preserve">
IF(AND($G563&lt;&gt;"",$F563=""),"ERROR",
IF(OR($F563:$G563="",AND($G563="",$F563&lt;&gt;"")),"OK",
IF(COUNTIF(INDIRECT(IFERROR(LEFT($F563,FIND(" ",$F563)-1),$F563)), $G563)&gt;0, "OK", "ERROR")))</f>
        <v>OK</v>
      </c>
    </row>
    <row r="564" spans="1:32" s="240" customFormat="1">
      <c r="A564" s="48"/>
      <c r="B564" s="31"/>
      <c r="C564" s="48"/>
      <c r="D564" s="47"/>
      <c r="E564" s="47"/>
      <c r="F564" s="31"/>
      <c r="G564" s="31"/>
      <c r="H564" s="31"/>
      <c r="I564" s="47"/>
      <c r="J564" s="31"/>
      <c r="K564" s="47"/>
      <c r="L564" s="47"/>
      <c r="M564" s="47"/>
      <c r="N564" s="31"/>
      <c r="O564" s="47"/>
      <c r="P564" s="31"/>
      <c r="Q564" s="31"/>
      <c r="R564" s="31"/>
      <c r="S564" s="31"/>
      <c r="T564" s="270">
        <f t="shared" si="64"/>
        <v>0</v>
      </c>
      <c r="U564" s="270">
        <f t="shared" si="65"/>
        <v>0</v>
      </c>
      <c r="V564" s="31"/>
      <c r="X564" s="240" t="str">
        <f t="shared" si="66"/>
        <v>OK</v>
      </c>
      <c r="Y564" s="240" t="str">
        <f t="shared" si="67"/>
        <v>OK</v>
      </c>
      <c r="Z564" s="240" t="str">
        <f t="shared" si="68"/>
        <v>OK</v>
      </c>
      <c r="AA564" s="240" t="str" cm="1">
        <f t="array" ref="AA564">IF(OR(AND(J564="Not accepted",N564:O564&lt;&gt;"",$S564=""),AND(J564="Accepted",S564="")),"ERROR","OK")</f>
        <v>OK</v>
      </c>
      <c r="AB564" s="240" t="str">
        <f t="shared" si="69"/>
        <v>OK</v>
      </c>
      <c r="AC564" s="240" t="str" cm="1">
        <f t="array" ref="AC564">IF(AND(F564:H564&lt;&gt;"",I564=""),"ERROR","OK")</f>
        <v>OK</v>
      </c>
      <c r="AD564" s="240" t="str">
        <f t="shared" si="70"/>
        <v>OK</v>
      </c>
      <c r="AE564" s="240" t="str">
        <f t="shared" si="71"/>
        <v>OK</v>
      </c>
      <c r="AF564" s="240" t="str" cm="1">
        <f t="array" aca="1" ref="AF564" ca="1" xml:space="preserve">
IF(AND($G564&lt;&gt;"",$F564=""),"ERROR",
IF(OR($F564:$G564="",AND($G564="",$F564&lt;&gt;"")),"OK",
IF(COUNTIF(INDIRECT(IFERROR(LEFT($F564,FIND(" ",$F564)-1),$F564)), $G564)&gt;0, "OK", "ERROR")))</f>
        <v>OK</v>
      </c>
    </row>
    <row r="565" spans="1:32" s="240" customFormat="1">
      <c r="A565" s="48"/>
      <c r="B565" s="31"/>
      <c r="C565" s="48"/>
      <c r="D565" s="47"/>
      <c r="E565" s="47"/>
      <c r="F565" s="31"/>
      <c r="G565" s="31"/>
      <c r="H565" s="31"/>
      <c r="I565" s="47"/>
      <c r="J565" s="31"/>
      <c r="K565" s="47"/>
      <c r="L565" s="47"/>
      <c r="M565" s="47"/>
      <c r="N565" s="31"/>
      <c r="O565" s="47"/>
      <c r="P565" s="31"/>
      <c r="Q565" s="31"/>
      <c r="R565" s="31"/>
      <c r="S565" s="31"/>
      <c r="T565" s="270">
        <f t="shared" si="64"/>
        <v>0</v>
      </c>
      <c r="U565" s="270">
        <f t="shared" si="65"/>
        <v>0</v>
      </c>
      <c r="V565" s="31"/>
      <c r="X565" s="240" t="str">
        <f t="shared" si="66"/>
        <v>OK</v>
      </c>
      <c r="Y565" s="240" t="str">
        <f t="shared" si="67"/>
        <v>OK</v>
      </c>
      <c r="Z565" s="240" t="str">
        <f t="shared" si="68"/>
        <v>OK</v>
      </c>
      <c r="AA565" s="240" t="str" cm="1">
        <f t="array" ref="AA565">IF(OR(AND(J565="Not accepted",N565:O565&lt;&gt;"",$S565=""),AND(J565="Accepted",S565="")),"ERROR","OK")</f>
        <v>OK</v>
      </c>
      <c r="AB565" s="240" t="str">
        <f t="shared" si="69"/>
        <v>OK</v>
      </c>
      <c r="AC565" s="240" t="str" cm="1">
        <f t="array" ref="AC565">IF(AND(F565:H565&lt;&gt;"",I565=""),"ERROR","OK")</f>
        <v>OK</v>
      </c>
      <c r="AD565" s="240" t="str">
        <f t="shared" si="70"/>
        <v>OK</v>
      </c>
      <c r="AE565" s="240" t="str">
        <f t="shared" si="71"/>
        <v>OK</v>
      </c>
      <c r="AF565" s="240" t="str" cm="1">
        <f t="array" aca="1" ref="AF565" ca="1" xml:space="preserve">
IF(AND($G565&lt;&gt;"",$F565=""),"ERROR",
IF(OR($F565:$G565="",AND($G565="",$F565&lt;&gt;"")),"OK",
IF(COUNTIF(INDIRECT(IFERROR(LEFT($F565,FIND(" ",$F565)-1),$F565)), $G565)&gt;0, "OK", "ERROR")))</f>
        <v>OK</v>
      </c>
    </row>
    <row r="566" spans="1:32" s="240" customFormat="1">
      <c r="A566" s="48"/>
      <c r="B566" s="31"/>
      <c r="C566" s="48"/>
      <c r="D566" s="47"/>
      <c r="E566" s="47"/>
      <c r="F566" s="31"/>
      <c r="G566" s="31"/>
      <c r="H566" s="31"/>
      <c r="I566" s="47"/>
      <c r="J566" s="31"/>
      <c r="K566" s="47"/>
      <c r="L566" s="47"/>
      <c r="M566" s="47"/>
      <c r="N566" s="31"/>
      <c r="O566" s="47"/>
      <c r="P566" s="31"/>
      <c r="Q566" s="31"/>
      <c r="R566" s="31"/>
      <c r="S566" s="31"/>
      <c r="T566" s="270">
        <f t="shared" si="64"/>
        <v>0</v>
      </c>
      <c r="U566" s="270">
        <f t="shared" si="65"/>
        <v>0</v>
      </c>
      <c r="V566" s="31"/>
      <c r="X566" s="240" t="str">
        <f t="shared" si="66"/>
        <v>OK</v>
      </c>
      <c r="Y566" s="240" t="str">
        <f t="shared" si="67"/>
        <v>OK</v>
      </c>
      <c r="Z566" s="240" t="str">
        <f t="shared" si="68"/>
        <v>OK</v>
      </c>
      <c r="AA566" s="240" t="str" cm="1">
        <f t="array" ref="AA566">IF(OR(AND(J566="Not accepted",N566:O566&lt;&gt;"",$S566=""),AND(J566="Accepted",S566="")),"ERROR","OK")</f>
        <v>OK</v>
      </c>
      <c r="AB566" s="240" t="str">
        <f t="shared" si="69"/>
        <v>OK</v>
      </c>
      <c r="AC566" s="240" t="str" cm="1">
        <f t="array" ref="AC566">IF(AND(F566:H566&lt;&gt;"",I566=""),"ERROR","OK")</f>
        <v>OK</v>
      </c>
      <c r="AD566" s="240" t="str">
        <f t="shared" si="70"/>
        <v>OK</v>
      </c>
      <c r="AE566" s="240" t="str">
        <f t="shared" si="71"/>
        <v>OK</v>
      </c>
      <c r="AF566" s="240" t="str" cm="1">
        <f t="array" aca="1" ref="AF566" ca="1" xml:space="preserve">
IF(AND($G566&lt;&gt;"",$F566=""),"ERROR",
IF(OR($F566:$G566="",AND($G566="",$F566&lt;&gt;"")),"OK",
IF(COUNTIF(INDIRECT(IFERROR(LEFT($F566,FIND(" ",$F566)-1),$F566)), $G566)&gt;0, "OK", "ERROR")))</f>
        <v>OK</v>
      </c>
    </row>
    <row r="567" spans="1:32" s="240" customFormat="1">
      <c r="A567" s="48"/>
      <c r="B567" s="31"/>
      <c r="C567" s="48"/>
      <c r="D567" s="47"/>
      <c r="E567" s="47"/>
      <c r="F567" s="31"/>
      <c r="G567" s="31"/>
      <c r="H567" s="31"/>
      <c r="I567" s="47"/>
      <c r="J567" s="31"/>
      <c r="K567" s="47"/>
      <c r="L567" s="47"/>
      <c r="M567" s="47"/>
      <c r="N567" s="31"/>
      <c r="O567" s="47"/>
      <c r="P567" s="31"/>
      <c r="Q567" s="31"/>
      <c r="R567" s="31"/>
      <c r="S567" s="31"/>
      <c r="T567" s="270">
        <f t="shared" si="64"/>
        <v>0</v>
      </c>
      <c r="U567" s="270">
        <f t="shared" si="65"/>
        <v>0</v>
      </c>
      <c r="V567" s="31"/>
      <c r="X567" s="240" t="str">
        <f t="shared" si="66"/>
        <v>OK</v>
      </c>
      <c r="Y567" s="240" t="str">
        <f t="shared" si="67"/>
        <v>OK</v>
      </c>
      <c r="Z567" s="240" t="str">
        <f t="shared" si="68"/>
        <v>OK</v>
      </c>
      <c r="AA567" s="240" t="str" cm="1">
        <f t="array" ref="AA567">IF(OR(AND(J567="Not accepted",N567:O567&lt;&gt;"",$S567=""),AND(J567="Accepted",S567="")),"ERROR","OK")</f>
        <v>OK</v>
      </c>
      <c r="AB567" s="240" t="str">
        <f t="shared" si="69"/>
        <v>OK</v>
      </c>
      <c r="AC567" s="240" t="str" cm="1">
        <f t="array" ref="AC567">IF(AND(F567:H567&lt;&gt;"",I567=""),"ERROR","OK")</f>
        <v>OK</v>
      </c>
      <c r="AD567" s="240" t="str">
        <f t="shared" si="70"/>
        <v>OK</v>
      </c>
      <c r="AE567" s="240" t="str">
        <f t="shared" si="71"/>
        <v>OK</v>
      </c>
      <c r="AF567" s="240" t="str" cm="1">
        <f t="array" aca="1" ref="AF567" ca="1" xml:space="preserve">
IF(AND($G567&lt;&gt;"",$F567=""),"ERROR",
IF(OR($F567:$G567="",AND($G567="",$F567&lt;&gt;"")),"OK",
IF(COUNTIF(INDIRECT(IFERROR(LEFT($F567,FIND(" ",$F567)-1),$F567)), $G567)&gt;0, "OK", "ERROR")))</f>
        <v>OK</v>
      </c>
    </row>
    <row r="568" spans="1:32" s="240" customFormat="1">
      <c r="A568" s="48"/>
      <c r="B568" s="31"/>
      <c r="C568" s="48"/>
      <c r="D568" s="47"/>
      <c r="E568" s="47"/>
      <c r="F568" s="31"/>
      <c r="G568" s="31"/>
      <c r="H568" s="31"/>
      <c r="I568" s="47"/>
      <c r="J568" s="31"/>
      <c r="K568" s="47"/>
      <c r="L568" s="47"/>
      <c r="M568" s="47"/>
      <c r="N568" s="31"/>
      <c r="O568" s="47"/>
      <c r="P568" s="31"/>
      <c r="Q568" s="31"/>
      <c r="R568" s="31"/>
      <c r="S568" s="31"/>
      <c r="T568" s="270">
        <f t="shared" si="64"/>
        <v>0</v>
      </c>
      <c r="U568" s="270">
        <f t="shared" si="65"/>
        <v>0</v>
      </c>
      <c r="V568" s="31"/>
      <c r="X568" s="240" t="str">
        <f t="shared" si="66"/>
        <v>OK</v>
      </c>
      <c r="Y568" s="240" t="str">
        <f t="shared" si="67"/>
        <v>OK</v>
      </c>
      <c r="Z568" s="240" t="str">
        <f t="shared" si="68"/>
        <v>OK</v>
      </c>
      <c r="AA568" s="240" t="str" cm="1">
        <f t="array" ref="AA568">IF(OR(AND(J568="Not accepted",N568:O568&lt;&gt;"",$S568=""),AND(J568="Accepted",S568="")),"ERROR","OK")</f>
        <v>OK</v>
      </c>
      <c r="AB568" s="240" t="str">
        <f t="shared" si="69"/>
        <v>OK</v>
      </c>
      <c r="AC568" s="240" t="str" cm="1">
        <f t="array" ref="AC568">IF(AND(F568:H568&lt;&gt;"",I568=""),"ERROR","OK")</f>
        <v>OK</v>
      </c>
      <c r="AD568" s="240" t="str">
        <f t="shared" si="70"/>
        <v>OK</v>
      </c>
      <c r="AE568" s="240" t="str">
        <f t="shared" si="71"/>
        <v>OK</v>
      </c>
      <c r="AF568" s="240" t="str" cm="1">
        <f t="array" aca="1" ref="AF568" ca="1" xml:space="preserve">
IF(AND($G568&lt;&gt;"",$F568=""),"ERROR",
IF(OR($F568:$G568="",AND($G568="",$F568&lt;&gt;"")),"OK",
IF(COUNTIF(INDIRECT(IFERROR(LEFT($F568,FIND(" ",$F568)-1),$F568)), $G568)&gt;0, "OK", "ERROR")))</f>
        <v>OK</v>
      </c>
    </row>
    <row r="569" spans="1:32" s="240" customFormat="1">
      <c r="A569" s="48"/>
      <c r="B569" s="31"/>
      <c r="C569" s="48"/>
      <c r="D569" s="47"/>
      <c r="E569" s="47"/>
      <c r="F569" s="31"/>
      <c r="G569" s="31"/>
      <c r="H569" s="31"/>
      <c r="I569" s="47"/>
      <c r="J569" s="31"/>
      <c r="K569" s="47"/>
      <c r="L569" s="47"/>
      <c r="M569" s="47"/>
      <c r="N569" s="31"/>
      <c r="O569" s="47"/>
      <c r="P569" s="31"/>
      <c r="Q569" s="31"/>
      <c r="R569" s="31"/>
      <c r="S569" s="31"/>
      <c r="T569" s="270">
        <f t="shared" si="64"/>
        <v>0</v>
      </c>
      <c r="U569" s="270">
        <f t="shared" si="65"/>
        <v>0</v>
      </c>
      <c r="V569" s="31"/>
      <c r="X569" s="240" t="str">
        <f t="shared" si="66"/>
        <v>OK</v>
      </c>
      <c r="Y569" s="240" t="str">
        <f t="shared" si="67"/>
        <v>OK</v>
      </c>
      <c r="Z569" s="240" t="str">
        <f t="shared" si="68"/>
        <v>OK</v>
      </c>
      <c r="AA569" s="240" t="str" cm="1">
        <f t="array" ref="AA569">IF(OR(AND(J569="Not accepted",N569:O569&lt;&gt;"",$S569=""),AND(J569="Accepted",S569="")),"ERROR","OK")</f>
        <v>OK</v>
      </c>
      <c r="AB569" s="240" t="str">
        <f t="shared" si="69"/>
        <v>OK</v>
      </c>
      <c r="AC569" s="240" t="str" cm="1">
        <f t="array" ref="AC569">IF(AND(F569:H569&lt;&gt;"",I569=""),"ERROR","OK")</f>
        <v>OK</v>
      </c>
      <c r="AD569" s="240" t="str">
        <f t="shared" si="70"/>
        <v>OK</v>
      </c>
      <c r="AE569" s="240" t="str">
        <f t="shared" si="71"/>
        <v>OK</v>
      </c>
      <c r="AF569" s="240" t="str" cm="1">
        <f t="array" aca="1" ref="AF569" ca="1" xml:space="preserve">
IF(AND($G569&lt;&gt;"",$F569=""),"ERROR",
IF(OR($F569:$G569="",AND($G569="",$F569&lt;&gt;"")),"OK",
IF(COUNTIF(INDIRECT(IFERROR(LEFT($F569,FIND(" ",$F569)-1),$F569)), $G569)&gt;0, "OK", "ERROR")))</f>
        <v>OK</v>
      </c>
    </row>
    <row r="570" spans="1:32" s="240" customFormat="1">
      <c r="A570" s="48"/>
      <c r="B570" s="31"/>
      <c r="C570" s="48"/>
      <c r="D570" s="47"/>
      <c r="E570" s="47"/>
      <c r="F570" s="31"/>
      <c r="G570" s="31"/>
      <c r="H570" s="31"/>
      <c r="I570" s="47"/>
      <c r="J570" s="31"/>
      <c r="K570" s="47"/>
      <c r="L570" s="47"/>
      <c r="M570" s="47"/>
      <c r="N570" s="31"/>
      <c r="O570" s="47"/>
      <c r="P570" s="31"/>
      <c r="Q570" s="31"/>
      <c r="R570" s="31"/>
      <c r="S570" s="31"/>
      <c r="T570" s="270">
        <f t="shared" si="64"/>
        <v>0</v>
      </c>
      <c r="U570" s="270">
        <f t="shared" si="65"/>
        <v>0</v>
      </c>
      <c r="V570" s="31"/>
      <c r="X570" s="240" t="str">
        <f t="shared" si="66"/>
        <v>OK</v>
      </c>
      <c r="Y570" s="240" t="str">
        <f t="shared" si="67"/>
        <v>OK</v>
      </c>
      <c r="Z570" s="240" t="str">
        <f t="shared" si="68"/>
        <v>OK</v>
      </c>
      <c r="AA570" s="240" t="str" cm="1">
        <f t="array" ref="AA570">IF(OR(AND(J570="Not accepted",N570:O570&lt;&gt;"",$S570=""),AND(J570="Accepted",S570="")),"ERROR","OK")</f>
        <v>OK</v>
      </c>
      <c r="AB570" s="240" t="str">
        <f t="shared" si="69"/>
        <v>OK</v>
      </c>
      <c r="AC570" s="240" t="str" cm="1">
        <f t="array" ref="AC570">IF(AND(F570:H570&lt;&gt;"",I570=""),"ERROR","OK")</f>
        <v>OK</v>
      </c>
      <c r="AD570" s="240" t="str">
        <f t="shared" si="70"/>
        <v>OK</v>
      </c>
      <c r="AE570" s="240" t="str">
        <f t="shared" si="71"/>
        <v>OK</v>
      </c>
      <c r="AF570" s="240" t="str" cm="1">
        <f t="array" aca="1" ref="AF570" ca="1" xml:space="preserve">
IF(AND($G570&lt;&gt;"",$F570=""),"ERROR",
IF(OR($F570:$G570="",AND($G570="",$F570&lt;&gt;"")),"OK",
IF(COUNTIF(INDIRECT(IFERROR(LEFT($F570,FIND(" ",$F570)-1),$F570)), $G570)&gt;0, "OK", "ERROR")))</f>
        <v>OK</v>
      </c>
    </row>
    <row r="571" spans="1:32" s="240" customFormat="1">
      <c r="A571" s="48"/>
      <c r="B571" s="31"/>
      <c r="C571" s="48"/>
      <c r="D571" s="47"/>
      <c r="E571" s="47"/>
      <c r="F571" s="31"/>
      <c r="G571" s="31"/>
      <c r="H571" s="31"/>
      <c r="I571" s="47"/>
      <c r="J571" s="31"/>
      <c r="K571" s="47"/>
      <c r="L571" s="47"/>
      <c r="M571" s="47"/>
      <c r="N571" s="31"/>
      <c r="O571" s="47"/>
      <c r="P571" s="31"/>
      <c r="Q571" s="31"/>
      <c r="R571" s="31"/>
      <c r="S571" s="31"/>
      <c r="T571" s="270">
        <f t="shared" si="64"/>
        <v>0</v>
      </c>
      <c r="U571" s="270">
        <f t="shared" si="65"/>
        <v>0</v>
      </c>
      <c r="V571" s="31"/>
      <c r="X571" s="240" t="str">
        <f t="shared" si="66"/>
        <v>OK</v>
      </c>
      <c r="Y571" s="240" t="str">
        <f t="shared" si="67"/>
        <v>OK</v>
      </c>
      <c r="Z571" s="240" t="str">
        <f t="shared" si="68"/>
        <v>OK</v>
      </c>
      <c r="AA571" s="240" t="str" cm="1">
        <f t="array" ref="AA571">IF(OR(AND(J571="Not accepted",N571:O571&lt;&gt;"",$S571=""),AND(J571="Accepted",S571="")),"ERROR","OK")</f>
        <v>OK</v>
      </c>
      <c r="AB571" s="240" t="str">
        <f t="shared" si="69"/>
        <v>OK</v>
      </c>
      <c r="AC571" s="240" t="str" cm="1">
        <f t="array" ref="AC571">IF(AND(F571:H571&lt;&gt;"",I571=""),"ERROR","OK")</f>
        <v>OK</v>
      </c>
      <c r="AD571" s="240" t="str">
        <f t="shared" si="70"/>
        <v>OK</v>
      </c>
      <c r="AE571" s="240" t="str">
        <f t="shared" si="71"/>
        <v>OK</v>
      </c>
      <c r="AF571" s="240" t="str" cm="1">
        <f t="array" aca="1" ref="AF571" ca="1" xml:space="preserve">
IF(AND($G571&lt;&gt;"",$F571=""),"ERROR",
IF(OR($F571:$G571="",AND($G571="",$F571&lt;&gt;"")),"OK",
IF(COUNTIF(INDIRECT(IFERROR(LEFT($F571,FIND(" ",$F571)-1),$F571)), $G571)&gt;0, "OK", "ERROR")))</f>
        <v>OK</v>
      </c>
    </row>
    <row r="572" spans="1:32" s="240" customFormat="1">
      <c r="A572" s="48"/>
      <c r="B572" s="31"/>
      <c r="C572" s="48"/>
      <c r="D572" s="47"/>
      <c r="E572" s="47"/>
      <c r="F572" s="31"/>
      <c r="G572" s="31"/>
      <c r="H572" s="31"/>
      <c r="I572" s="47"/>
      <c r="J572" s="31"/>
      <c r="K572" s="47"/>
      <c r="L572" s="47"/>
      <c r="M572" s="47"/>
      <c r="N572" s="31"/>
      <c r="O572" s="47"/>
      <c r="P572" s="31"/>
      <c r="Q572" s="31"/>
      <c r="R572" s="31"/>
      <c r="S572" s="31"/>
      <c r="T572" s="270">
        <f t="shared" si="64"/>
        <v>0</v>
      </c>
      <c r="U572" s="270">
        <f t="shared" si="65"/>
        <v>0</v>
      </c>
      <c r="V572" s="31"/>
      <c r="X572" s="240" t="str">
        <f t="shared" si="66"/>
        <v>OK</v>
      </c>
      <c r="Y572" s="240" t="str">
        <f t="shared" si="67"/>
        <v>OK</v>
      </c>
      <c r="Z572" s="240" t="str">
        <f t="shared" si="68"/>
        <v>OK</v>
      </c>
      <c r="AA572" s="240" t="str" cm="1">
        <f t="array" ref="AA572">IF(OR(AND(J572="Not accepted",N572:O572&lt;&gt;"",$S572=""),AND(J572="Accepted",S572="")),"ERROR","OK")</f>
        <v>OK</v>
      </c>
      <c r="AB572" s="240" t="str">
        <f t="shared" si="69"/>
        <v>OK</v>
      </c>
      <c r="AC572" s="240" t="str" cm="1">
        <f t="array" ref="AC572">IF(AND(F572:H572&lt;&gt;"",I572=""),"ERROR","OK")</f>
        <v>OK</v>
      </c>
      <c r="AD572" s="240" t="str">
        <f t="shared" si="70"/>
        <v>OK</v>
      </c>
      <c r="AE572" s="240" t="str">
        <f t="shared" si="71"/>
        <v>OK</v>
      </c>
      <c r="AF572" s="240" t="str" cm="1">
        <f t="array" aca="1" ref="AF572" ca="1" xml:space="preserve">
IF(AND($G572&lt;&gt;"",$F572=""),"ERROR",
IF(OR($F572:$G572="",AND($G572="",$F572&lt;&gt;"")),"OK",
IF(COUNTIF(INDIRECT(IFERROR(LEFT($F572,FIND(" ",$F572)-1),$F572)), $G572)&gt;0, "OK", "ERROR")))</f>
        <v>OK</v>
      </c>
    </row>
    <row r="573" spans="1:32" s="240" customFormat="1">
      <c r="A573" s="48"/>
      <c r="B573" s="31"/>
      <c r="C573" s="48"/>
      <c r="D573" s="47"/>
      <c r="E573" s="47"/>
      <c r="F573" s="31"/>
      <c r="G573" s="31"/>
      <c r="H573" s="31"/>
      <c r="I573" s="47"/>
      <c r="J573" s="31"/>
      <c r="K573" s="47"/>
      <c r="L573" s="47"/>
      <c r="M573" s="47"/>
      <c r="N573" s="31"/>
      <c r="O573" s="47"/>
      <c r="P573" s="31"/>
      <c r="Q573" s="31"/>
      <c r="R573" s="31"/>
      <c r="S573" s="31"/>
      <c r="T573" s="270">
        <f t="shared" si="64"/>
        <v>0</v>
      </c>
      <c r="U573" s="270">
        <f t="shared" si="65"/>
        <v>0</v>
      </c>
      <c r="V573" s="31"/>
      <c r="X573" s="240" t="str">
        <f t="shared" si="66"/>
        <v>OK</v>
      </c>
      <c r="Y573" s="240" t="str">
        <f t="shared" si="67"/>
        <v>OK</v>
      </c>
      <c r="Z573" s="240" t="str">
        <f t="shared" si="68"/>
        <v>OK</v>
      </c>
      <c r="AA573" s="240" t="str" cm="1">
        <f t="array" ref="AA573">IF(OR(AND(J573="Not accepted",N573:O573&lt;&gt;"",$S573=""),AND(J573="Accepted",S573="")),"ERROR","OK")</f>
        <v>OK</v>
      </c>
      <c r="AB573" s="240" t="str">
        <f t="shared" si="69"/>
        <v>OK</v>
      </c>
      <c r="AC573" s="240" t="str" cm="1">
        <f t="array" ref="AC573">IF(AND(F573:H573&lt;&gt;"",I573=""),"ERROR","OK")</f>
        <v>OK</v>
      </c>
      <c r="AD573" s="240" t="str">
        <f t="shared" si="70"/>
        <v>OK</v>
      </c>
      <c r="AE573" s="240" t="str">
        <f t="shared" si="71"/>
        <v>OK</v>
      </c>
      <c r="AF573" s="240" t="str" cm="1">
        <f t="array" aca="1" ref="AF573" ca="1" xml:space="preserve">
IF(AND($G573&lt;&gt;"",$F573=""),"ERROR",
IF(OR($F573:$G573="",AND($G573="",$F573&lt;&gt;"")),"OK",
IF(COUNTIF(INDIRECT(IFERROR(LEFT($F573,FIND(" ",$F573)-1),$F573)), $G573)&gt;0, "OK", "ERROR")))</f>
        <v>OK</v>
      </c>
    </row>
    <row r="574" spans="1:32" s="240" customFormat="1">
      <c r="A574" s="48"/>
      <c r="B574" s="31"/>
      <c r="C574" s="48"/>
      <c r="D574" s="47"/>
      <c r="E574" s="47"/>
      <c r="F574" s="31"/>
      <c r="G574" s="31"/>
      <c r="H574" s="31"/>
      <c r="I574" s="47"/>
      <c r="J574" s="31"/>
      <c r="K574" s="47"/>
      <c r="L574" s="47"/>
      <c r="M574" s="47"/>
      <c r="N574" s="31"/>
      <c r="O574" s="47"/>
      <c r="P574" s="31"/>
      <c r="Q574" s="31"/>
      <c r="R574" s="31"/>
      <c r="S574" s="31"/>
      <c r="T574" s="270">
        <f t="shared" si="64"/>
        <v>0</v>
      </c>
      <c r="U574" s="270">
        <f t="shared" si="65"/>
        <v>0</v>
      </c>
      <c r="V574" s="31"/>
      <c r="X574" s="240" t="str">
        <f t="shared" si="66"/>
        <v>OK</v>
      </c>
      <c r="Y574" s="240" t="str">
        <f t="shared" si="67"/>
        <v>OK</v>
      </c>
      <c r="Z574" s="240" t="str">
        <f t="shared" si="68"/>
        <v>OK</v>
      </c>
      <c r="AA574" s="240" t="str" cm="1">
        <f t="array" ref="AA574">IF(OR(AND(J574="Not accepted",N574:O574&lt;&gt;"",$S574=""),AND(J574="Accepted",S574="")),"ERROR","OK")</f>
        <v>OK</v>
      </c>
      <c r="AB574" s="240" t="str">
        <f t="shared" si="69"/>
        <v>OK</v>
      </c>
      <c r="AC574" s="240" t="str" cm="1">
        <f t="array" ref="AC574">IF(AND(F574:H574&lt;&gt;"",I574=""),"ERROR","OK")</f>
        <v>OK</v>
      </c>
      <c r="AD574" s="240" t="str">
        <f t="shared" si="70"/>
        <v>OK</v>
      </c>
      <c r="AE574" s="240" t="str">
        <f t="shared" si="71"/>
        <v>OK</v>
      </c>
      <c r="AF574" s="240" t="str" cm="1">
        <f t="array" aca="1" ref="AF574" ca="1" xml:space="preserve">
IF(AND($G574&lt;&gt;"",$F574=""),"ERROR",
IF(OR($F574:$G574="",AND($G574="",$F574&lt;&gt;"")),"OK",
IF(COUNTIF(INDIRECT(IFERROR(LEFT($F574,FIND(" ",$F574)-1),$F574)), $G574)&gt;0, "OK", "ERROR")))</f>
        <v>OK</v>
      </c>
    </row>
    <row r="575" spans="1:32" s="240" customFormat="1">
      <c r="A575" s="48"/>
      <c r="B575" s="31"/>
      <c r="C575" s="48"/>
      <c r="D575" s="47"/>
      <c r="E575" s="47"/>
      <c r="F575" s="31"/>
      <c r="G575" s="31"/>
      <c r="H575" s="31"/>
      <c r="I575" s="47"/>
      <c r="J575" s="31"/>
      <c r="K575" s="47"/>
      <c r="L575" s="47"/>
      <c r="M575" s="47"/>
      <c r="N575" s="31"/>
      <c r="O575" s="47"/>
      <c r="P575" s="31"/>
      <c r="Q575" s="31"/>
      <c r="R575" s="31"/>
      <c r="S575" s="31"/>
      <c r="T575" s="270">
        <f t="shared" si="64"/>
        <v>0</v>
      </c>
      <c r="U575" s="270">
        <f t="shared" si="65"/>
        <v>0</v>
      </c>
      <c r="V575" s="31"/>
      <c r="X575" s="240" t="str">
        <f t="shared" si="66"/>
        <v>OK</v>
      </c>
      <c r="Y575" s="240" t="str">
        <f t="shared" si="67"/>
        <v>OK</v>
      </c>
      <c r="Z575" s="240" t="str">
        <f t="shared" si="68"/>
        <v>OK</v>
      </c>
      <c r="AA575" s="240" t="str" cm="1">
        <f t="array" ref="AA575">IF(OR(AND(J575="Not accepted",N575:O575&lt;&gt;"",$S575=""),AND(J575="Accepted",S575="")),"ERROR","OK")</f>
        <v>OK</v>
      </c>
      <c r="AB575" s="240" t="str">
        <f t="shared" si="69"/>
        <v>OK</v>
      </c>
      <c r="AC575" s="240" t="str" cm="1">
        <f t="array" ref="AC575">IF(AND(F575:H575&lt;&gt;"",I575=""),"ERROR","OK")</f>
        <v>OK</v>
      </c>
      <c r="AD575" s="240" t="str">
        <f t="shared" si="70"/>
        <v>OK</v>
      </c>
      <c r="AE575" s="240" t="str">
        <f t="shared" si="71"/>
        <v>OK</v>
      </c>
      <c r="AF575" s="240" t="str" cm="1">
        <f t="array" aca="1" ref="AF575" ca="1" xml:space="preserve">
IF(AND($G575&lt;&gt;"",$F575=""),"ERROR",
IF(OR($F575:$G575="",AND($G575="",$F575&lt;&gt;"")),"OK",
IF(COUNTIF(INDIRECT(IFERROR(LEFT($F575,FIND(" ",$F575)-1),$F575)), $G575)&gt;0, "OK", "ERROR")))</f>
        <v>OK</v>
      </c>
    </row>
    <row r="576" spans="1:32" s="240" customFormat="1">
      <c r="A576" s="48"/>
      <c r="B576" s="31"/>
      <c r="C576" s="48"/>
      <c r="D576" s="47"/>
      <c r="E576" s="47"/>
      <c r="F576" s="31"/>
      <c r="G576" s="31"/>
      <c r="H576" s="31"/>
      <c r="I576" s="47"/>
      <c r="J576" s="31"/>
      <c r="K576" s="47"/>
      <c r="L576" s="47"/>
      <c r="M576" s="47"/>
      <c r="N576" s="31"/>
      <c r="O576" s="47"/>
      <c r="P576" s="31"/>
      <c r="Q576" s="31"/>
      <c r="R576" s="31"/>
      <c r="S576" s="31"/>
      <c r="T576" s="270">
        <f t="shared" si="64"/>
        <v>0</v>
      </c>
      <c r="U576" s="270">
        <f t="shared" si="65"/>
        <v>0</v>
      </c>
      <c r="V576" s="31"/>
      <c r="X576" s="240" t="str">
        <f t="shared" si="66"/>
        <v>OK</v>
      </c>
      <c r="Y576" s="240" t="str">
        <f t="shared" si="67"/>
        <v>OK</v>
      </c>
      <c r="Z576" s="240" t="str">
        <f t="shared" si="68"/>
        <v>OK</v>
      </c>
      <c r="AA576" s="240" t="str" cm="1">
        <f t="array" ref="AA576">IF(OR(AND(J576="Not accepted",N576:O576&lt;&gt;"",$S576=""),AND(J576="Accepted",S576="")),"ERROR","OK")</f>
        <v>OK</v>
      </c>
      <c r="AB576" s="240" t="str">
        <f t="shared" si="69"/>
        <v>OK</v>
      </c>
      <c r="AC576" s="240" t="str" cm="1">
        <f t="array" ref="AC576">IF(AND(F576:H576&lt;&gt;"",I576=""),"ERROR","OK")</f>
        <v>OK</v>
      </c>
      <c r="AD576" s="240" t="str">
        <f t="shared" si="70"/>
        <v>OK</v>
      </c>
      <c r="AE576" s="240" t="str">
        <f t="shared" si="71"/>
        <v>OK</v>
      </c>
      <c r="AF576" s="240" t="str" cm="1">
        <f t="array" aca="1" ref="AF576" ca="1" xml:space="preserve">
IF(AND($G576&lt;&gt;"",$F576=""),"ERROR",
IF(OR($F576:$G576="",AND($G576="",$F576&lt;&gt;"")),"OK",
IF(COUNTIF(INDIRECT(IFERROR(LEFT($F576,FIND(" ",$F576)-1),$F576)), $G576)&gt;0, "OK", "ERROR")))</f>
        <v>OK</v>
      </c>
    </row>
    <row r="577" spans="1:32" s="240" customFormat="1">
      <c r="A577" s="48"/>
      <c r="B577" s="31"/>
      <c r="C577" s="48"/>
      <c r="D577" s="47"/>
      <c r="E577" s="47"/>
      <c r="F577" s="31"/>
      <c r="G577" s="31"/>
      <c r="H577" s="31"/>
      <c r="I577" s="47"/>
      <c r="J577" s="31"/>
      <c r="K577" s="47"/>
      <c r="L577" s="47"/>
      <c r="M577" s="47"/>
      <c r="N577" s="31"/>
      <c r="O577" s="47"/>
      <c r="P577" s="31"/>
      <c r="Q577" s="31"/>
      <c r="R577" s="31"/>
      <c r="S577" s="31"/>
      <c r="T577" s="270">
        <f t="shared" si="64"/>
        <v>0</v>
      </c>
      <c r="U577" s="270">
        <f t="shared" si="65"/>
        <v>0</v>
      </c>
      <c r="V577" s="31"/>
      <c r="X577" s="240" t="str">
        <f t="shared" si="66"/>
        <v>OK</v>
      </c>
      <c r="Y577" s="240" t="str">
        <f t="shared" si="67"/>
        <v>OK</v>
      </c>
      <c r="Z577" s="240" t="str">
        <f t="shared" si="68"/>
        <v>OK</v>
      </c>
      <c r="AA577" s="240" t="str" cm="1">
        <f t="array" ref="AA577">IF(OR(AND(J577="Not accepted",N577:O577&lt;&gt;"",$S577=""),AND(J577="Accepted",S577="")),"ERROR","OK")</f>
        <v>OK</v>
      </c>
      <c r="AB577" s="240" t="str">
        <f t="shared" si="69"/>
        <v>OK</v>
      </c>
      <c r="AC577" s="240" t="str" cm="1">
        <f t="array" ref="AC577">IF(AND(F577:H577&lt;&gt;"",I577=""),"ERROR","OK")</f>
        <v>OK</v>
      </c>
      <c r="AD577" s="240" t="str">
        <f t="shared" si="70"/>
        <v>OK</v>
      </c>
      <c r="AE577" s="240" t="str">
        <f t="shared" si="71"/>
        <v>OK</v>
      </c>
      <c r="AF577" s="240" t="str" cm="1">
        <f t="array" aca="1" ref="AF577" ca="1" xml:space="preserve">
IF(AND($G577&lt;&gt;"",$F577=""),"ERROR",
IF(OR($F577:$G577="",AND($G577="",$F577&lt;&gt;"")),"OK",
IF(COUNTIF(INDIRECT(IFERROR(LEFT($F577,FIND(" ",$F577)-1),$F577)), $G577)&gt;0, "OK", "ERROR")))</f>
        <v>OK</v>
      </c>
    </row>
    <row r="578" spans="1:32" s="240" customFormat="1">
      <c r="A578" s="48"/>
      <c r="B578" s="31"/>
      <c r="C578" s="48"/>
      <c r="D578" s="47"/>
      <c r="E578" s="47"/>
      <c r="F578" s="31"/>
      <c r="G578" s="31"/>
      <c r="H578" s="31"/>
      <c r="I578" s="47"/>
      <c r="J578" s="31"/>
      <c r="K578" s="47"/>
      <c r="L578" s="47"/>
      <c r="M578" s="47"/>
      <c r="N578" s="31"/>
      <c r="O578" s="47"/>
      <c r="P578" s="31"/>
      <c r="Q578" s="31"/>
      <c r="R578" s="31"/>
      <c r="S578" s="31"/>
      <c r="T578" s="270">
        <f t="shared" si="64"/>
        <v>0</v>
      </c>
      <c r="U578" s="270">
        <f t="shared" si="65"/>
        <v>0</v>
      </c>
      <c r="V578" s="31"/>
      <c r="X578" s="240" t="str">
        <f t="shared" si="66"/>
        <v>OK</v>
      </c>
      <c r="Y578" s="240" t="str">
        <f t="shared" si="67"/>
        <v>OK</v>
      </c>
      <c r="Z578" s="240" t="str">
        <f t="shared" si="68"/>
        <v>OK</v>
      </c>
      <c r="AA578" s="240" t="str" cm="1">
        <f t="array" ref="AA578">IF(OR(AND(J578="Not accepted",N578:O578&lt;&gt;"",$S578=""),AND(J578="Accepted",S578="")),"ERROR","OK")</f>
        <v>OK</v>
      </c>
      <c r="AB578" s="240" t="str">
        <f t="shared" si="69"/>
        <v>OK</v>
      </c>
      <c r="AC578" s="240" t="str" cm="1">
        <f t="array" ref="AC578">IF(AND(F578:H578&lt;&gt;"",I578=""),"ERROR","OK")</f>
        <v>OK</v>
      </c>
      <c r="AD578" s="240" t="str">
        <f t="shared" si="70"/>
        <v>OK</v>
      </c>
      <c r="AE578" s="240" t="str">
        <f t="shared" si="71"/>
        <v>OK</v>
      </c>
      <c r="AF578" s="240" t="str" cm="1">
        <f t="array" aca="1" ref="AF578" ca="1" xml:space="preserve">
IF(AND($G578&lt;&gt;"",$F578=""),"ERROR",
IF(OR($F578:$G578="",AND($G578="",$F578&lt;&gt;"")),"OK",
IF(COUNTIF(INDIRECT(IFERROR(LEFT($F578,FIND(" ",$F578)-1),$F578)), $G578)&gt;0, "OK", "ERROR")))</f>
        <v>OK</v>
      </c>
    </row>
    <row r="579" spans="1:32" s="240" customFormat="1">
      <c r="A579" s="48"/>
      <c r="B579" s="31"/>
      <c r="C579" s="48"/>
      <c r="D579" s="47"/>
      <c r="E579" s="47"/>
      <c r="F579" s="31"/>
      <c r="G579" s="31"/>
      <c r="H579" s="31"/>
      <c r="I579" s="47"/>
      <c r="J579" s="31"/>
      <c r="K579" s="47"/>
      <c r="L579" s="47"/>
      <c r="M579" s="47"/>
      <c r="N579" s="31"/>
      <c r="O579" s="47"/>
      <c r="P579" s="31"/>
      <c r="Q579" s="31"/>
      <c r="R579" s="31"/>
      <c r="S579" s="31"/>
      <c r="T579" s="270">
        <f t="shared" si="64"/>
        <v>0</v>
      </c>
      <c r="U579" s="270">
        <f t="shared" si="65"/>
        <v>0</v>
      </c>
      <c r="V579" s="31"/>
      <c r="X579" s="240" t="str">
        <f t="shared" si="66"/>
        <v>OK</v>
      </c>
      <c r="Y579" s="240" t="str">
        <f t="shared" si="67"/>
        <v>OK</v>
      </c>
      <c r="Z579" s="240" t="str">
        <f t="shared" si="68"/>
        <v>OK</v>
      </c>
      <c r="AA579" s="240" t="str" cm="1">
        <f t="array" ref="AA579">IF(OR(AND(J579="Not accepted",N579:O579&lt;&gt;"",$S579=""),AND(J579="Accepted",S579="")),"ERROR","OK")</f>
        <v>OK</v>
      </c>
      <c r="AB579" s="240" t="str">
        <f t="shared" si="69"/>
        <v>OK</v>
      </c>
      <c r="AC579" s="240" t="str" cm="1">
        <f t="array" ref="AC579">IF(AND(F579:H579&lt;&gt;"",I579=""),"ERROR","OK")</f>
        <v>OK</v>
      </c>
      <c r="AD579" s="240" t="str">
        <f t="shared" si="70"/>
        <v>OK</v>
      </c>
      <c r="AE579" s="240" t="str">
        <f t="shared" si="71"/>
        <v>OK</v>
      </c>
      <c r="AF579" s="240" t="str" cm="1">
        <f t="array" aca="1" ref="AF579" ca="1" xml:space="preserve">
IF(AND($G579&lt;&gt;"",$F579=""),"ERROR",
IF(OR($F579:$G579="",AND($G579="",$F579&lt;&gt;"")),"OK",
IF(COUNTIF(INDIRECT(IFERROR(LEFT($F579,FIND(" ",$F579)-1),$F579)), $G579)&gt;0, "OK", "ERROR")))</f>
        <v>OK</v>
      </c>
    </row>
    <row r="580" spans="1:32" s="240" customFormat="1">
      <c r="A580" s="48"/>
      <c r="B580" s="31"/>
      <c r="C580" s="48"/>
      <c r="D580" s="47"/>
      <c r="E580" s="47"/>
      <c r="F580" s="31"/>
      <c r="G580" s="31"/>
      <c r="H580" s="31"/>
      <c r="I580" s="47"/>
      <c r="J580" s="31"/>
      <c r="K580" s="47"/>
      <c r="L580" s="47"/>
      <c r="M580" s="47"/>
      <c r="N580" s="31"/>
      <c r="O580" s="47"/>
      <c r="P580" s="31"/>
      <c r="Q580" s="31"/>
      <c r="R580" s="31"/>
      <c r="S580" s="31"/>
      <c r="T580" s="270">
        <f t="shared" si="64"/>
        <v>0</v>
      </c>
      <c r="U580" s="270">
        <f t="shared" si="65"/>
        <v>0</v>
      </c>
      <c r="V580" s="31"/>
      <c r="X580" s="240" t="str">
        <f t="shared" si="66"/>
        <v>OK</v>
      </c>
      <c r="Y580" s="240" t="str">
        <f t="shared" si="67"/>
        <v>OK</v>
      </c>
      <c r="Z580" s="240" t="str">
        <f t="shared" si="68"/>
        <v>OK</v>
      </c>
      <c r="AA580" s="240" t="str" cm="1">
        <f t="array" ref="AA580">IF(OR(AND(J580="Not accepted",N580:O580&lt;&gt;"",$S580=""),AND(J580="Accepted",S580="")),"ERROR","OK")</f>
        <v>OK</v>
      </c>
      <c r="AB580" s="240" t="str">
        <f t="shared" si="69"/>
        <v>OK</v>
      </c>
      <c r="AC580" s="240" t="str" cm="1">
        <f t="array" ref="AC580">IF(AND(F580:H580&lt;&gt;"",I580=""),"ERROR","OK")</f>
        <v>OK</v>
      </c>
      <c r="AD580" s="240" t="str">
        <f t="shared" si="70"/>
        <v>OK</v>
      </c>
      <c r="AE580" s="240" t="str">
        <f t="shared" si="71"/>
        <v>OK</v>
      </c>
      <c r="AF580" s="240" t="str" cm="1">
        <f t="array" aca="1" ref="AF580" ca="1" xml:space="preserve">
IF(AND($G580&lt;&gt;"",$F580=""),"ERROR",
IF(OR($F580:$G580="",AND($G580="",$F580&lt;&gt;"")),"OK",
IF(COUNTIF(INDIRECT(IFERROR(LEFT($F580,FIND(" ",$F580)-1),$F580)), $G580)&gt;0, "OK", "ERROR")))</f>
        <v>OK</v>
      </c>
    </row>
    <row r="581" spans="1:32" s="240" customFormat="1">
      <c r="A581" s="48"/>
      <c r="B581" s="31"/>
      <c r="C581" s="48"/>
      <c r="D581" s="47"/>
      <c r="E581" s="47"/>
      <c r="F581" s="31"/>
      <c r="G581" s="31"/>
      <c r="H581" s="31"/>
      <c r="I581" s="47"/>
      <c r="J581" s="31"/>
      <c r="K581" s="47"/>
      <c r="L581" s="47"/>
      <c r="M581" s="47"/>
      <c r="N581" s="31"/>
      <c r="O581" s="47"/>
      <c r="P581" s="31"/>
      <c r="Q581" s="31"/>
      <c r="R581" s="31"/>
      <c r="S581" s="31"/>
      <c r="T581" s="270">
        <f t="shared" ref="T581:T644" si="72">IF(OR($J581="Accepted",ISBLANK($J581)),IF(AND($G581="Legacy Data",$Q581="Legacy Data"),1,IF(OR($G581="Legacy Data",$Q581="Legacy Data"),1,0)),IF(OR($N581="Agree with original translator",ISBLANK($N581)),IF(AND($G581="Source Text Data",$Q581="Legacy Data"),1,IF(AND($G581="Legacy Data",$Q581="Legacy Data"),1,IF($Q581="Legacy Data",1,0))),IF(AND($G581="Legacy Data",$Q581="Legacy Data"),1,IF(OR($Q581="Legacy Data",ISBLANK($Q581)),IF($G581&lt;&gt;"Legacy Data",IF(AND($G581="Source Text Data",$Q581="Legacy Data"),1,0),1),0))))</f>
        <v>0</v>
      </c>
      <c r="U581" s="270">
        <f t="shared" ref="U581:U644" si="73">IF(OR($J581="Accepted",ISBLANK($J581)),IF(AND($G581="Source Text Data",$Q581="Source Text Data"),1,IF(OR($G581="Source Text Data",$Q581="Source Text Data"),1,0)),IF(OR($N581="Agree with original translator",ISBLANK($N581)),IF(AND($G581="Legacy Data",$Q581="Source Text Data"),1,IF(AND($G581="Source Text Data",$Q581="Source Text Data"),1,IF($Q581="Source Text Data",1,0))),IF(AND($G581="Source Text Data",$Q581="Source Text Data"),1,IF(OR($Q581="Source Text Data",ISBLANK($Q581)),IF($G581&lt;&gt;"Source Text Data",IF(AND($G581="Legacy Data",$Q581="Source Text Data"),1,0),1),0))))</f>
        <v>0</v>
      </c>
      <c r="V581" s="31"/>
      <c r="X581" s="240" t="str">
        <f t="shared" ref="X581:X644" si="74">IF(AND(COUNTBLANK($F581:$H581)&lt;&gt;COLUMNS($F581:$H581),COUNTA($F581:$H581)&lt;&gt;COLUMNS($F581:$H581)),"ERROR","OK")</f>
        <v>OK</v>
      </c>
      <c r="Y581" s="240" t="str">
        <f t="shared" ref="Y581:Y644" si="75">IF(AND($J581="Not accepted",$K581=""),"ERROR","OK")</f>
        <v>OK</v>
      </c>
      <c r="Z581" s="240" t="str">
        <f t="shared" ref="Z581:Z644" si="76">IF(AND($F581&lt;&gt;"",$J581=""),"ERROR","OK")</f>
        <v>OK</v>
      </c>
      <c r="AA581" s="240" t="str" cm="1">
        <f t="array" ref="AA581">IF(OR(AND(J581="Not accepted",N581:O581&lt;&gt;"",$S581=""),AND(J581="Accepted",S581="")),"ERROR","OK")</f>
        <v>OK</v>
      </c>
      <c r="AB581" s="240" t="str">
        <f t="shared" ref="AB581:AB644" si="77">IF(AND($S581="Not Implemented",$V581=""),"ERROR","OK")</f>
        <v>OK</v>
      </c>
      <c r="AC581" s="240" t="str" cm="1">
        <f t="array" ref="AC581">IF(AND(F581:H581&lt;&gt;"",I581=""),"ERROR","OK")</f>
        <v>OK</v>
      </c>
      <c r="AD581" s="240" t="str">
        <f t="shared" ref="AD581:AD644" si="78">IF(AND($N581="",$J581="Not accepted",$K581&lt;&gt;""),"ERROR","OK")</f>
        <v>OK</v>
      </c>
      <c r="AE581" s="240" t="str">
        <f t="shared" ref="AE581:AE644" si="79">IF(AND($O581="",$N581&lt;&gt;""),"ERROR","OK")</f>
        <v>OK</v>
      </c>
      <c r="AF581" s="240" t="str" cm="1">
        <f t="array" aca="1" ref="AF581" ca="1" xml:space="preserve">
IF(AND($G581&lt;&gt;"",$F581=""),"ERROR",
IF(OR($F581:$G581="",AND($G581="",$F581&lt;&gt;"")),"OK",
IF(COUNTIF(INDIRECT(IFERROR(LEFT($F581,FIND(" ",$F581)-1),$F581)), $G581)&gt;0, "OK", "ERROR")))</f>
        <v>OK</v>
      </c>
    </row>
    <row r="582" spans="1:32" s="240" customFormat="1">
      <c r="A582" s="48"/>
      <c r="B582" s="31"/>
      <c r="C582" s="48"/>
      <c r="D582" s="47"/>
      <c r="E582" s="47"/>
      <c r="F582" s="31"/>
      <c r="G582" s="31"/>
      <c r="H582" s="31"/>
      <c r="I582" s="47"/>
      <c r="J582" s="31"/>
      <c r="K582" s="47"/>
      <c r="L582" s="47"/>
      <c r="M582" s="47"/>
      <c r="N582" s="31"/>
      <c r="O582" s="47"/>
      <c r="P582" s="31"/>
      <c r="Q582" s="31"/>
      <c r="R582" s="31"/>
      <c r="S582" s="31"/>
      <c r="T582" s="270">
        <f t="shared" si="72"/>
        <v>0</v>
      </c>
      <c r="U582" s="270">
        <f t="shared" si="73"/>
        <v>0</v>
      </c>
      <c r="V582" s="31"/>
      <c r="X582" s="240" t="str">
        <f t="shared" si="74"/>
        <v>OK</v>
      </c>
      <c r="Y582" s="240" t="str">
        <f t="shared" si="75"/>
        <v>OK</v>
      </c>
      <c r="Z582" s="240" t="str">
        <f t="shared" si="76"/>
        <v>OK</v>
      </c>
      <c r="AA582" s="240" t="str" cm="1">
        <f t="array" ref="AA582">IF(OR(AND(J582="Not accepted",N582:O582&lt;&gt;"",$S582=""),AND(J582="Accepted",S582="")),"ERROR","OK")</f>
        <v>OK</v>
      </c>
      <c r="AB582" s="240" t="str">
        <f t="shared" si="77"/>
        <v>OK</v>
      </c>
      <c r="AC582" s="240" t="str" cm="1">
        <f t="array" ref="AC582">IF(AND(F582:H582&lt;&gt;"",I582=""),"ERROR","OK")</f>
        <v>OK</v>
      </c>
      <c r="AD582" s="240" t="str">
        <f t="shared" si="78"/>
        <v>OK</v>
      </c>
      <c r="AE582" s="240" t="str">
        <f t="shared" si="79"/>
        <v>OK</v>
      </c>
      <c r="AF582" s="240" t="str" cm="1">
        <f t="array" aca="1" ref="AF582" ca="1" xml:space="preserve">
IF(AND($G582&lt;&gt;"",$F582=""),"ERROR",
IF(OR($F582:$G582="",AND($G582="",$F582&lt;&gt;"")),"OK",
IF(COUNTIF(INDIRECT(IFERROR(LEFT($F582,FIND(" ",$F582)-1),$F582)), $G582)&gt;0, "OK", "ERROR")))</f>
        <v>OK</v>
      </c>
    </row>
    <row r="583" spans="1:32" s="240" customFormat="1">
      <c r="A583" s="48"/>
      <c r="B583" s="31"/>
      <c r="C583" s="48"/>
      <c r="D583" s="47"/>
      <c r="E583" s="47"/>
      <c r="F583" s="31"/>
      <c r="G583" s="31"/>
      <c r="H583" s="31"/>
      <c r="I583" s="47"/>
      <c r="J583" s="31"/>
      <c r="K583" s="47"/>
      <c r="L583" s="47"/>
      <c r="M583" s="47"/>
      <c r="N583" s="31"/>
      <c r="O583" s="47"/>
      <c r="P583" s="31"/>
      <c r="Q583" s="31"/>
      <c r="R583" s="31"/>
      <c r="S583" s="31"/>
      <c r="T583" s="270">
        <f t="shared" si="72"/>
        <v>0</v>
      </c>
      <c r="U583" s="270">
        <f t="shared" si="73"/>
        <v>0</v>
      </c>
      <c r="V583" s="31"/>
      <c r="X583" s="240" t="str">
        <f t="shared" si="74"/>
        <v>OK</v>
      </c>
      <c r="Y583" s="240" t="str">
        <f t="shared" si="75"/>
        <v>OK</v>
      </c>
      <c r="Z583" s="240" t="str">
        <f t="shared" si="76"/>
        <v>OK</v>
      </c>
      <c r="AA583" s="240" t="str" cm="1">
        <f t="array" ref="AA583">IF(OR(AND(J583="Not accepted",N583:O583&lt;&gt;"",$S583=""),AND(J583="Accepted",S583="")),"ERROR","OK")</f>
        <v>OK</v>
      </c>
      <c r="AB583" s="240" t="str">
        <f t="shared" si="77"/>
        <v>OK</v>
      </c>
      <c r="AC583" s="240" t="str" cm="1">
        <f t="array" ref="AC583">IF(AND(F583:H583&lt;&gt;"",I583=""),"ERROR","OK")</f>
        <v>OK</v>
      </c>
      <c r="AD583" s="240" t="str">
        <f t="shared" si="78"/>
        <v>OK</v>
      </c>
      <c r="AE583" s="240" t="str">
        <f t="shared" si="79"/>
        <v>OK</v>
      </c>
      <c r="AF583" s="240" t="str" cm="1">
        <f t="array" aca="1" ref="AF583" ca="1" xml:space="preserve">
IF(AND($G583&lt;&gt;"",$F583=""),"ERROR",
IF(OR($F583:$G583="",AND($G583="",$F583&lt;&gt;"")),"OK",
IF(COUNTIF(INDIRECT(IFERROR(LEFT($F583,FIND(" ",$F583)-1),$F583)), $G583)&gt;0, "OK", "ERROR")))</f>
        <v>OK</v>
      </c>
    </row>
    <row r="584" spans="1:32" s="240" customFormat="1">
      <c r="A584" s="48"/>
      <c r="B584" s="31"/>
      <c r="C584" s="48"/>
      <c r="D584" s="47"/>
      <c r="E584" s="47"/>
      <c r="F584" s="31"/>
      <c r="G584" s="31"/>
      <c r="H584" s="31"/>
      <c r="I584" s="47"/>
      <c r="J584" s="31"/>
      <c r="K584" s="47"/>
      <c r="L584" s="47"/>
      <c r="M584" s="47"/>
      <c r="N584" s="31"/>
      <c r="O584" s="47"/>
      <c r="P584" s="31"/>
      <c r="Q584" s="31"/>
      <c r="R584" s="31"/>
      <c r="S584" s="31"/>
      <c r="T584" s="270">
        <f t="shared" si="72"/>
        <v>0</v>
      </c>
      <c r="U584" s="270">
        <f t="shared" si="73"/>
        <v>0</v>
      </c>
      <c r="V584" s="31"/>
      <c r="X584" s="240" t="str">
        <f t="shared" si="74"/>
        <v>OK</v>
      </c>
      <c r="Y584" s="240" t="str">
        <f t="shared" si="75"/>
        <v>OK</v>
      </c>
      <c r="Z584" s="240" t="str">
        <f t="shared" si="76"/>
        <v>OK</v>
      </c>
      <c r="AA584" s="240" t="str" cm="1">
        <f t="array" ref="AA584">IF(OR(AND(J584="Not accepted",N584:O584&lt;&gt;"",$S584=""),AND(J584="Accepted",S584="")),"ERROR","OK")</f>
        <v>OK</v>
      </c>
      <c r="AB584" s="240" t="str">
        <f t="shared" si="77"/>
        <v>OK</v>
      </c>
      <c r="AC584" s="240" t="str" cm="1">
        <f t="array" ref="AC584">IF(AND(F584:H584&lt;&gt;"",I584=""),"ERROR","OK")</f>
        <v>OK</v>
      </c>
      <c r="AD584" s="240" t="str">
        <f t="shared" si="78"/>
        <v>OK</v>
      </c>
      <c r="AE584" s="240" t="str">
        <f t="shared" si="79"/>
        <v>OK</v>
      </c>
      <c r="AF584" s="240" t="str" cm="1">
        <f t="array" aca="1" ref="AF584" ca="1" xml:space="preserve">
IF(AND($G584&lt;&gt;"",$F584=""),"ERROR",
IF(OR($F584:$G584="",AND($G584="",$F584&lt;&gt;"")),"OK",
IF(COUNTIF(INDIRECT(IFERROR(LEFT($F584,FIND(" ",$F584)-1),$F584)), $G584)&gt;0, "OK", "ERROR")))</f>
        <v>OK</v>
      </c>
    </row>
    <row r="585" spans="1:32" s="240" customFormat="1">
      <c r="A585" s="48"/>
      <c r="B585" s="31"/>
      <c r="C585" s="48"/>
      <c r="D585" s="47"/>
      <c r="E585" s="47"/>
      <c r="F585" s="31"/>
      <c r="G585" s="31"/>
      <c r="H585" s="31"/>
      <c r="I585" s="47"/>
      <c r="J585" s="31"/>
      <c r="K585" s="47"/>
      <c r="L585" s="47"/>
      <c r="M585" s="47"/>
      <c r="N585" s="31"/>
      <c r="O585" s="47"/>
      <c r="P585" s="31"/>
      <c r="Q585" s="31"/>
      <c r="R585" s="31"/>
      <c r="S585" s="31"/>
      <c r="T585" s="270">
        <f t="shared" si="72"/>
        <v>0</v>
      </c>
      <c r="U585" s="270">
        <f t="shared" si="73"/>
        <v>0</v>
      </c>
      <c r="V585" s="31"/>
      <c r="X585" s="240" t="str">
        <f t="shared" si="74"/>
        <v>OK</v>
      </c>
      <c r="Y585" s="240" t="str">
        <f t="shared" si="75"/>
        <v>OK</v>
      </c>
      <c r="Z585" s="240" t="str">
        <f t="shared" si="76"/>
        <v>OK</v>
      </c>
      <c r="AA585" s="240" t="str" cm="1">
        <f t="array" ref="AA585">IF(OR(AND(J585="Not accepted",N585:O585&lt;&gt;"",$S585=""),AND(J585="Accepted",S585="")),"ERROR","OK")</f>
        <v>OK</v>
      </c>
      <c r="AB585" s="240" t="str">
        <f t="shared" si="77"/>
        <v>OK</v>
      </c>
      <c r="AC585" s="240" t="str" cm="1">
        <f t="array" ref="AC585">IF(AND(F585:H585&lt;&gt;"",I585=""),"ERROR","OK")</f>
        <v>OK</v>
      </c>
      <c r="AD585" s="240" t="str">
        <f t="shared" si="78"/>
        <v>OK</v>
      </c>
      <c r="AE585" s="240" t="str">
        <f t="shared" si="79"/>
        <v>OK</v>
      </c>
      <c r="AF585" s="240" t="str" cm="1">
        <f t="array" aca="1" ref="AF585" ca="1" xml:space="preserve">
IF(AND($G585&lt;&gt;"",$F585=""),"ERROR",
IF(OR($F585:$G585="",AND($G585="",$F585&lt;&gt;"")),"OK",
IF(COUNTIF(INDIRECT(IFERROR(LEFT($F585,FIND(" ",$F585)-1),$F585)), $G585)&gt;0, "OK", "ERROR")))</f>
        <v>OK</v>
      </c>
    </row>
    <row r="586" spans="1:32" s="240" customFormat="1">
      <c r="A586" s="48"/>
      <c r="B586" s="31"/>
      <c r="C586" s="48"/>
      <c r="D586" s="47"/>
      <c r="E586" s="47"/>
      <c r="F586" s="31"/>
      <c r="G586" s="31"/>
      <c r="H586" s="31"/>
      <c r="I586" s="47"/>
      <c r="J586" s="31"/>
      <c r="K586" s="47"/>
      <c r="L586" s="47"/>
      <c r="M586" s="47"/>
      <c r="N586" s="31"/>
      <c r="O586" s="47"/>
      <c r="P586" s="31"/>
      <c r="Q586" s="31"/>
      <c r="R586" s="31"/>
      <c r="S586" s="31"/>
      <c r="T586" s="270">
        <f t="shared" si="72"/>
        <v>0</v>
      </c>
      <c r="U586" s="270">
        <f t="shared" si="73"/>
        <v>0</v>
      </c>
      <c r="V586" s="31"/>
      <c r="X586" s="240" t="str">
        <f t="shared" si="74"/>
        <v>OK</v>
      </c>
      <c r="Y586" s="240" t="str">
        <f t="shared" si="75"/>
        <v>OK</v>
      </c>
      <c r="Z586" s="240" t="str">
        <f t="shared" si="76"/>
        <v>OK</v>
      </c>
      <c r="AA586" s="240" t="str" cm="1">
        <f t="array" ref="AA586">IF(OR(AND(J586="Not accepted",N586:O586&lt;&gt;"",$S586=""),AND(J586="Accepted",S586="")),"ERROR","OK")</f>
        <v>OK</v>
      </c>
      <c r="AB586" s="240" t="str">
        <f t="shared" si="77"/>
        <v>OK</v>
      </c>
      <c r="AC586" s="240" t="str" cm="1">
        <f t="array" ref="AC586">IF(AND(F586:H586&lt;&gt;"",I586=""),"ERROR","OK")</f>
        <v>OK</v>
      </c>
      <c r="AD586" s="240" t="str">
        <f t="shared" si="78"/>
        <v>OK</v>
      </c>
      <c r="AE586" s="240" t="str">
        <f t="shared" si="79"/>
        <v>OK</v>
      </c>
      <c r="AF586" s="240" t="str" cm="1">
        <f t="array" aca="1" ref="AF586" ca="1" xml:space="preserve">
IF(AND($G586&lt;&gt;"",$F586=""),"ERROR",
IF(OR($F586:$G586="",AND($G586="",$F586&lt;&gt;"")),"OK",
IF(COUNTIF(INDIRECT(IFERROR(LEFT($F586,FIND(" ",$F586)-1),$F586)), $G586)&gt;0, "OK", "ERROR")))</f>
        <v>OK</v>
      </c>
    </row>
    <row r="587" spans="1:32" s="240" customFormat="1">
      <c r="A587" s="48"/>
      <c r="B587" s="31"/>
      <c r="C587" s="48"/>
      <c r="D587" s="47"/>
      <c r="E587" s="47"/>
      <c r="F587" s="31"/>
      <c r="G587" s="31"/>
      <c r="H587" s="31"/>
      <c r="I587" s="47"/>
      <c r="J587" s="31"/>
      <c r="K587" s="47"/>
      <c r="L587" s="47"/>
      <c r="M587" s="47"/>
      <c r="N587" s="31"/>
      <c r="O587" s="47"/>
      <c r="P587" s="31"/>
      <c r="Q587" s="31"/>
      <c r="R587" s="31"/>
      <c r="S587" s="31"/>
      <c r="T587" s="270">
        <f t="shared" si="72"/>
        <v>0</v>
      </c>
      <c r="U587" s="270">
        <f t="shared" si="73"/>
        <v>0</v>
      </c>
      <c r="V587" s="31"/>
      <c r="X587" s="240" t="str">
        <f t="shared" si="74"/>
        <v>OK</v>
      </c>
      <c r="Y587" s="240" t="str">
        <f t="shared" si="75"/>
        <v>OK</v>
      </c>
      <c r="Z587" s="240" t="str">
        <f t="shared" si="76"/>
        <v>OK</v>
      </c>
      <c r="AA587" s="240" t="str" cm="1">
        <f t="array" ref="AA587">IF(OR(AND(J587="Not accepted",N587:O587&lt;&gt;"",$S587=""),AND(J587="Accepted",S587="")),"ERROR","OK")</f>
        <v>OK</v>
      </c>
      <c r="AB587" s="240" t="str">
        <f t="shared" si="77"/>
        <v>OK</v>
      </c>
      <c r="AC587" s="240" t="str" cm="1">
        <f t="array" ref="AC587">IF(AND(F587:H587&lt;&gt;"",I587=""),"ERROR","OK")</f>
        <v>OK</v>
      </c>
      <c r="AD587" s="240" t="str">
        <f t="shared" si="78"/>
        <v>OK</v>
      </c>
      <c r="AE587" s="240" t="str">
        <f t="shared" si="79"/>
        <v>OK</v>
      </c>
      <c r="AF587" s="240" t="str" cm="1">
        <f t="array" aca="1" ref="AF587" ca="1" xml:space="preserve">
IF(AND($G587&lt;&gt;"",$F587=""),"ERROR",
IF(OR($F587:$G587="",AND($G587="",$F587&lt;&gt;"")),"OK",
IF(COUNTIF(INDIRECT(IFERROR(LEFT($F587,FIND(" ",$F587)-1),$F587)), $G587)&gt;0, "OK", "ERROR")))</f>
        <v>OK</v>
      </c>
    </row>
    <row r="588" spans="1:32" s="240" customFormat="1">
      <c r="A588" s="48"/>
      <c r="B588" s="31"/>
      <c r="C588" s="48"/>
      <c r="D588" s="47"/>
      <c r="E588" s="47"/>
      <c r="F588" s="31"/>
      <c r="G588" s="31"/>
      <c r="H588" s="31"/>
      <c r="I588" s="47"/>
      <c r="J588" s="31"/>
      <c r="K588" s="47"/>
      <c r="L588" s="47"/>
      <c r="M588" s="47"/>
      <c r="N588" s="31"/>
      <c r="O588" s="47"/>
      <c r="P588" s="31"/>
      <c r="Q588" s="31"/>
      <c r="R588" s="31"/>
      <c r="S588" s="31"/>
      <c r="T588" s="270">
        <f t="shared" si="72"/>
        <v>0</v>
      </c>
      <c r="U588" s="270">
        <f t="shared" si="73"/>
        <v>0</v>
      </c>
      <c r="V588" s="31"/>
      <c r="X588" s="240" t="str">
        <f t="shared" si="74"/>
        <v>OK</v>
      </c>
      <c r="Y588" s="240" t="str">
        <f t="shared" si="75"/>
        <v>OK</v>
      </c>
      <c r="Z588" s="240" t="str">
        <f t="shared" si="76"/>
        <v>OK</v>
      </c>
      <c r="AA588" s="240" t="str" cm="1">
        <f t="array" ref="AA588">IF(OR(AND(J588="Not accepted",N588:O588&lt;&gt;"",$S588=""),AND(J588="Accepted",S588="")),"ERROR","OK")</f>
        <v>OK</v>
      </c>
      <c r="AB588" s="240" t="str">
        <f t="shared" si="77"/>
        <v>OK</v>
      </c>
      <c r="AC588" s="240" t="str" cm="1">
        <f t="array" ref="AC588">IF(AND(F588:H588&lt;&gt;"",I588=""),"ERROR","OK")</f>
        <v>OK</v>
      </c>
      <c r="AD588" s="240" t="str">
        <f t="shared" si="78"/>
        <v>OK</v>
      </c>
      <c r="AE588" s="240" t="str">
        <f t="shared" si="79"/>
        <v>OK</v>
      </c>
      <c r="AF588" s="240" t="str" cm="1">
        <f t="array" aca="1" ref="AF588" ca="1" xml:space="preserve">
IF(AND($G588&lt;&gt;"",$F588=""),"ERROR",
IF(OR($F588:$G588="",AND($G588="",$F588&lt;&gt;"")),"OK",
IF(COUNTIF(INDIRECT(IFERROR(LEFT($F588,FIND(" ",$F588)-1),$F588)), $G588)&gt;0, "OK", "ERROR")))</f>
        <v>OK</v>
      </c>
    </row>
    <row r="589" spans="1:32" s="240" customFormat="1">
      <c r="A589" s="48"/>
      <c r="B589" s="31"/>
      <c r="C589" s="48"/>
      <c r="D589" s="47"/>
      <c r="E589" s="47"/>
      <c r="F589" s="31"/>
      <c r="G589" s="31"/>
      <c r="H589" s="31"/>
      <c r="I589" s="47"/>
      <c r="J589" s="31"/>
      <c r="K589" s="47"/>
      <c r="L589" s="47"/>
      <c r="M589" s="47"/>
      <c r="N589" s="31"/>
      <c r="O589" s="47"/>
      <c r="P589" s="31"/>
      <c r="Q589" s="31"/>
      <c r="R589" s="31"/>
      <c r="S589" s="31"/>
      <c r="T589" s="270">
        <f t="shared" si="72"/>
        <v>0</v>
      </c>
      <c r="U589" s="270">
        <f t="shared" si="73"/>
        <v>0</v>
      </c>
      <c r="V589" s="31"/>
      <c r="X589" s="240" t="str">
        <f t="shared" si="74"/>
        <v>OK</v>
      </c>
      <c r="Y589" s="240" t="str">
        <f t="shared" si="75"/>
        <v>OK</v>
      </c>
      <c r="Z589" s="240" t="str">
        <f t="shared" si="76"/>
        <v>OK</v>
      </c>
      <c r="AA589" s="240" t="str" cm="1">
        <f t="array" ref="AA589">IF(OR(AND(J589="Not accepted",N589:O589&lt;&gt;"",$S589=""),AND(J589="Accepted",S589="")),"ERROR","OK")</f>
        <v>OK</v>
      </c>
      <c r="AB589" s="240" t="str">
        <f t="shared" si="77"/>
        <v>OK</v>
      </c>
      <c r="AC589" s="240" t="str" cm="1">
        <f t="array" ref="AC589">IF(AND(F589:H589&lt;&gt;"",I589=""),"ERROR","OK")</f>
        <v>OK</v>
      </c>
      <c r="AD589" s="240" t="str">
        <f t="shared" si="78"/>
        <v>OK</v>
      </c>
      <c r="AE589" s="240" t="str">
        <f t="shared" si="79"/>
        <v>OK</v>
      </c>
      <c r="AF589" s="240" t="str" cm="1">
        <f t="array" aca="1" ref="AF589" ca="1" xml:space="preserve">
IF(AND($G589&lt;&gt;"",$F589=""),"ERROR",
IF(OR($F589:$G589="",AND($G589="",$F589&lt;&gt;"")),"OK",
IF(COUNTIF(INDIRECT(IFERROR(LEFT($F589,FIND(" ",$F589)-1),$F589)), $G589)&gt;0, "OK", "ERROR")))</f>
        <v>OK</v>
      </c>
    </row>
    <row r="590" spans="1:32" s="240" customFormat="1">
      <c r="A590" s="48"/>
      <c r="B590" s="31"/>
      <c r="C590" s="48"/>
      <c r="D590" s="47"/>
      <c r="E590" s="47"/>
      <c r="F590" s="31"/>
      <c r="G590" s="31"/>
      <c r="H590" s="31"/>
      <c r="I590" s="47"/>
      <c r="J590" s="31"/>
      <c r="K590" s="47"/>
      <c r="L590" s="47"/>
      <c r="M590" s="47"/>
      <c r="N590" s="31"/>
      <c r="O590" s="47"/>
      <c r="P590" s="31"/>
      <c r="Q590" s="31"/>
      <c r="R590" s="31"/>
      <c r="S590" s="31"/>
      <c r="T590" s="270">
        <f t="shared" si="72"/>
        <v>0</v>
      </c>
      <c r="U590" s="270">
        <f t="shared" si="73"/>
        <v>0</v>
      </c>
      <c r="V590" s="31"/>
      <c r="X590" s="240" t="str">
        <f t="shared" si="74"/>
        <v>OK</v>
      </c>
      <c r="Y590" s="240" t="str">
        <f t="shared" si="75"/>
        <v>OK</v>
      </c>
      <c r="Z590" s="240" t="str">
        <f t="shared" si="76"/>
        <v>OK</v>
      </c>
      <c r="AA590" s="240" t="str" cm="1">
        <f t="array" ref="AA590">IF(OR(AND(J590="Not accepted",N590:O590&lt;&gt;"",$S590=""),AND(J590="Accepted",S590="")),"ERROR","OK")</f>
        <v>OK</v>
      </c>
      <c r="AB590" s="240" t="str">
        <f t="shared" si="77"/>
        <v>OK</v>
      </c>
      <c r="AC590" s="240" t="str" cm="1">
        <f t="array" ref="AC590">IF(AND(F590:H590&lt;&gt;"",I590=""),"ERROR","OK")</f>
        <v>OK</v>
      </c>
      <c r="AD590" s="240" t="str">
        <f t="shared" si="78"/>
        <v>OK</v>
      </c>
      <c r="AE590" s="240" t="str">
        <f t="shared" si="79"/>
        <v>OK</v>
      </c>
      <c r="AF590" s="240" t="str" cm="1">
        <f t="array" aca="1" ref="AF590" ca="1" xml:space="preserve">
IF(AND($G590&lt;&gt;"",$F590=""),"ERROR",
IF(OR($F590:$G590="",AND($G590="",$F590&lt;&gt;"")),"OK",
IF(COUNTIF(INDIRECT(IFERROR(LEFT($F590,FIND(" ",$F590)-1),$F590)), $G590)&gt;0, "OK", "ERROR")))</f>
        <v>OK</v>
      </c>
    </row>
    <row r="591" spans="1:32" s="240" customFormat="1">
      <c r="A591" s="48"/>
      <c r="B591" s="31"/>
      <c r="C591" s="48"/>
      <c r="D591" s="47"/>
      <c r="E591" s="47"/>
      <c r="F591" s="31"/>
      <c r="G591" s="31"/>
      <c r="H591" s="31"/>
      <c r="I591" s="47"/>
      <c r="J591" s="31"/>
      <c r="K591" s="47"/>
      <c r="L591" s="47"/>
      <c r="M591" s="47"/>
      <c r="N591" s="31"/>
      <c r="O591" s="47"/>
      <c r="P591" s="31"/>
      <c r="Q591" s="31"/>
      <c r="R591" s="31"/>
      <c r="S591" s="31"/>
      <c r="T591" s="270">
        <f t="shared" si="72"/>
        <v>0</v>
      </c>
      <c r="U591" s="270">
        <f t="shared" si="73"/>
        <v>0</v>
      </c>
      <c r="V591" s="31"/>
      <c r="X591" s="240" t="str">
        <f t="shared" si="74"/>
        <v>OK</v>
      </c>
      <c r="Y591" s="240" t="str">
        <f t="shared" si="75"/>
        <v>OK</v>
      </c>
      <c r="Z591" s="240" t="str">
        <f t="shared" si="76"/>
        <v>OK</v>
      </c>
      <c r="AA591" s="240" t="str" cm="1">
        <f t="array" ref="AA591">IF(OR(AND(J591="Not accepted",N591:O591&lt;&gt;"",$S591=""),AND(J591="Accepted",S591="")),"ERROR","OK")</f>
        <v>OK</v>
      </c>
      <c r="AB591" s="240" t="str">
        <f t="shared" si="77"/>
        <v>OK</v>
      </c>
      <c r="AC591" s="240" t="str" cm="1">
        <f t="array" ref="AC591">IF(AND(F591:H591&lt;&gt;"",I591=""),"ERROR","OK")</f>
        <v>OK</v>
      </c>
      <c r="AD591" s="240" t="str">
        <f t="shared" si="78"/>
        <v>OK</v>
      </c>
      <c r="AE591" s="240" t="str">
        <f t="shared" si="79"/>
        <v>OK</v>
      </c>
      <c r="AF591" s="240" t="str" cm="1">
        <f t="array" aca="1" ref="AF591" ca="1" xml:space="preserve">
IF(AND($G591&lt;&gt;"",$F591=""),"ERROR",
IF(OR($F591:$G591="",AND($G591="",$F591&lt;&gt;"")),"OK",
IF(COUNTIF(INDIRECT(IFERROR(LEFT($F591,FIND(" ",$F591)-1),$F591)), $G591)&gt;0, "OK", "ERROR")))</f>
        <v>OK</v>
      </c>
    </row>
    <row r="592" spans="1:32" s="240" customFormat="1">
      <c r="A592" s="48"/>
      <c r="B592" s="31"/>
      <c r="C592" s="48"/>
      <c r="D592" s="47"/>
      <c r="E592" s="47"/>
      <c r="F592" s="31"/>
      <c r="G592" s="31"/>
      <c r="H592" s="31"/>
      <c r="I592" s="47"/>
      <c r="J592" s="31"/>
      <c r="K592" s="47"/>
      <c r="L592" s="47"/>
      <c r="M592" s="47"/>
      <c r="N592" s="31"/>
      <c r="O592" s="47"/>
      <c r="P592" s="31"/>
      <c r="Q592" s="31"/>
      <c r="R592" s="31"/>
      <c r="S592" s="31"/>
      <c r="T592" s="270">
        <f t="shared" si="72"/>
        <v>0</v>
      </c>
      <c r="U592" s="270">
        <f t="shared" si="73"/>
        <v>0</v>
      </c>
      <c r="V592" s="31"/>
      <c r="X592" s="240" t="str">
        <f t="shared" si="74"/>
        <v>OK</v>
      </c>
      <c r="Y592" s="240" t="str">
        <f t="shared" si="75"/>
        <v>OK</v>
      </c>
      <c r="Z592" s="240" t="str">
        <f t="shared" si="76"/>
        <v>OK</v>
      </c>
      <c r="AA592" s="240" t="str" cm="1">
        <f t="array" ref="AA592">IF(OR(AND(J592="Not accepted",N592:O592&lt;&gt;"",$S592=""),AND(J592="Accepted",S592="")),"ERROR","OK")</f>
        <v>OK</v>
      </c>
      <c r="AB592" s="240" t="str">
        <f t="shared" si="77"/>
        <v>OK</v>
      </c>
      <c r="AC592" s="240" t="str" cm="1">
        <f t="array" ref="AC592">IF(AND(F592:H592&lt;&gt;"",I592=""),"ERROR","OK")</f>
        <v>OK</v>
      </c>
      <c r="AD592" s="240" t="str">
        <f t="shared" si="78"/>
        <v>OK</v>
      </c>
      <c r="AE592" s="240" t="str">
        <f t="shared" si="79"/>
        <v>OK</v>
      </c>
      <c r="AF592" s="240" t="str" cm="1">
        <f t="array" aca="1" ref="AF592" ca="1" xml:space="preserve">
IF(AND($G592&lt;&gt;"",$F592=""),"ERROR",
IF(OR($F592:$G592="",AND($G592="",$F592&lt;&gt;"")),"OK",
IF(COUNTIF(INDIRECT(IFERROR(LEFT($F592,FIND(" ",$F592)-1),$F592)), $G592)&gt;0, "OK", "ERROR")))</f>
        <v>OK</v>
      </c>
    </row>
    <row r="593" spans="1:32" s="240" customFormat="1">
      <c r="A593" s="48"/>
      <c r="B593" s="31"/>
      <c r="C593" s="48"/>
      <c r="D593" s="47"/>
      <c r="E593" s="47"/>
      <c r="F593" s="31"/>
      <c r="G593" s="31"/>
      <c r="H593" s="31"/>
      <c r="I593" s="47"/>
      <c r="J593" s="31"/>
      <c r="K593" s="47"/>
      <c r="L593" s="47"/>
      <c r="M593" s="47"/>
      <c r="N593" s="31"/>
      <c r="O593" s="47"/>
      <c r="P593" s="31"/>
      <c r="Q593" s="31"/>
      <c r="R593" s="31"/>
      <c r="S593" s="31"/>
      <c r="T593" s="270">
        <f t="shared" si="72"/>
        <v>0</v>
      </c>
      <c r="U593" s="270">
        <f t="shared" si="73"/>
        <v>0</v>
      </c>
      <c r="V593" s="31"/>
      <c r="X593" s="240" t="str">
        <f t="shared" si="74"/>
        <v>OK</v>
      </c>
      <c r="Y593" s="240" t="str">
        <f t="shared" si="75"/>
        <v>OK</v>
      </c>
      <c r="Z593" s="240" t="str">
        <f t="shared" si="76"/>
        <v>OK</v>
      </c>
      <c r="AA593" s="240" t="str" cm="1">
        <f t="array" ref="AA593">IF(OR(AND(J593="Not accepted",N593:O593&lt;&gt;"",$S593=""),AND(J593="Accepted",S593="")),"ERROR","OK")</f>
        <v>OK</v>
      </c>
      <c r="AB593" s="240" t="str">
        <f t="shared" si="77"/>
        <v>OK</v>
      </c>
      <c r="AC593" s="240" t="str" cm="1">
        <f t="array" ref="AC593">IF(AND(F593:H593&lt;&gt;"",I593=""),"ERROR","OK")</f>
        <v>OK</v>
      </c>
      <c r="AD593" s="240" t="str">
        <f t="shared" si="78"/>
        <v>OK</v>
      </c>
      <c r="AE593" s="240" t="str">
        <f t="shared" si="79"/>
        <v>OK</v>
      </c>
      <c r="AF593" s="240" t="str" cm="1">
        <f t="array" aca="1" ref="AF593" ca="1" xml:space="preserve">
IF(AND($G593&lt;&gt;"",$F593=""),"ERROR",
IF(OR($F593:$G593="",AND($G593="",$F593&lt;&gt;"")),"OK",
IF(COUNTIF(INDIRECT(IFERROR(LEFT($F593,FIND(" ",$F593)-1),$F593)), $G593)&gt;0, "OK", "ERROR")))</f>
        <v>OK</v>
      </c>
    </row>
    <row r="594" spans="1:32" s="240" customFormat="1">
      <c r="A594" s="48"/>
      <c r="B594" s="31"/>
      <c r="C594" s="48"/>
      <c r="D594" s="47"/>
      <c r="E594" s="47"/>
      <c r="F594" s="31"/>
      <c r="G594" s="31"/>
      <c r="H594" s="31"/>
      <c r="I594" s="47"/>
      <c r="J594" s="31"/>
      <c r="K594" s="47"/>
      <c r="L594" s="47"/>
      <c r="M594" s="47"/>
      <c r="N594" s="31"/>
      <c r="O594" s="47"/>
      <c r="P594" s="31"/>
      <c r="Q594" s="31"/>
      <c r="R594" s="31"/>
      <c r="S594" s="31"/>
      <c r="T594" s="270">
        <f t="shared" si="72"/>
        <v>0</v>
      </c>
      <c r="U594" s="270">
        <f t="shared" si="73"/>
        <v>0</v>
      </c>
      <c r="V594" s="31"/>
      <c r="X594" s="240" t="str">
        <f t="shared" si="74"/>
        <v>OK</v>
      </c>
      <c r="Y594" s="240" t="str">
        <f t="shared" si="75"/>
        <v>OK</v>
      </c>
      <c r="Z594" s="240" t="str">
        <f t="shared" si="76"/>
        <v>OK</v>
      </c>
      <c r="AA594" s="240" t="str" cm="1">
        <f t="array" ref="AA594">IF(OR(AND(J594="Not accepted",N594:O594&lt;&gt;"",$S594=""),AND(J594="Accepted",S594="")),"ERROR","OK")</f>
        <v>OK</v>
      </c>
      <c r="AB594" s="240" t="str">
        <f t="shared" si="77"/>
        <v>OK</v>
      </c>
      <c r="AC594" s="240" t="str" cm="1">
        <f t="array" ref="AC594">IF(AND(F594:H594&lt;&gt;"",I594=""),"ERROR","OK")</f>
        <v>OK</v>
      </c>
      <c r="AD594" s="240" t="str">
        <f t="shared" si="78"/>
        <v>OK</v>
      </c>
      <c r="AE594" s="240" t="str">
        <f t="shared" si="79"/>
        <v>OK</v>
      </c>
      <c r="AF594" s="240" t="str" cm="1">
        <f t="array" aca="1" ref="AF594" ca="1" xml:space="preserve">
IF(AND($G594&lt;&gt;"",$F594=""),"ERROR",
IF(OR($F594:$G594="",AND($G594="",$F594&lt;&gt;"")),"OK",
IF(COUNTIF(INDIRECT(IFERROR(LEFT($F594,FIND(" ",$F594)-1),$F594)), $G594)&gt;0, "OK", "ERROR")))</f>
        <v>OK</v>
      </c>
    </row>
    <row r="595" spans="1:32" s="240" customFormat="1">
      <c r="A595" s="48"/>
      <c r="B595" s="31"/>
      <c r="C595" s="48"/>
      <c r="D595" s="47"/>
      <c r="E595" s="47"/>
      <c r="F595" s="31"/>
      <c r="G595" s="31"/>
      <c r="H595" s="31"/>
      <c r="I595" s="47"/>
      <c r="J595" s="31"/>
      <c r="K595" s="47"/>
      <c r="L595" s="47"/>
      <c r="M595" s="47"/>
      <c r="N595" s="31"/>
      <c r="O595" s="47"/>
      <c r="P595" s="31"/>
      <c r="Q595" s="31"/>
      <c r="R595" s="31"/>
      <c r="S595" s="31"/>
      <c r="T595" s="270">
        <f t="shared" si="72"/>
        <v>0</v>
      </c>
      <c r="U595" s="270">
        <f t="shared" si="73"/>
        <v>0</v>
      </c>
      <c r="V595" s="31"/>
      <c r="X595" s="240" t="str">
        <f t="shared" si="74"/>
        <v>OK</v>
      </c>
      <c r="Y595" s="240" t="str">
        <f t="shared" si="75"/>
        <v>OK</v>
      </c>
      <c r="Z595" s="240" t="str">
        <f t="shared" si="76"/>
        <v>OK</v>
      </c>
      <c r="AA595" s="240" t="str" cm="1">
        <f t="array" ref="AA595">IF(OR(AND(J595="Not accepted",N595:O595&lt;&gt;"",$S595=""),AND(J595="Accepted",S595="")),"ERROR","OK")</f>
        <v>OK</v>
      </c>
      <c r="AB595" s="240" t="str">
        <f t="shared" si="77"/>
        <v>OK</v>
      </c>
      <c r="AC595" s="240" t="str" cm="1">
        <f t="array" ref="AC595">IF(AND(F595:H595&lt;&gt;"",I595=""),"ERROR","OK")</f>
        <v>OK</v>
      </c>
      <c r="AD595" s="240" t="str">
        <f t="shared" si="78"/>
        <v>OK</v>
      </c>
      <c r="AE595" s="240" t="str">
        <f t="shared" si="79"/>
        <v>OK</v>
      </c>
      <c r="AF595" s="240" t="str" cm="1">
        <f t="array" aca="1" ref="AF595" ca="1" xml:space="preserve">
IF(AND($G595&lt;&gt;"",$F595=""),"ERROR",
IF(OR($F595:$G595="",AND($G595="",$F595&lt;&gt;"")),"OK",
IF(COUNTIF(INDIRECT(IFERROR(LEFT($F595,FIND(" ",$F595)-1),$F595)), $G595)&gt;0, "OK", "ERROR")))</f>
        <v>OK</v>
      </c>
    </row>
    <row r="596" spans="1:32" s="240" customFormat="1">
      <c r="A596" s="48"/>
      <c r="B596" s="31"/>
      <c r="C596" s="48"/>
      <c r="D596" s="47"/>
      <c r="E596" s="47"/>
      <c r="F596" s="31"/>
      <c r="G596" s="31"/>
      <c r="H596" s="31"/>
      <c r="I596" s="47"/>
      <c r="J596" s="31"/>
      <c r="K596" s="47"/>
      <c r="L596" s="47"/>
      <c r="M596" s="47"/>
      <c r="N596" s="31"/>
      <c r="O596" s="47"/>
      <c r="P596" s="31"/>
      <c r="Q596" s="31"/>
      <c r="R596" s="31"/>
      <c r="S596" s="31"/>
      <c r="T596" s="270">
        <f t="shared" si="72"/>
        <v>0</v>
      </c>
      <c r="U596" s="270">
        <f t="shared" si="73"/>
        <v>0</v>
      </c>
      <c r="V596" s="31"/>
      <c r="X596" s="240" t="str">
        <f t="shared" si="74"/>
        <v>OK</v>
      </c>
      <c r="Y596" s="240" t="str">
        <f t="shared" si="75"/>
        <v>OK</v>
      </c>
      <c r="Z596" s="240" t="str">
        <f t="shared" si="76"/>
        <v>OK</v>
      </c>
      <c r="AA596" s="240" t="str" cm="1">
        <f t="array" ref="AA596">IF(OR(AND(J596="Not accepted",N596:O596&lt;&gt;"",$S596=""),AND(J596="Accepted",S596="")),"ERROR","OK")</f>
        <v>OK</v>
      </c>
      <c r="AB596" s="240" t="str">
        <f t="shared" si="77"/>
        <v>OK</v>
      </c>
      <c r="AC596" s="240" t="str" cm="1">
        <f t="array" ref="AC596">IF(AND(F596:H596&lt;&gt;"",I596=""),"ERROR","OK")</f>
        <v>OK</v>
      </c>
      <c r="AD596" s="240" t="str">
        <f t="shared" si="78"/>
        <v>OK</v>
      </c>
      <c r="AE596" s="240" t="str">
        <f t="shared" si="79"/>
        <v>OK</v>
      </c>
      <c r="AF596" s="240" t="str" cm="1">
        <f t="array" aca="1" ref="AF596" ca="1" xml:space="preserve">
IF(AND($G596&lt;&gt;"",$F596=""),"ERROR",
IF(OR($F596:$G596="",AND($G596="",$F596&lt;&gt;"")),"OK",
IF(COUNTIF(INDIRECT(IFERROR(LEFT($F596,FIND(" ",$F596)-1),$F596)), $G596)&gt;0, "OK", "ERROR")))</f>
        <v>OK</v>
      </c>
    </row>
    <row r="597" spans="1:32" s="240" customFormat="1">
      <c r="A597" s="48"/>
      <c r="B597" s="31"/>
      <c r="C597" s="48"/>
      <c r="D597" s="47"/>
      <c r="E597" s="47"/>
      <c r="F597" s="31"/>
      <c r="G597" s="31"/>
      <c r="H597" s="31"/>
      <c r="I597" s="47"/>
      <c r="J597" s="31"/>
      <c r="K597" s="47"/>
      <c r="L597" s="47"/>
      <c r="M597" s="47"/>
      <c r="N597" s="31"/>
      <c r="O597" s="47"/>
      <c r="P597" s="31"/>
      <c r="Q597" s="31"/>
      <c r="R597" s="31"/>
      <c r="S597" s="31"/>
      <c r="T597" s="270">
        <f t="shared" si="72"/>
        <v>0</v>
      </c>
      <c r="U597" s="270">
        <f t="shared" si="73"/>
        <v>0</v>
      </c>
      <c r="V597" s="31"/>
      <c r="X597" s="240" t="str">
        <f t="shared" si="74"/>
        <v>OK</v>
      </c>
      <c r="Y597" s="240" t="str">
        <f t="shared" si="75"/>
        <v>OK</v>
      </c>
      <c r="Z597" s="240" t="str">
        <f t="shared" si="76"/>
        <v>OK</v>
      </c>
      <c r="AA597" s="240" t="str" cm="1">
        <f t="array" ref="AA597">IF(OR(AND(J597="Not accepted",N597:O597&lt;&gt;"",$S597=""),AND(J597="Accepted",S597="")),"ERROR","OK")</f>
        <v>OK</v>
      </c>
      <c r="AB597" s="240" t="str">
        <f t="shared" si="77"/>
        <v>OK</v>
      </c>
      <c r="AC597" s="240" t="str" cm="1">
        <f t="array" ref="AC597">IF(AND(F597:H597&lt;&gt;"",I597=""),"ERROR","OK")</f>
        <v>OK</v>
      </c>
      <c r="AD597" s="240" t="str">
        <f t="shared" si="78"/>
        <v>OK</v>
      </c>
      <c r="AE597" s="240" t="str">
        <f t="shared" si="79"/>
        <v>OK</v>
      </c>
      <c r="AF597" s="240" t="str" cm="1">
        <f t="array" aca="1" ref="AF597" ca="1" xml:space="preserve">
IF(AND($G597&lt;&gt;"",$F597=""),"ERROR",
IF(OR($F597:$G597="",AND($G597="",$F597&lt;&gt;"")),"OK",
IF(COUNTIF(INDIRECT(IFERROR(LEFT($F597,FIND(" ",$F597)-1),$F597)), $G597)&gt;0, "OK", "ERROR")))</f>
        <v>OK</v>
      </c>
    </row>
    <row r="598" spans="1:32" s="240" customFormat="1">
      <c r="A598" s="48"/>
      <c r="B598" s="31"/>
      <c r="C598" s="48"/>
      <c r="D598" s="47"/>
      <c r="E598" s="47"/>
      <c r="F598" s="31"/>
      <c r="G598" s="31"/>
      <c r="H598" s="31"/>
      <c r="I598" s="47"/>
      <c r="J598" s="31"/>
      <c r="K598" s="47"/>
      <c r="L598" s="47"/>
      <c r="M598" s="47"/>
      <c r="N598" s="31"/>
      <c r="O598" s="47"/>
      <c r="P598" s="31"/>
      <c r="Q598" s="31"/>
      <c r="R598" s="31"/>
      <c r="S598" s="31"/>
      <c r="T598" s="270">
        <f t="shared" si="72"/>
        <v>0</v>
      </c>
      <c r="U598" s="270">
        <f t="shared" si="73"/>
        <v>0</v>
      </c>
      <c r="V598" s="31"/>
      <c r="X598" s="240" t="str">
        <f t="shared" si="74"/>
        <v>OK</v>
      </c>
      <c r="Y598" s="240" t="str">
        <f t="shared" si="75"/>
        <v>OK</v>
      </c>
      <c r="Z598" s="240" t="str">
        <f t="shared" si="76"/>
        <v>OK</v>
      </c>
      <c r="AA598" s="240" t="str" cm="1">
        <f t="array" ref="AA598">IF(OR(AND(J598="Not accepted",N598:O598&lt;&gt;"",$S598=""),AND(J598="Accepted",S598="")),"ERROR","OK")</f>
        <v>OK</v>
      </c>
      <c r="AB598" s="240" t="str">
        <f t="shared" si="77"/>
        <v>OK</v>
      </c>
      <c r="AC598" s="240" t="str" cm="1">
        <f t="array" ref="AC598">IF(AND(F598:H598&lt;&gt;"",I598=""),"ERROR","OK")</f>
        <v>OK</v>
      </c>
      <c r="AD598" s="240" t="str">
        <f t="shared" si="78"/>
        <v>OK</v>
      </c>
      <c r="AE598" s="240" t="str">
        <f t="shared" si="79"/>
        <v>OK</v>
      </c>
      <c r="AF598" s="240" t="str" cm="1">
        <f t="array" aca="1" ref="AF598" ca="1" xml:space="preserve">
IF(AND($G598&lt;&gt;"",$F598=""),"ERROR",
IF(OR($F598:$G598="",AND($G598="",$F598&lt;&gt;"")),"OK",
IF(COUNTIF(INDIRECT(IFERROR(LEFT($F598,FIND(" ",$F598)-1),$F598)), $G598)&gt;0, "OK", "ERROR")))</f>
        <v>OK</v>
      </c>
    </row>
    <row r="599" spans="1:32" s="240" customFormat="1">
      <c r="A599" s="48"/>
      <c r="B599" s="31"/>
      <c r="C599" s="48"/>
      <c r="D599" s="47"/>
      <c r="E599" s="47"/>
      <c r="F599" s="31"/>
      <c r="G599" s="31"/>
      <c r="H599" s="31"/>
      <c r="I599" s="47"/>
      <c r="J599" s="31"/>
      <c r="K599" s="47"/>
      <c r="L599" s="47"/>
      <c r="M599" s="47"/>
      <c r="N599" s="31"/>
      <c r="O599" s="47"/>
      <c r="P599" s="31"/>
      <c r="Q599" s="31"/>
      <c r="R599" s="31"/>
      <c r="S599" s="31"/>
      <c r="T599" s="270">
        <f t="shared" si="72"/>
        <v>0</v>
      </c>
      <c r="U599" s="270">
        <f t="shared" si="73"/>
        <v>0</v>
      </c>
      <c r="V599" s="31"/>
      <c r="X599" s="240" t="str">
        <f t="shared" si="74"/>
        <v>OK</v>
      </c>
      <c r="Y599" s="240" t="str">
        <f t="shared" si="75"/>
        <v>OK</v>
      </c>
      <c r="Z599" s="240" t="str">
        <f t="shared" si="76"/>
        <v>OK</v>
      </c>
      <c r="AA599" s="240" t="str" cm="1">
        <f t="array" ref="AA599">IF(OR(AND(J599="Not accepted",N599:O599&lt;&gt;"",$S599=""),AND(J599="Accepted",S599="")),"ERROR","OK")</f>
        <v>OK</v>
      </c>
      <c r="AB599" s="240" t="str">
        <f t="shared" si="77"/>
        <v>OK</v>
      </c>
      <c r="AC599" s="240" t="str" cm="1">
        <f t="array" ref="AC599">IF(AND(F599:H599&lt;&gt;"",I599=""),"ERROR","OK")</f>
        <v>OK</v>
      </c>
      <c r="AD599" s="240" t="str">
        <f t="shared" si="78"/>
        <v>OK</v>
      </c>
      <c r="AE599" s="240" t="str">
        <f t="shared" si="79"/>
        <v>OK</v>
      </c>
      <c r="AF599" s="240" t="str" cm="1">
        <f t="array" aca="1" ref="AF599" ca="1" xml:space="preserve">
IF(AND($G599&lt;&gt;"",$F599=""),"ERROR",
IF(OR($F599:$G599="",AND($G599="",$F599&lt;&gt;"")),"OK",
IF(COUNTIF(INDIRECT(IFERROR(LEFT($F599,FIND(" ",$F599)-1),$F599)), $G599)&gt;0, "OK", "ERROR")))</f>
        <v>OK</v>
      </c>
    </row>
    <row r="600" spans="1:32" s="240" customFormat="1">
      <c r="A600" s="48"/>
      <c r="B600" s="31"/>
      <c r="C600" s="48"/>
      <c r="D600" s="47"/>
      <c r="E600" s="47"/>
      <c r="F600" s="31"/>
      <c r="G600" s="31"/>
      <c r="H600" s="31"/>
      <c r="I600" s="47"/>
      <c r="J600" s="31"/>
      <c r="K600" s="47"/>
      <c r="L600" s="47"/>
      <c r="M600" s="47"/>
      <c r="N600" s="31"/>
      <c r="O600" s="47"/>
      <c r="P600" s="31"/>
      <c r="Q600" s="31"/>
      <c r="R600" s="31"/>
      <c r="S600" s="31"/>
      <c r="T600" s="270">
        <f t="shared" si="72"/>
        <v>0</v>
      </c>
      <c r="U600" s="270">
        <f t="shared" si="73"/>
        <v>0</v>
      </c>
      <c r="V600" s="31"/>
      <c r="X600" s="240" t="str">
        <f t="shared" si="74"/>
        <v>OK</v>
      </c>
      <c r="Y600" s="240" t="str">
        <f t="shared" si="75"/>
        <v>OK</v>
      </c>
      <c r="Z600" s="240" t="str">
        <f t="shared" si="76"/>
        <v>OK</v>
      </c>
      <c r="AA600" s="240" t="str" cm="1">
        <f t="array" ref="AA600">IF(OR(AND(J600="Not accepted",N600:O600&lt;&gt;"",$S600=""),AND(J600="Accepted",S600="")),"ERROR","OK")</f>
        <v>OK</v>
      </c>
      <c r="AB600" s="240" t="str">
        <f t="shared" si="77"/>
        <v>OK</v>
      </c>
      <c r="AC600" s="240" t="str" cm="1">
        <f t="array" ref="AC600">IF(AND(F600:H600&lt;&gt;"",I600=""),"ERROR","OK")</f>
        <v>OK</v>
      </c>
      <c r="AD600" s="240" t="str">
        <f t="shared" si="78"/>
        <v>OK</v>
      </c>
      <c r="AE600" s="240" t="str">
        <f t="shared" si="79"/>
        <v>OK</v>
      </c>
      <c r="AF600" s="240" t="str" cm="1">
        <f t="array" aca="1" ref="AF600" ca="1" xml:space="preserve">
IF(AND($G600&lt;&gt;"",$F600=""),"ERROR",
IF(OR($F600:$G600="",AND($G600="",$F600&lt;&gt;"")),"OK",
IF(COUNTIF(INDIRECT(IFERROR(LEFT($F600,FIND(" ",$F600)-1),$F600)), $G600)&gt;0, "OK", "ERROR")))</f>
        <v>OK</v>
      </c>
    </row>
    <row r="601" spans="1:32" s="240" customFormat="1">
      <c r="A601" s="48"/>
      <c r="B601" s="31"/>
      <c r="C601" s="48"/>
      <c r="D601" s="47"/>
      <c r="E601" s="47"/>
      <c r="F601" s="31"/>
      <c r="G601" s="31"/>
      <c r="H601" s="31"/>
      <c r="I601" s="47"/>
      <c r="J601" s="31"/>
      <c r="K601" s="47"/>
      <c r="L601" s="47"/>
      <c r="M601" s="47"/>
      <c r="N601" s="31"/>
      <c r="O601" s="47"/>
      <c r="P601" s="31"/>
      <c r="Q601" s="31"/>
      <c r="R601" s="31"/>
      <c r="S601" s="31"/>
      <c r="T601" s="270">
        <f t="shared" si="72"/>
        <v>0</v>
      </c>
      <c r="U601" s="270">
        <f t="shared" si="73"/>
        <v>0</v>
      </c>
      <c r="V601" s="31"/>
      <c r="X601" s="240" t="str">
        <f t="shared" si="74"/>
        <v>OK</v>
      </c>
      <c r="Y601" s="240" t="str">
        <f t="shared" si="75"/>
        <v>OK</v>
      </c>
      <c r="Z601" s="240" t="str">
        <f t="shared" si="76"/>
        <v>OK</v>
      </c>
      <c r="AA601" s="240" t="str" cm="1">
        <f t="array" ref="AA601">IF(OR(AND(J601="Not accepted",N601:O601&lt;&gt;"",$S601=""),AND(J601="Accepted",S601="")),"ERROR","OK")</f>
        <v>OK</v>
      </c>
      <c r="AB601" s="240" t="str">
        <f t="shared" si="77"/>
        <v>OK</v>
      </c>
      <c r="AC601" s="240" t="str" cm="1">
        <f t="array" ref="AC601">IF(AND(F601:H601&lt;&gt;"",I601=""),"ERROR","OK")</f>
        <v>OK</v>
      </c>
      <c r="AD601" s="240" t="str">
        <f t="shared" si="78"/>
        <v>OK</v>
      </c>
      <c r="AE601" s="240" t="str">
        <f t="shared" si="79"/>
        <v>OK</v>
      </c>
      <c r="AF601" s="240" t="str" cm="1">
        <f t="array" aca="1" ref="AF601" ca="1" xml:space="preserve">
IF(AND($G601&lt;&gt;"",$F601=""),"ERROR",
IF(OR($F601:$G601="",AND($G601="",$F601&lt;&gt;"")),"OK",
IF(COUNTIF(INDIRECT(IFERROR(LEFT($F601,FIND(" ",$F601)-1),$F601)), $G601)&gt;0, "OK", "ERROR")))</f>
        <v>OK</v>
      </c>
    </row>
    <row r="602" spans="1:32" s="240" customFormat="1">
      <c r="A602" s="48"/>
      <c r="B602" s="31"/>
      <c r="C602" s="48"/>
      <c r="D602" s="47"/>
      <c r="E602" s="47"/>
      <c r="F602" s="31"/>
      <c r="G602" s="31"/>
      <c r="H602" s="31"/>
      <c r="I602" s="47"/>
      <c r="J602" s="31"/>
      <c r="K602" s="47"/>
      <c r="L602" s="47"/>
      <c r="M602" s="47"/>
      <c r="N602" s="31"/>
      <c r="O602" s="47"/>
      <c r="P602" s="31"/>
      <c r="Q602" s="31"/>
      <c r="R602" s="31"/>
      <c r="S602" s="31"/>
      <c r="T602" s="270">
        <f t="shared" si="72"/>
        <v>0</v>
      </c>
      <c r="U602" s="270">
        <f t="shared" si="73"/>
        <v>0</v>
      </c>
      <c r="V602" s="31"/>
      <c r="X602" s="240" t="str">
        <f t="shared" si="74"/>
        <v>OK</v>
      </c>
      <c r="Y602" s="240" t="str">
        <f t="shared" si="75"/>
        <v>OK</v>
      </c>
      <c r="Z602" s="240" t="str">
        <f t="shared" si="76"/>
        <v>OK</v>
      </c>
      <c r="AA602" s="240" t="str" cm="1">
        <f t="array" ref="AA602">IF(OR(AND(J602="Not accepted",N602:O602&lt;&gt;"",$S602=""),AND(J602="Accepted",S602="")),"ERROR","OK")</f>
        <v>OK</v>
      </c>
      <c r="AB602" s="240" t="str">
        <f t="shared" si="77"/>
        <v>OK</v>
      </c>
      <c r="AC602" s="240" t="str" cm="1">
        <f t="array" ref="AC602">IF(AND(F602:H602&lt;&gt;"",I602=""),"ERROR","OK")</f>
        <v>OK</v>
      </c>
      <c r="AD602" s="240" t="str">
        <f t="shared" si="78"/>
        <v>OK</v>
      </c>
      <c r="AE602" s="240" t="str">
        <f t="shared" si="79"/>
        <v>OK</v>
      </c>
      <c r="AF602" s="240" t="str" cm="1">
        <f t="array" aca="1" ref="AF602" ca="1" xml:space="preserve">
IF(AND($G602&lt;&gt;"",$F602=""),"ERROR",
IF(OR($F602:$G602="",AND($G602="",$F602&lt;&gt;"")),"OK",
IF(COUNTIF(INDIRECT(IFERROR(LEFT($F602,FIND(" ",$F602)-1),$F602)), $G602)&gt;0, "OK", "ERROR")))</f>
        <v>OK</v>
      </c>
    </row>
    <row r="603" spans="1:32" s="240" customFormat="1">
      <c r="A603" s="48"/>
      <c r="B603" s="31"/>
      <c r="C603" s="48"/>
      <c r="D603" s="47"/>
      <c r="E603" s="47"/>
      <c r="F603" s="31"/>
      <c r="G603" s="31"/>
      <c r="H603" s="31"/>
      <c r="I603" s="47"/>
      <c r="J603" s="31"/>
      <c r="K603" s="47"/>
      <c r="L603" s="47"/>
      <c r="M603" s="47"/>
      <c r="N603" s="31"/>
      <c r="O603" s="47"/>
      <c r="P603" s="31"/>
      <c r="Q603" s="31"/>
      <c r="R603" s="31"/>
      <c r="S603" s="31"/>
      <c r="T603" s="270">
        <f t="shared" si="72"/>
        <v>0</v>
      </c>
      <c r="U603" s="270">
        <f t="shared" si="73"/>
        <v>0</v>
      </c>
      <c r="V603" s="31"/>
      <c r="X603" s="240" t="str">
        <f t="shared" si="74"/>
        <v>OK</v>
      </c>
      <c r="Y603" s="240" t="str">
        <f t="shared" si="75"/>
        <v>OK</v>
      </c>
      <c r="Z603" s="240" t="str">
        <f t="shared" si="76"/>
        <v>OK</v>
      </c>
      <c r="AA603" s="240" t="str" cm="1">
        <f t="array" ref="AA603">IF(OR(AND(J603="Not accepted",N603:O603&lt;&gt;"",$S603=""),AND(J603="Accepted",S603="")),"ERROR","OK")</f>
        <v>OK</v>
      </c>
      <c r="AB603" s="240" t="str">
        <f t="shared" si="77"/>
        <v>OK</v>
      </c>
      <c r="AC603" s="240" t="str" cm="1">
        <f t="array" ref="AC603">IF(AND(F603:H603&lt;&gt;"",I603=""),"ERROR","OK")</f>
        <v>OK</v>
      </c>
      <c r="AD603" s="240" t="str">
        <f t="shared" si="78"/>
        <v>OK</v>
      </c>
      <c r="AE603" s="240" t="str">
        <f t="shared" si="79"/>
        <v>OK</v>
      </c>
      <c r="AF603" s="240" t="str" cm="1">
        <f t="array" aca="1" ref="AF603" ca="1" xml:space="preserve">
IF(AND($G603&lt;&gt;"",$F603=""),"ERROR",
IF(OR($F603:$G603="",AND($G603="",$F603&lt;&gt;"")),"OK",
IF(COUNTIF(INDIRECT(IFERROR(LEFT($F603,FIND(" ",$F603)-1),$F603)), $G603)&gt;0, "OK", "ERROR")))</f>
        <v>OK</v>
      </c>
    </row>
    <row r="604" spans="1:32" s="240" customFormat="1">
      <c r="A604" s="48"/>
      <c r="B604" s="31"/>
      <c r="C604" s="48"/>
      <c r="D604" s="47"/>
      <c r="E604" s="47"/>
      <c r="F604" s="31"/>
      <c r="G604" s="31"/>
      <c r="H604" s="31"/>
      <c r="I604" s="47"/>
      <c r="J604" s="31"/>
      <c r="K604" s="47"/>
      <c r="L604" s="47"/>
      <c r="M604" s="47"/>
      <c r="N604" s="31"/>
      <c r="O604" s="47"/>
      <c r="P604" s="31"/>
      <c r="Q604" s="31"/>
      <c r="R604" s="31"/>
      <c r="S604" s="31"/>
      <c r="T604" s="270">
        <f t="shared" si="72"/>
        <v>0</v>
      </c>
      <c r="U604" s="270">
        <f t="shared" si="73"/>
        <v>0</v>
      </c>
      <c r="V604" s="31"/>
      <c r="X604" s="240" t="str">
        <f t="shared" si="74"/>
        <v>OK</v>
      </c>
      <c r="Y604" s="240" t="str">
        <f t="shared" si="75"/>
        <v>OK</v>
      </c>
      <c r="Z604" s="240" t="str">
        <f t="shared" si="76"/>
        <v>OK</v>
      </c>
      <c r="AA604" s="240" t="str" cm="1">
        <f t="array" ref="AA604">IF(OR(AND(J604="Not accepted",N604:O604&lt;&gt;"",$S604=""),AND(J604="Accepted",S604="")),"ERROR","OK")</f>
        <v>OK</v>
      </c>
      <c r="AB604" s="240" t="str">
        <f t="shared" si="77"/>
        <v>OK</v>
      </c>
      <c r="AC604" s="240" t="str" cm="1">
        <f t="array" ref="AC604">IF(AND(F604:H604&lt;&gt;"",I604=""),"ERROR","OK")</f>
        <v>OK</v>
      </c>
      <c r="AD604" s="240" t="str">
        <f t="shared" si="78"/>
        <v>OK</v>
      </c>
      <c r="AE604" s="240" t="str">
        <f t="shared" si="79"/>
        <v>OK</v>
      </c>
      <c r="AF604" s="240" t="str" cm="1">
        <f t="array" aca="1" ref="AF604" ca="1" xml:space="preserve">
IF(AND($G604&lt;&gt;"",$F604=""),"ERROR",
IF(OR($F604:$G604="",AND($G604="",$F604&lt;&gt;"")),"OK",
IF(COUNTIF(INDIRECT(IFERROR(LEFT($F604,FIND(" ",$F604)-1),$F604)), $G604)&gt;0, "OK", "ERROR")))</f>
        <v>OK</v>
      </c>
    </row>
    <row r="605" spans="1:32" s="240" customFormat="1">
      <c r="A605" s="48"/>
      <c r="B605" s="31"/>
      <c r="C605" s="48"/>
      <c r="D605" s="47"/>
      <c r="E605" s="47"/>
      <c r="F605" s="31"/>
      <c r="G605" s="31"/>
      <c r="H605" s="31"/>
      <c r="I605" s="47"/>
      <c r="J605" s="31"/>
      <c r="K605" s="47"/>
      <c r="L605" s="47"/>
      <c r="M605" s="47"/>
      <c r="N605" s="31"/>
      <c r="O605" s="47"/>
      <c r="P605" s="31"/>
      <c r="Q605" s="31"/>
      <c r="R605" s="31"/>
      <c r="S605" s="31"/>
      <c r="T605" s="270">
        <f t="shared" si="72"/>
        <v>0</v>
      </c>
      <c r="U605" s="270">
        <f t="shared" si="73"/>
        <v>0</v>
      </c>
      <c r="V605" s="31"/>
      <c r="X605" s="240" t="str">
        <f t="shared" si="74"/>
        <v>OK</v>
      </c>
      <c r="Y605" s="240" t="str">
        <f t="shared" si="75"/>
        <v>OK</v>
      </c>
      <c r="Z605" s="240" t="str">
        <f t="shared" si="76"/>
        <v>OK</v>
      </c>
      <c r="AA605" s="240" t="str" cm="1">
        <f t="array" ref="AA605">IF(OR(AND(J605="Not accepted",N605:O605&lt;&gt;"",$S605=""),AND(J605="Accepted",S605="")),"ERROR","OK")</f>
        <v>OK</v>
      </c>
      <c r="AB605" s="240" t="str">
        <f t="shared" si="77"/>
        <v>OK</v>
      </c>
      <c r="AC605" s="240" t="str" cm="1">
        <f t="array" ref="AC605">IF(AND(F605:H605&lt;&gt;"",I605=""),"ERROR","OK")</f>
        <v>OK</v>
      </c>
      <c r="AD605" s="240" t="str">
        <f t="shared" si="78"/>
        <v>OK</v>
      </c>
      <c r="AE605" s="240" t="str">
        <f t="shared" si="79"/>
        <v>OK</v>
      </c>
      <c r="AF605" s="240" t="str" cm="1">
        <f t="array" aca="1" ref="AF605" ca="1" xml:space="preserve">
IF(AND($G605&lt;&gt;"",$F605=""),"ERROR",
IF(OR($F605:$G605="",AND($G605="",$F605&lt;&gt;"")),"OK",
IF(COUNTIF(INDIRECT(IFERROR(LEFT($F605,FIND(" ",$F605)-1),$F605)), $G605)&gt;0, "OK", "ERROR")))</f>
        <v>OK</v>
      </c>
    </row>
    <row r="606" spans="1:32" s="240" customFormat="1">
      <c r="A606" s="48"/>
      <c r="B606" s="31"/>
      <c r="C606" s="48"/>
      <c r="D606" s="47"/>
      <c r="E606" s="47"/>
      <c r="F606" s="31"/>
      <c r="G606" s="31"/>
      <c r="H606" s="31"/>
      <c r="I606" s="47"/>
      <c r="J606" s="31"/>
      <c r="K606" s="47"/>
      <c r="L606" s="47"/>
      <c r="M606" s="47"/>
      <c r="N606" s="31"/>
      <c r="O606" s="47"/>
      <c r="P606" s="31"/>
      <c r="Q606" s="31"/>
      <c r="R606" s="31"/>
      <c r="S606" s="31"/>
      <c r="T606" s="270">
        <f t="shared" si="72"/>
        <v>0</v>
      </c>
      <c r="U606" s="270">
        <f t="shared" si="73"/>
        <v>0</v>
      </c>
      <c r="V606" s="31"/>
      <c r="X606" s="240" t="str">
        <f t="shared" si="74"/>
        <v>OK</v>
      </c>
      <c r="Y606" s="240" t="str">
        <f t="shared" si="75"/>
        <v>OK</v>
      </c>
      <c r="Z606" s="240" t="str">
        <f t="shared" si="76"/>
        <v>OK</v>
      </c>
      <c r="AA606" s="240" t="str" cm="1">
        <f t="array" ref="AA606">IF(OR(AND(J606="Not accepted",N606:O606&lt;&gt;"",$S606=""),AND(J606="Accepted",S606="")),"ERROR","OK")</f>
        <v>OK</v>
      </c>
      <c r="AB606" s="240" t="str">
        <f t="shared" si="77"/>
        <v>OK</v>
      </c>
      <c r="AC606" s="240" t="str" cm="1">
        <f t="array" ref="AC606">IF(AND(F606:H606&lt;&gt;"",I606=""),"ERROR","OK")</f>
        <v>OK</v>
      </c>
      <c r="AD606" s="240" t="str">
        <f t="shared" si="78"/>
        <v>OK</v>
      </c>
      <c r="AE606" s="240" t="str">
        <f t="shared" si="79"/>
        <v>OK</v>
      </c>
      <c r="AF606" s="240" t="str" cm="1">
        <f t="array" aca="1" ref="AF606" ca="1" xml:space="preserve">
IF(AND($G606&lt;&gt;"",$F606=""),"ERROR",
IF(OR($F606:$G606="",AND($G606="",$F606&lt;&gt;"")),"OK",
IF(COUNTIF(INDIRECT(IFERROR(LEFT($F606,FIND(" ",$F606)-1),$F606)), $G606)&gt;0, "OK", "ERROR")))</f>
        <v>OK</v>
      </c>
    </row>
    <row r="607" spans="1:32" s="240" customFormat="1">
      <c r="A607" s="48"/>
      <c r="B607" s="31"/>
      <c r="C607" s="48"/>
      <c r="D607" s="47"/>
      <c r="E607" s="47"/>
      <c r="F607" s="31"/>
      <c r="G607" s="31"/>
      <c r="H607" s="31"/>
      <c r="I607" s="47"/>
      <c r="J607" s="31"/>
      <c r="K607" s="47"/>
      <c r="L607" s="47"/>
      <c r="M607" s="47"/>
      <c r="N607" s="31"/>
      <c r="O607" s="47"/>
      <c r="P607" s="31"/>
      <c r="Q607" s="31"/>
      <c r="R607" s="31"/>
      <c r="S607" s="31"/>
      <c r="T607" s="270">
        <f t="shared" si="72"/>
        <v>0</v>
      </c>
      <c r="U607" s="270">
        <f t="shared" si="73"/>
        <v>0</v>
      </c>
      <c r="V607" s="31"/>
      <c r="X607" s="240" t="str">
        <f t="shared" si="74"/>
        <v>OK</v>
      </c>
      <c r="Y607" s="240" t="str">
        <f t="shared" si="75"/>
        <v>OK</v>
      </c>
      <c r="Z607" s="240" t="str">
        <f t="shared" si="76"/>
        <v>OK</v>
      </c>
      <c r="AA607" s="240" t="str" cm="1">
        <f t="array" ref="AA607">IF(OR(AND(J607="Not accepted",N607:O607&lt;&gt;"",$S607=""),AND(J607="Accepted",S607="")),"ERROR","OK")</f>
        <v>OK</v>
      </c>
      <c r="AB607" s="240" t="str">
        <f t="shared" si="77"/>
        <v>OK</v>
      </c>
      <c r="AC607" s="240" t="str" cm="1">
        <f t="array" ref="AC607">IF(AND(F607:H607&lt;&gt;"",I607=""),"ERROR","OK")</f>
        <v>OK</v>
      </c>
      <c r="AD607" s="240" t="str">
        <f t="shared" si="78"/>
        <v>OK</v>
      </c>
      <c r="AE607" s="240" t="str">
        <f t="shared" si="79"/>
        <v>OK</v>
      </c>
      <c r="AF607" s="240" t="str" cm="1">
        <f t="array" aca="1" ref="AF607" ca="1" xml:space="preserve">
IF(AND($G607&lt;&gt;"",$F607=""),"ERROR",
IF(OR($F607:$G607="",AND($G607="",$F607&lt;&gt;"")),"OK",
IF(COUNTIF(INDIRECT(IFERROR(LEFT($F607,FIND(" ",$F607)-1),$F607)), $G607)&gt;0, "OK", "ERROR")))</f>
        <v>OK</v>
      </c>
    </row>
    <row r="608" spans="1:32" s="240" customFormat="1">
      <c r="A608" s="48"/>
      <c r="B608" s="31"/>
      <c r="C608" s="48"/>
      <c r="D608" s="47"/>
      <c r="E608" s="47"/>
      <c r="F608" s="31"/>
      <c r="G608" s="31"/>
      <c r="H608" s="31"/>
      <c r="I608" s="47"/>
      <c r="J608" s="31"/>
      <c r="K608" s="47"/>
      <c r="L608" s="47"/>
      <c r="M608" s="47"/>
      <c r="N608" s="31"/>
      <c r="O608" s="47"/>
      <c r="P608" s="31"/>
      <c r="Q608" s="31"/>
      <c r="R608" s="31"/>
      <c r="S608" s="31"/>
      <c r="T608" s="270">
        <f t="shared" si="72"/>
        <v>0</v>
      </c>
      <c r="U608" s="270">
        <f t="shared" si="73"/>
        <v>0</v>
      </c>
      <c r="V608" s="31"/>
      <c r="X608" s="240" t="str">
        <f t="shared" si="74"/>
        <v>OK</v>
      </c>
      <c r="Y608" s="240" t="str">
        <f t="shared" si="75"/>
        <v>OK</v>
      </c>
      <c r="Z608" s="240" t="str">
        <f t="shared" si="76"/>
        <v>OK</v>
      </c>
      <c r="AA608" s="240" t="str" cm="1">
        <f t="array" ref="AA608">IF(OR(AND(J608="Not accepted",N608:O608&lt;&gt;"",$S608=""),AND(J608="Accepted",S608="")),"ERROR","OK")</f>
        <v>OK</v>
      </c>
      <c r="AB608" s="240" t="str">
        <f t="shared" si="77"/>
        <v>OK</v>
      </c>
      <c r="AC608" s="240" t="str" cm="1">
        <f t="array" ref="AC608">IF(AND(F608:H608&lt;&gt;"",I608=""),"ERROR","OK")</f>
        <v>OK</v>
      </c>
      <c r="AD608" s="240" t="str">
        <f t="shared" si="78"/>
        <v>OK</v>
      </c>
      <c r="AE608" s="240" t="str">
        <f t="shared" si="79"/>
        <v>OK</v>
      </c>
      <c r="AF608" s="240" t="str" cm="1">
        <f t="array" aca="1" ref="AF608" ca="1" xml:space="preserve">
IF(AND($G608&lt;&gt;"",$F608=""),"ERROR",
IF(OR($F608:$G608="",AND($G608="",$F608&lt;&gt;"")),"OK",
IF(COUNTIF(INDIRECT(IFERROR(LEFT($F608,FIND(" ",$F608)-1),$F608)), $G608)&gt;0, "OK", "ERROR")))</f>
        <v>OK</v>
      </c>
    </row>
    <row r="609" spans="1:32" s="240" customFormat="1">
      <c r="A609" s="48"/>
      <c r="B609" s="31"/>
      <c r="C609" s="48"/>
      <c r="D609" s="47"/>
      <c r="E609" s="47"/>
      <c r="F609" s="31"/>
      <c r="G609" s="31"/>
      <c r="H609" s="31"/>
      <c r="I609" s="47"/>
      <c r="J609" s="31"/>
      <c r="K609" s="47"/>
      <c r="L609" s="47"/>
      <c r="M609" s="47"/>
      <c r="N609" s="31"/>
      <c r="O609" s="47"/>
      <c r="P609" s="31"/>
      <c r="Q609" s="31"/>
      <c r="R609" s="31"/>
      <c r="S609" s="31"/>
      <c r="T609" s="270">
        <f t="shared" si="72"/>
        <v>0</v>
      </c>
      <c r="U609" s="270">
        <f t="shared" si="73"/>
        <v>0</v>
      </c>
      <c r="V609" s="31"/>
      <c r="X609" s="240" t="str">
        <f t="shared" si="74"/>
        <v>OK</v>
      </c>
      <c r="Y609" s="240" t="str">
        <f t="shared" si="75"/>
        <v>OK</v>
      </c>
      <c r="Z609" s="240" t="str">
        <f t="shared" si="76"/>
        <v>OK</v>
      </c>
      <c r="AA609" s="240" t="str" cm="1">
        <f t="array" ref="AA609">IF(OR(AND(J609="Not accepted",N609:O609&lt;&gt;"",$S609=""),AND(J609="Accepted",S609="")),"ERROR","OK")</f>
        <v>OK</v>
      </c>
      <c r="AB609" s="240" t="str">
        <f t="shared" si="77"/>
        <v>OK</v>
      </c>
      <c r="AC609" s="240" t="str" cm="1">
        <f t="array" ref="AC609">IF(AND(F609:H609&lt;&gt;"",I609=""),"ERROR","OK")</f>
        <v>OK</v>
      </c>
      <c r="AD609" s="240" t="str">
        <f t="shared" si="78"/>
        <v>OK</v>
      </c>
      <c r="AE609" s="240" t="str">
        <f t="shared" si="79"/>
        <v>OK</v>
      </c>
      <c r="AF609" s="240" t="str" cm="1">
        <f t="array" aca="1" ref="AF609" ca="1" xml:space="preserve">
IF(AND($G609&lt;&gt;"",$F609=""),"ERROR",
IF(OR($F609:$G609="",AND($G609="",$F609&lt;&gt;"")),"OK",
IF(COUNTIF(INDIRECT(IFERROR(LEFT($F609,FIND(" ",$F609)-1),$F609)), $G609)&gt;0, "OK", "ERROR")))</f>
        <v>OK</v>
      </c>
    </row>
    <row r="610" spans="1:32" s="240" customFormat="1">
      <c r="A610" s="48"/>
      <c r="B610" s="31"/>
      <c r="C610" s="48"/>
      <c r="D610" s="47"/>
      <c r="E610" s="47"/>
      <c r="F610" s="31"/>
      <c r="G610" s="31"/>
      <c r="H610" s="31"/>
      <c r="I610" s="47"/>
      <c r="J610" s="31"/>
      <c r="K610" s="47"/>
      <c r="L610" s="47"/>
      <c r="M610" s="47"/>
      <c r="N610" s="31"/>
      <c r="O610" s="47"/>
      <c r="P610" s="31"/>
      <c r="Q610" s="31"/>
      <c r="R610" s="31"/>
      <c r="S610" s="31"/>
      <c r="T610" s="270">
        <f t="shared" si="72"/>
        <v>0</v>
      </c>
      <c r="U610" s="270">
        <f t="shared" si="73"/>
        <v>0</v>
      </c>
      <c r="V610" s="31"/>
      <c r="X610" s="240" t="str">
        <f t="shared" si="74"/>
        <v>OK</v>
      </c>
      <c r="Y610" s="240" t="str">
        <f t="shared" si="75"/>
        <v>OK</v>
      </c>
      <c r="Z610" s="240" t="str">
        <f t="shared" si="76"/>
        <v>OK</v>
      </c>
      <c r="AA610" s="240" t="str" cm="1">
        <f t="array" ref="AA610">IF(OR(AND(J610="Not accepted",N610:O610&lt;&gt;"",$S610=""),AND(J610="Accepted",S610="")),"ERROR","OK")</f>
        <v>OK</v>
      </c>
      <c r="AB610" s="240" t="str">
        <f t="shared" si="77"/>
        <v>OK</v>
      </c>
      <c r="AC610" s="240" t="str" cm="1">
        <f t="array" ref="AC610">IF(AND(F610:H610&lt;&gt;"",I610=""),"ERROR","OK")</f>
        <v>OK</v>
      </c>
      <c r="AD610" s="240" t="str">
        <f t="shared" si="78"/>
        <v>OK</v>
      </c>
      <c r="AE610" s="240" t="str">
        <f t="shared" si="79"/>
        <v>OK</v>
      </c>
      <c r="AF610" s="240" t="str" cm="1">
        <f t="array" aca="1" ref="AF610" ca="1" xml:space="preserve">
IF(AND($G610&lt;&gt;"",$F610=""),"ERROR",
IF(OR($F610:$G610="",AND($G610="",$F610&lt;&gt;"")),"OK",
IF(COUNTIF(INDIRECT(IFERROR(LEFT($F610,FIND(" ",$F610)-1),$F610)), $G610)&gt;0, "OK", "ERROR")))</f>
        <v>OK</v>
      </c>
    </row>
    <row r="611" spans="1:32" s="240" customFormat="1">
      <c r="A611" s="48"/>
      <c r="B611" s="31"/>
      <c r="C611" s="48"/>
      <c r="D611" s="47"/>
      <c r="E611" s="47"/>
      <c r="F611" s="31"/>
      <c r="G611" s="31"/>
      <c r="H611" s="31"/>
      <c r="I611" s="47"/>
      <c r="J611" s="31"/>
      <c r="K611" s="47"/>
      <c r="L611" s="47"/>
      <c r="M611" s="47"/>
      <c r="N611" s="31"/>
      <c r="O611" s="47"/>
      <c r="P611" s="31"/>
      <c r="Q611" s="31"/>
      <c r="R611" s="31"/>
      <c r="S611" s="31"/>
      <c r="T611" s="270">
        <f t="shared" si="72"/>
        <v>0</v>
      </c>
      <c r="U611" s="270">
        <f t="shared" si="73"/>
        <v>0</v>
      </c>
      <c r="V611" s="31"/>
      <c r="X611" s="240" t="str">
        <f t="shared" si="74"/>
        <v>OK</v>
      </c>
      <c r="Y611" s="240" t="str">
        <f t="shared" si="75"/>
        <v>OK</v>
      </c>
      <c r="Z611" s="240" t="str">
        <f t="shared" si="76"/>
        <v>OK</v>
      </c>
      <c r="AA611" s="240" t="str" cm="1">
        <f t="array" ref="AA611">IF(OR(AND(J611="Not accepted",N611:O611&lt;&gt;"",$S611=""),AND(J611="Accepted",S611="")),"ERROR","OK")</f>
        <v>OK</v>
      </c>
      <c r="AB611" s="240" t="str">
        <f t="shared" si="77"/>
        <v>OK</v>
      </c>
      <c r="AC611" s="240" t="str" cm="1">
        <f t="array" ref="AC611">IF(AND(F611:H611&lt;&gt;"",I611=""),"ERROR","OK")</f>
        <v>OK</v>
      </c>
      <c r="AD611" s="240" t="str">
        <f t="shared" si="78"/>
        <v>OK</v>
      </c>
      <c r="AE611" s="240" t="str">
        <f t="shared" si="79"/>
        <v>OK</v>
      </c>
      <c r="AF611" s="240" t="str" cm="1">
        <f t="array" aca="1" ref="AF611" ca="1" xml:space="preserve">
IF(AND($G611&lt;&gt;"",$F611=""),"ERROR",
IF(OR($F611:$G611="",AND($G611="",$F611&lt;&gt;"")),"OK",
IF(COUNTIF(INDIRECT(IFERROR(LEFT($F611,FIND(" ",$F611)-1),$F611)), $G611)&gt;0, "OK", "ERROR")))</f>
        <v>OK</v>
      </c>
    </row>
    <row r="612" spans="1:32" s="240" customFormat="1">
      <c r="A612" s="48"/>
      <c r="B612" s="31"/>
      <c r="C612" s="48"/>
      <c r="D612" s="47"/>
      <c r="E612" s="47"/>
      <c r="F612" s="31"/>
      <c r="G612" s="31"/>
      <c r="H612" s="31"/>
      <c r="I612" s="47"/>
      <c r="J612" s="31"/>
      <c r="K612" s="47"/>
      <c r="L612" s="47"/>
      <c r="M612" s="47"/>
      <c r="N612" s="31"/>
      <c r="O612" s="47"/>
      <c r="P612" s="31"/>
      <c r="Q612" s="31"/>
      <c r="R612" s="31"/>
      <c r="S612" s="31"/>
      <c r="T612" s="270">
        <f t="shared" si="72"/>
        <v>0</v>
      </c>
      <c r="U612" s="270">
        <f t="shared" si="73"/>
        <v>0</v>
      </c>
      <c r="V612" s="31"/>
      <c r="X612" s="240" t="str">
        <f t="shared" si="74"/>
        <v>OK</v>
      </c>
      <c r="Y612" s="240" t="str">
        <f t="shared" si="75"/>
        <v>OK</v>
      </c>
      <c r="Z612" s="240" t="str">
        <f t="shared" si="76"/>
        <v>OK</v>
      </c>
      <c r="AA612" s="240" t="str" cm="1">
        <f t="array" ref="AA612">IF(OR(AND(J612="Not accepted",N612:O612&lt;&gt;"",$S612=""),AND(J612="Accepted",S612="")),"ERROR","OK")</f>
        <v>OK</v>
      </c>
      <c r="AB612" s="240" t="str">
        <f t="shared" si="77"/>
        <v>OK</v>
      </c>
      <c r="AC612" s="240" t="str" cm="1">
        <f t="array" ref="AC612">IF(AND(F612:H612&lt;&gt;"",I612=""),"ERROR","OK")</f>
        <v>OK</v>
      </c>
      <c r="AD612" s="240" t="str">
        <f t="shared" si="78"/>
        <v>OK</v>
      </c>
      <c r="AE612" s="240" t="str">
        <f t="shared" si="79"/>
        <v>OK</v>
      </c>
      <c r="AF612" s="240" t="str" cm="1">
        <f t="array" aca="1" ref="AF612" ca="1" xml:space="preserve">
IF(AND($G612&lt;&gt;"",$F612=""),"ERROR",
IF(OR($F612:$G612="",AND($G612="",$F612&lt;&gt;"")),"OK",
IF(COUNTIF(INDIRECT(IFERROR(LEFT($F612,FIND(" ",$F612)-1),$F612)), $G612)&gt;0, "OK", "ERROR")))</f>
        <v>OK</v>
      </c>
    </row>
    <row r="613" spans="1:32" s="240" customFormat="1">
      <c r="A613" s="48"/>
      <c r="B613" s="31"/>
      <c r="C613" s="48"/>
      <c r="D613" s="47"/>
      <c r="E613" s="47"/>
      <c r="F613" s="31"/>
      <c r="G613" s="31"/>
      <c r="H613" s="31"/>
      <c r="I613" s="47"/>
      <c r="J613" s="31"/>
      <c r="K613" s="47"/>
      <c r="L613" s="47"/>
      <c r="M613" s="47"/>
      <c r="N613" s="31"/>
      <c r="O613" s="47"/>
      <c r="P613" s="31"/>
      <c r="Q613" s="31"/>
      <c r="R613" s="31"/>
      <c r="S613" s="31"/>
      <c r="T613" s="270">
        <f t="shared" si="72"/>
        <v>0</v>
      </c>
      <c r="U613" s="270">
        <f t="shared" si="73"/>
        <v>0</v>
      </c>
      <c r="V613" s="31"/>
      <c r="X613" s="240" t="str">
        <f t="shared" si="74"/>
        <v>OK</v>
      </c>
      <c r="Y613" s="240" t="str">
        <f t="shared" si="75"/>
        <v>OK</v>
      </c>
      <c r="Z613" s="240" t="str">
        <f t="shared" si="76"/>
        <v>OK</v>
      </c>
      <c r="AA613" s="240" t="str" cm="1">
        <f t="array" ref="AA613">IF(OR(AND(J613="Not accepted",N613:O613&lt;&gt;"",$S613=""),AND(J613="Accepted",S613="")),"ERROR","OK")</f>
        <v>OK</v>
      </c>
      <c r="AB613" s="240" t="str">
        <f t="shared" si="77"/>
        <v>OK</v>
      </c>
      <c r="AC613" s="240" t="str" cm="1">
        <f t="array" ref="AC613">IF(AND(F613:H613&lt;&gt;"",I613=""),"ERROR","OK")</f>
        <v>OK</v>
      </c>
      <c r="AD613" s="240" t="str">
        <f t="shared" si="78"/>
        <v>OK</v>
      </c>
      <c r="AE613" s="240" t="str">
        <f t="shared" si="79"/>
        <v>OK</v>
      </c>
      <c r="AF613" s="240" t="str" cm="1">
        <f t="array" aca="1" ref="AF613" ca="1" xml:space="preserve">
IF(AND($G613&lt;&gt;"",$F613=""),"ERROR",
IF(OR($F613:$G613="",AND($G613="",$F613&lt;&gt;"")),"OK",
IF(COUNTIF(INDIRECT(IFERROR(LEFT($F613,FIND(" ",$F613)-1),$F613)), $G613)&gt;0, "OK", "ERROR")))</f>
        <v>OK</v>
      </c>
    </row>
    <row r="614" spans="1:32" s="240" customFormat="1">
      <c r="A614" s="48"/>
      <c r="B614" s="31"/>
      <c r="C614" s="48"/>
      <c r="D614" s="47"/>
      <c r="E614" s="47"/>
      <c r="F614" s="31"/>
      <c r="G614" s="31"/>
      <c r="H614" s="31"/>
      <c r="I614" s="47"/>
      <c r="J614" s="31"/>
      <c r="K614" s="47"/>
      <c r="L614" s="47"/>
      <c r="M614" s="47"/>
      <c r="N614" s="31"/>
      <c r="O614" s="47"/>
      <c r="P614" s="31"/>
      <c r="Q614" s="31"/>
      <c r="R614" s="31"/>
      <c r="S614" s="31"/>
      <c r="T614" s="270">
        <f t="shared" si="72"/>
        <v>0</v>
      </c>
      <c r="U614" s="270">
        <f t="shared" si="73"/>
        <v>0</v>
      </c>
      <c r="V614" s="31"/>
      <c r="X614" s="240" t="str">
        <f t="shared" si="74"/>
        <v>OK</v>
      </c>
      <c r="Y614" s="240" t="str">
        <f t="shared" si="75"/>
        <v>OK</v>
      </c>
      <c r="Z614" s="240" t="str">
        <f t="shared" si="76"/>
        <v>OK</v>
      </c>
      <c r="AA614" s="240" t="str" cm="1">
        <f t="array" ref="AA614">IF(OR(AND(J614="Not accepted",N614:O614&lt;&gt;"",$S614=""),AND(J614="Accepted",S614="")),"ERROR","OK")</f>
        <v>OK</v>
      </c>
      <c r="AB614" s="240" t="str">
        <f t="shared" si="77"/>
        <v>OK</v>
      </c>
      <c r="AC614" s="240" t="str" cm="1">
        <f t="array" ref="AC614">IF(AND(F614:H614&lt;&gt;"",I614=""),"ERROR","OK")</f>
        <v>OK</v>
      </c>
      <c r="AD614" s="240" t="str">
        <f t="shared" si="78"/>
        <v>OK</v>
      </c>
      <c r="AE614" s="240" t="str">
        <f t="shared" si="79"/>
        <v>OK</v>
      </c>
      <c r="AF614" s="240" t="str" cm="1">
        <f t="array" aca="1" ref="AF614" ca="1" xml:space="preserve">
IF(AND($G614&lt;&gt;"",$F614=""),"ERROR",
IF(OR($F614:$G614="",AND($G614="",$F614&lt;&gt;"")),"OK",
IF(COUNTIF(INDIRECT(IFERROR(LEFT($F614,FIND(" ",$F614)-1),$F614)), $G614)&gt;0, "OK", "ERROR")))</f>
        <v>OK</v>
      </c>
    </row>
    <row r="615" spans="1:32" s="240" customFormat="1">
      <c r="A615" s="48"/>
      <c r="B615" s="31"/>
      <c r="C615" s="48"/>
      <c r="D615" s="47"/>
      <c r="E615" s="47"/>
      <c r="F615" s="31"/>
      <c r="G615" s="31"/>
      <c r="H615" s="31"/>
      <c r="I615" s="47"/>
      <c r="J615" s="31"/>
      <c r="K615" s="47"/>
      <c r="L615" s="47"/>
      <c r="M615" s="47"/>
      <c r="N615" s="31"/>
      <c r="O615" s="47"/>
      <c r="P615" s="31"/>
      <c r="Q615" s="31"/>
      <c r="R615" s="31"/>
      <c r="S615" s="31"/>
      <c r="T615" s="270">
        <f t="shared" si="72"/>
        <v>0</v>
      </c>
      <c r="U615" s="270">
        <f t="shared" si="73"/>
        <v>0</v>
      </c>
      <c r="V615" s="31"/>
      <c r="X615" s="240" t="str">
        <f t="shared" si="74"/>
        <v>OK</v>
      </c>
      <c r="Y615" s="240" t="str">
        <f t="shared" si="75"/>
        <v>OK</v>
      </c>
      <c r="Z615" s="240" t="str">
        <f t="shared" si="76"/>
        <v>OK</v>
      </c>
      <c r="AA615" s="240" t="str" cm="1">
        <f t="array" ref="AA615">IF(OR(AND(J615="Not accepted",N615:O615&lt;&gt;"",$S615=""),AND(J615="Accepted",S615="")),"ERROR","OK")</f>
        <v>OK</v>
      </c>
      <c r="AB615" s="240" t="str">
        <f t="shared" si="77"/>
        <v>OK</v>
      </c>
      <c r="AC615" s="240" t="str" cm="1">
        <f t="array" ref="AC615">IF(AND(F615:H615&lt;&gt;"",I615=""),"ERROR","OK")</f>
        <v>OK</v>
      </c>
      <c r="AD615" s="240" t="str">
        <f t="shared" si="78"/>
        <v>OK</v>
      </c>
      <c r="AE615" s="240" t="str">
        <f t="shared" si="79"/>
        <v>OK</v>
      </c>
      <c r="AF615" s="240" t="str" cm="1">
        <f t="array" aca="1" ref="AF615" ca="1" xml:space="preserve">
IF(AND($G615&lt;&gt;"",$F615=""),"ERROR",
IF(OR($F615:$G615="",AND($G615="",$F615&lt;&gt;"")),"OK",
IF(COUNTIF(INDIRECT(IFERROR(LEFT($F615,FIND(" ",$F615)-1),$F615)), $G615)&gt;0, "OK", "ERROR")))</f>
        <v>OK</v>
      </c>
    </row>
    <row r="616" spans="1:32" s="240" customFormat="1">
      <c r="A616" s="48"/>
      <c r="B616" s="31"/>
      <c r="C616" s="48"/>
      <c r="D616" s="47"/>
      <c r="E616" s="47"/>
      <c r="F616" s="31"/>
      <c r="G616" s="31"/>
      <c r="H616" s="31"/>
      <c r="I616" s="47"/>
      <c r="J616" s="31"/>
      <c r="K616" s="47"/>
      <c r="L616" s="47"/>
      <c r="M616" s="47"/>
      <c r="N616" s="31"/>
      <c r="O616" s="47"/>
      <c r="P616" s="31"/>
      <c r="Q616" s="31"/>
      <c r="R616" s="31"/>
      <c r="S616" s="31"/>
      <c r="T616" s="270">
        <f t="shared" si="72"/>
        <v>0</v>
      </c>
      <c r="U616" s="270">
        <f t="shared" si="73"/>
        <v>0</v>
      </c>
      <c r="V616" s="31"/>
      <c r="X616" s="240" t="str">
        <f t="shared" si="74"/>
        <v>OK</v>
      </c>
      <c r="Y616" s="240" t="str">
        <f t="shared" si="75"/>
        <v>OK</v>
      </c>
      <c r="Z616" s="240" t="str">
        <f t="shared" si="76"/>
        <v>OK</v>
      </c>
      <c r="AA616" s="240" t="str" cm="1">
        <f t="array" ref="AA616">IF(OR(AND(J616="Not accepted",N616:O616&lt;&gt;"",$S616=""),AND(J616="Accepted",S616="")),"ERROR","OK")</f>
        <v>OK</v>
      </c>
      <c r="AB616" s="240" t="str">
        <f t="shared" si="77"/>
        <v>OK</v>
      </c>
      <c r="AC616" s="240" t="str" cm="1">
        <f t="array" ref="AC616">IF(AND(F616:H616&lt;&gt;"",I616=""),"ERROR","OK")</f>
        <v>OK</v>
      </c>
      <c r="AD616" s="240" t="str">
        <f t="shared" si="78"/>
        <v>OK</v>
      </c>
      <c r="AE616" s="240" t="str">
        <f t="shared" si="79"/>
        <v>OK</v>
      </c>
      <c r="AF616" s="240" t="str" cm="1">
        <f t="array" aca="1" ref="AF616" ca="1" xml:space="preserve">
IF(AND($G616&lt;&gt;"",$F616=""),"ERROR",
IF(OR($F616:$G616="",AND($G616="",$F616&lt;&gt;"")),"OK",
IF(COUNTIF(INDIRECT(IFERROR(LEFT($F616,FIND(" ",$F616)-1),$F616)), $G616)&gt;0, "OK", "ERROR")))</f>
        <v>OK</v>
      </c>
    </row>
    <row r="617" spans="1:32" s="240" customFormat="1">
      <c r="A617" s="48"/>
      <c r="B617" s="31"/>
      <c r="C617" s="48"/>
      <c r="D617" s="47"/>
      <c r="E617" s="47"/>
      <c r="F617" s="31"/>
      <c r="G617" s="31"/>
      <c r="H617" s="31"/>
      <c r="I617" s="47"/>
      <c r="J617" s="31"/>
      <c r="K617" s="47"/>
      <c r="L617" s="47"/>
      <c r="M617" s="47"/>
      <c r="N617" s="31"/>
      <c r="O617" s="47"/>
      <c r="P617" s="31"/>
      <c r="Q617" s="31"/>
      <c r="R617" s="31"/>
      <c r="S617" s="31"/>
      <c r="T617" s="270">
        <f t="shared" si="72"/>
        <v>0</v>
      </c>
      <c r="U617" s="270">
        <f t="shared" si="73"/>
        <v>0</v>
      </c>
      <c r="V617" s="31"/>
      <c r="X617" s="240" t="str">
        <f t="shared" si="74"/>
        <v>OK</v>
      </c>
      <c r="Y617" s="240" t="str">
        <f t="shared" si="75"/>
        <v>OK</v>
      </c>
      <c r="Z617" s="240" t="str">
        <f t="shared" si="76"/>
        <v>OK</v>
      </c>
      <c r="AA617" s="240" t="str" cm="1">
        <f t="array" ref="AA617">IF(OR(AND(J617="Not accepted",N617:O617&lt;&gt;"",$S617=""),AND(J617="Accepted",S617="")),"ERROR","OK")</f>
        <v>OK</v>
      </c>
      <c r="AB617" s="240" t="str">
        <f t="shared" si="77"/>
        <v>OK</v>
      </c>
      <c r="AC617" s="240" t="str" cm="1">
        <f t="array" ref="AC617">IF(AND(F617:H617&lt;&gt;"",I617=""),"ERROR","OK")</f>
        <v>OK</v>
      </c>
      <c r="AD617" s="240" t="str">
        <f t="shared" si="78"/>
        <v>OK</v>
      </c>
      <c r="AE617" s="240" t="str">
        <f t="shared" si="79"/>
        <v>OK</v>
      </c>
      <c r="AF617" s="240" t="str" cm="1">
        <f t="array" aca="1" ref="AF617" ca="1" xml:space="preserve">
IF(AND($G617&lt;&gt;"",$F617=""),"ERROR",
IF(OR($F617:$G617="",AND($G617="",$F617&lt;&gt;"")),"OK",
IF(COUNTIF(INDIRECT(IFERROR(LEFT($F617,FIND(" ",$F617)-1),$F617)), $G617)&gt;0, "OK", "ERROR")))</f>
        <v>OK</v>
      </c>
    </row>
    <row r="618" spans="1:32" s="240" customFormat="1">
      <c r="A618" s="48"/>
      <c r="B618" s="31"/>
      <c r="C618" s="48"/>
      <c r="D618" s="47"/>
      <c r="E618" s="47"/>
      <c r="F618" s="31"/>
      <c r="G618" s="31"/>
      <c r="H618" s="31"/>
      <c r="I618" s="47"/>
      <c r="J618" s="31"/>
      <c r="K618" s="47"/>
      <c r="L618" s="47"/>
      <c r="M618" s="47"/>
      <c r="N618" s="31"/>
      <c r="O618" s="47"/>
      <c r="P618" s="31"/>
      <c r="Q618" s="31"/>
      <c r="R618" s="31"/>
      <c r="S618" s="31"/>
      <c r="T618" s="270">
        <f t="shared" si="72"/>
        <v>0</v>
      </c>
      <c r="U618" s="270">
        <f t="shared" si="73"/>
        <v>0</v>
      </c>
      <c r="V618" s="31"/>
      <c r="X618" s="240" t="str">
        <f t="shared" si="74"/>
        <v>OK</v>
      </c>
      <c r="Y618" s="240" t="str">
        <f t="shared" si="75"/>
        <v>OK</v>
      </c>
      <c r="Z618" s="240" t="str">
        <f t="shared" si="76"/>
        <v>OK</v>
      </c>
      <c r="AA618" s="240" t="str" cm="1">
        <f t="array" ref="AA618">IF(OR(AND(J618="Not accepted",N618:O618&lt;&gt;"",$S618=""),AND(J618="Accepted",S618="")),"ERROR","OK")</f>
        <v>OK</v>
      </c>
      <c r="AB618" s="240" t="str">
        <f t="shared" si="77"/>
        <v>OK</v>
      </c>
      <c r="AC618" s="240" t="str" cm="1">
        <f t="array" ref="AC618">IF(AND(F618:H618&lt;&gt;"",I618=""),"ERROR","OK")</f>
        <v>OK</v>
      </c>
      <c r="AD618" s="240" t="str">
        <f t="shared" si="78"/>
        <v>OK</v>
      </c>
      <c r="AE618" s="240" t="str">
        <f t="shared" si="79"/>
        <v>OK</v>
      </c>
      <c r="AF618" s="240" t="str" cm="1">
        <f t="array" aca="1" ref="AF618" ca="1" xml:space="preserve">
IF(AND($G618&lt;&gt;"",$F618=""),"ERROR",
IF(OR($F618:$G618="",AND($G618="",$F618&lt;&gt;"")),"OK",
IF(COUNTIF(INDIRECT(IFERROR(LEFT($F618,FIND(" ",$F618)-1),$F618)), $G618)&gt;0, "OK", "ERROR")))</f>
        <v>OK</v>
      </c>
    </row>
    <row r="619" spans="1:32" s="240" customFormat="1">
      <c r="A619" s="48"/>
      <c r="B619" s="31"/>
      <c r="C619" s="48"/>
      <c r="D619" s="47"/>
      <c r="E619" s="47"/>
      <c r="F619" s="31"/>
      <c r="G619" s="31"/>
      <c r="H619" s="31"/>
      <c r="I619" s="47"/>
      <c r="J619" s="31"/>
      <c r="K619" s="47"/>
      <c r="L619" s="47"/>
      <c r="M619" s="47"/>
      <c r="N619" s="31"/>
      <c r="O619" s="47"/>
      <c r="P619" s="31"/>
      <c r="Q619" s="31"/>
      <c r="R619" s="31"/>
      <c r="S619" s="31"/>
      <c r="T619" s="270">
        <f t="shared" si="72"/>
        <v>0</v>
      </c>
      <c r="U619" s="270">
        <f t="shared" si="73"/>
        <v>0</v>
      </c>
      <c r="V619" s="31"/>
      <c r="X619" s="240" t="str">
        <f t="shared" si="74"/>
        <v>OK</v>
      </c>
      <c r="Y619" s="240" t="str">
        <f t="shared" si="75"/>
        <v>OK</v>
      </c>
      <c r="Z619" s="240" t="str">
        <f t="shared" si="76"/>
        <v>OK</v>
      </c>
      <c r="AA619" s="240" t="str" cm="1">
        <f t="array" ref="AA619">IF(OR(AND(J619="Not accepted",N619:O619&lt;&gt;"",$S619=""),AND(J619="Accepted",S619="")),"ERROR","OK")</f>
        <v>OK</v>
      </c>
      <c r="AB619" s="240" t="str">
        <f t="shared" si="77"/>
        <v>OK</v>
      </c>
      <c r="AC619" s="240" t="str" cm="1">
        <f t="array" ref="AC619">IF(AND(F619:H619&lt;&gt;"",I619=""),"ERROR","OK")</f>
        <v>OK</v>
      </c>
      <c r="AD619" s="240" t="str">
        <f t="shared" si="78"/>
        <v>OK</v>
      </c>
      <c r="AE619" s="240" t="str">
        <f t="shared" si="79"/>
        <v>OK</v>
      </c>
      <c r="AF619" s="240" t="str" cm="1">
        <f t="array" aca="1" ref="AF619" ca="1" xml:space="preserve">
IF(AND($G619&lt;&gt;"",$F619=""),"ERROR",
IF(OR($F619:$G619="",AND($G619="",$F619&lt;&gt;"")),"OK",
IF(COUNTIF(INDIRECT(IFERROR(LEFT($F619,FIND(" ",$F619)-1),$F619)), $G619)&gt;0, "OK", "ERROR")))</f>
        <v>OK</v>
      </c>
    </row>
    <row r="620" spans="1:32" s="240" customFormat="1">
      <c r="A620" s="48"/>
      <c r="B620" s="31"/>
      <c r="C620" s="48"/>
      <c r="D620" s="47"/>
      <c r="E620" s="47"/>
      <c r="F620" s="31"/>
      <c r="G620" s="31"/>
      <c r="H620" s="31"/>
      <c r="I620" s="47"/>
      <c r="J620" s="31"/>
      <c r="K620" s="47"/>
      <c r="L620" s="47"/>
      <c r="M620" s="47"/>
      <c r="N620" s="31"/>
      <c r="O620" s="47"/>
      <c r="P620" s="31"/>
      <c r="Q620" s="31"/>
      <c r="R620" s="31"/>
      <c r="S620" s="31"/>
      <c r="T620" s="270">
        <f t="shared" si="72"/>
        <v>0</v>
      </c>
      <c r="U620" s="270">
        <f t="shared" si="73"/>
        <v>0</v>
      </c>
      <c r="V620" s="31"/>
      <c r="X620" s="240" t="str">
        <f t="shared" si="74"/>
        <v>OK</v>
      </c>
      <c r="Y620" s="240" t="str">
        <f t="shared" si="75"/>
        <v>OK</v>
      </c>
      <c r="Z620" s="240" t="str">
        <f t="shared" si="76"/>
        <v>OK</v>
      </c>
      <c r="AA620" s="240" t="str" cm="1">
        <f t="array" ref="AA620">IF(OR(AND(J620="Not accepted",N620:O620&lt;&gt;"",$S620=""),AND(J620="Accepted",S620="")),"ERROR","OK")</f>
        <v>OK</v>
      </c>
      <c r="AB620" s="240" t="str">
        <f t="shared" si="77"/>
        <v>OK</v>
      </c>
      <c r="AC620" s="240" t="str" cm="1">
        <f t="array" ref="AC620">IF(AND(F620:H620&lt;&gt;"",I620=""),"ERROR","OK")</f>
        <v>OK</v>
      </c>
      <c r="AD620" s="240" t="str">
        <f t="shared" si="78"/>
        <v>OK</v>
      </c>
      <c r="AE620" s="240" t="str">
        <f t="shared" si="79"/>
        <v>OK</v>
      </c>
      <c r="AF620" s="240" t="str" cm="1">
        <f t="array" aca="1" ref="AF620" ca="1" xml:space="preserve">
IF(AND($G620&lt;&gt;"",$F620=""),"ERROR",
IF(OR($F620:$G620="",AND($G620="",$F620&lt;&gt;"")),"OK",
IF(COUNTIF(INDIRECT(IFERROR(LEFT($F620,FIND(" ",$F620)-1),$F620)), $G620)&gt;0, "OK", "ERROR")))</f>
        <v>OK</v>
      </c>
    </row>
    <row r="621" spans="1:32" s="240" customFormat="1">
      <c r="A621" s="48"/>
      <c r="B621" s="31"/>
      <c r="C621" s="48"/>
      <c r="D621" s="47"/>
      <c r="E621" s="47"/>
      <c r="F621" s="31"/>
      <c r="G621" s="31"/>
      <c r="H621" s="31"/>
      <c r="I621" s="47"/>
      <c r="J621" s="31"/>
      <c r="K621" s="47"/>
      <c r="L621" s="47"/>
      <c r="M621" s="47"/>
      <c r="N621" s="31"/>
      <c r="O621" s="47"/>
      <c r="P621" s="31"/>
      <c r="Q621" s="31"/>
      <c r="R621" s="31"/>
      <c r="S621" s="31"/>
      <c r="T621" s="270">
        <f t="shared" si="72"/>
        <v>0</v>
      </c>
      <c r="U621" s="270">
        <f t="shared" si="73"/>
        <v>0</v>
      </c>
      <c r="V621" s="31"/>
      <c r="X621" s="240" t="str">
        <f t="shared" si="74"/>
        <v>OK</v>
      </c>
      <c r="Y621" s="240" t="str">
        <f t="shared" si="75"/>
        <v>OK</v>
      </c>
      <c r="Z621" s="240" t="str">
        <f t="shared" si="76"/>
        <v>OK</v>
      </c>
      <c r="AA621" s="240" t="str" cm="1">
        <f t="array" ref="AA621">IF(OR(AND(J621="Not accepted",N621:O621&lt;&gt;"",$S621=""),AND(J621="Accepted",S621="")),"ERROR","OK")</f>
        <v>OK</v>
      </c>
      <c r="AB621" s="240" t="str">
        <f t="shared" si="77"/>
        <v>OK</v>
      </c>
      <c r="AC621" s="240" t="str" cm="1">
        <f t="array" ref="AC621">IF(AND(F621:H621&lt;&gt;"",I621=""),"ERROR","OK")</f>
        <v>OK</v>
      </c>
      <c r="AD621" s="240" t="str">
        <f t="shared" si="78"/>
        <v>OK</v>
      </c>
      <c r="AE621" s="240" t="str">
        <f t="shared" si="79"/>
        <v>OK</v>
      </c>
      <c r="AF621" s="240" t="str" cm="1">
        <f t="array" aca="1" ref="AF621" ca="1" xml:space="preserve">
IF(AND($G621&lt;&gt;"",$F621=""),"ERROR",
IF(OR($F621:$G621="",AND($G621="",$F621&lt;&gt;"")),"OK",
IF(COUNTIF(INDIRECT(IFERROR(LEFT($F621,FIND(" ",$F621)-1),$F621)), $G621)&gt;0, "OK", "ERROR")))</f>
        <v>OK</v>
      </c>
    </row>
    <row r="622" spans="1:32" s="240" customFormat="1">
      <c r="A622" s="48"/>
      <c r="B622" s="31"/>
      <c r="C622" s="48"/>
      <c r="D622" s="47"/>
      <c r="E622" s="47"/>
      <c r="F622" s="31"/>
      <c r="G622" s="31"/>
      <c r="H622" s="31"/>
      <c r="I622" s="47"/>
      <c r="J622" s="31"/>
      <c r="K622" s="47"/>
      <c r="L622" s="47"/>
      <c r="M622" s="47"/>
      <c r="N622" s="31"/>
      <c r="O622" s="47"/>
      <c r="P622" s="31"/>
      <c r="Q622" s="31"/>
      <c r="R622" s="31"/>
      <c r="S622" s="31"/>
      <c r="T622" s="270">
        <f t="shared" si="72"/>
        <v>0</v>
      </c>
      <c r="U622" s="270">
        <f t="shared" si="73"/>
        <v>0</v>
      </c>
      <c r="V622" s="31"/>
      <c r="X622" s="240" t="str">
        <f t="shared" si="74"/>
        <v>OK</v>
      </c>
      <c r="Y622" s="240" t="str">
        <f t="shared" si="75"/>
        <v>OK</v>
      </c>
      <c r="Z622" s="240" t="str">
        <f t="shared" si="76"/>
        <v>OK</v>
      </c>
      <c r="AA622" s="240" t="str" cm="1">
        <f t="array" ref="AA622">IF(OR(AND(J622="Not accepted",N622:O622&lt;&gt;"",$S622=""),AND(J622="Accepted",S622="")),"ERROR","OK")</f>
        <v>OK</v>
      </c>
      <c r="AB622" s="240" t="str">
        <f t="shared" si="77"/>
        <v>OK</v>
      </c>
      <c r="AC622" s="240" t="str" cm="1">
        <f t="array" ref="AC622">IF(AND(F622:H622&lt;&gt;"",I622=""),"ERROR","OK")</f>
        <v>OK</v>
      </c>
      <c r="AD622" s="240" t="str">
        <f t="shared" si="78"/>
        <v>OK</v>
      </c>
      <c r="AE622" s="240" t="str">
        <f t="shared" si="79"/>
        <v>OK</v>
      </c>
      <c r="AF622" s="240" t="str" cm="1">
        <f t="array" aca="1" ref="AF622" ca="1" xml:space="preserve">
IF(AND($G622&lt;&gt;"",$F622=""),"ERROR",
IF(OR($F622:$G622="",AND($G622="",$F622&lt;&gt;"")),"OK",
IF(COUNTIF(INDIRECT(IFERROR(LEFT($F622,FIND(" ",$F622)-1),$F622)), $G622)&gt;0, "OK", "ERROR")))</f>
        <v>OK</v>
      </c>
    </row>
    <row r="623" spans="1:32" s="240" customFormat="1">
      <c r="A623" s="48"/>
      <c r="B623" s="31"/>
      <c r="C623" s="48"/>
      <c r="D623" s="47"/>
      <c r="E623" s="47"/>
      <c r="F623" s="31"/>
      <c r="G623" s="31"/>
      <c r="H623" s="31"/>
      <c r="I623" s="47"/>
      <c r="J623" s="31"/>
      <c r="K623" s="47"/>
      <c r="L623" s="47"/>
      <c r="M623" s="47"/>
      <c r="N623" s="31"/>
      <c r="O623" s="47"/>
      <c r="P623" s="31"/>
      <c r="Q623" s="31"/>
      <c r="R623" s="31"/>
      <c r="S623" s="31"/>
      <c r="T623" s="270">
        <f t="shared" si="72"/>
        <v>0</v>
      </c>
      <c r="U623" s="270">
        <f t="shared" si="73"/>
        <v>0</v>
      </c>
      <c r="V623" s="31"/>
      <c r="X623" s="240" t="str">
        <f t="shared" si="74"/>
        <v>OK</v>
      </c>
      <c r="Y623" s="240" t="str">
        <f t="shared" si="75"/>
        <v>OK</v>
      </c>
      <c r="Z623" s="240" t="str">
        <f t="shared" si="76"/>
        <v>OK</v>
      </c>
      <c r="AA623" s="240" t="str" cm="1">
        <f t="array" ref="AA623">IF(OR(AND(J623="Not accepted",N623:O623&lt;&gt;"",$S623=""),AND(J623="Accepted",S623="")),"ERROR","OK")</f>
        <v>OK</v>
      </c>
      <c r="AB623" s="240" t="str">
        <f t="shared" si="77"/>
        <v>OK</v>
      </c>
      <c r="AC623" s="240" t="str" cm="1">
        <f t="array" ref="AC623">IF(AND(F623:H623&lt;&gt;"",I623=""),"ERROR","OK")</f>
        <v>OK</v>
      </c>
      <c r="AD623" s="240" t="str">
        <f t="shared" si="78"/>
        <v>OK</v>
      </c>
      <c r="AE623" s="240" t="str">
        <f t="shared" si="79"/>
        <v>OK</v>
      </c>
      <c r="AF623" s="240" t="str" cm="1">
        <f t="array" aca="1" ref="AF623" ca="1" xml:space="preserve">
IF(AND($G623&lt;&gt;"",$F623=""),"ERROR",
IF(OR($F623:$G623="",AND($G623="",$F623&lt;&gt;"")),"OK",
IF(COUNTIF(INDIRECT(IFERROR(LEFT($F623,FIND(" ",$F623)-1),$F623)), $G623)&gt;0, "OK", "ERROR")))</f>
        <v>OK</v>
      </c>
    </row>
    <row r="624" spans="1:32" s="240" customFormat="1">
      <c r="A624" s="48"/>
      <c r="B624" s="31"/>
      <c r="C624" s="48"/>
      <c r="D624" s="47"/>
      <c r="E624" s="47"/>
      <c r="F624" s="31"/>
      <c r="G624" s="31"/>
      <c r="H624" s="31"/>
      <c r="I624" s="47"/>
      <c r="J624" s="31"/>
      <c r="K624" s="47"/>
      <c r="L624" s="47"/>
      <c r="M624" s="47"/>
      <c r="N624" s="31"/>
      <c r="O624" s="47"/>
      <c r="P624" s="31"/>
      <c r="Q624" s="31"/>
      <c r="R624" s="31"/>
      <c r="S624" s="31"/>
      <c r="T624" s="270">
        <f t="shared" si="72"/>
        <v>0</v>
      </c>
      <c r="U624" s="270">
        <f t="shared" si="73"/>
        <v>0</v>
      </c>
      <c r="V624" s="31"/>
      <c r="X624" s="240" t="str">
        <f t="shared" si="74"/>
        <v>OK</v>
      </c>
      <c r="Y624" s="240" t="str">
        <f t="shared" si="75"/>
        <v>OK</v>
      </c>
      <c r="Z624" s="240" t="str">
        <f t="shared" si="76"/>
        <v>OK</v>
      </c>
      <c r="AA624" s="240" t="str" cm="1">
        <f t="array" ref="AA624">IF(OR(AND(J624="Not accepted",N624:O624&lt;&gt;"",$S624=""),AND(J624="Accepted",S624="")),"ERROR","OK")</f>
        <v>OK</v>
      </c>
      <c r="AB624" s="240" t="str">
        <f t="shared" si="77"/>
        <v>OK</v>
      </c>
      <c r="AC624" s="240" t="str" cm="1">
        <f t="array" ref="AC624">IF(AND(F624:H624&lt;&gt;"",I624=""),"ERROR","OK")</f>
        <v>OK</v>
      </c>
      <c r="AD624" s="240" t="str">
        <f t="shared" si="78"/>
        <v>OK</v>
      </c>
      <c r="AE624" s="240" t="str">
        <f t="shared" si="79"/>
        <v>OK</v>
      </c>
      <c r="AF624" s="240" t="str" cm="1">
        <f t="array" aca="1" ref="AF624" ca="1" xml:space="preserve">
IF(AND($G624&lt;&gt;"",$F624=""),"ERROR",
IF(OR($F624:$G624="",AND($G624="",$F624&lt;&gt;"")),"OK",
IF(COUNTIF(INDIRECT(IFERROR(LEFT($F624,FIND(" ",$F624)-1),$F624)), $G624)&gt;0, "OK", "ERROR")))</f>
        <v>OK</v>
      </c>
    </row>
    <row r="625" spans="1:32" s="240" customFormat="1">
      <c r="A625" s="48"/>
      <c r="B625" s="31"/>
      <c r="C625" s="48"/>
      <c r="D625" s="47"/>
      <c r="E625" s="47"/>
      <c r="F625" s="31"/>
      <c r="G625" s="31"/>
      <c r="H625" s="31"/>
      <c r="I625" s="47"/>
      <c r="J625" s="31"/>
      <c r="K625" s="47"/>
      <c r="L625" s="47"/>
      <c r="M625" s="47"/>
      <c r="N625" s="31"/>
      <c r="O625" s="47"/>
      <c r="P625" s="31"/>
      <c r="Q625" s="31"/>
      <c r="R625" s="31"/>
      <c r="S625" s="31"/>
      <c r="T625" s="270">
        <f t="shared" si="72"/>
        <v>0</v>
      </c>
      <c r="U625" s="270">
        <f t="shared" si="73"/>
        <v>0</v>
      </c>
      <c r="V625" s="31"/>
      <c r="X625" s="240" t="str">
        <f t="shared" si="74"/>
        <v>OK</v>
      </c>
      <c r="Y625" s="240" t="str">
        <f t="shared" si="75"/>
        <v>OK</v>
      </c>
      <c r="Z625" s="240" t="str">
        <f t="shared" si="76"/>
        <v>OK</v>
      </c>
      <c r="AA625" s="240" t="str" cm="1">
        <f t="array" ref="AA625">IF(OR(AND(J625="Not accepted",N625:O625&lt;&gt;"",$S625=""),AND(J625="Accepted",S625="")),"ERROR","OK")</f>
        <v>OK</v>
      </c>
      <c r="AB625" s="240" t="str">
        <f t="shared" si="77"/>
        <v>OK</v>
      </c>
      <c r="AC625" s="240" t="str" cm="1">
        <f t="array" ref="AC625">IF(AND(F625:H625&lt;&gt;"",I625=""),"ERROR","OK")</f>
        <v>OK</v>
      </c>
      <c r="AD625" s="240" t="str">
        <f t="shared" si="78"/>
        <v>OK</v>
      </c>
      <c r="AE625" s="240" t="str">
        <f t="shared" si="79"/>
        <v>OK</v>
      </c>
      <c r="AF625" s="240" t="str" cm="1">
        <f t="array" aca="1" ref="AF625" ca="1" xml:space="preserve">
IF(AND($G625&lt;&gt;"",$F625=""),"ERROR",
IF(OR($F625:$G625="",AND($G625="",$F625&lt;&gt;"")),"OK",
IF(COUNTIF(INDIRECT(IFERROR(LEFT($F625,FIND(" ",$F625)-1),$F625)), $G625)&gt;0, "OK", "ERROR")))</f>
        <v>OK</v>
      </c>
    </row>
    <row r="626" spans="1:32" s="240" customFormat="1">
      <c r="A626" s="48"/>
      <c r="B626" s="31"/>
      <c r="C626" s="48"/>
      <c r="D626" s="47"/>
      <c r="E626" s="47"/>
      <c r="F626" s="31"/>
      <c r="G626" s="31"/>
      <c r="H626" s="31"/>
      <c r="I626" s="47"/>
      <c r="J626" s="31"/>
      <c r="K626" s="47"/>
      <c r="L626" s="47"/>
      <c r="M626" s="47"/>
      <c r="N626" s="31"/>
      <c r="O626" s="47"/>
      <c r="P626" s="31"/>
      <c r="Q626" s="31"/>
      <c r="R626" s="31"/>
      <c r="S626" s="31"/>
      <c r="T626" s="270">
        <f t="shared" si="72"/>
        <v>0</v>
      </c>
      <c r="U626" s="270">
        <f t="shared" si="73"/>
        <v>0</v>
      </c>
      <c r="V626" s="31"/>
      <c r="X626" s="240" t="str">
        <f t="shared" si="74"/>
        <v>OK</v>
      </c>
      <c r="Y626" s="240" t="str">
        <f t="shared" si="75"/>
        <v>OK</v>
      </c>
      <c r="Z626" s="240" t="str">
        <f t="shared" si="76"/>
        <v>OK</v>
      </c>
      <c r="AA626" s="240" t="str" cm="1">
        <f t="array" ref="AA626">IF(OR(AND(J626="Not accepted",N626:O626&lt;&gt;"",$S626=""),AND(J626="Accepted",S626="")),"ERROR","OK")</f>
        <v>OK</v>
      </c>
      <c r="AB626" s="240" t="str">
        <f t="shared" si="77"/>
        <v>OK</v>
      </c>
      <c r="AC626" s="240" t="str" cm="1">
        <f t="array" ref="AC626">IF(AND(F626:H626&lt;&gt;"",I626=""),"ERROR","OK")</f>
        <v>OK</v>
      </c>
      <c r="AD626" s="240" t="str">
        <f t="shared" si="78"/>
        <v>OK</v>
      </c>
      <c r="AE626" s="240" t="str">
        <f t="shared" si="79"/>
        <v>OK</v>
      </c>
      <c r="AF626" s="240" t="str" cm="1">
        <f t="array" aca="1" ref="AF626" ca="1" xml:space="preserve">
IF(AND($G626&lt;&gt;"",$F626=""),"ERROR",
IF(OR($F626:$G626="",AND($G626="",$F626&lt;&gt;"")),"OK",
IF(COUNTIF(INDIRECT(IFERROR(LEFT($F626,FIND(" ",$F626)-1),$F626)), $G626)&gt;0, "OK", "ERROR")))</f>
        <v>OK</v>
      </c>
    </row>
    <row r="627" spans="1:32" s="240" customFormat="1">
      <c r="A627" s="48"/>
      <c r="B627" s="31"/>
      <c r="C627" s="48"/>
      <c r="D627" s="47"/>
      <c r="E627" s="47"/>
      <c r="F627" s="31"/>
      <c r="G627" s="31"/>
      <c r="H627" s="31"/>
      <c r="I627" s="47"/>
      <c r="J627" s="31"/>
      <c r="K627" s="47"/>
      <c r="L627" s="47"/>
      <c r="M627" s="47"/>
      <c r="N627" s="31"/>
      <c r="O627" s="47"/>
      <c r="P627" s="31"/>
      <c r="Q627" s="31"/>
      <c r="R627" s="31"/>
      <c r="S627" s="31"/>
      <c r="T627" s="270">
        <f t="shared" si="72"/>
        <v>0</v>
      </c>
      <c r="U627" s="270">
        <f t="shared" si="73"/>
        <v>0</v>
      </c>
      <c r="V627" s="31"/>
      <c r="X627" s="240" t="str">
        <f t="shared" si="74"/>
        <v>OK</v>
      </c>
      <c r="Y627" s="240" t="str">
        <f t="shared" si="75"/>
        <v>OK</v>
      </c>
      <c r="Z627" s="240" t="str">
        <f t="shared" si="76"/>
        <v>OK</v>
      </c>
      <c r="AA627" s="240" t="str" cm="1">
        <f t="array" ref="AA627">IF(OR(AND(J627="Not accepted",N627:O627&lt;&gt;"",$S627=""),AND(J627="Accepted",S627="")),"ERROR","OK")</f>
        <v>OK</v>
      </c>
      <c r="AB627" s="240" t="str">
        <f t="shared" si="77"/>
        <v>OK</v>
      </c>
      <c r="AC627" s="240" t="str" cm="1">
        <f t="array" ref="AC627">IF(AND(F627:H627&lt;&gt;"",I627=""),"ERROR","OK")</f>
        <v>OK</v>
      </c>
      <c r="AD627" s="240" t="str">
        <f t="shared" si="78"/>
        <v>OK</v>
      </c>
      <c r="AE627" s="240" t="str">
        <f t="shared" si="79"/>
        <v>OK</v>
      </c>
      <c r="AF627" s="240" t="str" cm="1">
        <f t="array" aca="1" ref="AF627" ca="1" xml:space="preserve">
IF(AND($G627&lt;&gt;"",$F627=""),"ERROR",
IF(OR($F627:$G627="",AND($G627="",$F627&lt;&gt;"")),"OK",
IF(COUNTIF(INDIRECT(IFERROR(LEFT($F627,FIND(" ",$F627)-1),$F627)), $G627)&gt;0, "OK", "ERROR")))</f>
        <v>OK</v>
      </c>
    </row>
    <row r="628" spans="1:32" s="240" customFormat="1">
      <c r="A628" s="48"/>
      <c r="B628" s="31"/>
      <c r="C628" s="48"/>
      <c r="D628" s="47"/>
      <c r="E628" s="47"/>
      <c r="F628" s="31"/>
      <c r="G628" s="31"/>
      <c r="H628" s="31"/>
      <c r="I628" s="47"/>
      <c r="J628" s="31"/>
      <c r="K628" s="47"/>
      <c r="L628" s="47"/>
      <c r="M628" s="47"/>
      <c r="N628" s="31"/>
      <c r="O628" s="47"/>
      <c r="P628" s="31"/>
      <c r="Q628" s="31"/>
      <c r="R628" s="31"/>
      <c r="S628" s="31"/>
      <c r="T628" s="270">
        <f t="shared" si="72"/>
        <v>0</v>
      </c>
      <c r="U628" s="270">
        <f t="shared" si="73"/>
        <v>0</v>
      </c>
      <c r="V628" s="31"/>
      <c r="X628" s="240" t="str">
        <f t="shared" si="74"/>
        <v>OK</v>
      </c>
      <c r="Y628" s="240" t="str">
        <f t="shared" si="75"/>
        <v>OK</v>
      </c>
      <c r="Z628" s="240" t="str">
        <f t="shared" si="76"/>
        <v>OK</v>
      </c>
      <c r="AA628" s="240" t="str" cm="1">
        <f t="array" ref="AA628">IF(OR(AND(J628="Not accepted",N628:O628&lt;&gt;"",$S628=""),AND(J628="Accepted",S628="")),"ERROR","OK")</f>
        <v>OK</v>
      </c>
      <c r="AB628" s="240" t="str">
        <f t="shared" si="77"/>
        <v>OK</v>
      </c>
      <c r="AC628" s="240" t="str" cm="1">
        <f t="array" ref="AC628">IF(AND(F628:H628&lt;&gt;"",I628=""),"ERROR","OK")</f>
        <v>OK</v>
      </c>
      <c r="AD628" s="240" t="str">
        <f t="shared" si="78"/>
        <v>OK</v>
      </c>
      <c r="AE628" s="240" t="str">
        <f t="shared" si="79"/>
        <v>OK</v>
      </c>
      <c r="AF628" s="240" t="str" cm="1">
        <f t="array" aca="1" ref="AF628" ca="1" xml:space="preserve">
IF(AND($G628&lt;&gt;"",$F628=""),"ERROR",
IF(OR($F628:$G628="",AND($G628="",$F628&lt;&gt;"")),"OK",
IF(COUNTIF(INDIRECT(IFERROR(LEFT($F628,FIND(" ",$F628)-1),$F628)), $G628)&gt;0, "OK", "ERROR")))</f>
        <v>OK</v>
      </c>
    </row>
    <row r="629" spans="1:32" s="240" customFormat="1">
      <c r="A629" s="48"/>
      <c r="B629" s="31"/>
      <c r="C629" s="48"/>
      <c r="D629" s="47"/>
      <c r="E629" s="47"/>
      <c r="F629" s="31"/>
      <c r="G629" s="31"/>
      <c r="H629" s="31"/>
      <c r="I629" s="47"/>
      <c r="J629" s="31"/>
      <c r="K629" s="47"/>
      <c r="L629" s="47"/>
      <c r="M629" s="47"/>
      <c r="N629" s="31"/>
      <c r="O629" s="47"/>
      <c r="P629" s="31"/>
      <c r="Q629" s="31"/>
      <c r="R629" s="31"/>
      <c r="S629" s="31"/>
      <c r="T629" s="270">
        <f t="shared" si="72"/>
        <v>0</v>
      </c>
      <c r="U629" s="270">
        <f t="shared" si="73"/>
        <v>0</v>
      </c>
      <c r="V629" s="31"/>
      <c r="X629" s="240" t="str">
        <f t="shared" si="74"/>
        <v>OK</v>
      </c>
      <c r="Y629" s="240" t="str">
        <f t="shared" si="75"/>
        <v>OK</v>
      </c>
      <c r="Z629" s="240" t="str">
        <f t="shared" si="76"/>
        <v>OK</v>
      </c>
      <c r="AA629" s="240" t="str" cm="1">
        <f t="array" ref="AA629">IF(OR(AND(J629="Not accepted",N629:O629&lt;&gt;"",$S629=""),AND(J629="Accepted",S629="")),"ERROR","OK")</f>
        <v>OK</v>
      </c>
      <c r="AB629" s="240" t="str">
        <f t="shared" si="77"/>
        <v>OK</v>
      </c>
      <c r="AC629" s="240" t="str" cm="1">
        <f t="array" ref="AC629">IF(AND(F629:H629&lt;&gt;"",I629=""),"ERROR","OK")</f>
        <v>OK</v>
      </c>
      <c r="AD629" s="240" t="str">
        <f t="shared" si="78"/>
        <v>OK</v>
      </c>
      <c r="AE629" s="240" t="str">
        <f t="shared" si="79"/>
        <v>OK</v>
      </c>
      <c r="AF629" s="240" t="str" cm="1">
        <f t="array" aca="1" ref="AF629" ca="1" xml:space="preserve">
IF(AND($G629&lt;&gt;"",$F629=""),"ERROR",
IF(OR($F629:$G629="",AND($G629="",$F629&lt;&gt;"")),"OK",
IF(COUNTIF(INDIRECT(IFERROR(LEFT($F629,FIND(" ",$F629)-1),$F629)), $G629)&gt;0, "OK", "ERROR")))</f>
        <v>OK</v>
      </c>
    </row>
    <row r="630" spans="1:32" s="240" customFormat="1">
      <c r="A630" s="48"/>
      <c r="B630" s="31"/>
      <c r="C630" s="48"/>
      <c r="D630" s="47"/>
      <c r="E630" s="47"/>
      <c r="F630" s="31"/>
      <c r="G630" s="31"/>
      <c r="H630" s="31"/>
      <c r="I630" s="47"/>
      <c r="J630" s="31"/>
      <c r="K630" s="47"/>
      <c r="L630" s="47"/>
      <c r="M630" s="47"/>
      <c r="N630" s="31"/>
      <c r="O630" s="47"/>
      <c r="P630" s="31"/>
      <c r="Q630" s="31"/>
      <c r="R630" s="31"/>
      <c r="S630" s="31"/>
      <c r="T630" s="270">
        <f t="shared" si="72"/>
        <v>0</v>
      </c>
      <c r="U630" s="270">
        <f t="shared" si="73"/>
        <v>0</v>
      </c>
      <c r="V630" s="31"/>
      <c r="X630" s="240" t="str">
        <f t="shared" si="74"/>
        <v>OK</v>
      </c>
      <c r="Y630" s="240" t="str">
        <f t="shared" si="75"/>
        <v>OK</v>
      </c>
      <c r="Z630" s="240" t="str">
        <f t="shared" si="76"/>
        <v>OK</v>
      </c>
      <c r="AA630" s="240" t="str" cm="1">
        <f t="array" ref="AA630">IF(OR(AND(J630="Not accepted",N630:O630&lt;&gt;"",$S630=""),AND(J630="Accepted",S630="")),"ERROR","OK")</f>
        <v>OK</v>
      </c>
      <c r="AB630" s="240" t="str">
        <f t="shared" si="77"/>
        <v>OK</v>
      </c>
      <c r="AC630" s="240" t="str" cm="1">
        <f t="array" ref="AC630">IF(AND(F630:H630&lt;&gt;"",I630=""),"ERROR","OK")</f>
        <v>OK</v>
      </c>
      <c r="AD630" s="240" t="str">
        <f t="shared" si="78"/>
        <v>OK</v>
      </c>
      <c r="AE630" s="240" t="str">
        <f t="shared" si="79"/>
        <v>OK</v>
      </c>
      <c r="AF630" s="240" t="str" cm="1">
        <f t="array" aca="1" ref="AF630" ca="1" xml:space="preserve">
IF(AND($G630&lt;&gt;"",$F630=""),"ERROR",
IF(OR($F630:$G630="",AND($G630="",$F630&lt;&gt;"")),"OK",
IF(COUNTIF(INDIRECT(IFERROR(LEFT($F630,FIND(" ",$F630)-1),$F630)), $G630)&gt;0, "OK", "ERROR")))</f>
        <v>OK</v>
      </c>
    </row>
    <row r="631" spans="1:32" s="240" customFormat="1">
      <c r="A631" s="48"/>
      <c r="B631" s="31"/>
      <c r="C631" s="48"/>
      <c r="D631" s="47"/>
      <c r="E631" s="47"/>
      <c r="F631" s="31"/>
      <c r="G631" s="31"/>
      <c r="H631" s="31"/>
      <c r="I631" s="47"/>
      <c r="J631" s="31"/>
      <c r="K631" s="47"/>
      <c r="L631" s="47"/>
      <c r="M631" s="47"/>
      <c r="N631" s="31"/>
      <c r="O631" s="47"/>
      <c r="P631" s="31"/>
      <c r="Q631" s="31"/>
      <c r="R631" s="31"/>
      <c r="S631" s="31"/>
      <c r="T631" s="270">
        <f t="shared" si="72"/>
        <v>0</v>
      </c>
      <c r="U631" s="270">
        <f t="shared" si="73"/>
        <v>0</v>
      </c>
      <c r="V631" s="31"/>
      <c r="X631" s="240" t="str">
        <f t="shared" si="74"/>
        <v>OK</v>
      </c>
      <c r="Y631" s="240" t="str">
        <f t="shared" si="75"/>
        <v>OK</v>
      </c>
      <c r="Z631" s="240" t="str">
        <f t="shared" si="76"/>
        <v>OK</v>
      </c>
      <c r="AA631" s="240" t="str" cm="1">
        <f t="array" ref="AA631">IF(OR(AND(J631="Not accepted",N631:O631&lt;&gt;"",$S631=""),AND(J631="Accepted",S631="")),"ERROR","OK")</f>
        <v>OK</v>
      </c>
      <c r="AB631" s="240" t="str">
        <f t="shared" si="77"/>
        <v>OK</v>
      </c>
      <c r="AC631" s="240" t="str" cm="1">
        <f t="array" ref="AC631">IF(AND(F631:H631&lt;&gt;"",I631=""),"ERROR","OK")</f>
        <v>OK</v>
      </c>
      <c r="AD631" s="240" t="str">
        <f t="shared" si="78"/>
        <v>OK</v>
      </c>
      <c r="AE631" s="240" t="str">
        <f t="shared" si="79"/>
        <v>OK</v>
      </c>
      <c r="AF631" s="240" t="str" cm="1">
        <f t="array" aca="1" ref="AF631" ca="1" xml:space="preserve">
IF(AND($G631&lt;&gt;"",$F631=""),"ERROR",
IF(OR($F631:$G631="",AND($G631="",$F631&lt;&gt;"")),"OK",
IF(COUNTIF(INDIRECT(IFERROR(LEFT($F631,FIND(" ",$F631)-1),$F631)), $G631)&gt;0, "OK", "ERROR")))</f>
        <v>OK</v>
      </c>
    </row>
    <row r="632" spans="1:32" s="240" customFormat="1">
      <c r="A632" s="48"/>
      <c r="B632" s="31"/>
      <c r="C632" s="48"/>
      <c r="D632" s="47"/>
      <c r="E632" s="47"/>
      <c r="F632" s="31"/>
      <c r="G632" s="31"/>
      <c r="H632" s="31"/>
      <c r="I632" s="47"/>
      <c r="J632" s="31"/>
      <c r="K632" s="47"/>
      <c r="L632" s="47"/>
      <c r="M632" s="47"/>
      <c r="N632" s="31"/>
      <c r="O632" s="47"/>
      <c r="P632" s="31"/>
      <c r="Q632" s="31"/>
      <c r="R632" s="31"/>
      <c r="S632" s="31"/>
      <c r="T632" s="270">
        <f t="shared" si="72"/>
        <v>0</v>
      </c>
      <c r="U632" s="270">
        <f t="shared" si="73"/>
        <v>0</v>
      </c>
      <c r="V632" s="31"/>
      <c r="X632" s="240" t="str">
        <f t="shared" si="74"/>
        <v>OK</v>
      </c>
      <c r="Y632" s="240" t="str">
        <f t="shared" si="75"/>
        <v>OK</v>
      </c>
      <c r="Z632" s="240" t="str">
        <f t="shared" si="76"/>
        <v>OK</v>
      </c>
      <c r="AA632" s="240" t="str" cm="1">
        <f t="array" ref="AA632">IF(OR(AND(J632="Not accepted",N632:O632&lt;&gt;"",$S632=""),AND(J632="Accepted",S632="")),"ERROR","OK")</f>
        <v>OK</v>
      </c>
      <c r="AB632" s="240" t="str">
        <f t="shared" si="77"/>
        <v>OK</v>
      </c>
      <c r="AC632" s="240" t="str" cm="1">
        <f t="array" ref="AC632">IF(AND(F632:H632&lt;&gt;"",I632=""),"ERROR","OK")</f>
        <v>OK</v>
      </c>
      <c r="AD632" s="240" t="str">
        <f t="shared" si="78"/>
        <v>OK</v>
      </c>
      <c r="AE632" s="240" t="str">
        <f t="shared" si="79"/>
        <v>OK</v>
      </c>
      <c r="AF632" s="240" t="str" cm="1">
        <f t="array" aca="1" ref="AF632" ca="1" xml:space="preserve">
IF(AND($G632&lt;&gt;"",$F632=""),"ERROR",
IF(OR($F632:$G632="",AND($G632="",$F632&lt;&gt;"")),"OK",
IF(COUNTIF(INDIRECT(IFERROR(LEFT($F632,FIND(" ",$F632)-1),$F632)), $G632)&gt;0, "OK", "ERROR")))</f>
        <v>OK</v>
      </c>
    </row>
    <row r="633" spans="1:32" s="240" customFormat="1">
      <c r="A633" s="48"/>
      <c r="B633" s="31"/>
      <c r="C633" s="48"/>
      <c r="D633" s="47"/>
      <c r="E633" s="47"/>
      <c r="F633" s="31"/>
      <c r="G633" s="31"/>
      <c r="H633" s="31"/>
      <c r="I633" s="47"/>
      <c r="J633" s="31"/>
      <c r="K633" s="47"/>
      <c r="L633" s="47"/>
      <c r="M633" s="47"/>
      <c r="N633" s="31"/>
      <c r="O633" s="47"/>
      <c r="P633" s="31"/>
      <c r="Q633" s="31"/>
      <c r="R633" s="31"/>
      <c r="S633" s="31"/>
      <c r="T633" s="270">
        <f t="shared" si="72"/>
        <v>0</v>
      </c>
      <c r="U633" s="270">
        <f t="shared" si="73"/>
        <v>0</v>
      </c>
      <c r="V633" s="31"/>
      <c r="X633" s="240" t="str">
        <f t="shared" si="74"/>
        <v>OK</v>
      </c>
      <c r="Y633" s="240" t="str">
        <f t="shared" si="75"/>
        <v>OK</v>
      </c>
      <c r="Z633" s="240" t="str">
        <f t="shared" si="76"/>
        <v>OK</v>
      </c>
      <c r="AA633" s="240" t="str" cm="1">
        <f t="array" ref="AA633">IF(OR(AND(J633="Not accepted",N633:O633&lt;&gt;"",$S633=""),AND(J633="Accepted",S633="")),"ERROR","OK")</f>
        <v>OK</v>
      </c>
      <c r="AB633" s="240" t="str">
        <f t="shared" si="77"/>
        <v>OK</v>
      </c>
      <c r="AC633" s="240" t="str" cm="1">
        <f t="array" ref="AC633">IF(AND(F633:H633&lt;&gt;"",I633=""),"ERROR","OK")</f>
        <v>OK</v>
      </c>
      <c r="AD633" s="240" t="str">
        <f t="shared" si="78"/>
        <v>OK</v>
      </c>
      <c r="AE633" s="240" t="str">
        <f t="shared" si="79"/>
        <v>OK</v>
      </c>
      <c r="AF633" s="240" t="str" cm="1">
        <f t="array" aca="1" ref="AF633" ca="1" xml:space="preserve">
IF(AND($G633&lt;&gt;"",$F633=""),"ERROR",
IF(OR($F633:$G633="",AND($G633="",$F633&lt;&gt;"")),"OK",
IF(COUNTIF(INDIRECT(IFERROR(LEFT($F633,FIND(" ",$F633)-1),$F633)), $G633)&gt;0, "OK", "ERROR")))</f>
        <v>OK</v>
      </c>
    </row>
    <row r="634" spans="1:32" s="240" customFormat="1">
      <c r="A634" s="48"/>
      <c r="B634" s="31"/>
      <c r="C634" s="48"/>
      <c r="D634" s="47"/>
      <c r="E634" s="47"/>
      <c r="F634" s="31"/>
      <c r="G634" s="31"/>
      <c r="H634" s="31"/>
      <c r="I634" s="47"/>
      <c r="J634" s="31"/>
      <c r="K634" s="47"/>
      <c r="L634" s="47"/>
      <c r="M634" s="47"/>
      <c r="N634" s="31"/>
      <c r="O634" s="47"/>
      <c r="P634" s="31"/>
      <c r="Q634" s="31"/>
      <c r="R634" s="31"/>
      <c r="S634" s="31"/>
      <c r="T634" s="270">
        <f t="shared" si="72"/>
        <v>0</v>
      </c>
      <c r="U634" s="270">
        <f t="shared" si="73"/>
        <v>0</v>
      </c>
      <c r="V634" s="31"/>
      <c r="X634" s="240" t="str">
        <f t="shared" si="74"/>
        <v>OK</v>
      </c>
      <c r="Y634" s="240" t="str">
        <f t="shared" si="75"/>
        <v>OK</v>
      </c>
      <c r="Z634" s="240" t="str">
        <f t="shared" si="76"/>
        <v>OK</v>
      </c>
      <c r="AA634" s="240" t="str" cm="1">
        <f t="array" ref="AA634">IF(OR(AND(J634="Not accepted",N634:O634&lt;&gt;"",$S634=""),AND(J634="Accepted",S634="")),"ERROR","OK")</f>
        <v>OK</v>
      </c>
      <c r="AB634" s="240" t="str">
        <f t="shared" si="77"/>
        <v>OK</v>
      </c>
      <c r="AC634" s="240" t="str" cm="1">
        <f t="array" ref="AC634">IF(AND(F634:H634&lt;&gt;"",I634=""),"ERROR","OK")</f>
        <v>OK</v>
      </c>
      <c r="AD634" s="240" t="str">
        <f t="shared" si="78"/>
        <v>OK</v>
      </c>
      <c r="AE634" s="240" t="str">
        <f t="shared" si="79"/>
        <v>OK</v>
      </c>
      <c r="AF634" s="240" t="str" cm="1">
        <f t="array" aca="1" ref="AF634" ca="1" xml:space="preserve">
IF(AND($G634&lt;&gt;"",$F634=""),"ERROR",
IF(OR($F634:$G634="",AND($G634="",$F634&lt;&gt;"")),"OK",
IF(COUNTIF(INDIRECT(IFERROR(LEFT($F634,FIND(" ",$F634)-1),$F634)), $G634)&gt;0, "OK", "ERROR")))</f>
        <v>OK</v>
      </c>
    </row>
    <row r="635" spans="1:32" s="240" customFormat="1">
      <c r="A635" s="48"/>
      <c r="B635" s="31"/>
      <c r="C635" s="48"/>
      <c r="D635" s="47"/>
      <c r="E635" s="47"/>
      <c r="F635" s="31"/>
      <c r="G635" s="31"/>
      <c r="H635" s="31"/>
      <c r="I635" s="47"/>
      <c r="J635" s="31"/>
      <c r="K635" s="47"/>
      <c r="L635" s="47"/>
      <c r="M635" s="47"/>
      <c r="N635" s="31"/>
      <c r="O635" s="47"/>
      <c r="P635" s="31"/>
      <c r="Q635" s="31"/>
      <c r="R635" s="31"/>
      <c r="S635" s="31"/>
      <c r="T635" s="270">
        <f t="shared" si="72"/>
        <v>0</v>
      </c>
      <c r="U635" s="270">
        <f t="shared" si="73"/>
        <v>0</v>
      </c>
      <c r="V635" s="31"/>
      <c r="X635" s="240" t="str">
        <f t="shared" si="74"/>
        <v>OK</v>
      </c>
      <c r="Y635" s="240" t="str">
        <f t="shared" si="75"/>
        <v>OK</v>
      </c>
      <c r="Z635" s="240" t="str">
        <f t="shared" si="76"/>
        <v>OK</v>
      </c>
      <c r="AA635" s="240" t="str" cm="1">
        <f t="array" ref="AA635">IF(OR(AND(J635="Not accepted",N635:O635&lt;&gt;"",$S635=""),AND(J635="Accepted",S635="")),"ERROR","OK")</f>
        <v>OK</v>
      </c>
      <c r="AB635" s="240" t="str">
        <f t="shared" si="77"/>
        <v>OK</v>
      </c>
      <c r="AC635" s="240" t="str" cm="1">
        <f t="array" ref="AC635">IF(AND(F635:H635&lt;&gt;"",I635=""),"ERROR","OK")</f>
        <v>OK</v>
      </c>
      <c r="AD635" s="240" t="str">
        <f t="shared" si="78"/>
        <v>OK</v>
      </c>
      <c r="AE635" s="240" t="str">
        <f t="shared" si="79"/>
        <v>OK</v>
      </c>
      <c r="AF635" s="240" t="str" cm="1">
        <f t="array" aca="1" ref="AF635" ca="1" xml:space="preserve">
IF(AND($G635&lt;&gt;"",$F635=""),"ERROR",
IF(OR($F635:$G635="",AND($G635="",$F635&lt;&gt;"")),"OK",
IF(COUNTIF(INDIRECT(IFERROR(LEFT($F635,FIND(" ",$F635)-1),$F635)), $G635)&gt;0, "OK", "ERROR")))</f>
        <v>OK</v>
      </c>
    </row>
    <row r="636" spans="1:32" s="240" customFormat="1">
      <c r="A636" s="48"/>
      <c r="B636" s="31"/>
      <c r="C636" s="48"/>
      <c r="D636" s="47"/>
      <c r="E636" s="47"/>
      <c r="F636" s="31"/>
      <c r="G636" s="31"/>
      <c r="H636" s="31"/>
      <c r="I636" s="47"/>
      <c r="J636" s="31"/>
      <c r="K636" s="47"/>
      <c r="L636" s="47"/>
      <c r="M636" s="47"/>
      <c r="N636" s="31"/>
      <c r="O636" s="47"/>
      <c r="P636" s="31"/>
      <c r="Q636" s="31"/>
      <c r="R636" s="31"/>
      <c r="S636" s="31"/>
      <c r="T636" s="270">
        <f t="shared" si="72"/>
        <v>0</v>
      </c>
      <c r="U636" s="270">
        <f t="shared" si="73"/>
        <v>0</v>
      </c>
      <c r="V636" s="31"/>
      <c r="X636" s="240" t="str">
        <f t="shared" si="74"/>
        <v>OK</v>
      </c>
      <c r="Y636" s="240" t="str">
        <f t="shared" si="75"/>
        <v>OK</v>
      </c>
      <c r="Z636" s="240" t="str">
        <f t="shared" si="76"/>
        <v>OK</v>
      </c>
      <c r="AA636" s="240" t="str" cm="1">
        <f t="array" ref="AA636">IF(OR(AND(J636="Not accepted",N636:O636&lt;&gt;"",$S636=""),AND(J636="Accepted",S636="")),"ERROR","OK")</f>
        <v>OK</v>
      </c>
      <c r="AB636" s="240" t="str">
        <f t="shared" si="77"/>
        <v>OK</v>
      </c>
      <c r="AC636" s="240" t="str" cm="1">
        <f t="array" ref="AC636">IF(AND(F636:H636&lt;&gt;"",I636=""),"ERROR","OK")</f>
        <v>OK</v>
      </c>
      <c r="AD636" s="240" t="str">
        <f t="shared" si="78"/>
        <v>OK</v>
      </c>
      <c r="AE636" s="240" t="str">
        <f t="shared" si="79"/>
        <v>OK</v>
      </c>
      <c r="AF636" s="240" t="str" cm="1">
        <f t="array" aca="1" ref="AF636" ca="1" xml:space="preserve">
IF(AND($G636&lt;&gt;"",$F636=""),"ERROR",
IF(OR($F636:$G636="",AND($G636="",$F636&lt;&gt;"")),"OK",
IF(COUNTIF(INDIRECT(IFERROR(LEFT($F636,FIND(" ",$F636)-1),$F636)), $G636)&gt;0, "OK", "ERROR")))</f>
        <v>OK</v>
      </c>
    </row>
    <row r="637" spans="1:32" s="240" customFormat="1">
      <c r="A637" s="48"/>
      <c r="B637" s="31"/>
      <c r="C637" s="48"/>
      <c r="D637" s="47"/>
      <c r="E637" s="47"/>
      <c r="F637" s="31"/>
      <c r="G637" s="31"/>
      <c r="H637" s="31"/>
      <c r="I637" s="47"/>
      <c r="J637" s="31"/>
      <c r="K637" s="47"/>
      <c r="L637" s="47"/>
      <c r="M637" s="47"/>
      <c r="N637" s="31"/>
      <c r="O637" s="47"/>
      <c r="P637" s="31"/>
      <c r="Q637" s="31"/>
      <c r="R637" s="31"/>
      <c r="S637" s="31"/>
      <c r="T637" s="270">
        <f t="shared" si="72"/>
        <v>0</v>
      </c>
      <c r="U637" s="270">
        <f t="shared" si="73"/>
        <v>0</v>
      </c>
      <c r="V637" s="31"/>
      <c r="X637" s="240" t="str">
        <f t="shared" si="74"/>
        <v>OK</v>
      </c>
      <c r="Y637" s="240" t="str">
        <f t="shared" si="75"/>
        <v>OK</v>
      </c>
      <c r="Z637" s="240" t="str">
        <f t="shared" si="76"/>
        <v>OK</v>
      </c>
      <c r="AA637" s="240" t="str" cm="1">
        <f t="array" ref="AA637">IF(OR(AND(J637="Not accepted",N637:O637&lt;&gt;"",$S637=""),AND(J637="Accepted",S637="")),"ERROR","OK")</f>
        <v>OK</v>
      </c>
      <c r="AB637" s="240" t="str">
        <f t="shared" si="77"/>
        <v>OK</v>
      </c>
      <c r="AC637" s="240" t="str" cm="1">
        <f t="array" ref="AC637">IF(AND(F637:H637&lt;&gt;"",I637=""),"ERROR","OK")</f>
        <v>OK</v>
      </c>
      <c r="AD637" s="240" t="str">
        <f t="shared" si="78"/>
        <v>OK</v>
      </c>
      <c r="AE637" s="240" t="str">
        <f t="shared" si="79"/>
        <v>OK</v>
      </c>
      <c r="AF637" s="240" t="str" cm="1">
        <f t="array" aca="1" ref="AF637" ca="1" xml:space="preserve">
IF(AND($G637&lt;&gt;"",$F637=""),"ERROR",
IF(OR($F637:$G637="",AND($G637="",$F637&lt;&gt;"")),"OK",
IF(COUNTIF(INDIRECT(IFERROR(LEFT($F637,FIND(" ",$F637)-1),$F637)), $G637)&gt;0, "OK", "ERROR")))</f>
        <v>OK</v>
      </c>
    </row>
    <row r="638" spans="1:32" s="240" customFormat="1">
      <c r="A638" s="48"/>
      <c r="B638" s="31"/>
      <c r="C638" s="48"/>
      <c r="D638" s="47"/>
      <c r="E638" s="47"/>
      <c r="F638" s="31"/>
      <c r="G638" s="31"/>
      <c r="H638" s="31"/>
      <c r="I638" s="47"/>
      <c r="J638" s="31"/>
      <c r="K638" s="47"/>
      <c r="L638" s="47"/>
      <c r="M638" s="47"/>
      <c r="N638" s="31"/>
      <c r="O638" s="47"/>
      <c r="P638" s="31"/>
      <c r="Q638" s="31"/>
      <c r="R638" s="31"/>
      <c r="S638" s="31"/>
      <c r="T638" s="270">
        <f t="shared" si="72"/>
        <v>0</v>
      </c>
      <c r="U638" s="270">
        <f t="shared" si="73"/>
        <v>0</v>
      </c>
      <c r="V638" s="31"/>
      <c r="X638" s="240" t="str">
        <f t="shared" si="74"/>
        <v>OK</v>
      </c>
      <c r="Y638" s="240" t="str">
        <f t="shared" si="75"/>
        <v>OK</v>
      </c>
      <c r="Z638" s="240" t="str">
        <f t="shared" si="76"/>
        <v>OK</v>
      </c>
      <c r="AA638" s="240" t="str" cm="1">
        <f t="array" ref="AA638">IF(OR(AND(J638="Not accepted",N638:O638&lt;&gt;"",$S638=""),AND(J638="Accepted",S638="")),"ERROR","OK")</f>
        <v>OK</v>
      </c>
      <c r="AB638" s="240" t="str">
        <f t="shared" si="77"/>
        <v>OK</v>
      </c>
      <c r="AC638" s="240" t="str" cm="1">
        <f t="array" ref="AC638">IF(AND(F638:H638&lt;&gt;"",I638=""),"ERROR","OK")</f>
        <v>OK</v>
      </c>
      <c r="AD638" s="240" t="str">
        <f t="shared" si="78"/>
        <v>OK</v>
      </c>
      <c r="AE638" s="240" t="str">
        <f t="shared" si="79"/>
        <v>OK</v>
      </c>
      <c r="AF638" s="240" t="str" cm="1">
        <f t="array" aca="1" ref="AF638" ca="1" xml:space="preserve">
IF(AND($G638&lt;&gt;"",$F638=""),"ERROR",
IF(OR($F638:$G638="",AND($G638="",$F638&lt;&gt;"")),"OK",
IF(COUNTIF(INDIRECT(IFERROR(LEFT($F638,FIND(" ",$F638)-1),$F638)), $G638)&gt;0, "OK", "ERROR")))</f>
        <v>OK</v>
      </c>
    </row>
    <row r="639" spans="1:32" s="240" customFormat="1">
      <c r="A639" s="48"/>
      <c r="B639" s="31"/>
      <c r="C639" s="48"/>
      <c r="D639" s="47"/>
      <c r="E639" s="47"/>
      <c r="F639" s="31"/>
      <c r="G639" s="31"/>
      <c r="H639" s="31"/>
      <c r="I639" s="47"/>
      <c r="J639" s="31"/>
      <c r="K639" s="47"/>
      <c r="L639" s="47"/>
      <c r="M639" s="47"/>
      <c r="N639" s="31"/>
      <c r="O639" s="47"/>
      <c r="P639" s="31"/>
      <c r="Q639" s="31"/>
      <c r="R639" s="31"/>
      <c r="S639" s="31"/>
      <c r="T639" s="270">
        <f t="shared" si="72"/>
        <v>0</v>
      </c>
      <c r="U639" s="270">
        <f t="shared" si="73"/>
        <v>0</v>
      </c>
      <c r="V639" s="31"/>
      <c r="X639" s="240" t="str">
        <f t="shared" si="74"/>
        <v>OK</v>
      </c>
      <c r="Y639" s="240" t="str">
        <f t="shared" si="75"/>
        <v>OK</v>
      </c>
      <c r="Z639" s="240" t="str">
        <f t="shared" si="76"/>
        <v>OK</v>
      </c>
      <c r="AA639" s="240" t="str" cm="1">
        <f t="array" ref="AA639">IF(OR(AND(J639="Not accepted",N639:O639&lt;&gt;"",$S639=""),AND(J639="Accepted",S639="")),"ERROR","OK")</f>
        <v>OK</v>
      </c>
      <c r="AB639" s="240" t="str">
        <f t="shared" si="77"/>
        <v>OK</v>
      </c>
      <c r="AC639" s="240" t="str" cm="1">
        <f t="array" ref="AC639">IF(AND(F639:H639&lt;&gt;"",I639=""),"ERROR","OK")</f>
        <v>OK</v>
      </c>
      <c r="AD639" s="240" t="str">
        <f t="shared" si="78"/>
        <v>OK</v>
      </c>
      <c r="AE639" s="240" t="str">
        <f t="shared" si="79"/>
        <v>OK</v>
      </c>
      <c r="AF639" s="240" t="str" cm="1">
        <f t="array" aca="1" ref="AF639" ca="1" xml:space="preserve">
IF(AND($G639&lt;&gt;"",$F639=""),"ERROR",
IF(OR($F639:$G639="",AND($G639="",$F639&lt;&gt;"")),"OK",
IF(COUNTIF(INDIRECT(IFERROR(LEFT($F639,FIND(" ",$F639)-1),$F639)), $G639)&gt;0, "OK", "ERROR")))</f>
        <v>OK</v>
      </c>
    </row>
    <row r="640" spans="1:32" s="240" customFormat="1">
      <c r="A640" s="48"/>
      <c r="B640" s="31"/>
      <c r="C640" s="48"/>
      <c r="D640" s="47"/>
      <c r="E640" s="47"/>
      <c r="F640" s="31"/>
      <c r="G640" s="31"/>
      <c r="H640" s="31"/>
      <c r="I640" s="47"/>
      <c r="J640" s="31"/>
      <c r="K640" s="47"/>
      <c r="L640" s="47"/>
      <c r="M640" s="47"/>
      <c r="N640" s="31"/>
      <c r="O640" s="47"/>
      <c r="P640" s="31"/>
      <c r="Q640" s="31"/>
      <c r="R640" s="31"/>
      <c r="S640" s="31"/>
      <c r="T640" s="270">
        <f t="shared" si="72"/>
        <v>0</v>
      </c>
      <c r="U640" s="270">
        <f t="shared" si="73"/>
        <v>0</v>
      </c>
      <c r="V640" s="31"/>
      <c r="X640" s="240" t="str">
        <f t="shared" si="74"/>
        <v>OK</v>
      </c>
      <c r="Y640" s="240" t="str">
        <f t="shared" si="75"/>
        <v>OK</v>
      </c>
      <c r="Z640" s="240" t="str">
        <f t="shared" si="76"/>
        <v>OK</v>
      </c>
      <c r="AA640" s="240" t="str" cm="1">
        <f t="array" ref="AA640">IF(OR(AND(J640="Not accepted",N640:O640&lt;&gt;"",$S640=""),AND(J640="Accepted",S640="")),"ERROR","OK")</f>
        <v>OK</v>
      </c>
      <c r="AB640" s="240" t="str">
        <f t="shared" si="77"/>
        <v>OK</v>
      </c>
      <c r="AC640" s="240" t="str" cm="1">
        <f t="array" ref="AC640">IF(AND(F640:H640&lt;&gt;"",I640=""),"ERROR","OK")</f>
        <v>OK</v>
      </c>
      <c r="AD640" s="240" t="str">
        <f t="shared" si="78"/>
        <v>OK</v>
      </c>
      <c r="AE640" s="240" t="str">
        <f t="shared" si="79"/>
        <v>OK</v>
      </c>
      <c r="AF640" s="240" t="str" cm="1">
        <f t="array" aca="1" ref="AF640" ca="1" xml:space="preserve">
IF(AND($G640&lt;&gt;"",$F640=""),"ERROR",
IF(OR($F640:$G640="",AND($G640="",$F640&lt;&gt;"")),"OK",
IF(COUNTIF(INDIRECT(IFERROR(LEFT($F640,FIND(" ",$F640)-1),$F640)), $G640)&gt;0, "OK", "ERROR")))</f>
        <v>OK</v>
      </c>
    </row>
    <row r="641" spans="1:32" s="240" customFormat="1">
      <c r="A641" s="48"/>
      <c r="B641" s="31"/>
      <c r="C641" s="48"/>
      <c r="D641" s="47"/>
      <c r="E641" s="47"/>
      <c r="F641" s="31"/>
      <c r="G641" s="31"/>
      <c r="H641" s="31"/>
      <c r="I641" s="47"/>
      <c r="J641" s="31"/>
      <c r="K641" s="47"/>
      <c r="L641" s="47"/>
      <c r="M641" s="47"/>
      <c r="N641" s="31"/>
      <c r="O641" s="47"/>
      <c r="P641" s="31"/>
      <c r="Q641" s="31"/>
      <c r="R641" s="31"/>
      <c r="S641" s="31"/>
      <c r="T641" s="270">
        <f t="shared" si="72"/>
        <v>0</v>
      </c>
      <c r="U641" s="270">
        <f t="shared" si="73"/>
        <v>0</v>
      </c>
      <c r="V641" s="31"/>
      <c r="X641" s="240" t="str">
        <f t="shared" si="74"/>
        <v>OK</v>
      </c>
      <c r="Y641" s="240" t="str">
        <f t="shared" si="75"/>
        <v>OK</v>
      </c>
      <c r="Z641" s="240" t="str">
        <f t="shared" si="76"/>
        <v>OK</v>
      </c>
      <c r="AA641" s="240" t="str" cm="1">
        <f t="array" ref="AA641">IF(OR(AND(J641="Not accepted",N641:O641&lt;&gt;"",$S641=""),AND(J641="Accepted",S641="")),"ERROR","OK")</f>
        <v>OK</v>
      </c>
      <c r="AB641" s="240" t="str">
        <f t="shared" si="77"/>
        <v>OK</v>
      </c>
      <c r="AC641" s="240" t="str" cm="1">
        <f t="array" ref="AC641">IF(AND(F641:H641&lt;&gt;"",I641=""),"ERROR","OK")</f>
        <v>OK</v>
      </c>
      <c r="AD641" s="240" t="str">
        <f t="shared" si="78"/>
        <v>OK</v>
      </c>
      <c r="AE641" s="240" t="str">
        <f t="shared" si="79"/>
        <v>OK</v>
      </c>
      <c r="AF641" s="240" t="str" cm="1">
        <f t="array" aca="1" ref="AF641" ca="1" xml:space="preserve">
IF(AND($G641&lt;&gt;"",$F641=""),"ERROR",
IF(OR($F641:$G641="",AND($G641="",$F641&lt;&gt;"")),"OK",
IF(COUNTIF(INDIRECT(IFERROR(LEFT($F641,FIND(" ",$F641)-1),$F641)), $G641)&gt;0, "OK", "ERROR")))</f>
        <v>OK</v>
      </c>
    </row>
    <row r="642" spans="1:32" s="240" customFormat="1">
      <c r="A642" s="48"/>
      <c r="B642" s="31"/>
      <c r="C642" s="48"/>
      <c r="D642" s="47"/>
      <c r="E642" s="47"/>
      <c r="F642" s="31"/>
      <c r="G642" s="31"/>
      <c r="H642" s="31"/>
      <c r="I642" s="47"/>
      <c r="J642" s="31"/>
      <c r="K642" s="47"/>
      <c r="L642" s="47"/>
      <c r="M642" s="47"/>
      <c r="N642" s="31"/>
      <c r="O642" s="47"/>
      <c r="P642" s="31"/>
      <c r="Q642" s="31"/>
      <c r="R642" s="31"/>
      <c r="S642" s="31"/>
      <c r="T642" s="270">
        <f t="shared" si="72"/>
        <v>0</v>
      </c>
      <c r="U642" s="270">
        <f t="shared" si="73"/>
        <v>0</v>
      </c>
      <c r="V642" s="31"/>
      <c r="X642" s="240" t="str">
        <f t="shared" si="74"/>
        <v>OK</v>
      </c>
      <c r="Y642" s="240" t="str">
        <f t="shared" si="75"/>
        <v>OK</v>
      </c>
      <c r="Z642" s="240" t="str">
        <f t="shared" si="76"/>
        <v>OK</v>
      </c>
      <c r="AA642" s="240" t="str" cm="1">
        <f t="array" ref="AA642">IF(OR(AND(J642="Not accepted",N642:O642&lt;&gt;"",$S642=""),AND(J642="Accepted",S642="")),"ERROR","OK")</f>
        <v>OK</v>
      </c>
      <c r="AB642" s="240" t="str">
        <f t="shared" si="77"/>
        <v>OK</v>
      </c>
      <c r="AC642" s="240" t="str" cm="1">
        <f t="array" ref="AC642">IF(AND(F642:H642&lt;&gt;"",I642=""),"ERROR","OK")</f>
        <v>OK</v>
      </c>
      <c r="AD642" s="240" t="str">
        <f t="shared" si="78"/>
        <v>OK</v>
      </c>
      <c r="AE642" s="240" t="str">
        <f t="shared" si="79"/>
        <v>OK</v>
      </c>
      <c r="AF642" s="240" t="str" cm="1">
        <f t="array" aca="1" ref="AF642" ca="1" xml:space="preserve">
IF(AND($G642&lt;&gt;"",$F642=""),"ERROR",
IF(OR($F642:$G642="",AND($G642="",$F642&lt;&gt;"")),"OK",
IF(COUNTIF(INDIRECT(IFERROR(LEFT($F642,FIND(" ",$F642)-1),$F642)), $G642)&gt;0, "OK", "ERROR")))</f>
        <v>OK</v>
      </c>
    </row>
    <row r="643" spans="1:32" s="240" customFormat="1">
      <c r="A643" s="48"/>
      <c r="B643" s="31"/>
      <c r="C643" s="48"/>
      <c r="D643" s="47"/>
      <c r="E643" s="47"/>
      <c r="F643" s="31"/>
      <c r="G643" s="31"/>
      <c r="H643" s="31"/>
      <c r="I643" s="47"/>
      <c r="J643" s="31"/>
      <c r="K643" s="47"/>
      <c r="L643" s="47"/>
      <c r="M643" s="47"/>
      <c r="N643" s="31"/>
      <c r="O643" s="47"/>
      <c r="P643" s="31"/>
      <c r="Q643" s="31"/>
      <c r="R643" s="31"/>
      <c r="S643" s="31"/>
      <c r="T643" s="270">
        <f t="shared" si="72"/>
        <v>0</v>
      </c>
      <c r="U643" s="270">
        <f t="shared" si="73"/>
        <v>0</v>
      </c>
      <c r="V643" s="31"/>
      <c r="X643" s="240" t="str">
        <f t="shared" si="74"/>
        <v>OK</v>
      </c>
      <c r="Y643" s="240" t="str">
        <f t="shared" si="75"/>
        <v>OK</v>
      </c>
      <c r="Z643" s="240" t="str">
        <f t="shared" si="76"/>
        <v>OK</v>
      </c>
      <c r="AA643" s="240" t="str" cm="1">
        <f t="array" ref="AA643">IF(OR(AND(J643="Not accepted",N643:O643&lt;&gt;"",$S643=""),AND(J643="Accepted",S643="")),"ERROR","OK")</f>
        <v>OK</v>
      </c>
      <c r="AB643" s="240" t="str">
        <f t="shared" si="77"/>
        <v>OK</v>
      </c>
      <c r="AC643" s="240" t="str" cm="1">
        <f t="array" ref="AC643">IF(AND(F643:H643&lt;&gt;"",I643=""),"ERROR","OK")</f>
        <v>OK</v>
      </c>
      <c r="AD643" s="240" t="str">
        <f t="shared" si="78"/>
        <v>OK</v>
      </c>
      <c r="AE643" s="240" t="str">
        <f t="shared" si="79"/>
        <v>OK</v>
      </c>
      <c r="AF643" s="240" t="str" cm="1">
        <f t="array" aca="1" ref="AF643" ca="1" xml:space="preserve">
IF(AND($G643&lt;&gt;"",$F643=""),"ERROR",
IF(OR($F643:$G643="",AND($G643="",$F643&lt;&gt;"")),"OK",
IF(COUNTIF(INDIRECT(IFERROR(LEFT($F643,FIND(" ",$F643)-1),$F643)), $G643)&gt;0, "OK", "ERROR")))</f>
        <v>OK</v>
      </c>
    </row>
    <row r="644" spans="1:32" s="240" customFormat="1">
      <c r="A644" s="48"/>
      <c r="B644" s="31"/>
      <c r="C644" s="48"/>
      <c r="D644" s="47"/>
      <c r="E644" s="47"/>
      <c r="F644" s="31"/>
      <c r="G644" s="31"/>
      <c r="H644" s="31"/>
      <c r="I644" s="47"/>
      <c r="J644" s="31"/>
      <c r="K644" s="47"/>
      <c r="L644" s="47"/>
      <c r="M644" s="47"/>
      <c r="N644" s="31"/>
      <c r="O644" s="47"/>
      <c r="P644" s="31"/>
      <c r="Q644" s="31"/>
      <c r="R644" s="31"/>
      <c r="S644" s="31"/>
      <c r="T644" s="270">
        <f t="shared" si="72"/>
        <v>0</v>
      </c>
      <c r="U644" s="270">
        <f t="shared" si="73"/>
        <v>0</v>
      </c>
      <c r="V644" s="31"/>
      <c r="X644" s="240" t="str">
        <f t="shared" si="74"/>
        <v>OK</v>
      </c>
      <c r="Y644" s="240" t="str">
        <f t="shared" si="75"/>
        <v>OK</v>
      </c>
      <c r="Z644" s="240" t="str">
        <f t="shared" si="76"/>
        <v>OK</v>
      </c>
      <c r="AA644" s="240" t="str" cm="1">
        <f t="array" ref="AA644">IF(OR(AND(J644="Not accepted",N644:O644&lt;&gt;"",$S644=""),AND(J644="Accepted",S644="")),"ERROR","OK")</f>
        <v>OK</v>
      </c>
      <c r="AB644" s="240" t="str">
        <f t="shared" si="77"/>
        <v>OK</v>
      </c>
      <c r="AC644" s="240" t="str" cm="1">
        <f t="array" ref="AC644">IF(AND(F644:H644&lt;&gt;"",I644=""),"ERROR","OK")</f>
        <v>OK</v>
      </c>
      <c r="AD644" s="240" t="str">
        <f t="shared" si="78"/>
        <v>OK</v>
      </c>
      <c r="AE644" s="240" t="str">
        <f t="shared" si="79"/>
        <v>OK</v>
      </c>
      <c r="AF644" s="240" t="str" cm="1">
        <f t="array" aca="1" ref="AF644" ca="1" xml:space="preserve">
IF(AND($G644&lt;&gt;"",$F644=""),"ERROR",
IF(OR($F644:$G644="",AND($G644="",$F644&lt;&gt;"")),"OK",
IF(COUNTIF(INDIRECT(IFERROR(LEFT($F644,FIND(" ",$F644)-1),$F644)), $G644)&gt;0, "OK", "ERROR")))</f>
        <v>OK</v>
      </c>
    </row>
    <row r="645" spans="1:32" s="240" customFormat="1">
      <c r="A645" s="48"/>
      <c r="B645" s="31"/>
      <c r="C645" s="48"/>
      <c r="D645" s="47"/>
      <c r="E645" s="47"/>
      <c r="F645" s="31"/>
      <c r="G645" s="31"/>
      <c r="H645" s="31"/>
      <c r="I645" s="47"/>
      <c r="J645" s="31"/>
      <c r="K645" s="47"/>
      <c r="L645" s="47"/>
      <c r="M645" s="47"/>
      <c r="N645" s="31"/>
      <c r="O645" s="47"/>
      <c r="P645" s="31"/>
      <c r="Q645" s="31"/>
      <c r="R645" s="31"/>
      <c r="S645" s="31"/>
      <c r="T645" s="270">
        <f t="shared" ref="T645:T708" si="80">IF(OR($J645="Accepted",ISBLANK($J645)),IF(AND($G645="Legacy Data",$Q645="Legacy Data"),1,IF(OR($G645="Legacy Data",$Q645="Legacy Data"),1,0)),IF(OR($N645="Agree with original translator",ISBLANK($N645)),IF(AND($G645="Source Text Data",$Q645="Legacy Data"),1,IF(AND($G645="Legacy Data",$Q645="Legacy Data"),1,IF($Q645="Legacy Data",1,0))),IF(AND($G645="Legacy Data",$Q645="Legacy Data"),1,IF(OR($Q645="Legacy Data",ISBLANK($Q645)),IF($G645&lt;&gt;"Legacy Data",IF(AND($G645="Source Text Data",$Q645="Legacy Data"),1,0),1),0))))</f>
        <v>0</v>
      </c>
      <c r="U645" s="270">
        <f t="shared" ref="U645:U708" si="81">IF(OR($J645="Accepted",ISBLANK($J645)),IF(AND($G645="Source Text Data",$Q645="Source Text Data"),1,IF(OR($G645="Source Text Data",$Q645="Source Text Data"),1,0)),IF(OR($N645="Agree with original translator",ISBLANK($N645)),IF(AND($G645="Legacy Data",$Q645="Source Text Data"),1,IF(AND($G645="Source Text Data",$Q645="Source Text Data"),1,IF($Q645="Source Text Data",1,0))),IF(AND($G645="Source Text Data",$Q645="Source Text Data"),1,IF(OR($Q645="Source Text Data",ISBLANK($Q645)),IF($G645&lt;&gt;"Source Text Data",IF(AND($G645="Legacy Data",$Q645="Source Text Data"),1,0),1),0))))</f>
        <v>0</v>
      </c>
      <c r="V645" s="31"/>
      <c r="X645" s="240" t="str">
        <f t="shared" ref="X645:X708" si="82">IF(AND(COUNTBLANK($F645:$H645)&lt;&gt;COLUMNS($F645:$H645),COUNTA($F645:$H645)&lt;&gt;COLUMNS($F645:$H645)),"ERROR","OK")</f>
        <v>OK</v>
      </c>
      <c r="Y645" s="240" t="str">
        <f t="shared" ref="Y645:Y708" si="83">IF(AND($J645="Not accepted",$K645=""),"ERROR","OK")</f>
        <v>OK</v>
      </c>
      <c r="Z645" s="240" t="str">
        <f t="shared" ref="Z645:Z708" si="84">IF(AND($F645&lt;&gt;"",$J645=""),"ERROR","OK")</f>
        <v>OK</v>
      </c>
      <c r="AA645" s="240" t="str" cm="1">
        <f t="array" ref="AA645">IF(OR(AND(J645="Not accepted",N645:O645&lt;&gt;"",$S645=""),AND(J645="Accepted",S645="")),"ERROR","OK")</f>
        <v>OK</v>
      </c>
      <c r="AB645" s="240" t="str">
        <f t="shared" ref="AB645:AB708" si="85">IF(AND($S645="Not Implemented",$V645=""),"ERROR","OK")</f>
        <v>OK</v>
      </c>
      <c r="AC645" s="240" t="str" cm="1">
        <f t="array" ref="AC645">IF(AND(F645:H645&lt;&gt;"",I645=""),"ERROR","OK")</f>
        <v>OK</v>
      </c>
      <c r="AD645" s="240" t="str">
        <f t="shared" ref="AD645:AD708" si="86">IF(AND($N645="",$J645="Not accepted",$K645&lt;&gt;""),"ERROR","OK")</f>
        <v>OK</v>
      </c>
      <c r="AE645" s="240" t="str">
        <f t="shared" ref="AE645:AE708" si="87">IF(AND($O645="",$N645&lt;&gt;""),"ERROR","OK")</f>
        <v>OK</v>
      </c>
      <c r="AF645" s="240" t="str" cm="1">
        <f t="array" aca="1" ref="AF645" ca="1" xml:space="preserve">
IF(AND($G645&lt;&gt;"",$F645=""),"ERROR",
IF(OR($F645:$G645="",AND($G645="",$F645&lt;&gt;"")),"OK",
IF(COUNTIF(INDIRECT(IFERROR(LEFT($F645,FIND(" ",$F645)-1),$F645)), $G645)&gt;0, "OK", "ERROR")))</f>
        <v>OK</v>
      </c>
    </row>
    <row r="646" spans="1:32" s="240" customFormat="1">
      <c r="A646" s="48"/>
      <c r="B646" s="31"/>
      <c r="C646" s="48"/>
      <c r="D646" s="47"/>
      <c r="E646" s="47"/>
      <c r="F646" s="31"/>
      <c r="G646" s="31"/>
      <c r="H646" s="31"/>
      <c r="I646" s="47"/>
      <c r="J646" s="31"/>
      <c r="K646" s="47"/>
      <c r="L646" s="47"/>
      <c r="M646" s="47"/>
      <c r="N646" s="31"/>
      <c r="O646" s="47"/>
      <c r="P646" s="31"/>
      <c r="Q646" s="31"/>
      <c r="R646" s="31"/>
      <c r="S646" s="31"/>
      <c r="T646" s="270">
        <f t="shared" si="80"/>
        <v>0</v>
      </c>
      <c r="U646" s="270">
        <f t="shared" si="81"/>
        <v>0</v>
      </c>
      <c r="V646" s="31"/>
      <c r="X646" s="240" t="str">
        <f t="shared" si="82"/>
        <v>OK</v>
      </c>
      <c r="Y646" s="240" t="str">
        <f t="shared" si="83"/>
        <v>OK</v>
      </c>
      <c r="Z646" s="240" t="str">
        <f t="shared" si="84"/>
        <v>OK</v>
      </c>
      <c r="AA646" s="240" t="str" cm="1">
        <f t="array" ref="AA646">IF(OR(AND(J646="Not accepted",N646:O646&lt;&gt;"",$S646=""),AND(J646="Accepted",S646="")),"ERROR","OK")</f>
        <v>OK</v>
      </c>
      <c r="AB646" s="240" t="str">
        <f t="shared" si="85"/>
        <v>OK</v>
      </c>
      <c r="AC646" s="240" t="str" cm="1">
        <f t="array" ref="AC646">IF(AND(F646:H646&lt;&gt;"",I646=""),"ERROR","OK")</f>
        <v>OK</v>
      </c>
      <c r="AD646" s="240" t="str">
        <f t="shared" si="86"/>
        <v>OK</v>
      </c>
      <c r="AE646" s="240" t="str">
        <f t="shared" si="87"/>
        <v>OK</v>
      </c>
      <c r="AF646" s="240" t="str" cm="1">
        <f t="array" aca="1" ref="AF646" ca="1" xml:space="preserve">
IF(AND($G646&lt;&gt;"",$F646=""),"ERROR",
IF(OR($F646:$G646="",AND($G646="",$F646&lt;&gt;"")),"OK",
IF(COUNTIF(INDIRECT(IFERROR(LEFT($F646,FIND(" ",$F646)-1),$F646)), $G646)&gt;0, "OK", "ERROR")))</f>
        <v>OK</v>
      </c>
    </row>
    <row r="647" spans="1:32" s="240" customFormat="1">
      <c r="A647" s="48"/>
      <c r="B647" s="31"/>
      <c r="C647" s="48"/>
      <c r="D647" s="47"/>
      <c r="E647" s="47"/>
      <c r="F647" s="31"/>
      <c r="G647" s="31"/>
      <c r="H647" s="31"/>
      <c r="I647" s="47"/>
      <c r="J647" s="31"/>
      <c r="K647" s="47"/>
      <c r="L647" s="47"/>
      <c r="M647" s="47"/>
      <c r="N647" s="31"/>
      <c r="O647" s="47"/>
      <c r="P647" s="31"/>
      <c r="Q647" s="31"/>
      <c r="R647" s="31"/>
      <c r="S647" s="31"/>
      <c r="T647" s="270">
        <f t="shared" si="80"/>
        <v>0</v>
      </c>
      <c r="U647" s="270">
        <f t="shared" si="81"/>
        <v>0</v>
      </c>
      <c r="V647" s="31"/>
      <c r="X647" s="240" t="str">
        <f t="shared" si="82"/>
        <v>OK</v>
      </c>
      <c r="Y647" s="240" t="str">
        <f t="shared" si="83"/>
        <v>OK</v>
      </c>
      <c r="Z647" s="240" t="str">
        <f t="shared" si="84"/>
        <v>OK</v>
      </c>
      <c r="AA647" s="240" t="str" cm="1">
        <f t="array" ref="AA647">IF(OR(AND(J647="Not accepted",N647:O647&lt;&gt;"",$S647=""),AND(J647="Accepted",S647="")),"ERROR","OK")</f>
        <v>OK</v>
      </c>
      <c r="AB647" s="240" t="str">
        <f t="shared" si="85"/>
        <v>OK</v>
      </c>
      <c r="AC647" s="240" t="str" cm="1">
        <f t="array" ref="AC647">IF(AND(F647:H647&lt;&gt;"",I647=""),"ERROR","OK")</f>
        <v>OK</v>
      </c>
      <c r="AD647" s="240" t="str">
        <f t="shared" si="86"/>
        <v>OK</v>
      </c>
      <c r="AE647" s="240" t="str">
        <f t="shared" si="87"/>
        <v>OK</v>
      </c>
      <c r="AF647" s="240" t="str" cm="1">
        <f t="array" aca="1" ref="AF647" ca="1" xml:space="preserve">
IF(AND($G647&lt;&gt;"",$F647=""),"ERROR",
IF(OR($F647:$G647="",AND($G647="",$F647&lt;&gt;"")),"OK",
IF(COUNTIF(INDIRECT(IFERROR(LEFT($F647,FIND(" ",$F647)-1),$F647)), $G647)&gt;0, "OK", "ERROR")))</f>
        <v>OK</v>
      </c>
    </row>
    <row r="648" spans="1:32" s="240" customFormat="1">
      <c r="A648" s="48"/>
      <c r="B648" s="31"/>
      <c r="C648" s="48"/>
      <c r="D648" s="47"/>
      <c r="E648" s="47"/>
      <c r="F648" s="31"/>
      <c r="G648" s="31"/>
      <c r="H648" s="31"/>
      <c r="I648" s="47"/>
      <c r="J648" s="31"/>
      <c r="K648" s="47"/>
      <c r="L648" s="47"/>
      <c r="M648" s="47"/>
      <c r="N648" s="31"/>
      <c r="O648" s="47"/>
      <c r="P648" s="31"/>
      <c r="Q648" s="31"/>
      <c r="R648" s="31"/>
      <c r="S648" s="31"/>
      <c r="T648" s="270">
        <f t="shared" si="80"/>
        <v>0</v>
      </c>
      <c r="U648" s="270">
        <f t="shared" si="81"/>
        <v>0</v>
      </c>
      <c r="V648" s="31"/>
      <c r="X648" s="240" t="str">
        <f t="shared" si="82"/>
        <v>OK</v>
      </c>
      <c r="Y648" s="240" t="str">
        <f t="shared" si="83"/>
        <v>OK</v>
      </c>
      <c r="Z648" s="240" t="str">
        <f t="shared" si="84"/>
        <v>OK</v>
      </c>
      <c r="AA648" s="240" t="str" cm="1">
        <f t="array" ref="AA648">IF(OR(AND(J648="Not accepted",N648:O648&lt;&gt;"",$S648=""),AND(J648="Accepted",S648="")),"ERROR","OK")</f>
        <v>OK</v>
      </c>
      <c r="AB648" s="240" t="str">
        <f t="shared" si="85"/>
        <v>OK</v>
      </c>
      <c r="AC648" s="240" t="str" cm="1">
        <f t="array" ref="AC648">IF(AND(F648:H648&lt;&gt;"",I648=""),"ERROR","OK")</f>
        <v>OK</v>
      </c>
      <c r="AD648" s="240" t="str">
        <f t="shared" si="86"/>
        <v>OK</v>
      </c>
      <c r="AE648" s="240" t="str">
        <f t="shared" si="87"/>
        <v>OK</v>
      </c>
      <c r="AF648" s="240" t="str" cm="1">
        <f t="array" aca="1" ref="AF648" ca="1" xml:space="preserve">
IF(AND($G648&lt;&gt;"",$F648=""),"ERROR",
IF(OR($F648:$G648="",AND($G648="",$F648&lt;&gt;"")),"OK",
IF(COUNTIF(INDIRECT(IFERROR(LEFT($F648,FIND(" ",$F648)-1),$F648)), $G648)&gt;0, "OK", "ERROR")))</f>
        <v>OK</v>
      </c>
    </row>
    <row r="649" spans="1:32" s="240" customFormat="1">
      <c r="A649" s="48"/>
      <c r="B649" s="31"/>
      <c r="C649" s="48"/>
      <c r="D649" s="47"/>
      <c r="E649" s="47"/>
      <c r="F649" s="31"/>
      <c r="G649" s="31"/>
      <c r="H649" s="31"/>
      <c r="I649" s="47"/>
      <c r="J649" s="31"/>
      <c r="K649" s="47"/>
      <c r="L649" s="47"/>
      <c r="M649" s="47"/>
      <c r="N649" s="31"/>
      <c r="O649" s="47"/>
      <c r="P649" s="31"/>
      <c r="Q649" s="31"/>
      <c r="R649" s="31"/>
      <c r="S649" s="31"/>
      <c r="T649" s="270">
        <f t="shared" si="80"/>
        <v>0</v>
      </c>
      <c r="U649" s="270">
        <f t="shared" si="81"/>
        <v>0</v>
      </c>
      <c r="V649" s="31"/>
      <c r="X649" s="240" t="str">
        <f t="shared" si="82"/>
        <v>OK</v>
      </c>
      <c r="Y649" s="240" t="str">
        <f t="shared" si="83"/>
        <v>OK</v>
      </c>
      <c r="Z649" s="240" t="str">
        <f t="shared" si="84"/>
        <v>OK</v>
      </c>
      <c r="AA649" s="240" t="str" cm="1">
        <f t="array" ref="AA649">IF(OR(AND(J649="Not accepted",N649:O649&lt;&gt;"",$S649=""),AND(J649="Accepted",S649="")),"ERROR","OK")</f>
        <v>OK</v>
      </c>
      <c r="AB649" s="240" t="str">
        <f t="shared" si="85"/>
        <v>OK</v>
      </c>
      <c r="AC649" s="240" t="str" cm="1">
        <f t="array" ref="AC649">IF(AND(F649:H649&lt;&gt;"",I649=""),"ERROR","OK")</f>
        <v>OK</v>
      </c>
      <c r="AD649" s="240" t="str">
        <f t="shared" si="86"/>
        <v>OK</v>
      </c>
      <c r="AE649" s="240" t="str">
        <f t="shared" si="87"/>
        <v>OK</v>
      </c>
      <c r="AF649" s="240" t="str" cm="1">
        <f t="array" aca="1" ref="AF649" ca="1" xml:space="preserve">
IF(AND($G649&lt;&gt;"",$F649=""),"ERROR",
IF(OR($F649:$G649="",AND($G649="",$F649&lt;&gt;"")),"OK",
IF(COUNTIF(INDIRECT(IFERROR(LEFT($F649,FIND(" ",$F649)-1),$F649)), $G649)&gt;0, "OK", "ERROR")))</f>
        <v>OK</v>
      </c>
    </row>
    <row r="650" spans="1:32" s="240" customFormat="1">
      <c r="A650" s="48"/>
      <c r="B650" s="31"/>
      <c r="C650" s="48"/>
      <c r="D650" s="47"/>
      <c r="E650" s="47"/>
      <c r="F650" s="31"/>
      <c r="G650" s="31"/>
      <c r="H650" s="31"/>
      <c r="I650" s="47"/>
      <c r="J650" s="31"/>
      <c r="K650" s="47"/>
      <c r="L650" s="47"/>
      <c r="M650" s="47"/>
      <c r="N650" s="31"/>
      <c r="O650" s="47"/>
      <c r="P650" s="31"/>
      <c r="Q650" s="31"/>
      <c r="R650" s="31"/>
      <c r="S650" s="31"/>
      <c r="T650" s="270">
        <f t="shared" si="80"/>
        <v>0</v>
      </c>
      <c r="U650" s="270">
        <f t="shared" si="81"/>
        <v>0</v>
      </c>
      <c r="V650" s="31"/>
      <c r="X650" s="240" t="str">
        <f t="shared" si="82"/>
        <v>OK</v>
      </c>
      <c r="Y650" s="240" t="str">
        <f t="shared" si="83"/>
        <v>OK</v>
      </c>
      <c r="Z650" s="240" t="str">
        <f t="shared" si="84"/>
        <v>OK</v>
      </c>
      <c r="AA650" s="240" t="str" cm="1">
        <f t="array" ref="AA650">IF(OR(AND(J650="Not accepted",N650:O650&lt;&gt;"",$S650=""),AND(J650="Accepted",S650="")),"ERROR","OK")</f>
        <v>OK</v>
      </c>
      <c r="AB650" s="240" t="str">
        <f t="shared" si="85"/>
        <v>OK</v>
      </c>
      <c r="AC650" s="240" t="str" cm="1">
        <f t="array" ref="AC650">IF(AND(F650:H650&lt;&gt;"",I650=""),"ERROR","OK")</f>
        <v>OK</v>
      </c>
      <c r="AD650" s="240" t="str">
        <f t="shared" si="86"/>
        <v>OK</v>
      </c>
      <c r="AE650" s="240" t="str">
        <f t="shared" si="87"/>
        <v>OK</v>
      </c>
      <c r="AF650" s="240" t="str" cm="1">
        <f t="array" aca="1" ref="AF650" ca="1" xml:space="preserve">
IF(AND($G650&lt;&gt;"",$F650=""),"ERROR",
IF(OR($F650:$G650="",AND($G650="",$F650&lt;&gt;"")),"OK",
IF(COUNTIF(INDIRECT(IFERROR(LEFT($F650,FIND(" ",$F650)-1),$F650)), $G650)&gt;0, "OK", "ERROR")))</f>
        <v>OK</v>
      </c>
    </row>
    <row r="651" spans="1:32" s="240" customFormat="1">
      <c r="A651" s="48"/>
      <c r="B651" s="31"/>
      <c r="C651" s="48"/>
      <c r="D651" s="47"/>
      <c r="E651" s="47"/>
      <c r="F651" s="31"/>
      <c r="G651" s="31"/>
      <c r="H651" s="31"/>
      <c r="I651" s="47"/>
      <c r="J651" s="31"/>
      <c r="K651" s="47"/>
      <c r="L651" s="47"/>
      <c r="M651" s="47"/>
      <c r="N651" s="31"/>
      <c r="O651" s="47"/>
      <c r="P651" s="31"/>
      <c r="Q651" s="31"/>
      <c r="R651" s="31"/>
      <c r="S651" s="31"/>
      <c r="T651" s="270">
        <f t="shared" si="80"/>
        <v>0</v>
      </c>
      <c r="U651" s="270">
        <f t="shared" si="81"/>
        <v>0</v>
      </c>
      <c r="V651" s="31"/>
      <c r="X651" s="240" t="str">
        <f t="shared" si="82"/>
        <v>OK</v>
      </c>
      <c r="Y651" s="240" t="str">
        <f t="shared" si="83"/>
        <v>OK</v>
      </c>
      <c r="Z651" s="240" t="str">
        <f t="shared" si="84"/>
        <v>OK</v>
      </c>
      <c r="AA651" s="240" t="str" cm="1">
        <f t="array" ref="AA651">IF(OR(AND(J651="Not accepted",N651:O651&lt;&gt;"",$S651=""),AND(J651="Accepted",S651="")),"ERROR","OK")</f>
        <v>OK</v>
      </c>
      <c r="AB651" s="240" t="str">
        <f t="shared" si="85"/>
        <v>OK</v>
      </c>
      <c r="AC651" s="240" t="str" cm="1">
        <f t="array" ref="AC651">IF(AND(F651:H651&lt;&gt;"",I651=""),"ERROR","OK")</f>
        <v>OK</v>
      </c>
      <c r="AD651" s="240" t="str">
        <f t="shared" si="86"/>
        <v>OK</v>
      </c>
      <c r="AE651" s="240" t="str">
        <f t="shared" si="87"/>
        <v>OK</v>
      </c>
      <c r="AF651" s="240" t="str" cm="1">
        <f t="array" aca="1" ref="AF651" ca="1" xml:space="preserve">
IF(AND($G651&lt;&gt;"",$F651=""),"ERROR",
IF(OR($F651:$G651="",AND($G651="",$F651&lt;&gt;"")),"OK",
IF(COUNTIF(INDIRECT(IFERROR(LEFT($F651,FIND(" ",$F651)-1),$F651)), $G651)&gt;0, "OK", "ERROR")))</f>
        <v>OK</v>
      </c>
    </row>
    <row r="652" spans="1:32" s="240" customFormat="1">
      <c r="A652" s="48"/>
      <c r="B652" s="31"/>
      <c r="C652" s="48"/>
      <c r="D652" s="47"/>
      <c r="E652" s="47"/>
      <c r="F652" s="31"/>
      <c r="G652" s="31"/>
      <c r="H652" s="31"/>
      <c r="I652" s="47"/>
      <c r="J652" s="31"/>
      <c r="K652" s="47"/>
      <c r="L652" s="47"/>
      <c r="M652" s="47"/>
      <c r="N652" s="31"/>
      <c r="O652" s="47"/>
      <c r="P652" s="31"/>
      <c r="Q652" s="31"/>
      <c r="R652" s="31"/>
      <c r="S652" s="31"/>
      <c r="T652" s="270">
        <f t="shared" si="80"/>
        <v>0</v>
      </c>
      <c r="U652" s="270">
        <f t="shared" si="81"/>
        <v>0</v>
      </c>
      <c r="V652" s="31"/>
      <c r="X652" s="240" t="str">
        <f t="shared" si="82"/>
        <v>OK</v>
      </c>
      <c r="Y652" s="240" t="str">
        <f t="shared" si="83"/>
        <v>OK</v>
      </c>
      <c r="Z652" s="240" t="str">
        <f t="shared" si="84"/>
        <v>OK</v>
      </c>
      <c r="AA652" s="240" t="str" cm="1">
        <f t="array" ref="AA652">IF(OR(AND(J652="Not accepted",N652:O652&lt;&gt;"",$S652=""),AND(J652="Accepted",S652="")),"ERROR","OK")</f>
        <v>OK</v>
      </c>
      <c r="AB652" s="240" t="str">
        <f t="shared" si="85"/>
        <v>OK</v>
      </c>
      <c r="AC652" s="240" t="str" cm="1">
        <f t="array" ref="AC652">IF(AND(F652:H652&lt;&gt;"",I652=""),"ERROR","OK")</f>
        <v>OK</v>
      </c>
      <c r="AD652" s="240" t="str">
        <f t="shared" si="86"/>
        <v>OK</v>
      </c>
      <c r="AE652" s="240" t="str">
        <f t="shared" si="87"/>
        <v>OK</v>
      </c>
      <c r="AF652" s="240" t="str" cm="1">
        <f t="array" aca="1" ref="AF652" ca="1" xml:space="preserve">
IF(AND($G652&lt;&gt;"",$F652=""),"ERROR",
IF(OR($F652:$G652="",AND($G652="",$F652&lt;&gt;"")),"OK",
IF(COUNTIF(INDIRECT(IFERROR(LEFT($F652,FIND(" ",$F652)-1),$F652)), $G652)&gt;0, "OK", "ERROR")))</f>
        <v>OK</v>
      </c>
    </row>
    <row r="653" spans="1:32" s="240" customFormat="1">
      <c r="A653" s="48"/>
      <c r="B653" s="31"/>
      <c r="C653" s="48"/>
      <c r="D653" s="47"/>
      <c r="E653" s="47"/>
      <c r="F653" s="31"/>
      <c r="G653" s="31"/>
      <c r="H653" s="31"/>
      <c r="I653" s="47"/>
      <c r="J653" s="31"/>
      <c r="K653" s="47"/>
      <c r="L653" s="47"/>
      <c r="M653" s="47"/>
      <c r="N653" s="31"/>
      <c r="O653" s="47"/>
      <c r="P653" s="31"/>
      <c r="Q653" s="31"/>
      <c r="R653" s="31"/>
      <c r="S653" s="31"/>
      <c r="T653" s="270">
        <f t="shared" si="80"/>
        <v>0</v>
      </c>
      <c r="U653" s="270">
        <f t="shared" si="81"/>
        <v>0</v>
      </c>
      <c r="V653" s="31"/>
      <c r="X653" s="240" t="str">
        <f t="shared" si="82"/>
        <v>OK</v>
      </c>
      <c r="Y653" s="240" t="str">
        <f t="shared" si="83"/>
        <v>OK</v>
      </c>
      <c r="Z653" s="240" t="str">
        <f t="shared" si="84"/>
        <v>OK</v>
      </c>
      <c r="AA653" s="240" t="str" cm="1">
        <f t="array" ref="AA653">IF(OR(AND(J653="Not accepted",N653:O653&lt;&gt;"",$S653=""),AND(J653="Accepted",S653="")),"ERROR","OK")</f>
        <v>OK</v>
      </c>
      <c r="AB653" s="240" t="str">
        <f t="shared" si="85"/>
        <v>OK</v>
      </c>
      <c r="AC653" s="240" t="str" cm="1">
        <f t="array" ref="AC653">IF(AND(F653:H653&lt;&gt;"",I653=""),"ERROR","OK")</f>
        <v>OK</v>
      </c>
      <c r="AD653" s="240" t="str">
        <f t="shared" si="86"/>
        <v>OK</v>
      </c>
      <c r="AE653" s="240" t="str">
        <f t="shared" si="87"/>
        <v>OK</v>
      </c>
      <c r="AF653" s="240" t="str" cm="1">
        <f t="array" aca="1" ref="AF653" ca="1" xml:space="preserve">
IF(AND($G653&lt;&gt;"",$F653=""),"ERROR",
IF(OR($F653:$G653="",AND($G653="",$F653&lt;&gt;"")),"OK",
IF(COUNTIF(INDIRECT(IFERROR(LEFT($F653,FIND(" ",$F653)-1),$F653)), $G653)&gt;0, "OK", "ERROR")))</f>
        <v>OK</v>
      </c>
    </row>
    <row r="654" spans="1:32" s="240" customFormat="1">
      <c r="A654" s="48"/>
      <c r="B654" s="31"/>
      <c r="C654" s="48"/>
      <c r="D654" s="47"/>
      <c r="E654" s="47"/>
      <c r="F654" s="31"/>
      <c r="G654" s="31"/>
      <c r="H654" s="31"/>
      <c r="I654" s="47"/>
      <c r="J654" s="31"/>
      <c r="K654" s="47"/>
      <c r="L654" s="47"/>
      <c r="M654" s="47"/>
      <c r="N654" s="31"/>
      <c r="O654" s="47"/>
      <c r="P654" s="31"/>
      <c r="Q654" s="31"/>
      <c r="R654" s="31"/>
      <c r="S654" s="31"/>
      <c r="T654" s="270">
        <f t="shared" si="80"/>
        <v>0</v>
      </c>
      <c r="U654" s="270">
        <f t="shared" si="81"/>
        <v>0</v>
      </c>
      <c r="V654" s="31"/>
      <c r="X654" s="240" t="str">
        <f t="shared" si="82"/>
        <v>OK</v>
      </c>
      <c r="Y654" s="240" t="str">
        <f t="shared" si="83"/>
        <v>OK</v>
      </c>
      <c r="Z654" s="240" t="str">
        <f t="shared" si="84"/>
        <v>OK</v>
      </c>
      <c r="AA654" s="240" t="str" cm="1">
        <f t="array" ref="AA654">IF(OR(AND(J654="Not accepted",N654:O654&lt;&gt;"",$S654=""),AND(J654="Accepted",S654="")),"ERROR","OK")</f>
        <v>OK</v>
      </c>
      <c r="AB654" s="240" t="str">
        <f t="shared" si="85"/>
        <v>OK</v>
      </c>
      <c r="AC654" s="240" t="str" cm="1">
        <f t="array" ref="AC654">IF(AND(F654:H654&lt;&gt;"",I654=""),"ERROR","OK")</f>
        <v>OK</v>
      </c>
      <c r="AD654" s="240" t="str">
        <f t="shared" si="86"/>
        <v>OK</v>
      </c>
      <c r="AE654" s="240" t="str">
        <f t="shared" si="87"/>
        <v>OK</v>
      </c>
      <c r="AF654" s="240" t="str" cm="1">
        <f t="array" aca="1" ref="AF654" ca="1" xml:space="preserve">
IF(AND($G654&lt;&gt;"",$F654=""),"ERROR",
IF(OR($F654:$G654="",AND($G654="",$F654&lt;&gt;"")),"OK",
IF(COUNTIF(INDIRECT(IFERROR(LEFT($F654,FIND(" ",$F654)-1),$F654)), $G654)&gt;0, "OK", "ERROR")))</f>
        <v>OK</v>
      </c>
    </row>
    <row r="655" spans="1:32" s="240" customFormat="1">
      <c r="A655" s="48"/>
      <c r="B655" s="31"/>
      <c r="C655" s="48"/>
      <c r="D655" s="47"/>
      <c r="E655" s="47"/>
      <c r="F655" s="31"/>
      <c r="G655" s="31"/>
      <c r="H655" s="31"/>
      <c r="I655" s="47"/>
      <c r="J655" s="31"/>
      <c r="K655" s="47"/>
      <c r="L655" s="47"/>
      <c r="M655" s="47"/>
      <c r="N655" s="31"/>
      <c r="O655" s="47"/>
      <c r="P655" s="31"/>
      <c r="Q655" s="31"/>
      <c r="R655" s="31"/>
      <c r="S655" s="31"/>
      <c r="T655" s="270">
        <f t="shared" si="80"/>
        <v>0</v>
      </c>
      <c r="U655" s="270">
        <f t="shared" si="81"/>
        <v>0</v>
      </c>
      <c r="V655" s="31"/>
      <c r="X655" s="240" t="str">
        <f t="shared" si="82"/>
        <v>OK</v>
      </c>
      <c r="Y655" s="240" t="str">
        <f t="shared" si="83"/>
        <v>OK</v>
      </c>
      <c r="Z655" s="240" t="str">
        <f t="shared" si="84"/>
        <v>OK</v>
      </c>
      <c r="AA655" s="240" t="str" cm="1">
        <f t="array" ref="AA655">IF(OR(AND(J655="Not accepted",N655:O655&lt;&gt;"",$S655=""),AND(J655="Accepted",S655="")),"ERROR","OK")</f>
        <v>OK</v>
      </c>
      <c r="AB655" s="240" t="str">
        <f t="shared" si="85"/>
        <v>OK</v>
      </c>
      <c r="AC655" s="240" t="str" cm="1">
        <f t="array" ref="AC655">IF(AND(F655:H655&lt;&gt;"",I655=""),"ERROR","OK")</f>
        <v>OK</v>
      </c>
      <c r="AD655" s="240" t="str">
        <f t="shared" si="86"/>
        <v>OK</v>
      </c>
      <c r="AE655" s="240" t="str">
        <f t="shared" si="87"/>
        <v>OK</v>
      </c>
      <c r="AF655" s="240" t="str" cm="1">
        <f t="array" aca="1" ref="AF655" ca="1" xml:space="preserve">
IF(AND($G655&lt;&gt;"",$F655=""),"ERROR",
IF(OR($F655:$G655="",AND($G655="",$F655&lt;&gt;"")),"OK",
IF(COUNTIF(INDIRECT(IFERROR(LEFT($F655,FIND(" ",$F655)-1),$F655)), $G655)&gt;0, "OK", "ERROR")))</f>
        <v>OK</v>
      </c>
    </row>
    <row r="656" spans="1:32" s="240" customFormat="1">
      <c r="A656" s="48"/>
      <c r="B656" s="31"/>
      <c r="C656" s="48"/>
      <c r="D656" s="47"/>
      <c r="E656" s="47"/>
      <c r="F656" s="31"/>
      <c r="G656" s="31"/>
      <c r="H656" s="31"/>
      <c r="I656" s="47"/>
      <c r="J656" s="31"/>
      <c r="K656" s="47"/>
      <c r="L656" s="47"/>
      <c r="M656" s="47"/>
      <c r="N656" s="31"/>
      <c r="O656" s="47"/>
      <c r="P656" s="31"/>
      <c r="Q656" s="31"/>
      <c r="R656" s="31"/>
      <c r="S656" s="31"/>
      <c r="T656" s="270">
        <f t="shared" si="80"/>
        <v>0</v>
      </c>
      <c r="U656" s="270">
        <f t="shared" si="81"/>
        <v>0</v>
      </c>
      <c r="V656" s="31"/>
      <c r="X656" s="240" t="str">
        <f t="shared" si="82"/>
        <v>OK</v>
      </c>
      <c r="Y656" s="240" t="str">
        <f t="shared" si="83"/>
        <v>OK</v>
      </c>
      <c r="Z656" s="240" t="str">
        <f t="shared" si="84"/>
        <v>OK</v>
      </c>
      <c r="AA656" s="240" t="str" cm="1">
        <f t="array" ref="AA656">IF(OR(AND(J656="Not accepted",N656:O656&lt;&gt;"",$S656=""),AND(J656="Accepted",S656="")),"ERROR","OK")</f>
        <v>OK</v>
      </c>
      <c r="AB656" s="240" t="str">
        <f t="shared" si="85"/>
        <v>OK</v>
      </c>
      <c r="AC656" s="240" t="str" cm="1">
        <f t="array" ref="AC656">IF(AND(F656:H656&lt;&gt;"",I656=""),"ERROR","OK")</f>
        <v>OK</v>
      </c>
      <c r="AD656" s="240" t="str">
        <f t="shared" si="86"/>
        <v>OK</v>
      </c>
      <c r="AE656" s="240" t="str">
        <f t="shared" si="87"/>
        <v>OK</v>
      </c>
      <c r="AF656" s="240" t="str" cm="1">
        <f t="array" aca="1" ref="AF656" ca="1" xml:space="preserve">
IF(AND($G656&lt;&gt;"",$F656=""),"ERROR",
IF(OR($F656:$G656="",AND($G656="",$F656&lt;&gt;"")),"OK",
IF(COUNTIF(INDIRECT(IFERROR(LEFT($F656,FIND(" ",$F656)-1),$F656)), $G656)&gt;0, "OK", "ERROR")))</f>
        <v>OK</v>
      </c>
    </row>
    <row r="657" spans="1:32" s="240" customFormat="1">
      <c r="A657" s="48"/>
      <c r="B657" s="31"/>
      <c r="C657" s="48"/>
      <c r="D657" s="47"/>
      <c r="E657" s="47"/>
      <c r="F657" s="31"/>
      <c r="G657" s="31"/>
      <c r="H657" s="31"/>
      <c r="I657" s="47"/>
      <c r="J657" s="31"/>
      <c r="K657" s="47"/>
      <c r="L657" s="47"/>
      <c r="M657" s="47"/>
      <c r="N657" s="31"/>
      <c r="O657" s="47"/>
      <c r="P657" s="31"/>
      <c r="Q657" s="31"/>
      <c r="R657" s="31"/>
      <c r="S657" s="31"/>
      <c r="T657" s="270">
        <f t="shared" si="80"/>
        <v>0</v>
      </c>
      <c r="U657" s="270">
        <f t="shared" si="81"/>
        <v>0</v>
      </c>
      <c r="V657" s="31"/>
      <c r="X657" s="240" t="str">
        <f t="shared" si="82"/>
        <v>OK</v>
      </c>
      <c r="Y657" s="240" t="str">
        <f t="shared" si="83"/>
        <v>OK</v>
      </c>
      <c r="Z657" s="240" t="str">
        <f t="shared" si="84"/>
        <v>OK</v>
      </c>
      <c r="AA657" s="240" t="str" cm="1">
        <f t="array" ref="AA657">IF(OR(AND(J657="Not accepted",N657:O657&lt;&gt;"",$S657=""),AND(J657="Accepted",S657="")),"ERROR","OK")</f>
        <v>OK</v>
      </c>
      <c r="AB657" s="240" t="str">
        <f t="shared" si="85"/>
        <v>OK</v>
      </c>
      <c r="AC657" s="240" t="str" cm="1">
        <f t="array" ref="AC657">IF(AND(F657:H657&lt;&gt;"",I657=""),"ERROR","OK")</f>
        <v>OK</v>
      </c>
      <c r="AD657" s="240" t="str">
        <f t="shared" si="86"/>
        <v>OK</v>
      </c>
      <c r="AE657" s="240" t="str">
        <f t="shared" si="87"/>
        <v>OK</v>
      </c>
      <c r="AF657" s="240" t="str" cm="1">
        <f t="array" aca="1" ref="AF657" ca="1" xml:space="preserve">
IF(AND($G657&lt;&gt;"",$F657=""),"ERROR",
IF(OR($F657:$G657="",AND($G657="",$F657&lt;&gt;"")),"OK",
IF(COUNTIF(INDIRECT(IFERROR(LEFT($F657,FIND(" ",$F657)-1),$F657)), $G657)&gt;0, "OK", "ERROR")))</f>
        <v>OK</v>
      </c>
    </row>
    <row r="658" spans="1:32" s="240" customFormat="1">
      <c r="A658" s="48"/>
      <c r="B658" s="31"/>
      <c r="C658" s="48"/>
      <c r="D658" s="47"/>
      <c r="E658" s="47"/>
      <c r="F658" s="31"/>
      <c r="G658" s="31"/>
      <c r="H658" s="31"/>
      <c r="I658" s="47"/>
      <c r="J658" s="31"/>
      <c r="K658" s="47"/>
      <c r="L658" s="47"/>
      <c r="M658" s="47"/>
      <c r="N658" s="31"/>
      <c r="O658" s="47"/>
      <c r="P658" s="31"/>
      <c r="Q658" s="31"/>
      <c r="R658" s="31"/>
      <c r="S658" s="31"/>
      <c r="T658" s="270">
        <f t="shared" si="80"/>
        <v>0</v>
      </c>
      <c r="U658" s="270">
        <f t="shared" si="81"/>
        <v>0</v>
      </c>
      <c r="V658" s="31"/>
      <c r="X658" s="240" t="str">
        <f t="shared" si="82"/>
        <v>OK</v>
      </c>
      <c r="Y658" s="240" t="str">
        <f t="shared" si="83"/>
        <v>OK</v>
      </c>
      <c r="Z658" s="240" t="str">
        <f t="shared" si="84"/>
        <v>OK</v>
      </c>
      <c r="AA658" s="240" t="str" cm="1">
        <f t="array" ref="AA658">IF(OR(AND(J658="Not accepted",N658:O658&lt;&gt;"",$S658=""),AND(J658="Accepted",S658="")),"ERROR","OK")</f>
        <v>OK</v>
      </c>
      <c r="AB658" s="240" t="str">
        <f t="shared" si="85"/>
        <v>OK</v>
      </c>
      <c r="AC658" s="240" t="str" cm="1">
        <f t="array" ref="AC658">IF(AND(F658:H658&lt;&gt;"",I658=""),"ERROR","OK")</f>
        <v>OK</v>
      </c>
      <c r="AD658" s="240" t="str">
        <f t="shared" si="86"/>
        <v>OK</v>
      </c>
      <c r="AE658" s="240" t="str">
        <f t="shared" si="87"/>
        <v>OK</v>
      </c>
      <c r="AF658" s="240" t="str" cm="1">
        <f t="array" aca="1" ref="AF658" ca="1" xml:space="preserve">
IF(AND($G658&lt;&gt;"",$F658=""),"ERROR",
IF(OR($F658:$G658="",AND($G658="",$F658&lt;&gt;"")),"OK",
IF(COUNTIF(INDIRECT(IFERROR(LEFT($F658,FIND(" ",$F658)-1),$F658)), $G658)&gt;0, "OK", "ERROR")))</f>
        <v>OK</v>
      </c>
    </row>
    <row r="659" spans="1:32" s="240" customFormat="1">
      <c r="A659" s="48"/>
      <c r="B659" s="31"/>
      <c r="C659" s="48"/>
      <c r="D659" s="47"/>
      <c r="E659" s="47"/>
      <c r="F659" s="31"/>
      <c r="G659" s="31"/>
      <c r="H659" s="31"/>
      <c r="I659" s="47"/>
      <c r="J659" s="31"/>
      <c r="K659" s="47"/>
      <c r="L659" s="47"/>
      <c r="M659" s="47"/>
      <c r="N659" s="31"/>
      <c r="O659" s="47"/>
      <c r="P659" s="31"/>
      <c r="Q659" s="31"/>
      <c r="R659" s="31"/>
      <c r="S659" s="31"/>
      <c r="T659" s="270">
        <f t="shared" si="80"/>
        <v>0</v>
      </c>
      <c r="U659" s="270">
        <f t="shared" si="81"/>
        <v>0</v>
      </c>
      <c r="V659" s="31"/>
      <c r="X659" s="240" t="str">
        <f t="shared" si="82"/>
        <v>OK</v>
      </c>
      <c r="Y659" s="240" t="str">
        <f t="shared" si="83"/>
        <v>OK</v>
      </c>
      <c r="Z659" s="240" t="str">
        <f t="shared" si="84"/>
        <v>OK</v>
      </c>
      <c r="AA659" s="240" t="str" cm="1">
        <f t="array" ref="AA659">IF(OR(AND(J659="Not accepted",N659:O659&lt;&gt;"",$S659=""),AND(J659="Accepted",S659="")),"ERROR","OK")</f>
        <v>OK</v>
      </c>
      <c r="AB659" s="240" t="str">
        <f t="shared" si="85"/>
        <v>OK</v>
      </c>
      <c r="AC659" s="240" t="str" cm="1">
        <f t="array" ref="AC659">IF(AND(F659:H659&lt;&gt;"",I659=""),"ERROR","OK")</f>
        <v>OK</v>
      </c>
      <c r="AD659" s="240" t="str">
        <f t="shared" si="86"/>
        <v>OK</v>
      </c>
      <c r="AE659" s="240" t="str">
        <f t="shared" si="87"/>
        <v>OK</v>
      </c>
      <c r="AF659" s="240" t="str" cm="1">
        <f t="array" aca="1" ref="AF659" ca="1" xml:space="preserve">
IF(AND($G659&lt;&gt;"",$F659=""),"ERROR",
IF(OR($F659:$G659="",AND($G659="",$F659&lt;&gt;"")),"OK",
IF(COUNTIF(INDIRECT(IFERROR(LEFT($F659,FIND(" ",$F659)-1),$F659)), $G659)&gt;0, "OK", "ERROR")))</f>
        <v>OK</v>
      </c>
    </row>
    <row r="660" spans="1:32" s="240" customFormat="1">
      <c r="A660" s="48"/>
      <c r="B660" s="31"/>
      <c r="C660" s="48"/>
      <c r="D660" s="47"/>
      <c r="E660" s="47"/>
      <c r="F660" s="31"/>
      <c r="G660" s="31"/>
      <c r="H660" s="31"/>
      <c r="I660" s="47"/>
      <c r="J660" s="31"/>
      <c r="K660" s="47"/>
      <c r="L660" s="47"/>
      <c r="M660" s="47"/>
      <c r="N660" s="31"/>
      <c r="O660" s="47"/>
      <c r="P660" s="31"/>
      <c r="Q660" s="31"/>
      <c r="R660" s="31"/>
      <c r="S660" s="31"/>
      <c r="T660" s="270">
        <f t="shared" si="80"/>
        <v>0</v>
      </c>
      <c r="U660" s="270">
        <f t="shared" si="81"/>
        <v>0</v>
      </c>
      <c r="V660" s="31"/>
      <c r="X660" s="240" t="str">
        <f t="shared" si="82"/>
        <v>OK</v>
      </c>
      <c r="Y660" s="240" t="str">
        <f t="shared" si="83"/>
        <v>OK</v>
      </c>
      <c r="Z660" s="240" t="str">
        <f t="shared" si="84"/>
        <v>OK</v>
      </c>
      <c r="AA660" s="240" t="str" cm="1">
        <f t="array" ref="AA660">IF(OR(AND(J660="Not accepted",N660:O660&lt;&gt;"",$S660=""),AND(J660="Accepted",S660="")),"ERROR","OK")</f>
        <v>OK</v>
      </c>
      <c r="AB660" s="240" t="str">
        <f t="shared" si="85"/>
        <v>OK</v>
      </c>
      <c r="AC660" s="240" t="str" cm="1">
        <f t="array" ref="AC660">IF(AND(F660:H660&lt;&gt;"",I660=""),"ERROR","OK")</f>
        <v>OK</v>
      </c>
      <c r="AD660" s="240" t="str">
        <f t="shared" si="86"/>
        <v>OK</v>
      </c>
      <c r="AE660" s="240" t="str">
        <f t="shared" si="87"/>
        <v>OK</v>
      </c>
      <c r="AF660" s="240" t="str" cm="1">
        <f t="array" aca="1" ref="AF660" ca="1" xml:space="preserve">
IF(AND($G660&lt;&gt;"",$F660=""),"ERROR",
IF(OR($F660:$G660="",AND($G660="",$F660&lt;&gt;"")),"OK",
IF(COUNTIF(INDIRECT(IFERROR(LEFT($F660,FIND(" ",$F660)-1),$F660)), $G660)&gt;0, "OK", "ERROR")))</f>
        <v>OK</v>
      </c>
    </row>
    <row r="661" spans="1:32" s="240" customFormat="1">
      <c r="A661" s="48"/>
      <c r="B661" s="31"/>
      <c r="C661" s="48"/>
      <c r="D661" s="47"/>
      <c r="E661" s="47"/>
      <c r="F661" s="31"/>
      <c r="G661" s="31"/>
      <c r="H661" s="31"/>
      <c r="I661" s="47"/>
      <c r="J661" s="31"/>
      <c r="K661" s="47"/>
      <c r="L661" s="47"/>
      <c r="M661" s="47"/>
      <c r="N661" s="31"/>
      <c r="O661" s="47"/>
      <c r="P661" s="31"/>
      <c r="Q661" s="31"/>
      <c r="R661" s="31"/>
      <c r="S661" s="31"/>
      <c r="T661" s="270">
        <f t="shared" si="80"/>
        <v>0</v>
      </c>
      <c r="U661" s="270">
        <f t="shared" si="81"/>
        <v>0</v>
      </c>
      <c r="V661" s="31"/>
      <c r="X661" s="240" t="str">
        <f t="shared" si="82"/>
        <v>OK</v>
      </c>
      <c r="Y661" s="240" t="str">
        <f t="shared" si="83"/>
        <v>OK</v>
      </c>
      <c r="Z661" s="240" t="str">
        <f t="shared" si="84"/>
        <v>OK</v>
      </c>
      <c r="AA661" s="240" t="str" cm="1">
        <f t="array" ref="AA661">IF(OR(AND(J661="Not accepted",N661:O661&lt;&gt;"",$S661=""),AND(J661="Accepted",S661="")),"ERROR","OK")</f>
        <v>OK</v>
      </c>
      <c r="AB661" s="240" t="str">
        <f t="shared" si="85"/>
        <v>OK</v>
      </c>
      <c r="AC661" s="240" t="str" cm="1">
        <f t="array" ref="AC661">IF(AND(F661:H661&lt;&gt;"",I661=""),"ERROR","OK")</f>
        <v>OK</v>
      </c>
      <c r="AD661" s="240" t="str">
        <f t="shared" si="86"/>
        <v>OK</v>
      </c>
      <c r="AE661" s="240" t="str">
        <f t="shared" si="87"/>
        <v>OK</v>
      </c>
      <c r="AF661" s="240" t="str" cm="1">
        <f t="array" aca="1" ref="AF661" ca="1" xml:space="preserve">
IF(AND($G661&lt;&gt;"",$F661=""),"ERROR",
IF(OR($F661:$G661="",AND($G661="",$F661&lt;&gt;"")),"OK",
IF(COUNTIF(INDIRECT(IFERROR(LEFT($F661,FIND(" ",$F661)-1),$F661)), $G661)&gt;0, "OK", "ERROR")))</f>
        <v>OK</v>
      </c>
    </row>
    <row r="662" spans="1:32" s="240" customFormat="1">
      <c r="A662" s="48"/>
      <c r="B662" s="31"/>
      <c r="C662" s="48"/>
      <c r="D662" s="47"/>
      <c r="E662" s="47"/>
      <c r="F662" s="31"/>
      <c r="G662" s="31"/>
      <c r="H662" s="31"/>
      <c r="I662" s="47"/>
      <c r="J662" s="31"/>
      <c r="K662" s="47"/>
      <c r="L662" s="47"/>
      <c r="M662" s="47"/>
      <c r="N662" s="31"/>
      <c r="O662" s="47"/>
      <c r="P662" s="31"/>
      <c r="Q662" s="31"/>
      <c r="R662" s="31"/>
      <c r="S662" s="31"/>
      <c r="T662" s="270">
        <f t="shared" si="80"/>
        <v>0</v>
      </c>
      <c r="U662" s="270">
        <f t="shared" si="81"/>
        <v>0</v>
      </c>
      <c r="V662" s="31"/>
      <c r="X662" s="240" t="str">
        <f t="shared" si="82"/>
        <v>OK</v>
      </c>
      <c r="Y662" s="240" t="str">
        <f t="shared" si="83"/>
        <v>OK</v>
      </c>
      <c r="Z662" s="240" t="str">
        <f t="shared" si="84"/>
        <v>OK</v>
      </c>
      <c r="AA662" s="240" t="str" cm="1">
        <f t="array" ref="AA662">IF(OR(AND(J662="Not accepted",N662:O662&lt;&gt;"",$S662=""),AND(J662="Accepted",S662="")),"ERROR","OK")</f>
        <v>OK</v>
      </c>
      <c r="AB662" s="240" t="str">
        <f t="shared" si="85"/>
        <v>OK</v>
      </c>
      <c r="AC662" s="240" t="str" cm="1">
        <f t="array" ref="AC662">IF(AND(F662:H662&lt;&gt;"",I662=""),"ERROR","OK")</f>
        <v>OK</v>
      </c>
      <c r="AD662" s="240" t="str">
        <f t="shared" si="86"/>
        <v>OK</v>
      </c>
      <c r="AE662" s="240" t="str">
        <f t="shared" si="87"/>
        <v>OK</v>
      </c>
      <c r="AF662" s="240" t="str" cm="1">
        <f t="array" aca="1" ref="AF662" ca="1" xml:space="preserve">
IF(AND($G662&lt;&gt;"",$F662=""),"ERROR",
IF(OR($F662:$G662="",AND($G662="",$F662&lt;&gt;"")),"OK",
IF(COUNTIF(INDIRECT(IFERROR(LEFT($F662,FIND(" ",$F662)-1),$F662)), $G662)&gt;0, "OK", "ERROR")))</f>
        <v>OK</v>
      </c>
    </row>
    <row r="663" spans="1:32" s="240" customFormat="1">
      <c r="A663" s="48"/>
      <c r="B663" s="31"/>
      <c r="C663" s="48"/>
      <c r="D663" s="47"/>
      <c r="E663" s="47"/>
      <c r="F663" s="31"/>
      <c r="G663" s="31"/>
      <c r="H663" s="31"/>
      <c r="I663" s="47"/>
      <c r="J663" s="31"/>
      <c r="K663" s="47"/>
      <c r="L663" s="47"/>
      <c r="M663" s="47"/>
      <c r="N663" s="31"/>
      <c r="O663" s="47"/>
      <c r="P663" s="31"/>
      <c r="Q663" s="31"/>
      <c r="R663" s="31"/>
      <c r="S663" s="31"/>
      <c r="T663" s="270">
        <f t="shared" si="80"/>
        <v>0</v>
      </c>
      <c r="U663" s="270">
        <f t="shared" si="81"/>
        <v>0</v>
      </c>
      <c r="V663" s="31"/>
      <c r="X663" s="240" t="str">
        <f t="shared" si="82"/>
        <v>OK</v>
      </c>
      <c r="Y663" s="240" t="str">
        <f t="shared" si="83"/>
        <v>OK</v>
      </c>
      <c r="Z663" s="240" t="str">
        <f t="shared" si="84"/>
        <v>OK</v>
      </c>
      <c r="AA663" s="240" t="str" cm="1">
        <f t="array" ref="AA663">IF(OR(AND(J663="Not accepted",N663:O663&lt;&gt;"",$S663=""),AND(J663="Accepted",S663="")),"ERROR","OK")</f>
        <v>OK</v>
      </c>
      <c r="AB663" s="240" t="str">
        <f t="shared" si="85"/>
        <v>OK</v>
      </c>
      <c r="AC663" s="240" t="str" cm="1">
        <f t="array" ref="AC663">IF(AND(F663:H663&lt;&gt;"",I663=""),"ERROR","OK")</f>
        <v>OK</v>
      </c>
      <c r="AD663" s="240" t="str">
        <f t="shared" si="86"/>
        <v>OK</v>
      </c>
      <c r="AE663" s="240" t="str">
        <f t="shared" si="87"/>
        <v>OK</v>
      </c>
      <c r="AF663" s="240" t="str" cm="1">
        <f t="array" aca="1" ref="AF663" ca="1" xml:space="preserve">
IF(AND($G663&lt;&gt;"",$F663=""),"ERROR",
IF(OR($F663:$G663="",AND($G663="",$F663&lt;&gt;"")),"OK",
IF(COUNTIF(INDIRECT(IFERROR(LEFT($F663,FIND(" ",$F663)-1),$F663)), $G663)&gt;0, "OK", "ERROR")))</f>
        <v>OK</v>
      </c>
    </row>
    <row r="664" spans="1:32" s="240" customFormat="1">
      <c r="A664" s="48"/>
      <c r="B664" s="31"/>
      <c r="C664" s="48"/>
      <c r="D664" s="47"/>
      <c r="E664" s="47"/>
      <c r="F664" s="31"/>
      <c r="G664" s="31"/>
      <c r="H664" s="31"/>
      <c r="I664" s="47"/>
      <c r="J664" s="31"/>
      <c r="K664" s="47"/>
      <c r="L664" s="47"/>
      <c r="M664" s="47"/>
      <c r="N664" s="31"/>
      <c r="O664" s="47"/>
      <c r="P664" s="31"/>
      <c r="Q664" s="31"/>
      <c r="R664" s="31"/>
      <c r="S664" s="31"/>
      <c r="T664" s="270">
        <f t="shared" si="80"/>
        <v>0</v>
      </c>
      <c r="U664" s="270">
        <f t="shared" si="81"/>
        <v>0</v>
      </c>
      <c r="V664" s="31"/>
      <c r="X664" s="240" t="str">
        <f t="shared" si="82"/>
        <v>OK</v>
      </c>
      <c r="Y664" s="240" t="str">
        <f t="shared" si="83"/>
        <v>OK</v>
      </c>
      <c r="Z664" s="240" t="str">
        <f t="shared" si="84"/>
        <v>OK</v>
      </c>
      <c r="AA664" s="240" t="str" cm="1">
        <f t="array" ref="AA664">IF(OR(AND(J664="Not accepted",N664:O664&lt;&gt;"",$S664=""),AND(J664="Accepted",S664="")),"ERROR","OK")</f>
        <v>OK</v>
      </c>
      <c r="AB664" s="240" t="str">
        <f t="shared" si="85"/>
        <v>OK</v>
      </c>
      <c r="AC664" s="240" t="str" cm="1">
        <f t="array" ref="AC664">IF(AND(F664:H664&lt;&gt;"",I664=""),"ERROR","OK")</f>
        <v>OK</v>
      </c>
      <c r="AD664" s="240" t="str">
        <f t="shared" si="86"/>
        <v>OK</v>
      </c>
      <c r="AE664" s="240" t="str">
        <f t="shared" si="87"/>
        <v>OK</v>
      </c>
      <c r="AF664" s="240" t="str" cm="1">
        <f t="array" aca="1" ref="AF664" ca="1" xml:space="preserve">
IF(AND($G664&lt;&gt;"",$F664=""),"ERROR",
IF(OR($F664:$G664="",AND($G664="",$F664&lt;&gt;"")),"OK",
IF(COUNTIF(INDIRECT(IFERROR(LEFT($F664,FIND(" ",$F664)-1),$F664)), $G664)&gt;0, "OK", "ERROR")))</f>
        <v>OK</v>
      </c>
    </row>
    <row r="665" spans="1:32" s="240" customFormat="1">
      <c r="A665" s="48"/>
      <c r="B665" s="31"/>
      <c r="C665" s="48"/>
      <c r="D665" s="47"/>
      <c r="E665" s="47"/>
      <c r="F665" s="31"/>
      <c r="G665" s="31"/>
      <c r="H665" s="31"/>
      <c r="I665" s="47"/>
      <c r="J665" s="31"/>
      <c r="K665" s="47"/>
      <c r="L665" s="47"/>
      <c r="M665" s="47"/>
      <c r="N665" s="31"/>
      <c r="O665" s="47"/>
      <c r="P665" s="31"/>
      <c r="Q665" s="31"/>
      <c r="R665" s="31"/>
      <c r="S665" s="31"/>
      <c r="T665" s="270">
        <f t="shared" si="80"/>
        <v>0</v>
      </c>
      <c r="U665" s="270">
        <f t="shared" si="81"/>
        <v>0</v>
      </c>
      <c r="V665" s="31"/>
      <c r="X665" s="240" t="str">
        <f t="shared" si="82"/>
        <v>OK</v>
      </c>
      <c r="Y665" s="240" t="str">
        <f t="shared" si="83"/>
        <v>OK</v>
      </c>
      <c r="Z665" s="240" t="str">
        <f t="shared" si="84"/>
        <v>OK</v>
      </c>
      <c r="AA665" s="240" t="str" cm="1">
        <f t="array" ref="AA665">IF(OR(AND(J665="Not accepted",N665:O665&lt;&gt;"",$S665=""),AND(J665="Accepted",S665="")),"ERROR","OK")</f>
        <v>OK</v>
      </c>
      <c r="AB665" s="240" t="str">
        <f t="shared" si="85"/>
        <v>OK</v>
      </c>
      <c r="AC665" s="240" t="str" cm="1">
        <f t="array" ref="AC665">IF(AND(F665:H665&lt;&gt;"",I665=""),"ERROR","OK")</f>
        <v>OK</v>
      </c>
      <c r="AD665" s="240" t="str">
        <f t="shared" si="86"/>
        <v>OK</v>
      </c>
      <c r="AE665" s="240" t="str">
        <f t="shared" si="87"/>
        <v>OK</v>
      </c>
      <c r="AF665" s="240" t="str" cm="1">
        <f t="array" aca="1" ref="AF665" ca="1" xml:space="preserve">
IF(AND($G665&lt;&gt;"",$F665=""),"ERROR",
IF(OR($F665:$G665="",AND($G665="",$F665&lt;&gt;"")),"OK",
IF(COUNTIF(INDIRECT(IFERROR(LEFT($F665,FIND(" ",$F665)-1),$F665)), $G665)&gt;0, "OK", "ERROR")))</f>
        <v>OK</v>
      </c>
    </row>
    <row r="666" spans="1:32" s="240" customFormat="1">
      <c r="A666" s="48"/>
      <c r="B666" s="31"/>
      <c r="C666" s="48"/>
      <c r="D666" s="47"/>
      <c r="E666" s="47"/>
      <c r="F666" s="31"/>
      <c r="G666" s="31"/>
      <c r="H666" s="31"/>
      <c r="I666" s="47"/>
      <c r="J666" s="31"/>
      <c r="K666" s="47"/>
      <c r="L666" s="47"/>
      <c r="M666" s="47"/>
      <c r="N666" s="31"/>
      <c r="O666" s="47"/>
      <c r="P666" s="31"/>
      <c r="Q666" s="31"/>
      <c r="R666" s="31"/>
      <c r="S666" s="31"/>
      <c r="T666" s="270">
        <f t="shared" si="80"/>
        <v>0</v>
      </c>
      <c r="U666" s="270">
        <f t="shared" si="81"/>
        <v>0</v>
      </c>
      <c r="V666" s="31"/>
      <c r="X666" s="240" t="str">
        <f t="shared" si="82"/>
        <v>OK</v>
      </c>
      <c r="Y666" s="240" t="str">
        <f t="shared" si="83"/>
        <v>OK</v>
      </c>
      <c r="Z666" s="240" t="str">
        <f t="shared" si="84"/>
        <v>OK</v>
      </c>
      <c r="AA666" s="240" t="str" cm="1">
        <f t="array" ref="AA666">IF(OR(AND(J666="Not accepted",N666:O666&lt;&gt;"",$S666=""),AND(J666="Accepted",S666="")),"ERROR","OK")</f>
        <v>OK</v>
      </c>
      <c r="AB666" s="240" t="str">
        <f t="shared" si="85"/>
        <v>OK</v>
      </c>
      <c r="AC666" s="240" t="str" cm="1">
        <f t="array" ref="AC666">IF(AND(F666:H666&lt;&gt;"",I666=""),"ERROR","OK")</f>
        <v>OK</v>
      </c>
      <c r="AD666" s="240" t="str">
        <f t="shared" si="86"/>
        <v>OK</v>
      </c>
      <c r="AE666" s="240" t="str">
        <f t="shared" si="87"/>
        <v>OK</v>
      </c>
      <c r="AF666" s="240" t="str" cm="1">
        <f t="array" aca="1" ref="AF666" ca="1" xml:space="preserve">
IF(AND($G666&lt;&gt;"",$F666=""),"ERROR",
IF(OR($F666:$G666="",AND($G666="",$F666&lt;&gt;"")),"OK",
IF(COUNTIF(INDIRECT(IFERROR(LEFT($F666,FIND(" ",$F666)-1),$F666)), $G666)&gt;0, "OK", "ERROR")))</f>
        <v>OK</v>
      </c>
    </row>
    <row r="667" spans="1:32" s="240" customFormat="1">
      <c r="A667" s="48"/>
      <c r="B667" s="31"/>
      <c r="C667" s="48"/>
      <c r="D667" s="47"/>
      <c r="E667" s="47"/>
      <c r="F667" s="31"/>
      <c r="G667" s="31"/>
      <c r="H667" s="31"/>
      <c r="I667" s="47"/>
      <c r="J667" s="31"/>
      <c r="K667" s="47"/>
      <c r="L667" s="47"/>
      <c r="M667" s="47"/>
      <c r="N667" s="31"/>
      <c r="O667" s="47"/>
      <c r="P667" s="31"/>
      <c r="Q667" s="31"/>
      <c r="R667" s="31"/>
      <c r="S667" s="31"/>
      <c r="T667" s="270">
        <f t="shared" si="80"/>
        <v>0</v>
      </c>
      <c r="U667" s="270">
        <f t="shared" si="81"/>
        <v>0</v>
      </c>
      <c r="V667" s="31"/>
      <c r="X667" s="240" t="str">
        <f t="shared" si="82"/>
        <v>OK</v>
      </c>
      <c r="Y667" s="240" t="str">
        <f t="shared" si="83"/>
        <v>OK</v>
      </c>
      <c r="Z667" s="240" t="str">
        <f t="shared" si="84"/>
        <v>OK</v>
      </c>
      <c r="AA667" s="240" t="str" cm="1">
        <f t="array" ref="AA667">IF(OR(AND(J667="Not accepted",N667:O667&lt;&gt;"",$S667=""),AND(J667="Accepted",S667="")),"ERROR","OK")</f>
        <v>OK</v>
      </c>
      <c r="AB667" s="240" t="str">
        <f t="shared" si="85"/>
        <v>OK</v>
      </c>
      <c r="AC667" s="240" t="str" cm="1">
        <f t="array" ref="AC667">IF(AND(F667:H667&lt;&gt;"",I667=""),"ERROR","OK")</f>
        <v>OK</v>
      </c>
      <c r="AD667" s="240" t="str">
        <f t="shared" si="86"/>
        <v>OK</v>
      </c>
      <c r="AE667" s="240" t="str">
        <f t="shared" si="87"/>
        <v>OK</v>
      </c>
      <c r="AF667" s="240" t="str" cm="1">
        <f t="array" aca="1" ref="AF667" ca="1" xml:space="preserve">
IF(AND($G667&lt;&gt;"",$F667=""),"ERROR",
IF(OR($F667:$G667="",AND($G667="",$F667&lt;&gt;"")),"OK",
IF(COUNTIF(INDIRECT(IFERROR(LEFT($F667,FIND(" ",$F667)-1),$F667)), $G667)&gt;0, "OK", "ERROR")))</f>
        <v>OK</v>
      </c>
    </row>
    <row r="668" spans="1:32" s="240" customFormat="1">
      <c r="A668" s="48"/>
      <c r="B668" s="31"/>
      <c r="C668" s="48"/>
      <c r="D668" s="47"/>
      <c r="E668" s="47"/>
      <c r="F668" s="31"/>
      <c r="G668" s="31"/>
      <c r="H668" s="31"/>
      <c r="I668" s="47"/>
      <c r="J668" s="31"/>
      <c r="K668" s="47"/>
      <c r="L668" s="47"/>
      <c r="M668" s="47"/>
      <c r="N668" s="31"/>
      <c r="O668" s="47"/>
      <c r="P668" s="31"/>
      <c r="Q668" s="31"/>
      <c r="R668" s="31"/>
      <c r="S668" s="31"/>
      <c r="T668" s="270">
        <f t="shared" si="80"/>
        <v>0</v>
      </c>
      <c r="U668" s="270">
        <f t="shared" si="81"/>
        <v>0</v>
      </c>
      <c r="V668" s="31"/>
      <c r="X668" s="240" t="str">
        <f t="shared" si="82"/>
        <v>OK</v>
      </c>
      <c r="Y668" s="240" t="str">
        <f t="shared" si="83"/>
        <v>OK</v>
      </c>
      <c r="Z668" s="240" t="str">
        <f t="shared" si="84"/>
        <v>OK</v>
      </c>
      <c r="AA668" s="240" t="str" cm="1">
        <f t="array" ref="AA668">IF(OR(AND(J668="Not accepted",N668:O668&lt;&gt;"",$S668=""),AND(J668="Accepted",S668="")),"ERROR","OK")</f>
        <v>OK</v>
      </c>
      <c r="AB668" s="240" t="str">
        <f t="shared" si="85"/>
        <v>OK</v>
      </c>
      <c r="AC668" s="240" t="str" cm="1">
        <f t="array" ref="AC668">IF(AND(F668:H668&lt;&gt;"",I668=""),"ERROR","OK")</f>
        <v>OK</v>
      </c>
      <c r="AD668" s="240" t="str">
        <f t="shared" si="86"/>
        <v>OK</v>
      </c>
      <c r="AE668" s="240" t="str">
        <f t="shared" si="87"/>
        <v>OK</v>
      </c>
      <c r="AF668" s="240" t="str" cm="1">
        <f t="array" aca="1" ref="AF668" ca="1" xml:space="preserve">
IF(AND($G668&lt;&gt;"",$F668=""),"ERROR",
IF(OR($F668:$G668="",AND($G668="",$F668&lt;&gt;"")),"OK",
IF(COUNTIF(INDIRECT(IFERROR(LEFT($F668,FIND(" ",$F668)-1),$F668)), $G668)&gt;0, "OK", "ERROR")))</f>
        <v>OK</v>
      </c>
    </row>
    <row r="669" spans="1:32" s="240" customFormat="1">
      <c r="A669" s="48"/>
      <c r="B669" s="31"/>
      <c r="C669" s="48"/>
      <c r="D669" s="47"/>
      <c r="E669" s="47"/>
      <c r="F669" s="31"/>
      <c r="G669" s="31"/>
      <c r="H669" s="31"/>
      <c r="I669" s="47"/>
      <c r="J669" s="31"/>
      <c r="K669" s="47"/>
      <c r="L669" s="47"/>
      <c r="M669" s="47"/>
      <c r="N669" s="31"/>
      <c r="O669" s="47"/>
      <c r="P669" s="31"/>
      <c r="Q669" s="31"/>
      <c r="R669" s="31"/>
      <c r="S669" s="31"/>
      <c r="T669" s="270">
        <f t="shared" si="80"/>
        <v>0</v>
      </c>
      <c r="U669" s="270">
        <f t="shared" si="81"/>
        <v>0</v>
      </c>
      <c r="V669" s="31"/>
      <c r="X669" s="240" t="str">
        <f t="shared" si="82"/>
        <v>OK</v>
      </c>
      <c r="Y669" s="240" t="str">
        <f t="shared" si="83"/>
        <v>OK</v>
      </c>
      <c r="Z669" s="240" t="str">
        <f t="shared" si="84"/>
        <v>OK</v>
      </c>
      <c r="AA669" s="240" t="str" cm="1">
        <f t="array" ref="AA669">IF(OR(AND(J669="Not accepted",N669:O669&lt;&gt;"",$S669=""),AND(J669="Accepted",S669="")),"ERROR","OK")</f>
        <v>OK</v>
      </c>
      <c r="AB669" s="240" t="str">
        <f t="shared" si="85"/>
        <v>OK</v>
      </c>
      <c r="AC669" s="240" t="str" cm="1">
        <f t="array" ref="AC669">IF(AND(F669:H669&lt;&gt;"",I669=""),"ERROR","OK")</f>
        <v>OK</v>
      </c>
      <c r="AD669" s="240" t="str">
        <f t="shared" si="86"/>
        <v>OK</v>
      </c>
      <c r="AE669" s="240" t="str">
        <f t="shared" si="87"/>
        <v>OK</v>
      </c>
      <c r="AF669" s="240" t="str" cm="1">
        <f t="array" aca="1" ref="AF669" ca="1" xml:space="preserve">
IF(AND($G669&lt;&gt;"",$F669=""),"ERROR",
IF(OR($F669:$G669="",AND($G669="",$F669&lt;&gt;"")),"OK",
IF(COUNTIF(INDIRECT(IFERROR(LEFT($F669,FIND(" ",$F669)-1),$F669)), $G669)&gt;0, "OK", "ERROR")))</f>
        <v>OK</v>
      </c>
    </row>
    <row r="670" spans="1:32" s="240" customFormat="1">
      <c r="A670" s="48"/>
      <c r="B670" s="31"/>
      <c r="C670" s="48"/>
      <c r="D670" s="47"/>
      <c r="E670" s="47"/>
      <c r="F670" s="31"/>
      <c r="G670" s="31"/>
      <c r="H670" s="31"/>
      <c r="I670" s="47"/>
      <c r="J670" s="31"/>
      <c r="K670" s="47"/>
      <c r="L670" s="47"/>
      <c r="M670" s="47"/>
      <c r="N670" s="31"/>
      <c r="O670" s="47"/>
      <c r="P670" s="31"/>
      <c r="Q670" s="31"/>
      <c r="R670" s="31"/>
      <c r="S670" s="31"/>
      <c r="T670" s="270">
        <f t="shared" si="80"/>
        <v>0</v>
      </c>
      <c r="U670" s="270">
        <f t="shared" si="81"/>
        <v>0</v>
      </c>
      <c r="V670" s="31"/>
      <c r="X670" s="240" t="str">
        <f t="shared" si="82"/>
        <v>OK</v>
      </c>
      <c r="Y670" s="240" t="str">
        <f t="shared" si="83"/>
        <v>OK</v>
      </c>
      <c r="Z670" s="240" t="str">
        <f t="shared" si="84"/>
        <v>OK</v>
      </c>
      <c r="AA670" s="240" t="str" cm="1">
        <f t="array" ref="AA670">IF(OR(AND(J670="Not accepted",N670:O670&lt;&gt;"",$S670=""),AND(J670="Accepted",S670="")),"ERROR","OK")</f>
        <v>OK</v>
      </c>
      <c r="AB670" s="240" t="str">
        <f t="shared" si="85"/>
        <v>OK</v>
      </c>
      <c r="AC670" s="240" t="str" cm="1">
        <f t="array" ref="AC670">IF(AND(F670:H670&lt;&gt;"",I670=""),"ERROR","OK")</f>
        <v>OK</v>
      </c>
      <c r="AD670" s="240" t="str">
        <f t="shared" si="86"/>
        <v>OK</v>
      </c>
      <c r="AE670" s="240" t="str">
        <f t="shared" si="87"/>
        <v>OK</v>
      </c>
      <c r="AF670" s="240" t="str" cm="1">
        <f t="array" aca="1" ref="AF670" ca="1" xml:space="preserve">
IF(AND($G670&lt;&gt;"",$F670=""),"ERROR",
IF(OR($F670:$G670="",AND($G670="",$F670&lt;&gt;"")),"OK",
IF(COUNTIF(INDIRECT(IFERROR(LEFT($F670,FIND(" ",$F670)-1),$F670)), $G670)&gt;0, "OK", "ERROR")))</f>
        <v>OK</v>
      </c>
    </row>
    <row r="671" spans="1:32" s="240" customFormat="1">
      <c r="A671" s="48"/>
      <c r="B671" s="31"/>
      <c r="C671" s="48"/>
      <c r="D671" s="47"/>
      <c r="E671" s="47"/>
      <c r="F671" s="31"/>
      <c r="G671" s="31"/>
      <c r="H671" s="31"/>
      <c r="I671" s="47"/>
      <c r="J671" s="31"/>
      <c r="K671" s="47"/>
      <c r="L671" s="47"/>
      <c r="M671" s="47"/>
      <c r="N671" s="31"/>
      <c r="O671" s="47"/>
      <c r="P671" s="31"/>
      <c r="Q671" s="31"/>
      <c r="R671" s="31"/>
      <c r="S671" s="31"/>
      <c r="T671" s="270">
        <f t="shared" si="80"/>
        <v>0</v>
      </c>
      <c r="U671" s="270">
        <f t="shared" si="81"/>
        <v>0</v>
      </c>
      <c r="V671" s="31"/>
      <c r="X671" s="240" t="str">
        <f t="shared" si="82"/>
        <v>OK</v>
      </c>
      <c r="Y671" s="240" t="str">
        <f t="shared" si="83"/>
        <v>OK</v>
      </c>
      <c r="Z671" s="240" t="str">
        <f t="shared" si="84"/>
        <v>OK</v>
      </c>
      <c r="AA671" s="240" t="str" cm="1">
        <f t="array" ref="AA671">IF(OR(AND(J671="Not accepted",N671:O671&lt;&gt;"",$S671=""),AND(J671="Accepted",S671="")),"ERROR","OK")</f>
        <v>OK</v>
      </c>
      <c r="AB671" s="240" t="str">
        <f t="shared" si="85"/>
        <v>OK</v>
      </c>
      <c r="AC671" s="240" t="str" cm="1">
        <f t="array" ref="AC671">IF(AND(F671:H671&lt;&gt;"",I671=""),"ERROR","OK")</f>
        <v>OK</v>
      </c>
      <c r="AD671" s="240" t="str">
        <f t="shared" si="86"/>
        <v>OK</v>
      </c>
      <c r="AE671" s="240" t="str">
        <f t="shared" si="87"/>
        <v>OK</v>
      </c>
      <c r="AF671" s="240" t="str" cm="1">
        <f t="array" aca="1" ref="AF671" ca="1" xml:space="preserve">
IF(AND($G671&lt;&gt;"",$F671=""),"ERROR",
IF(OR($F671:$G671="",AND($G671="",$F671&lt;&gt;"")),"OK",
IF(COUNTIF(INDIRECT(IFERROR(LEFT($F671,FIND(" ",$F671)-1),$F671)), $G671)&gt;0, "OK", "ERROR")))</f>
        <v>OK</v>
      </c>
    </row>
    <row r="672" spans="1:32" s="240" customFormat="1">
      <c r="A672" s="48"/>
      <c r="B672" s="31"/>
      <c r="C672" s="48"/>
      <c r="D672" s="47"/>
      <c r="E672" s="47"/>
      <c r="F672" s="31"/>
      <c r="G672" s="31"/>
      <c r="H672" s="31"/>
      <c r="I672" s="47"/>
      <c r="J672" s="31"/>
      <c r="K672" s="47"/>
      <c r="L672" s="47"/>
      <c r="M672" s="47"/>
      <c r="N672" s="31"/>
      <c r="O672" s="47"/>
      <c r="P672" s="31"/>
      <c r="Q672" s="31"/>
      <c r="R672" s="31"/>
      <c r="S672" s="31"/>
      <c r="T672" s="270">
        <f t="shared" si="80"/>
        <v>0</v>
      </c>
      <c r="U672" s="270">
        <f t="shared" si="81"/>
        <v>0</v>
      </c>
      <c r="V672" s="31"/>
      <c r="X672" s="240" t="str">
        <f t="shared" si="82"/>
        <v>OK</v>
      </c>
      <c r="Y672" s="240" t="str">
        <f t="shared" si="83"/>
        <v>OK</v>
      </c>
      <c r="Z672" s="240" t="str">
        <f t="shared" si="84"/>
        <v>OK</v>
      </c>
      <c r="AA672" s="240" t="str" cm="1">
        <f t="array" ref="AA672">IF(OR(AND(J672="Not accepted",N672:O672&lt;&gt;"",$S672=""),AND(J672="Accepted",S672="")),"ERROR","OK")</f>
        <v>OK</v>
      </c>
      <c r="AB672" s="240" t="str">
        <f t="shared" si="85"/>
        <v>OK</v>
      </c>
      <c r="AC672" s="240" t="str" cm="1">
        <f t="array" ref="AC672">IF(AND(F672:H672&lt;&gt;"",I672=""),"ERROR","OK")</f>
        <v>OK</v>
      </c>
      <c r="AD672" s="240" t="str">
        <f t="shared" si="86"/>
        <v>OK</v>
      </c>
      <c r="AE672" s="240" t="str">
        <f t="shared" si="87"/>
        <v>OK</v>
      </c>
      <c r="AF672" s="240" t="str" cm="1">
        <f t="array" aca="1" ref="AF672" ca="1" xml:space="preserve">
IF(AND($G672&lt;&gt;"",$F672=""),"ERROR",
IF(OR($F672:$G672="",AND($G672="",$F672&lt;&gt;"")),"OK",
IF(COUNTIF(INDIRECT(IFERROR(LEFT($F672,FIND(" ",$F672)-1),$F672)), $G672)&gt;0, "OK", "ERROR")))</f>
        <v>OK</v>
      </c>
    </row>
    <row r="673" spans="1:32" s="240" customFormat="1">
      <c r="A673" s="48"/>
      <c r="B673" s="31"/>
      <c r="C673" s="48"/>
      <c r="D673" s="47"/>
      <c r="E673" s="47"/>
      <c r="F673" s="31"/>
      <c r="G673" s="31"/>
      <c r="H673" s="31"/>
      <c r="I673" s="47"/>
      <c r="J673" s="31"/>
      <c r="K673" s="47"/>
      <c r="L673" s="47"/>
      <c r="M673" s="47"/>
      <c r="N673" s="31"/>
      <c r="O673" s="47"/>
      <c r="P673" s="31"/>
      <c r="Q673" s="31"/>
      <c r="R673" s="31"/>
      <c r="S673" s="31"/>
      <c r="T673" s="270">
        <f t="shared" si="80"/>
        <v>0</v>
      </c>
      <c r="U673" s="270">
        <f t="shared" si="81"/>
        <v>0</v>
      </c>
      <c r="V673" s="31"/>
      <c r="X673" s="240" t="str">
        <f t="shared" si="82"/>
        <v>OK</v>
      </c>
      <c r="Y673" s="240" t="str">
        <f t="shared" si="83"/>
        <v>OK</v>
      </c>
      <c r="Z673" s="240" t="str">
        <f t="shared" si="84"/>
        <v>OK</v>
      </c>
      <c r="AA673" s="240" t="str" cm="1">
        <f t="array" ref="AA673">IF(OR(AND(J673="Not accepted",N673:O673&lt;&gt;"",$S673=""),AND(J673="Accepted",S673="")),"ERROR","OK")</f>
        <v>OK</v>
      </c>
      <c r="AB673" s="240" t="str">
        <f t="shared" si="85"/>
        <v>OK</v>
      </c>
      <c r="AC673" s="240" t="str" cm="1">
        <f t="array" ref="AC673">IF(AND(F673:H673&lt;&gt;"",I673=""),"ERROR","OK")</f>
        <v>OK</v>
      </c>
      <c r="AD673" s="240" t="str">
        <f t="shared" si="86"/>
        <v>OK</v>
      </c>
      <c r="AE673" s="240" t="str">
        <f t="shared" si="87"/>
        <v>OK</v>
      </c>
      <c r="AF673" s="240" t="str" cm="1">
        <f t="array" aca="1" ref="AF673" ca="1" xml:space="preserve">
IF(AND($G673&lt;&gt;"",$F673=""),"ERROR",
IF(OR($F673:$G673="",AND($G673="",$F673&lt;&gt;"")),"OK",
IF(COUNTIF(INDIRECT(IFERROR(LEFT($F673,FIND(" ",$F673)-1),$F673)), $G673)&gt;0, "OK", "ERROR")))</f>
        <v>OK</v>
      </c>
    </row>
    <row r="674" spans="1:32" s="240" customFormat="1">
      <c r="A674" s="48"/>
      <c r="B674" s="31"/>
      <c r="C674" s="48"/>
      <c r="D674" s="47"/>
      <c r="E674" s="47"/>
      <c r="F674" s="31"/>
      <c r="G674" s="31"/>
      <c r="H674" s="31"/>
      <c r="I674" s="47"/>
      <c r="J674" s="31"/>
      <c r="K674" s="47"/>
      <c r="L674" s="47"/>
      <c r="M674" s="47"/>
      <c r="N674" s="31"/>
      <c r="O674" s="47"/>
      <c r="P674" s="31"/>
      <c r="Q674" s="31"/>
      <c r="R674" s="31"/>
      <c r="S674" s="31"/>
      <c r="T674" s="270">
        <f t="shared" si="80"/>
        <v>0</v>
      </c>
      <c r="U674" s="270">
        <f t="shared" si="81"/>
        <v>0</v>
      </c>
      <c r="V674" s="31"/>
      <c r="X674" s="240" t="str">
        <f t="shared" si="82"/>
        <v>OK</v>
      </c>
      <c r="Y674" s="240" t="str">
        <f t="shared" si="83"/>
        <v>OK</v>
      </c>
      <c r="Z674" s="240" t="str">
        <f t="shared" si="84"/>
        <v>OK</v>
      </c>
      <c r="AA674" s="240" t="str" cm="1">
        <f t="array" ref="AA674">IF(OR(AND(J674="Not accepted",N674:O674&lt;&gt;"",$S674=""),AND(J674="Accepted",S674="")),"ERROR","OK")</f>
        <v>OK</v>
      </c>
      <c r="AB674" s="240" t="str">
        <f t="shared" si="85"/>
        <v>OK</v>
      </c>
      <c r="AC674" s="240" t="str" cm="1">
        <f t="array" ref="AC674">IF(AND(F674:H674&lt;&gt;"",I674=""),"ERROR","OK")</f>
        <v>OK</v>
      </c>
      <c r="AD674" s="240" t="str">
        <f t="shared" si="86"/>
        <v>OK</v>
      </c>
      <c r="AE674" s="240" t="str">
        <f t="shared" si="87"/>
        <v>OK</v>
      </c>
      <c r="AF674" s="240" t="str" cm="1">
        <f t="array" aca="1" ref="AF674" ca="1" xml:space="preserve">
IF(AND($G674&lt;&gt;"",$F674=""),"ERROR",
IF(OR($F674:$G674="",AND($G674="",$F674&lt;&gt;"")),"OK",
IF(COUNTIF(INDIRECT(IFERROR(LEFT($F674,FIND(" ",$F674)-1),$F674)), $G674)&gt;0, "OK", "ERROR")))</f>
        <v>OK</v>
      </c>
    </row>
    <row r="675" spans="1:32" s="240" customFormat="1">
      <c r="A675" s="48"/>
      <c r="B675" s="31"/>
      <c r="C675" s="48"/>
      <c r="D675" s="47"/>
      <c r="E675" s="47"/>
      <c r="F675" s="31"/>
      <c r="G675" s="31"/>
      <c r="H675" s="31"/>
      <c r="I675" s="47"/>
      <c r="J675" s="31"/>
      <c r="K675" s="47"/>
      <c r="L675" s="47"/>
      <c r="M675" s="47"/>
      <c r="N675" s="31"/>
      <c r="O675" s="47"/>
      <c r="P675" s="31"/>
      <c r="Q675" s="31"/>
      <c r="R675" s="31"/>
      <c r="S675" s="31"/>
      <c r="T675" s="270">
        <f t="shared" si="80"/>
        <v>0</v>
      </c>
      <c r="U675" s="270">
        <f t="shared" si="81"/>
        <v>0</v>
      </c>
      <c r="V675" s="31"/>
      <c r="X675" s="240" t="str">
        <f t="shared" si="82"/>
        <v>OK</v>
      </c>
      <c r="Y675" s="240" t="str">
        <f t="shared" si="83"/>
        <v>OK</v>
      </c>
      <c r="Z675" s="240" t="str">
        <f t="shared" si="84"/>
        <v>OK</v>
      </c>
      <c r="AA675" s="240" t="str" cm="1">
        <f t="array" ref="AA675">IF(OR(AND(J675="Not accepted",N675:O675&lt;&gt;"",$S675=""),AND(J675="Accepted",S675="")),"ERROR","OK")</f>
        <v>OK</v>
      </c>
      <c r="AB675" s="240" t="str">
        <f t="shared" si="85"/>
        <v>OK</v>
      </c>
      <c r="AC675" s="240" t="str" cm="1">
        <f t="array" ref="AC675">IF(AND(F675:H675&lt;&gt;"",I675=""),"ERROR","OK")</f>
        <v>OK</v>
      </c>
      <c r="AD675" s="240" t="str">
        <f t="shared" si="86"/>
        <v>OK</v>
      </c>
      <c r="AE675" s="240" t="str">
        <f t="shared" si="87"/>
        <v>OK</v>
      </c>
      <c r="AF675" s="240" t="str" cm="1">
        <f t="array" aca="1" ref="AF675" ca="1" xml:space="preserve">
IF(AND($G675&lt;&gt;"",$F675=""),"ERROR",
IF(OR($F675:$G675="",AND($G675="",$F675&lt;&gt;"")),"OK",
IF(COUNTIF(INDIRECT(IFERROR(LEFT($F675,FIND(" ",$F675)-1),$F675)), $G675)&gt;0, "OK", "ERROR")))</f>
        <v>OK</v>
      </c>
    </row>
    <row r="676" spans="1:32" s="240" customFormat="1">
      <c r="A676" s="48"/>
      <c r="B676" s="31"/>
      <c r="C676" s="48"/>
      <c r="D676" s="47"/>
      <c r="E676" s="47"/>
      <c r="F676" s="31"/>
      <c r="G676" s="31"/>
      <c r="H676" s="31"/>
      <c r="I676" s="47"/>
      <c r="J676" s="31"/>
      <c r="K676" s="47"/>
      <c r="L676" s="47"/>
      <c r="M676" s="47"/>
      <c r="N676" s="31"/>
      <c r="O676" s="47"/>
      <c r="P676" s="31"/>
      <c r="Q676" s="31"/>
      <c r="R676" s="31"/>
      <c r="S676" s="31"/>
      <c r="T676" s="270">
        <f t="shared" si="80"/>
        <v>0</v>
      </c>
      <c r="U676" s="270">
        <f t="shared" si="81"/>
        <v>0</v>
      </c>
      <c r="V676" s="31"/>
      <c r="X676" s="240" t="str">
        <f t="shared" si="82"/>
        <v>OK</v>
      </c>
      <c r="Y676" s="240" t="str">
        <f t="shared" si="83"/>
        <v>OK</v>
      </c>
      <c r="Z676" s="240" t="str">
        <f t="shared" si="84"/>
        <v>OK</v>
      </c>
      <c r="AA676" s="240" t="str" cm="1">
        <f t="array" ref="AA676">IF(OR(AND(J676="Not accepted",N676:O676&lt;&gt;"",$S676=""),AND(J676="Accepted",S676="")),"ERROR","OK")</f>
        <v>OK</v>
      </c>
      <c r="AB676" s="240" t="str">
        <f t="shared" si="85"/>
        <v>OK</v>
      </c>
      <c r="AC676" s="240" t="str" cm="1">
        <f t="array" ref="AC676">IF(AND(F676:H676&lt;&gt;"",I676=""),"ERROR","OK")</f>
        <v>OK</v>
      </c>
      <c r="AD676" s="240" t="str">
        <f t="shared" si="86"/>
        <v>OK</v>
      </c>
      <c r="AE676" s="240" t="str">
        <f t="shared" si="87"/>
        <v>OK</v>
      </c>
      <c r="AF676" s="240" t="str" cm="1">
        <f t="array" aca="1" ref="AF676" ca="1" xml:space="preserve">
IF(AND($G676&lt;&gt;"",$F676=""),"ERROR",
IF(OR($F676:$G676="",AND($G676="",$F676&lt;&gt;"")),"OK",
IF(COUNTIF(INDIRECT(IFERROR(LEFT($F676,FIND(" ",$F676)-1),$F676)), $G676)&gt;0, "OK", "ERROR")))</f>
        <v>OK</v>
      </c>
    </row>
    <row r="677" spans="1:32" s="240" customFormat="1">
      <c r="A677" s="48"/>
      <c r="B677" s="31"/>
      <c r="C677" s="48"/>
      <c r="D677" s="47"/>
      <c r="E677" s="47"/>
      <c r="F677" s="31"/>
      <c r="G677" s="31"/>
      <c r="H677" s="31"/>
      <c r="I677" s="47"/>
      <c r="J677" s="31"/>
      <c r="K677" s="47"/>
      <c r="L677" s="47"/>
      <c r="M677" s="47"/>
      <c r="N677" s="31"/>
      <c r="O677" s="47"/>
      <c r="P677" s="31"/>
      <c r="Q677" s="31"/>
      <c r="R677" s="31"/>
      <c r="S677" s="31"/>
      <c r="T677" s="270">
        <f t="shared" si="80"/>
        <v>0</v>
      </c>
      <c r="U677" s="270">
        <f t="shared" si="81"/>
        <v>0</v>
      </c>
      <c r="V677" s="31"/>
      <c r="X677" s="240" t="str">
        <f t="shared" si="82"/>
        <v>OK</v>
      </c>
      <c r="Y677" s="240" t="str">
        <f t="shared" si="83"/>
        <v>OK</v>
      </c>
      <c r="Z677" s="240" t="str">
        <f t="shared" si="84"/>
        <v>OK</v>
      </c>
      <c r="AA677" s="240" t="str" cm="1">
        <f t="array" ref="AA677">IF(OR(AND(J677="Not accepted",N677:O677&lt;&gt;"",$S677=""),AND(J677="Accepted",S677="")),"ERROR","OK")</f>
        <v>OK</v>
      </c>
      <c r="AB677" s="240" t="str">
        <f t="shared" si="85"/>
        <v>OK</v>
      </c>
      <c r="AC677" s="240" t="str" cm="1">
        <f t="array" ref="AC677">IF(AND(F677:H677&lt;&gt;"",I677=""),"ERROR","OK")</f>
        <v>OK</v>
      </c>
      <c r="AD677" s="240" t="str">
        <f t="shared" si="86"/>
        <v>OK</v>
      </c>
      <c r="AE677" s="240" t="str">
        <f t="shared" si="87"/>
        <v>OK</v>
      </c>
      <c r="AF677" s="240" t="str" cm="1">
        <f t="array" aca="1" ref="AF677" ca="1" xml:space="preserve">
IF(AND($G677&lt;&gt;"",$F677=""),"ERROR",
IF(OR($F677:$G677="",AND($G677="",$F677&lt;&gt;"")),"OK",
IF(COUNTIF(INDIRECT(IFERROR(LEFT($F677,FIND(" ",$F677)-1),$F677)), $G677)&gt;0, "OK", "ERROR")))</f>
        <v>OK</v>
      </c>
    </row>
    <row r="678" spans="1:32" s="240" customFormat="1">
      <c r="A678" s="48"/>
      <c r="B678" s="31"/>
      <c r="C678" s="48"/>
      <c r="D678" s="47"/>
      <c r="E678" s="47"/>
      <c r="F678" s="31"/>
      <c r="G678" s="31"/>
      <c r="H678" s="31"/>
      <c r="I678" s="47"/>
      <c r="J678" s="31"/>
      <c r="K678" s="47"/>
      <c r="L678" s="47"/>
      <c r="M678" s="47"/>
      <c r="N678" s="31"/>
      <c r="O678" s="47"/>
      <c r="P678" s="31"/>
      <c r="Q678" s="31"/>
      <c r="R678" s="31"/>
      <c r="S678" s="31"/>
      <c r="T678" s="270">
        <f t="shared" si="80"/>
        <v>0</v>
      </c>
      <c r="U678" s="270">
        <f t="shared" si="81"/>
        <v>0</v>
      </c>
      <c r="V678" s="31"/>
      <c r="X678" s="240" t="str">
        <f t="shared" si="82"/>
        <v>OK</v>
      </c>
      <c r="Y678" s="240" t="str">
        <f t="shared" si="83"/>
        <v>OK</v>
      </c>
      <c r="Z678" s="240" t="str">
        <f t="shared" si="84"/>
        <v>OK</v>
      </c>
      <c r="AA678" s="240" t="str" cm="1">
        <f t="array" ref="AA678">IF(OR(AND(J678="Not accepted",N678:O678&lt;&gt;"",$S678=""),AND(J678="Accepted",S678="")),"ERROR","OK")</f>
        <v>OK</v>
      </c>
      <c r="AB678" s="240" t="str">
        <f t="shared" si="85"/>
        <v>OK</v>
      </c>
      <c r="AC678" s="240" t="str" cm="1">
        <f t="array" ref="AC678">IF(AND(F678:H678&lt;&gt;"",I678=""),"ERROR","OK")</f>
        <v>OK</v>
      </c>
      <c r="AD678" s="240" t="str">
        <f t="shared" si="86"/>
        <v>OK</v>
      </c>
      <c r="AE678" s="240" t="str">
        <f t="shared" si="87"/>
        <v>OK</v>
      </c>
      <c r="AF678" s="240" t="str" cm="1">
        <f t="array" aca="1" ref="AF678" ca="1" xml:space="preserve">
IF(AND($G678&lt;&gt;"",$F678=""),"ERROR",
IF(OR($F678:$G678="",AND($G678="",$F678&lt;&gt;"")),"OK",
IF(COUNTIF(INDIRECT(IFERROR(LEFT($F678,FIND(" ",$F678)-1),$F678)), $G678)&gt;0, "OK", "ERROR")))</f>
        <v>OK</v>
      </c>
    </row>
    <row r="679" spans="1:32" s="240" customFormat="1">
      <c r="A679" s="48"/>
      <c r="B679" s="31"/>
      <c r="C679" s="48"/>
      <c r="D679" s="47"/>
      <c r="E679" s="47"/>
      <c r="F679" s="31"/>
      <c r="G679" s="31"/>
      <c r="H679" s="31"/>
      <c r="I679" s="47"/>
      <c r="J679" s="31"/>
      <c r="K679" s="47"/>
      <c r="L679" s="47"/>
      <c r="M679" s="47"/>
      <c r="N679" s="31"/>
      <c r="O679" s="47"/>
      <c r="P679" s="31"/>
      <c r="Q679" s="31"/>
      <c r="R679" s="31"/>
      <c r="S679" s="31"/>
      <c r="T679" s="270">
        <f t="shared" si="80"/>
        <v>0</v>
      </c>
      <c r="U679" s="270">
        <f t="shared" si="81"/>
        <v>0</v>
      </c>
      <c r="V679" s="31"/>
      <c r="X679" s="240" t="str">
        <f t="shared" si="82"/>
        <v>OK</v>
      </c>
      <c r="Y679" s="240" t="str">
        <f t="shared" si="83"/>
        <v>OK</v>
      </c>
      <c r="Z679" s="240" t="str">
        <f t="shared" si="84"/>
        <v>OK</v>
      </c>
      <c r="AA679" s="240" t="str" cm="1">
        <f t="array" ref="AA679">IF(OR(AND(J679="Not accepted",N679:O679&lt;&gt;"",$S679=""),AND(J679="Accepted",S679="")),"ERROR","OK")</f>
        <v>OK</v>
      </c>
      <c r="AB679" s="240" t="str">
        <f t="shared" si="85"/>
        <v>OK</v>
      </c>
      <c r="AC679" s="240" t="str" cm="1">
        <f t="array" ref="AC679">IF(AND(F679:H679&lt;&gt;"",I679=""),"ERROR","OK")</f>
        <v>OK</v>
      </c>
      <c r="AD679" s="240" t="str">
        <f t="shared" si="86"/>
        <v>OK</v>
      </c>
      <c r="AE679" s="240" t="str">
        <f t="shared" si="87"/>
        <v>OK</v>
      </c>
      <c r="AF679" s="240" t="str" cm="1">
        <f t="array" aca="1" ref="AF679" ca="1" xml:space="preserve">
IF(AND($G679&lt;&gt;"",$F679=""),"ERROR",
IF(OR($F679:$G679="",AND($G679="",$F679&lt;&gt;"")),"OK",
IF(COUNTIF(INDIRECT(IFERROR(LEFT($F679,FIND(" ",$F679)-1),$F679)), $G679)&gt;0, "OK", "ERROR")))</f>
        <v>OK</v>
      </c>
    </row>
    <row r="680" spans="1:32" s="240" customFormat="1">
      <c r="A680" s="48"/>
      <c r="B680" s="31"/>
      <c r="C680" s="48"/>
      <c r="D680" s="47"/>
      <c r="E680" s="47"/>
      <c r="F680" s="31"/>
      <c r="G680" s="31"/>
      <c r="H680" s="31"/>
      <c r="I680" s="47"/>
      <c r="J680" s="31"/>
      <c r="K680" s="47"/>
      <c r="L680" s="47"/>
      <c r="M680" s="47"/>
      <c r="N680" s="31"/>
      <c r="O680" s="47"/>
      <c r="P680" s="31"/>
      <c r="Q680" s="31"/>
      <c r="R680" s="31"/>
      <c r="S680" s="31"/>
      <c r="T680" s="270">
        <f t="shared" si="80"/>
        <v>0</v>
      </c>
      <c r="U680" s="270">
        <f t="shared" si="81"/>
        <v>0</v>
      </c>
      <c r="V680" s="31"/>
      <c r="X680" s="240" t="str">
        <f t="shared" si="82"/>
        <v>OK</v>
      </c>
      <c r="Y680" s="240" t="str">
        <f t="shared" si="83"/>
        <v>OK</v>
      </c>
      <c r="Z680" s="240" t="str">
        <f t="shared" si="84"/>
        <v>OK</v>
      </c>
      <c r="AA680" s="240" t="str" cm="1">
        <f t="array" ref="AA680">IF(OR(AND(J680="Not accepted",N680:O680&lt;&gt;"",$S680=""),AND(J680="Accepted",S680="")),"ERROR","OK")</f>
        <v>OK</v>
      </c>
      <c r="AB680" s="240" t="str">
        <f t="shared" si="85"/>
        <v>OK</v>
      </c>
      <c r="AC680" s="240" t="str" cm="1">
        <f t="array" ref="AC680">IF(AND(F680:H680&lt;&gt;"",I680=""),"ERROR","OK")</f>
        <v>OK</v>
      </c>
      <c r="AD680" s="240" t="str">
        <f t="shared" si="86"/>
        <v>OK</v>
      </c>
      <c r="AE680" s="240" t="str">
        <f t="shared" si="87"/>
        <v>OK</v>
      </c>
      <c r="AF680" s="240" t="str" cm="1">
        <f t="array" aca="1" ref="AF680" ca="1" xml:space="preserve">
IF(AND($G680&lt;&gt;"",$F680=""),"ERROR",
IF(OR($F680:$G680="",AND($G680="",$F680&lt;&gt;"")),"OK",
IF(COUNTIF(INDIRECT(IFERROR(LEFT($F680,FIND(" ",$F680)-1),$F680)), $G680)&gt;0, "OK", "ERROR")))</f>
        <v>OK</v>
      </c>
    </row>
    <row r="681" spans="1:32" s="240" customFormat="1">
      <c r="A681" s="48"/>
      <c r="B681" s="31"/>
      <c r="C681" s="48"/>
      <c r="D681" s="47"/>
      <c r="E681" s="47"/>
      <c r="F681" s="31"/>
      <c r="G681" s="31"/>
      <c r="H681" s="31"/>
      <c r="I681" s="47"/>
      <c r="J681" s="31"/>
      <c r="K681" s="47"/>
      <c r="L681" s="47"/>
      <c r="M681" s="47"/>
      <c r="N681" s="31"/>
      <c r="O681" s="47"/>
      <c r="P681" s="31"/>
      <c r="Q681" s="31"/>
      <c r="R681" s="31"/>
      <c r="S681" s="31"/>
      <c r="T681" s="270">
        <f t="shared" si="80"/>
        <v>0</v>
      </c>
      <c r="U681" s="270">
        <f t="shared" si="81"/>
        <v>0</v>
      </c>
      <c r="V681" s="31"/>
      <c r="X681" s="240" t="str">
        <f t="shared" si="82"/>
        <v>OK</v>
      </c>
      <c r="Y681" s="240" t="str">
        <f t="shared" si="83"/>
        <v>OK</v>
      </c>
      <c r="Z681" s="240" t="str">
        <f t="shared" si="84"/>
        <v>OK</v>
      </c>
      <c r="AA681" s="240" t="str" cm="1">
        <f t="array" ref="AA681">IF(OR(AND(J681="Not accepted",N681:O681&lt;&gt;"",$S681=""),AND(J681="Accepted",S681="")),"ERROR","OK")</f>
        <v>OK</v>
      </c>
      <c r="AB681" s="240" t="str">
        <f t="shared" si="85"/>
        <v>OK</v>
      </c>
      <c r="AC681" s="240" t="str" cm="1">
        <f t="array" ref="AC681">IF(AND(F681:H681&lt;&gt;"",I681=""),"ERROR","OK")</f>
        <v>OK</v>
      </c>
      <c r="AD681" s="240" t="str">
        <f t="shared" si="86"/>
        <v>OK</v>
      </c>
      <c r="AE681" s="240" t="str">
        <f t="shared" si="87"/>
        <v>OK</v>
      </c>
      <c r="AF681" s="240" t="str" cm="1">
        <f t="array" aca="1" ref="AF681" ca="1" xml:space="preserve">
IF(AND($G681&lt;&gt;"",$F681=""),"ERROR",
IF(OR($F681:$G681="",AND($G681="",$F681&lt;&gt;"")),"OK",
IF(COUNTIF(INDIRECT(IFERROR(LEFT($F681,FIND(" ",$F681)-1),$F681)), $G681)&gt;0, "OK", "ERROR")))</f>
        <v>OK</v>
      </c>
    </row>
    <row r="682" spans="1:32" s="240" customFormat="1">
      <c r="A682" s="48"/>
      <c r="B682" s="31"/>
      <c r="C682" s="48"/>
      <c r="D682" s="47"/>
      <c r="E682" s="47"/>
      <c r="F682" s="31"/>
      <c r="G682" s="31"/>
      <c r="H682" s="31"/>
      <c r="I682" s="47"/>
      <c r="J682" s="31"/>
      <c r="K682" s="47"/>
      <c r="L682" s="47"/>
      <c r="M682" s="47"/>
      <c r="N682" s="31"/>
      <c r="O682" s="47"/>
      <c r="P682" s="31"/>
      <c r="Q682" s="31"/>
      <c r="R682" s="31"/>
      <c r="S682" s="31"/>
      <c r="T682" s="270">
        <f t="shared" si="80"/>
        <v>0</v>
      </c>
      <c r="U682" s="270">
        <f t="shared" si="81"/>
        <v>0</v>
      </c>
      <c r="V682" s="31"/>
      <c r="X682" s="240" t="str">
        <f t="shared" si="82"/>
        <v>OK</v>
      </c>
      <c r="Y682" s="240" t="str">
        <f t="shared" si="83"/>
        <v>OK</v>
      </c>
      <c r="Z682" s="240" t="str">
        <f t="shared" si="84"/>
        <v>OK</v>
      </c>
      <c r="AA682" s="240" t="str" cm="1">
        <f t="array" ref="AA682">IF(OR(AND(J682="Not accepted",N682:O682&lt;&gt;"",$S682=""),AND(J682="Accepted",S682="")),"ERROR","OK")</f>
        <v>OK</v>
      </c>
      <c r="AB682" s="240" t="str">
        <f t="shared" si="85"/>
        <v>OK</v>
      </c>
      <c r="AC682" s="240" t="str" cm="1">
        <f t="array" ref="AC682">IF(AND(F682:H682&lt;&gt;"",I682=""),"ERROR","OK")</f>
        <v>OK</v>
      </c>
      <c r="AD682" s="240" t="str">
        <f t="shared" si="86"/>
        <v>OK</v>
      </c>
      <c r="AE682" s="240" t="str">
        <f t="shared" si="87"/>
        <v>OK</v>
      </c>
      <c r="AF682" s="240" t="str" cm="1">
        <f t="array" aca="1" ref="AF682" ca="1" xml:space="preserve">
IF(AND($G682&lt;&gt;"",$F682=""),"ERROR",
IF(OR($F682:$G682="",AND($G682="",$F682&lt;&gt;"")),"OK",
IF(COUNTIF(INDIRECT(IFERROR(LEFT($F682,FIND(" ",$F682)-1),$F682)), $G682)&gt;0, "OK", "ERROR")))</f>
        <v>OK</v>
      </c>
    </row>
    <row r="683" spans="1:32" s="240" customFormat="1">
      <c r="A683" s="48"/>
      <c r="B683" s="31"/>
      <c r="C683" s="48"/>
      <c r="D683" s="47"/>
      <c r="E683" s="47"/>
      <c r="F683" s="31"/>
      <c r="G683" s="31"/>
      <c r="H683" s="31"/>
      <c r="I683" s="47"/>
      <c r="J683" s="31"/>
      <c r="K683" s="47"/>
      <c r="L683" s="47"/>
      <c r="M683" s="47"/>
      <c r="N683" s="31"/>
      <c r="O683" s="47"/>
      <c r="P683" s="31"/>
      <c r="Q683" s="31"/>
      <c r="R683" s="31"/>
      <c r="S683" s="31"/>
      <c r="T683" s="270">
        <f t="shared" si="80"/>
        <v>0</v>
      </c>
      <c r="U683" s="270">
        <f t="shared" si="81"/>
        <v>0</v>
      </c>
      <c r="V683" s="31"/>
      <c r="X683" s="240" t="str">
        <f t="shared" si="82"/>
        <v>OK</v>
      </c>
      <c r="Y683" s="240" t="str">
        <f t="shared" si="83"/>
        <v>OK</v>
      </c>
      <c r="Z683" s="240" t="str">
        <f t="shared" si="84"/>
        <v>OK</v>
      </c>
      <c r="AA683" s="240" t="str" cm="1">
        <f t="array" ref="AA683">IF(OR(AND(J683="Not accepted",N683:O683&lt;&gt;"",$S683=""),AND(J683="Accepted",S683="")),"ERROR","OK")</f>
        <v>OK</v>
      </c>
      <c r="AB683" s="240" t="str">
        <f t="shared" si="85"/>
        <v>OK</v>
      </c>
      <c r="AC683" s="240" t="str" cm="1">
        <f t="array" ref="AC683">IF(AND(F683:H683&lt;&gt;"",I683=""),"ERROR","OK")</f>
        <v>OK</v>
      </c>
      <c r="AD683" s="240" t="str">
        <f t="shared" si="86"/>
        <v>OK</v>
      </c>
      <c r="AE683" s="240" t="str">
        <f t="shared" si="87"/>
        <v>OK</v>
      </c>
      <c r="AF683" s="240" t="str" cm="1">
        <f t="array" aca="1" ref="AF683" ca="1" xml:space="preserve">
IF(AND($G683&lt;&gt;"",$F683=""),"ERROR",
IF(OR($F683:$G683="",AND($G683="",$F683&lt;&gt;"")),"OK",
IF(COUNTIF(INDIRECT(IFERROR(LEFT($F683,FIND(" ",$F683)-1),$F683)), $G683)&gt;0, "OK", "ERROR")))</f>
        <v>OK</v>
      </c>
    </row>
    <row r="684" spans="1:32" s="240" customFormat="1">
      <c r="A684" s="48"/>
      <c r="B684" s="31"/>
      <c r="C684" s="48"/>
      <c r="D684" s="47"/>
      <c r="E684" s="47"/>
      <c r="F684" s="31"/>
      <c r="G684" s="31"/>
      <c r="H684" s="31"/>
      <c r="I684" s="47"/>
      <c r="J684" s="31"/>
      <c r="K684" s="47"/>
      <c r="L684" s="47"/>
      <c r="M684" s="47"/>
      <c r="N684" s="31"/>
      <c r="O684" s="47"/>
      <c r="P684" s="31"/>
      <c r="Q684" s="31"/>
      <c r="R684" s="31"/>
      <c r="S684" s="31"/>
      <c r="T684" s="270">
        <f t="shared" si="80"/>
        <v>0</v>
      </c>
      <c r="U684" s="270">
        <f t="shared" si="81"/>
        <v>0</v>
      </c>
      <c r="V684" s="31"/>
      <c r="X684" s="240" t="str">
        <f t="shared" si="82"/>
        <v>OK</v>
      </c>
      <c r="Y684" s="240" t="str">
        <f t="shared" si="83"/>
        <v>OK</v>
      </c>
      <c r="Z684" s="240" t="str">
        <f t="shared" si="84"/>
        <v>OK</v>
      </c>
      <c r="AA684" s="240" t="str" cm="1">
        <f t="array" ref="AA684">IF(OR(AND(J684="Not accepted",N684:O684&lt;&gt;"",$S684=""),AND(J684="Accepted",S684="")),"ERROR","OK")</f>
        <v>OK</v>
      </c>
      <c r="AB684" s="240" t="str">
        <f t="shared" si="85"/>
        <v>OK</v>
      </c>
      <c r="AC684" s="240" t="str" cm="1">
        <f t="array" ref="AC684">IF(AND(F684:H684&lt;&gt;"",I684=""),"ERROR","OK")</f>
        <v>OK</v>
      </c>
      <c r="AD684" s="240" t="str">
        <f t="shared" si="86"/>
        <v>OK</v>
      </c>
      <c r="AE684" s="240" t="str">
        <f t="shared" si="87"/>
        <v>OK</v>
      </c>
      <c r="AF684" s="240" t="str" cm="1">
        <f t="array" aca="1" ref="AF684" ca="1" xml:space="preserve">
IF(AND($G684&lt;&gt;"",$F684=""),"ERROR",
IF(OR($F684:$G684="",AND($G684="",$F684&lt;&gt;"")),"OK",
IF(COUNTIF(INDIRECT(IFERROR(LEFT($F684,FIND(" ",$F684)-1),$F684)), $G684)&gt;0, "OK", "ERROR")))</f>
        <v>OK</v>
      </c>
    </row>
    <row r="685" spans="1:32" s="240" customFormat="1">
      <c r="A685" s="48"/>
      <c r="B685" s="31"/>
      <c r="C685" s="48"/>
      <c r="D685" s="47"/>
      <c r="E685" s="47"/>
      <c r="F685" s="31"/>
      <c r="G685" s="31"/>
      <c r="H685" s="31"/>
      <c r="I685" s="47"/>
      <c r="J685" s="31"/>
      <c r="K685" s="47"/>
      <c r="L685" s="47"/>
      <c r="M685" s="47"/>
      <c r="N685" s="31"/>
      <c r="O685" s="47"/>
      <c r="P685" s="31"/>
      <c r="Q685" s="31"/>
      <c r="R685" s="31"/>
      <c r="S685" s="31"/>
      <c r="T685" s="270">
        <f t="shared" si="80"/>
        <v>0</v>
      </c>
      <c r="U685" s="270">
        <f t="shared" si="81"/>
        <v>0</v>
      </c>
      <c r="V685" s="31"/>
      <c r="X685" s="240" t="str">
        <f t="shared" si="82"/>
        <v>OK</v>
      </c>
      <c r="Y685" s="240" t="str">
        <f t="shared" si="83"/>
        <v>OK</v>
      </c>
      <c r="Z685" s="240" t="str">
        <f t="shared" si="84"/>
        <v>OK</v>
      </c>
      <c r="AA685" s="240" t="str" cm="1">
        <f t="array" ref="AA685">IF(OR(AND(J685="Not accepted",N685:O685&lt;&gt;"",$S685=""),AND(J685="Accepted",S685="")),"ERROR","OK")</f>
        <v>OK</v>
      </c>
      <c r="AB685" s="240" t="str">
        <f t="shared" si="85"/>
        <v>OK</v>
      </c>
      <c r="AC685" s="240" t="str" cm="1">
        <f t="array" ref="AC685">IF(AND(F685:H685&lt;&gt;"",I685=""),"ERROR","OK")</f>
        <v>OK</v>
      </c>
      <c r="AD685" s="240" t="str">
        <f t="shared" si="86"/>
        <v>OK</v>
      </c>
      <c r="AE685" s="240" t="str">
        <f t="shared" si="87"/>
        <v>OK</v>
      </c>
      <c r="AF685" s="240" t="str" cm="1">
        <f t="array" aca="1" ref="AF685" ca="1" xml:space="preserve">
IF(AND($G685&lt;&gt;"",$F685=""),"ERROR",
IF(OR($F685:$G685="",AND($G685="",$F685&lt;&gt;"")),"OK",
IF(COUNTIF(INDIRECT(IFERROR(LEFT($F685,FIND(" ",$F685)-1),$F685)), $G685)&gt;0, "OK", "ERROR")))</f>
        <v>OK</v>
      </c>
    </row>
    <row r="686" spans="1:32" s="240" customFormat="1">
      <c r="A686" s="48"/>
      <c r="B686" s="31"/>
      <c r="C686" s="48"/>
      <c r="D686" s="47"/>
      <c r="E686" s="47"/>
      <c r="F686" s="31"/>
      <c r="G686" s="31"/>
      <c r="H686" s="31"/>
      <c r="I686" s="47"/>
      <c r="J686" s="31"/>
      <c r="K686" s="47"/>
      <c r="L686" s="47"/>
      <c r="M686" s="47"/>
      <c r="N686" s="31"/>
      <c r="O686" s="47"/>
      <c r="P686" s="31"/>
      <c r="Q686" s="31"/>
      <c r="R686" s="31"/>
      <c r="S686" s="31"/>
      <c r="T686" s="270">
        <f t="shared" si="80"/>
        <v>0</v>
      </c>
      <c r="U686" s="270">
        <f t="shared" si="81"/>
        <v>0</v>
      </c>
      <c r="V686" s="31"/>
      <c r="X686" s="240" t="str">
        <f t="shared" si="82"/>
        <v>OK</v>
      </c>
      <c r="Y686" s="240" t="str">
        <f t="shared" si="83"/>
        <v>OK</v>
      </c>
      <c r="Z686" s="240" t="str">
        <f t="shared" si="84"/>
        <v>OK</v>
      </c>
      <c r="AA686" s="240" t="str" cm="1">
        <f t="array" ref="AA686">IF(OR(AND(J686="Not accepted",N686:O686&lt;&gt;"",$S686=""),AND(J686="Accepted",S686="")),"ERROR","OK")</f>
        <v>OK</v>
      </c>
      <c r="AB686" s="240" t="str">
        <f t="shared" si="85"/>
        <v>OK</v>
      </c>
      <c r="AC686" s="240" t="str" cm="1">
        <f t="array" ref="AC686">IF(AND(F686:H686&lt;&gt;"",I686=""),"ERROR","OK")</f>
        <v>OK</v>
      </c>
      <c r="AD686" s="240" t="str">
        <f t="shared" si="86"/>
        <v>OK</v>
      </c>
      <c r="AE686" s="240" t="str">
        <f t="shared" si="87"/>
        <v>OK</v>
      </c>
      <c r="AF686" s="240" t="str" cm="1">
        <f t="array" aca="1" ref="AF686" ca="1" xml:space="preserve">
IF(AND($G686&lt;&gt;"",$F686=""),"ERROR",
IF(OR($F686:$G686="",AND($G686="",$F686&lt;&gt;"")),"OK",
IF(COUNTIF(INDIRECT(IFERROR(LEFT($F686,FIND(" ",$F686)-1),$F686)), $G686)&gt;0, "OK", "ERROR")))</f>
        <v>OK</v>
      </c>
    </row>
    <row r="687" spans="1:32" s="240" customFormat="1">
      <c r="A687" s="48"/>
      <c r="B687" s="31"/>
      <c r="C687" s="48"/>
      <c r="D687" s="47"/>
      <c r="E687" s="47"/>
      <c r="F687" s="31"/>
      <c r="G687" s="31"/>
      <c r="H687" s="31"/>
      <c r="I687" s="47"/>
      <c r="J687" s="31"/>
      <c r="K687" s="47"/>
      <c r="L687" s="47"/>
      <c r="M687" s="47"/>
      <c r="N687" s="31"/>
      <c r="O687" s="47"/>
      <c r="P687" s="31"/>
      <c r="Q687" s="31"/>
      <c r="R687" s="31"/>
      <c r="S687" s="31"/>
      <c r="T687" s="270">
        <f t="shared" si="80"/>
        <v>0</v>
      </c>
      <c r="U687" s="270">
        <f t="shared" si="81"/>
        <v>0</v>
      </c>
      <c r="V687" s="31"/>
      <c r="X687" s="240" t="str">
        <f t="shared" si="82"/>
        <v>OK</v>
      </c>
      <c r="Y687" s="240" t="str">
        <f t="shared" si="83"/>
        <v>OK</v>
      </c>
      <c r="Z687" s="240" t="str">
        <f t="shared" si="84"/>
        <v>OK</v>
      </c>
      <c r="AA687" s="240" t="str" cm="1">
        <f t="array" ref="AA687">IF(OR(AND(J687="Not accepted",N687:O687&lt;&gt;"",$S687=""),AND(J687="Accepted",S687="")),"ERROR","OK")</f>
        <v>OK</v>
      </c>
      <c r="AB687" s="240" t="str">
        <f t="shared" si="85"/>
        <v>OK</v>
      </c>
      <c r="AC687" s="240" t="str" cm="1">
        <f t="array" ref="AC687">IF(AND(F687:H687&lt;&gt;"",I687=""),"ERROR","OK")</f>
        <v>OK</v>
      </c>
      <c r="AD687" s="240" t="str">
        <f t="shared" si="86"/>
        <v>OK</v>
      </c>
      <c r="AE687" s="240" t="str">
        <f t="shared" si="87"/>
        <v>OK</v>
      </c>
      <c r="AF687" s="240" t="str" cm="1">
        <f t="array" aca="1" ref="AF687" ca="1" xml:space="preserve">
IF(AND($G687&lt;&gt;"",$F687=""),"ERROR",
IF(OR($F687:$G687="",AND($G687="",$F687&lt;&gt;"")),"OK",
IF(COUNTIF(INDIRECT(IFERROR(LEFT($F687,FIND(" ",$F687)-1),$F687)), $G687)&gt;0, "OK", "ERROR")))</f>
        <v>OK</v>
      </c>
    </row>
    <row r="688" spans="1:32" s="240" customFormat="1">
      <c r="A688" s="48"/>
      <c r="B688" s="31"/>
      <c r="C688" s="48"/>
      <c r="D688" s="47"/>
      <c r="E688" s="47"/>
      <c r="F688" s="31"/>
      <c r="G688" s="31"/>
      <c r="H688" s="31"/>
      <c r="I688" s="47"/>
      <c r="J688" s="31"/>
      <c r="K688" s="47"/>
      <c r="L688" s="47"/>
      <c r="M688" s="47"/>
      <c r="N688" s="31"/>
      <c r="O688" s="47"/>
      <c r="P688" s="31"/>
      <c r="Q688" s="31"/>
      <c r="R688" s="31"/>
      <c r="S688" s="31"/>
      <c r="T688" s="270">
        <f t="shared" si="80"/>
        <v>0</v>
      </c>
      <c r="U688" s="270">
        <f t="shared" si="81"/>
        <v>0</v>
      </c>
      <c r="V688" s="31"/>
      <c r="X688" s="240" t="str">
        <f t="shared" si="82"/>
        <v>OK</v>
      </c>
      <c r="Y688" s="240" t="str">
        <f t="shared" si="83"/>
        <v>OK</v>
      </c>
      <c r="Z688" s="240" t="str">
        <f t="shared" si="84"/>
        <v>OK</v>
      </c>
      <c r="AA688" s="240" t="str" cm="1">
        <f t="array" ref="AA688">IF(OR(AND(J688="Not accepted",N688:O688&lt;&gt;"",$S688=""),AND(J688="Accepted",S688="")),"ERROR","OK")</f>
        <v>OK</v>
      </c>
      <c r="AB688" s="240" t="str">
        <f t="shared" si="85"/>
        <v>OK</v>
      </c>
      <c r="AC688" s="240" t="str" cm="1">
        <f t="array" ref="AC688">IF(AND(F688:H688&lt;&gt;"",I688=""),"ERROR","OK")</f>
        <v>OK</v>
      </c>
      <c r="AD688" s="240" t="str">
        <f t="shared" si="86"/>
        <v>OK</v>
      </c>
      <c r="AE688" s="240" t="str">
        <f t="shared" si="87"/>
        <v>OK</v>
      </c>
      <c r="AF688" s="240" t="str" cm="1">
        <f t="array" aca="1" ref="AF688" ca="1" xml:space="preserve">
IF(AND($G688&lt;&gt;"",$F688=""),"ERROR",
IF(OR($F688:$G688="",AND($G688="",$F688&lt;&gt;"")),"OK",
IF(COUNTIF(INDIRECT(IFERROR(LEFT($F688,FIND(" ",$F688)-1),$F688)), $G688)&gt;0, "OK", "ERROR")))</f>
        <v>OK</v>
      </c>
    </row>
    <row r="689" spans="1:32" s="240" customFormat="1">
      <c r="A689" s="48"/>
      <c r="B689" s="31"/>
      <c r="C689" s="48"/>
      <c r="D689" s="47"/>
      <c r="E689" s="47"/>
      <c r="F689" s="31"/>
      <c r="G689" s="31"/>
      <c r="H689" s="31"/>
      <c r="I689" s="47"/>
      <c r="J689" s="31"/>
      <c r="K689" s="47"/>
      <c r="L689" s="47"/>
      <c r="M689" s="47"/>
      <c r="N689" s="31"/>
      <c r="O689" s="47"/>
      <c r="P689" s="31"/>
      <c r="Q689" s="31"/>
      <c r="R689" s="31"/>
      <c r="S689" s="31"/>
      <c r="T689" s="270">
        <f t="shared" si="80"/>
        <v>0</v>
      </c>
      <c r="U689" s="270">
        <f t="shared" si="81"/>
        <v>0</v>
      </c>
      <c r="V689" s="31"/>
      <c r="X689" s="240" t="str">
        <f t="shared" si="82"/>
        <v>OK</v>
      </c>
      <c r="Y689" s="240" t="str">
        <f t="shared" si="83"/>
        <v>OK</v>
      </c>
      <c r="Z689" s="240" t="str">
        <f t="shared" si="84"/>
        <v>OK</v>
      </c>
      <c r="AA689" s="240" t="str" cm="1">
        <f t="array" ref="AA689">IF(OR(AND(J689="Not accepted",N689:O689&lt;&gt;"",$S689=""),AND(J689="Accepted",S689="")),"ERROR","OK")</f>
        <v>OK</v>
      </c>
      <c r="AB689" s="240" t="str">
        <f t="shared" si="85"/>
        <v>OK</v>
      </c>
      <c r="AC689" s="240" t="str" cm="1">
        <f t="array" ref="AC689">IF(AND(F689:H689&lt;&gt;"",I689=""),"ERROR","OK")</f>
        <v>OK</v>
      </c>
      <c r="AD689" s="240" t="str">
        <f t="shared" si="86"/>
        <v>OK</v>
      </c>
      <c r="AE689" s="240" t="str">
        <f t="shared" si="87"/>
        <v>OK</v>
      </c>
      <c r="AF689" s="240" t="str" cm="1">
        <f t="array" aca="1" ref="AF689" ca="1" xml:space="preserve">
IF(AND($G689&lt;&gt;"",$F689=""),"ERROR",
IF(OR($F689:$G689="",AND($G689="",$F689&lt;&gt;"")),"OK",
IF(COUNTIF(INDIRECT(IFERROR(LEFT($F689,FIND(" ",$F689)-1),$F689)), $G689)&gt;0, "OK", "ERROR")))</f>
        <v>OK</v>
      </c>
    </row>
    <row r="690" spans="1:32" s="240" customFormat="1">
      <c r="A690" s="48"/>
      <c r="B690" s="31"/>
      <c r="C690" s="48"/>
      <c r="D690" s="47"/>
      <c r="E690" s="47"/>
      <c r="F690" s="31"/>
      <c r="G690" s="31"/>
      <c r="H690" s="31"/>
      <c r="I690" s="47"/>
      <c r="J690" s="31"/>
      <c r="K690" s="47"/>
      <c r="L690" s="47"/>
      <c r="M690" s="47"/>
      <c r="N690" s="31"/>
      <c r="O690" s="47"/>
      <c r="P690" s="31"/>
      <c r="Q690" s="31"/>
      <c r="R690" s="31"/>
      <c r="S690" s="31"/>
      <c r="T690" s="270">
        <f t="shared" si="80"/>
        <v>0</v>
      </c>
      <c r="U690" s="270">
        <f t="shared" si="81"/>
        <v>0</v>
      </c>
      <c r="V690" s="31"/>
      <c r="X690" s="240" t="str">
        <f t="shared" si="82"/>
        <v>OK</v>
      </c>
      <c r="Y690" s="240" t="str">
        <f t="shared" si="83"/>
        <v>OK</v>
      </c>
      <c r="Z690" s="240" t="str">
        <f t="shared" si="84"/>
        <v>OK</v>
      </c>
      <c r="AA690" s="240" t="str" cm="1">
        <f t="array" ref="AA690">IF(OR(AND(J690="Not accepted",N690:O690&lt;&gt;"",$S690=""),AND(J690="Accepted",S690="")),"ERROR","OK")</f>
        <v>OK</v>
      </c>
      <c r="AB690" s="240" t="str">
        <f t="shared" si="85"/>
        <v>OK</v>
      </c>
      <c r="AC690" s="240" t="str" cm="1">
        <f t="array" ref="AC690">IF(AND(F690:H690&lt;&gt;"",I690=""),"ERROR","OK")</f>
        <v>OK</v>
      </c>
      <c r="AD690" s="240" t="str">
        <f t="shared" si="86"/>
        <v>OK</v>
      </c>
      <c r="AE690" s="240" t="str">
        <f t="shared" si="87"/>
        <v>OK</v>
      </c>
      <c r="AF690" s="240" t="str" cm="1">
        <f t="array" aca="1" ref="AF690" ca="1" xml:space="preserve">
IF(AND($G690&lt;&gt;"",$F690=""),"ERROR",
IF(OR($F690:$G690="",AND($G690="",$F690&lt;&gt;"")),"OK",
IF(COUNTIF(INDIRECT(IFERROR(LEFT($F690,FIND(" ",$F690)-1),$F690)), $G690)&gt;0, "OK", "ERROR")))</f>
        <v>OK</v>
      </c>
    </row>
    <row r="691" spans="1:32" s="240" customFormat="1">
      <c r="A691" s="48"/>
      <c r="B691" s="31"/>
      <c r="C691" s="48"/>
      <c r="D691" s="47"/>
      <c r="E691" s="47"/>
      <c r="F691" s="31"/>
      <c r="G691" s="31"/>
      <c r="H691" s="31"/>
      <c r="I691" s="47"/>
      <c r="J691" s="31"/>
      <c r="K691" s="47"/>
      <c r="L691" s="47"/>
      <c r="M691" s="47"/>
      <c r="N691" s="31"/>
      <c r="O691" s="47"/>
      <c r="P691" s="31"/>
      <c r="Q691" s="31"/>
      <c r="R691" s="31"/>
      <c r="S691" s="31"/>
      <c r="T691" s="270">
        <f t="shared" si="80"/>
        <v>0</v>
      </c>
      <c r="U691" s="270">
        <f t="shared" si="81"/>
        <v>0</v>
      </c>
      <c r="V691" s="31"/>
      <c r="X691" s="240" t="str">
        <f t="shared" si="82"/>
        <v>OK</v>
      </c>
      <c r="Y691" s="240" t="str">
        <f t="shared" si="83"/>
        <v>OK</v>
      </c>
      <c r="Z691" s="240" t="str">
        <f t="shared" si="84"/>
        <v>OK</v>
      </c>
      <c r="AA691" s="240" t="str" cm="1">
        <f t="array" ref="AA691">IF(OR(AND(J691="Not accepted",N691:O691&lt;&gt;"",$S691=""),AND(J691="Accepted",S691="")),"ERROR","OK")</f>
        <v>OK</v>
      </c>
      <c r="AB691" s="240" t="str">
        <f t="shared" si="85"/>
        <v>OK</v>
      </c>
      <c r="AC691" s="240" t="str" cm="1">
        <f t="array" ref="AC691">IF(AND(F691:H691&lt;&gt;"",I691=""),"ERROR","OK")</f>
        <v>OK</v>
      </c>
      <c r="AD691" s="240" t="str">
        <f t="shared" si="86"/>
        <v>OK</v>
      </c>
      <c r="AE691" s="240" t="str">
        <f t="shared" si="87"/>
        <v>OK</v>
      </c>
      <c r="AF691" s="240" t="str" cm="1">
        <f t="array" aca="1" ref="AF691" ca="1" xml:space="preserve">
IF(AND($G691&lt;&gt;"",$F691=""),"ERROR",
IF(OR($F691:$G691="",AND($G691="",$F691&lt;&gt;"")),"OK",
IF(COUNTIF(INDIRECT(IFERROR(LEFT($F691,FIND(" ",$F691)-1),$F691)), $G691)&gt;0, "OK", "ERROR")))</f>
        <v>OK</v>
      </c>
    </row>
    <row r="692" spans="1:32" s="240" customFormat="1">
      <c r="A692" s="48"/>
      <c r="B692" s="31"/>
      <c r="C692" s="48"/>
      <c r="D692" s="47"/>
      <c r="E692" s="47"/>
      <c r="F692" s="31"/>
      <c r="G692" s="31"/>
      <c r="H692" s="31"/>
      <c r="I692" s="47"/>
      <c r="J692" s="31"/>
      <c r="K692" s="47"/>
      <c r="L692" s="47"/>
      <c r="M692" s="47"/>
      <c r="N692" s="31"/>
      <c r="O692" s="47"/>
      <c r="P692" s="31"/>
      <c r="Q692" s="31"/>
      <c r="R692" s="31"/>
      <c r="S692" s="31"/>
      <c r="T692" s="270">
        <f t="shared" si="80"/>
        <v>0</v>
      </c>
      <c r="U692" s="270">
        <f t="shared" si="81"/>
        <v>0</v>
      </c>
      <c r="V692" s="31"/>
      <c r="X692" s="240" t="str">
        <f t="shared" si="82"/>
        <v>OK</v>
      </c>
      <c r="Y692" s="240" t="str">
        <f t="shared" si="83"/>
        <v>OK</v>
      </c>
      <c r="Z692" s="240" t="str">
        <f t="shared" si="84"/>
        <v>OK</v>
      </c>
      <c r="AA692" s="240" t="str" cm="1">
        <f t="array" ref="AA692">IF(OR(AND(J692="Not accepted",N692:O692&lt;&gt;"",$S692=""),AND(J692="Accepted",S692="")),"ERROR","OK")</f>
        <v>OK</v>
      </c>
      <c r="AB692" s="240" t="str">
        <f t="shared" si="85"/>
        <v>OK</v>
      </c>
      <c r="AC692" s="240" t="str" cm="1">
        <f t="array" ref="AC692">IF(AND(F692:H692&lt;&gt;"",I692=""),"ERROR","OK")</f>
        <v>OK</v>
      </c>
      <c r="AD692" s="240" t="str">
        <f t="shared" si="86"/>
        <v>OK</v>
      </c>
      <c r="AE692" s="240" t="str">
        <f t="shared" si="87"/>
        <v>OK</v>
      </c>
      <c r="AF692" s="240" t="str" cm="1">
        <f t="array" aca="1" ref="AF692" ca="1" xml:space="preserve">
IF(AND($G692&lt;&gt;"",$F692=""),"ERROR",
IF(OR($F692:$G692="",AND($G692="",$F692&lt;&gt;"")),"OK",
IF(COUNTIF(INDIRECT(IFERROR(LEFT($F692,FIND(" ",$F692)-1),$F692)), $G692)&gt;0, "OK", "ERROR")))</f>
        <v>OK</v>
      </c>
    </row>
    <row r="693" spans="1:32" s="240" customFormat="1">
      <c r="A693" s="48"/>
      <c r="B693" s="31"/>
      <c r="C693" s="48"/>
      <c r="D693" s="47"/>
      <c r="E693" s="47"/>
      <c r="F693" s="31"/>
      <c r="G693" s="31"/>
      <c r="H693" s="31"/>
      <c r="I693" s="47"/>
      <c r="J693" s="31"/>
      <c r="K693" s="47"/>
      <c r="L693" s="47"/>
      <c r="M693" s="47"/>
      <c r="N693" s="31"/>
      <c r="O693" s="47"/>
      <c r="P693" s="31"/>
      <c r="Q693" s="31"/>
      <c r="R693" s="31"/>
      <c r="S693" s="31"/>
      <c r="T693" s="270">
        <f t="shared" si="80"/>
        <v>0</v>
      </c>
      <c r="U693" s="270">
        <f t="shared" si="81"/>
        <v>0</v>
      </c>
      <c r="V693" s="31"/>
      <c r="X693" s="240" t="str">
        <f t="shared" si="82"/>
        <v>OK</v>
      </c>
      <c r="Y693" s="240" t="str">
        <f t="shared" si="83"/>
        <v>OK</v>
      </c>
      <c r="Z693" s="240" t="str">
        <f t="shared" si="84"/>
        <v>OK</v>
      </c>
      <c r="AA693" s="240" t="str" cm="1">
        <f t="array" ref="AA693">IF(OR(AND(J693="Not accepted",N693:O693&lt;&gt;"",$S693=""),AND(J693="Accepted",S693="")),"ERROR","OK")</f>
        <v>OK</v>
      </c>
      <c r="AB693" s="240" t="str">
        <f t="shared" si="85"/>
        <v>OK</v>
      </c>
      <c r="AC693" s="240" t="str" cm="1">
        <f t="array" ref="AC693">IF(AND(F693:H693&lt;&gt;"",I693=""),"ERROR","OK")</f>
        <v>OK</v>
      </c>
      <c r="AD693" s="240" t="str">
        <f t="shared" si="86"/>
        <v>OK</v>
      </c>
      <c r="AE693" s="240" t="str">
        <f t="shared" si="87"/>
        <v>OK</v>
      </c>
      <c r="AF693" s="240" t="str" cm="1">
        <f t="array" aca="1" ref="AF693" ca="1" xml:space="preserve">
IF(AND($G693&lt;&gt;"",$F693=""),"ERROR",
IF(OR($F693:$G693="",AND($G693="",$F693&lt;&gt;"")),"OK",
IF(COUNTIF(INDIRECT(IFERROR(LEFT($F693,FIND(" ",$F693)-1),$F693)), $G693)&gt;0, "OK", "ERROR")))</f>
        <v>OK</v>
      </c>
    </row>
    <row r="694" spans="1:32" s="240" customFormat="1">
      <c r="A694" s="48"/>
      <c r="B694" s="31"/>
      <c r="C694" s="48"/>
      <c r="D694" s="47"/>
      <c r="E694" s="47"/>
      <c r="F694" s="31"/>
      <c r="G694" s="31"/>
      <c r="H694" s="31"/>
      <c r="I694" s="47"/>
      <c r="J694" s="31"/>
      <c r="K694" s="47"/>
      <c r="L694" s="47"/>
      <c r="M694" s="47"/>
      <c r="N694" s="31"/>
      <c r="O694" s="47"/>
      <c r="P694" s="31"/>
      <c r="Q694" s="31"/>
      <c r="R694" s="31"/>
      <c r="S694" s="31"/>
      <c r="T694" s="270">
        <f t="shared" si="80"/>
        <v>0</v>
      </c>
      <c r="U694" s="270">
        <f t="shared" si="81"/>
        <v>0</v>
      </c>
      <c r="V694" s="31"/>
      <c r="X694" s="240" t="str">
        <f t="shared" si="82"/>
        <v>OK</v>
      </c>
      <c r="Y694" s="240" t="str">
        <f t="shared" si="83"/>
        <v>OK</v>
      </c>
      <c r="Z694" s="240" t="str">
        <f t="shared" si="84"/>
        <v>OK</v>
      </c>
      <c r="AA694" s="240" t="str" cm="1">
        <f t="array" ref="AA694">IF(OR(AND(J694="Not accepted",N694:O694&lt;&gt;"",$S694=""),AND(J694="Accepted",S694="")),"ERROR","OK")</f>
        <v>OK</v>
      </c>
      <c r="AB694" s="240" t="str">
        <f t="shared" si="85"/>
        <v>OK</v>
      </c>
      <c r="AC694" s="240" t="str" cm="1">
        <f t="array" ref="AC694">IF(AND(F694:H694&lt;&gt;"",I694=""),"ERROR","OK")</f>
        <v>OK</v>
      </c>
      <c r="AD694" s="240" t="str">
        <f t="shared" si="86"/>
        <v>OK</v>
      </c>
      <c r="AE694" s="240" t="str">
        <f t="shared" si="87"/>
        <v>OK</v>
      </c>
      <c r="AF694" s="240" t="str" cm="1">
        <f t="array" aca="1" ref="AF694" ca="1" xml:space="preserve">
IF(AND($G694&lt;&gt;"",$F694=""),"ERROR",
IF(OR($F694:$G694="",AND($G694="",$F694&lt;&gt;"")),"OK",
IF(COUNTIF(INDIRECT(IFERROR(LEFT($F694,FIND(" ",$F694)-1),$F694)), $G694)&gt;0, "OK", "ERROR")))</f>
        <v>OK</v>
      </c>
    </row>
    <row r="695" spans="1:32" s="240" customFormat="1">
      <c r="A695" s="48"/>
      <c r="B695" s="31"/>
      <c r="C695" s="48"/>
      <c r="D695" s="47"/>
      <c r="E695" s="47"/>
      <c r="F695" s="31"/>
      <c r="G695" s="31"/>
      <c r="H695" s="31"/>
      <c r="I695" s="47"/>
      <c r="J695" s="31"/>
      <c r="K695" s="47"/>
      <c r="L695" s="47"/>
      <c r="M695" s="47"/>
      <c r="N695" s="31"/>
      <c r="O695" s="47"/>
      <c r="P695" s="31"/>
      <c r="Q695" s="31"/>
      <c r="R695" s="31"/>
      <c r="S695" s="31"/>
      <c r="T695" s="270">
        <f t="shared" si="80"/>
        <v>0</v>
      </c>
      <c r="U695" s="270">
        <f t="shared" si="81"/>
        <v>0</v>
      </c>
      <c r="V695" s="31"/>
      <c r="X695" s="240" t="str">
        <f t="shared" si="82"/>
        <v>OK</v>
      </c>
      <c r="Y695" s="240" t="str">
        <f t="shared" si="83"/>
        <v>OK</v>
      </c>
      <c r="Z695" s="240" t="str">
        <f t="shared" si="84"/>
        <v>OK</v>
      </c>
      <c r="AA695" s="240" t="str" cm="1">
        <f t="array" ref="AA695">IF(OR(AND(J695="Not accepted",N695:O695&lt;&gt;"",$S695=""),AND(J695="Accepted",S695="")),"ERROR","OK")</f>
        <v>OK</v>
      </c>
      <c r="AB695" s="240" t="str">
        <f t="shared" si="85"/>
        <v>OK</v>
      </c>
      <c r="AC695" s="240" t="str" cm="1">
        <f t="array" ref="AC695">IF(AND(F695:H695&lt;&gt;"",I695=""),"ERROR","OK")</f>
        <v>OK</v>
      </c>
      <c r="AD695" s="240" t="str">
        <f t="shared" si="86"/>
        <v>OK</v>
      </c>
      <c r="AE695" s="240" t="str">
        <f t="shared" si="87"/>
        <v>OK</v>
      </c>
      <c r="AF695" s="240" t="str" cm="1">
        <f t="array" aca="1" ref="AF695" ca="1" xml:space="preserve">
IF(AND($G695&lt;&gt;"",$F695=""),"ERROR",
IF(OR($F695:$G695="",AND($G695="",$F695&lt;&gt;"")),"OK",
IF(COUNTIF(INDIRECT(IFERROR(LEFT($F695,FIND(" ",$F695)-1),$F695)), $G695)&gt;0, "OK", "ERROR")))</f>
        <v>OK</v>
      </c>
    </row>
    <row r="696" spans="1:32" s="240" customFormat="1">
      <c r="A696" s="48"/>
      <c r="B696" s="31"/>
      <c r="C696" s="48"/>
      <c r="D696" s="47"/>
      <c r="E696" s="47"/>
      <c r="F696" s="31"/>
      <c r="G696" s="31"/>
      <c r="H696" s="31"/>
      <c r="I696" s="47"/>
      <c r="J696" s="31"/>
      <c r="K696" s="47"/>
      <c r="L696" s="47"/>
      <c r="M696" s="47"/>
      <c r="N696" s="31"/>
      <c r="O696" s="47"/>
      <c r="P696" s="31"/>
      <c r="Q696" s="31"/>
      <c r="R696" s="31"/>
      <c r="S696" s="31"/>
      <c r="T696" s="270">
        <f t="shared" si="80"/>
        <v>0</v>
      </c>
      <c r="U696" s="270">
        <f t="shared" si="81"/>
        <v>0</v>
      </c>
      <c r="V696" s="31"/>
      <c r="X696" s="240" t="str">
        <f t="shared" si="82"/>
        <v>OK</v>
      </c>
      <c r="Y696" s="240" t="str">
        <f t="shared" si="83"/>
        <v>OK</v>
      </c>
      <c r="Z696" s="240" t="str">
        <f t="shared" si="84"/>
        <v>OK</v>
      </c>
      <c r="AA696" s="240" t="str" cm="1">
        <f t="array" ref="AA696">IF(OR(AND(J696="Not accepted",N696:O696&lt;&gt;"",$S696=""),AND(J696="Accepted",S696="")),"ERROR","OK")</f>
        <v>OK</v>
      </c>
      <c r="AB696" s="240" t="str">
        <f t="shared" si="85"/>
        <v>OK</v>
      </c>
      <c r="AC696" s="240" t="str" cm="1">
        <f t="array" ref="AC696">IF(AND(F696:H696&lt;&gt;"",I696=""),"ERROR","OK")</f>
        <v>OK</v>
      </c>
      <c r="AD696" s="240" t="str">
        <f t="shared" si="86"/>
        <v>OK</v>
      </c>
      <c r="AE696" s="240" t="str">
        <f t="shared" si="87"/>
        <v>OK</v>
      </c>
      <c r="AF696" s="240" t="str" cm="1">
        <f t="array" aca="1" ref="AF696" ca="1" xml:space="preserve">
IF(AND($G696&lt;&gt;"",$F696=""),"ERROR",
IF(OR($F696:$G696="",AND($G696="",$F696&lt;&gt;"")),"OK",
IF(COUNTIF(INDIRECT(IFERROR(LEFT($F696,FIND(" ",$F696)-1),$F696)), $G696)&gt;0, "OK", "ERROR")))</f>
        <v>OK</v>
      </c>
    </row>
    <row r="697" spans="1:32" s="240" customFormat="1">
      <c r="A697" s="48"/>
      <c r="B697" s="31"/>
      <c r="C697" s="48"/>
      <c r="D697" s="47"/>
      <c r="E697" s="47"/>
      <c r="F697" s="31"/>
      <c r="G697" s="31"/>
      <c r="H697" s="31"/>
      <c r="I697" s="47"/>
      <c r="J697" s="31"/>
      <c r="K697" s="47"/>
      <c r="L697" s="47"/>
      <c r="M697" s="47"/>
      <c r="N697" s="31"/>
      <c r="O697" s="47"/>
      <c r="P697" s="31"/>
      <c r="Q697" s="31"/>
      <c r="R697" s="31"/>
      <c r="S697" s="31"/>
      <c r="T697" s="270">
        <f t="shared" si="80"/>
        <v>0</v>
      </c>
      <c r="U697" s="270">
        <f t="shared" si="81"/>
        <v>0</v>
      </c>
      <c r="V697" s="31"/>
      <c r="X697" s="240" t="str">
        <f t="shared" si="82"/>
        <v>OK</v>
      </c>
      <c r="Y697" s="240" t="str">
        <f t="shared" si="83"/>
        <v>OK</v>
      </c>
      <c r="Z697" s="240" t="str">
        <f t="shared" si="84"/>
        <v>OK</v>
      </c>
      <c r="AA697" s="240" t="str" cm="1">
        <f t="array" ref="AA697">IF(OR(AND(J697="Not accepted",N697:O697&lt;&gt;"",$S697=""),AND(J697="Accepted",S697="")),"ERROR","OK")</f>
        <v>OK</v>
      </c>
      <c r="AB697" s="240" t="str">
        <f t="shared" si="85"/>
        <v>OK</v>
      </c>
      <c r="AC697" s="240" t="str" cm="1">
        <f t="array" ref="AC697">IF(AND(F697:H697&lt;&gt;"",I697=""),"ERROR","OK")</f>
        <v>OK</v>
      </c>
      <c r="AD697" s="240" t="str">
        <f t="shared" si="86"/>
        <v>OK</v>
      </c>
      <c r="AE697" s="240" t="str">
        <f t="shared" si="87"/>
        <v>OK</v>
      </c>
      <c r="AF697" s="240" t="str" cm="1">
        <f t="array" aca="1" ref="AF697" ca="1" xml:space="preserve">
IF(AND($G697&lt;&gt;"",$F697=""),"ERROR",
IF(OR($F697:$G697="",AND($G697="",$F697&lt;&gt;"")),"OK",
IF(COUNTIF(INDIRECT(IFERROR(LEFT($F697,FIND(" ",$F697)-1),$F697)), $G697)&gt;0, "OK", "ERROR")))</f>
        <v>OK</v>
      </c>
    </row>
    <row r="698" spans="1:32" s="240" customFormat="1">
      <c r="A698" s="48"/>
      <c r="B698" s="31"/>
      <c r="C698" s="48"/>
      <c r="D698" s="47"/>
      <c r="E698" s="47"/>
      <c r="F698" s="31"/>
      <c r="G698" s="31"/>
      <c r="H698" s="31"/>
      <c r="I698" s="47"/>
      <c r="J698" s="31"/>
      <c r="K698" s="47"/>
      <c r="L698" s="47"/>
      <c r="M698" s="47"/>
      <c r="N698" s="31"/>
      <c r="O698" s="47"/>
      <c r="P698" s="31"/>
      <c r="Q698" s="31"/>
      <c r="R698" s="31"/>
      <c r="S698" s="31"/>
      <c r="T698" s="270">
        <f t="shared" si="80"/>
        <v>0</v>
      </c>
      <c r="U698" s="270">
        <f t="shared" si="81"/>
        <v>0</v>
      </c>
      <c r="V698" s="31"/>
      <c r="X698" s="240" t="str">
        <f t="shared" si="82"/>
        <v>OK</v>
      </c>
      <c r="Y698" s="240" t="str">
        <f t="shared" si="83"/>
        <v>OK</v>
      </c>
      <c r="Z698" s="240" t="str">
        <f t="shared" si="84"/>
        <v>OK</v>
      </c>
      <c r="AA698" s="240" t="str" cm="1">
        <f t="array" ref="AA698">IF(OR(AND(J698="Not accepted",N698:O698&lt;&gt;"",$S698=""),AND(J698="Accepted",S698="")),"ERROR","OK")</f>
        <v>OK</v>
      </c>
      <c r="AB698" s="240" t="str">
        <f t="shared" si="85"/>
        <v>OK</v>
      </c>
      <c r="AC698" s="240" t="str" cm="1">
        <f t="array" ref="AC698">IF(AND(F698:H698&lt;&gt;"",I698=""),"ERROR","OK")</f>
        <v>OK</v>
      </c>
      <c r="AD698" s="240" t="str">
        <f t="shared" si="86"/>
        <v>OK</v>
      </c>
      <c r="AE698" s="240" t="str">
        <f t="shared" si="87"/>
        <v>OK</v>
      </c>
      <c r="AF698" s="240" t="str" cm="1">
        <f t="array" aca="1" ref="AF698" ca="1" xml:space="preserve">
IF(AND($G698&lt;&gt;"",$F698=""),"ERROR",
IF(OR($F698:$G698="",AND($G698="",$F698&lt;&gt;"")),"OK",
IF(COUNTIF(INDIRECT(IFERROR(LEFT($F698,FIND(" ",$F698)-1),$F698)), $G698)&gt;0, "OK", "ERROR")))</f>
        <v>OK</v>
      </c>
    </row>
    <row r="699" spans="1:32" s="240" customFormat="1">
      <c r="A699" s="48"/>
      <c r="B699" s="31"/>
      <c r="C699" s="48"/>
      <c r="D699" s="47"/>
      <c r="E699" s="47"/>
      <c r="F699" s="31"/>
      <c r="G699" s="31"/>
      <c r="H699" s="31"/>
      <c r="I699" s="47"/>
      <c r="J699" s="31"/>
      <c r="K699" s="47"/>
      <c r="L699" s="47"/>
      <c r="M699" s="47"/>
      <c r="N699" s="31"/>
      <c r="O699" s="47"/>
      <c r="P699" s="31"/>
      <c r="Q699" s="31"/>
      <c r="R699" s="31"/>
      <c r="S699" s="31"/>
      <c r="T699" s="270">
        <f t="shared" si="80"/>
        <v>0</v>
      </c>
      <c r="U699" s="270">
        <f t="shared" si="81"/>
        <v>0</v>
      </c>
      <c r="V699" s="31"/>
      <c r="X699" s="240" t="str">
        <f t="shared" si="82"/>
        <v>OK</v>
      </c>
      <c r="Y699" s="240" t="str">
        <f t="shared" si="83"/>
        <v>OK</v>
      </c>
      <c r="Z699" s="240" t="str">
        <f t="shared" si="84"/>
        <v>OK</v>
      </c>
      <c r="AA699" s="240" t="str" cm="1">
        <f t="array" ref="AA699">IF(OR(AND(J699="Not accepted",N699:O699&lt;&gt;"",$S699=""),AND(J699="Accepted",S699="")),"ERROR","OK")</f>
        <v>OK</v>
      </c>
      <c r="AB699" s="240" t="str">
        <f t="shared" si="85"/>
        <v>OK</v>
      </c>
      <c r="AC699" s="240" t="str" cm="1">
        <f t="array" ref="AC699">IF(AND(F699:H699&lt;&gt;"",I699=""),"ERROR","OK")</f>
        <v>OK</v>
      </c>
      <c r="AD699" s="240" t="str">
        <f t="shared" si="86"/>
        <v>OK</v>
      </c>
      <c r="AE699" s="240" t="str">
        <f t="shared" si="87"/>
        <v>OK</v>
      </c>
      <c r="AF699" s="240" t="str" cm="1">
        <f t="array" aca="1" ref="AF699" ca="1" xml:space="preserve">
IF(AND($G699&lt;&gt;"",$F699=""),"ERROR",
IF(OR($F699:$G699="",AND($G699="",$F699&lt;&gt;"")),"OK",
IF(COUNTIF(INDIRECT(IFERROR(LEFT($F699,FIND(" ",$F699)-1),$F699)), $G699)&gt;0, "OK", "ERROR")))</f>
        <v>OK</v>
      </c>
    </row>
    <row r="700" spans="1:32" s="240" customFormat="1">
      <c r="A700" s="48"/>
      <c r="B700" s="31"/>
      <c r="C700" s="48"/>
      <c r="D700" s="47"/>
      <c r="E700" s="47"/>
      <c r="F700" s="31"/>
      <c r="G700" s="31"/>
      <c r="H700" s="31"/>
      <c r="I700" s="47"/>
      <c r="J700" s="31"/>
      <c r="K700" s="47"/>
      <c r="L700" s="47"/>
      <c r="M700" s="47"/>
      <c r="N700" s="31"/>
      <c r="O700" s="47"/>
      <c r="P700" s="31"/>
      <c r="Q700" s="31"/>
      <c r="R700" s="31"/>
      <c r="S700" s="31"/>
      <c r="T700" s="270">
        <f t="shared" si="80"/>
        <v>0</v>
      </c>
      <c r="U700" s="270">
        <f t="shared" si="81"/>
        <v>0</v>
      </c>
      <c r="V700" s="31"/>
      <c r="X700" s="240" t="str">
        <f t="shared" si="82"/>
        <v>OK</v>
      </c>
      <c r="Y700" s="240" t="str">
        <f t="shared" si="83"/>
        <v>OK</v>
      </c>
      <c r="Z700" s="240" t="str">
        <f t="shared" si="84"/>
        <v>OK</v>
      </c>
      <c r="AA700" s="240" t="str" cm="1">
        <f t="array" ref="AA700">IF(OR(AND(J700="Not accepted",N700:O700&lt;&gt;"",$S700=""),AND(J700="Accepted",S700="")),"ERROR","OK")</f>
        <v>OK</v>
      </c>
      <c r="AB700" s="240" t="str">
        <f t="shared" si="85"/>
        <v>OK</v>
      </c>
      <c r="AC700" s="240" t="str" cm="1">
        <f t="array" ref="AC700">IF(AND(F700:H700&lt;&gt;"",I700=""),"ERROR","OK")</f>
        <v>OK</v>
      </c>
      <c r="AD700" s="240" t="str">
        <f t="shared" si="86"/>
        <v>OK</v>
      </c>
      <c r="AE700" s="240" t="str">
        <f t="shared" si="87"/>
        <v>OK</v>
      </c>
      <c r="AF700" s="240" t="str" cm="1">
        <f t="array" aca="1" ref="AF700" ca="1" xml:space="preserve">
IF(AND($G700&lt;&gt;"",$F700=""),"ERROR",
IF(OR($F700:$G700="",AND($G700="",$F700&lt;&gt;"")),"OK",
IF(COUNTIF(INDIRECT(IFERROR(LEFT($F700,FIND(" ",$F700)-1),$F700)), $G700)&gt;0, "OK", "ERROR")))</f>
        <v>OK</v>
      </c>
    </row>
    <row r="701" spans="1:32" s="240" customFormat="1">
      <c r="A701" s="48"/>
      <c r="B701" s="31"/>
      <c r="C701" s="48"/>
      <c r="D701" s="47"/>
      <c r="E701" s="47"/>
      <c r="F701" s="31"/>
      <c r="G701" s="31"/>
      <c r="H701" s="31"/>
      <c r="I701" s="47"/>
      <c r="J701" s="31"/>
      <c r="K701" s="47"/>
      <c r="L701" s="47"/>
      <c r="M701" s="47"/>
      <c r="N701" s="31"/>
      <c r="O701" s="47"/>
      <c r="P701" s="31"/>
      <c r="Q701" s="31"/>
      <c r="R701" s="31"/>
      <c r="S701" s="31"/>
      <c r="T701" s="270">
        <f t="shared" si="80"/>
        <v>0</v>
      </c>
      <c r="U701" s="270">
        <f t="shared" si="81"/>
        <v>0</v>
      </c>
      <c r="V701" s="31"/>
      <c r="X701" s="240" t="str">
        <f t="shared" si="82"/>
        <v>OK</v>
      </c>
      <c r="Y701" s="240" t="str">
        <f t="shared" si="83"/>
        <v>OK</v>
      </c>
      <c r="Z701" s="240" t="str">
        <f t="shared" si="84"/>
        <v>OK</v>
      </c>
      <c r="AA701" s="240" t="str" cm="1">
        <f t="array" ref="AA701">IF(OR(AND(J701="Not accepted",N701:O701&lt;&gt;"",$S701=""),AND(J701="Accepted",S701="")),"ERROR","OK")</f>
        <v>OK</v>
      </c>
      <c r="AB701" s="240" t="str">
        <f t="shared" si="85"/>
        <v>OK</v>
      </c>
      <c r="AC701" s="240" t="str" cm="1">
        <f t="array" ref="AC701">IF(AND(F701:H701&lt;&gt;"",I701=""),"ERROR","OK")</f>
        <v>OK</v>
      </c>
      <c r="AD701" s="240" t="str">
        <f t="shared" si="86"/>
        <v>OK</v>
      </c>
      <c r="AE701" s="240" t="str">
        <f t="shared" si="87"/>
        <v>OK</v>
      </c>
      <c r="AF701" s="240" t="str" cm="1">
        <f t="array" aca="1" ref="AF701" ca="1" xml:space="preserve">
IF(AND($G701&lt;&gt;"",$F701=""),"ERROR",
IF(OR($F701:$G701="",AND($G701="",$F701&lt;&gt;"")),"OK",
IF(COUNTIF(INDIRECT(IFERROR(LEFT($F701,FIND(" ",$F701)-1),$F701)), $G701)&gt;0, "OK", "ERROR")))</f>
        <v>OK</v>
      </c>
    </row>
    <row r="702" spans="1:32" s="240" customFormat="1">
      <c r="A702" s="48"/>
      <c r="B702" s="31"/>
      <c r="C702" s="48"/>
      <c r="D702" s="47"/>
      <c r="E702" s="47"/>
      <c r="F702" s="31"/>
      <c r="G702" s="31"/>
      <c r="H702" s="31"/>
      <c r="I702" s="47"/>
      <c r="J702" s="31"/>
      <c r="K702" s="47"/>
      <c r="L702" s="47"/>
      <c r="M702" s="47"/>
      <c r="N702" s="31"/>
      <c r="O702" s="47"/>
      <c r="P702" s="31"/>
      <c r="Q702" s="31"/>
      <c r="R702" s="31"/>
      <c r="S702" s="31"/>
      <c r="T702" s="270">
        <f t="shared" si="80"/>
        <v>0</v>
      </c>
      <c r="U702" s="270">
        <f t="shared" si="81"/>
        <v>0</v>
      </c>
      <c r="V702" s="31"/>
      <c r="X702" s="240" t="str">
        <f t="shared" si="82"/>
        <v>OK</v>
      </c>
      <c r="Y702" s="240" t="str">
        <f t="shared" si="83"/>
        <v>OK</v>
      </c>
      <c r="Z702" s="240" t="str">
        <f t="shared" si="84"/>
        <v>OK</v>
      </c>
      <c r="AA702" s="240" t="str" cm="1">
        <f t="array" ref="AA702">IF(OR(AND(J702="Not accepted",N702:O702&lt;&gt;"",$S702=""),AND(J702="Accepted",S702="")),"ERROR","OK")</f>
        <v>OK</v>
      </c>
      <c r="AB702" s="240" t="str">
        <f t="shared" si="85"/>
        <v>OK</v>
      </c>
      <c r="AC702" s="240" t="str" cm="1">
        <f t="array" ref="AC702">IF(AND(F702:H702&lt;&gt;"",I702=""),"ERROR","OK")</f>
        <v>OK</v>
      </c>
      <c r="AD702" s="240" t="str">
        <f t="shared" si="86"/>
        <v>OK</v>
      </c>
      <c r="AE702" s="240" t="str">
        <f t="shared" si="87"/>
        <v>OK</v>
      </c>
      <c r="AF702" s="240" t="str" cm="1">
        <f t="array" aca="1" ref="AF702" ca="1" xml:space="preserve">
IF(AND($G702&lt;&gt;"",$F702=""),"ERROR",
IF(OR($F702:$G702="",AND($G702="",$F702&lt;&gt;"")),"OK",
IF(COUNTIF(INDIRECT(IFERROR(LEFT($F702,FIND(" ",$F702)-1),$F702)), $G702)&gt;0, "OK", "ERROR")))</f>
        <v>OK</v>
      </c>
    </row>
    <row r="703" spans="1:32" s="240" customFormat="1">
      <c r="A703" s="48"/>
      <c r="B703" s="31"/>
      <c r="C703" s="48"/>
      <c r="D703" s="47"/>
      <c r="E703" s="47"/>
      <c r="F703" s="31"/>
      <c r="G703" s="31"/>
      <c r="H703" s="31"/>
      <c r="I703" s="47"/>
      <c r="J703" s="31"/>
      <c r="K703" s="47"/>
      <c r="L703" s="47"/>
      <c r="M703" s="47"/>
      <c r="N703" s="31"/>
      <c r="O703" s="47"/>
      <c r="P703" s="31"/>
      <c r="Q703" s="31"/>
      <c r="R703" s="31"/>
      <c r="S703" s="31"/>
      <c r="T703" s="270">
        <f t="shared" si="80"/>
        <v>0</v>
      </c>
      <c r="U703" s="270">
        <f t="shared" si="81"/>
        <v>0</v>
      </c>
      <c r="V703" s="31"/>
      <c r="X703" s="240" t="str">
        <f t="shared" si="82"/>
        <v>OK</v>
      </c>
      <c r="Y703" s="240" t="str">
        <f t="shared" si="83"/>
        <v>OK</v>
      </c>
      <c r="Z703" s="240" t="str">
        <f t="shared" si="84"/>
        <v>OK</v>
      </c>
      <c r="AA703" s="240" t="str" cm="1">
        <f t="array" ref="AA703">IF(OR(AND(J703="Not accepted",N703:O703&lt;&gt;"",$S703=""),AND(J703="Accepted",S703="")),"ERROR","OK")</f>
        <v>OK</v>
      </c>
      <c r="AB703" s="240" t="str">
        <f t="shared" si="85"/>
        <v>OK</v>
      </c>
      <c r="AC703" s="240" t="str" cm="1">
        <f t="array" ref="AC703">IF(AND(F703:H703&lt;&gt;"",I703=""),"ERROR","OK")</f>
        <v>OK</v>
      </c>
      <c r="AD703" s="240" t="str">
        <f t="shared" si="86"/>
        <v>OK</v>
      </c>
      <c r="AE703" s="240" t="str">
        <f t="shared" si="87"/>
        <v>OK</v>
      </c>
      <c r="AF703" s="240" t="str" cm="1">
        <f t="array" aca="1" ref="AF703" ca="1" xml:space="preserve">
IF(AND($G703&lt;&gt;"",$F703=""),"ERROR",
IF(OR($F703:$G703="",AND($G703="",$F703&lt;&gt;"")),"OK",
IF(COUNTIF(INDIRECT(IFERROR(LEFT($F703,FIND(" ",$F703)-1),$F703)), $G703)&gt;0, "OK", "ERROR")))</f>
        <v>OK</v>
      </c>
    </row>
    <row r="704" spans="1:32" s="240" customFormat="1">
      <c r="A704" s="48"/>
      <c r="B704" s="31"/>
      <c r="C704" s="48"/>
      <c r="D704" s="47"/>
      <c r="E704" s="47"/>
      <c r="F704" s="31"/>
      <c r="G704" s="31"/>
      <c r="H704" s="31"/>
      <c r="I704" s="47"/>
      <c r="J704" s="31"/>
      <c r="K704" s="47"/>
      <c r="L704" s="47"/>
      <c r="M704" s="47"/>
      <c r="N704" s="31"/>
      <c r="O704" s="47"/>
      <c r="P704" s="31"/>
      <c r="Q704" s="31"/>
      <c r="R704" s="31"/>
      <c r="S704" s="31"/>
      <c r="T704" s="270">
        <f t="shared" si="80"/>
        <v>0</v>
      </c>
      <c r="U704" s="270">
        <f t="shared" si="81"/>
        <v>0</v>
      </c>
      <c r="V704" s="31"/>
      <c r="X704" s="240" t="str">
        <f t="shared" si="82"/>
        <v>OK</v>
      </c>
      <c r="Y704" s="240" t="str">
        <f t="shared" si="83"/>
        <v>OK</v>
      </c>
      <c r="Z704" s="240" t="str">
        <f t="shared" si="84"/>
        <v>OK</v>
      </c>
      <c r="AA704" s="240" t="str" cm="1">
        <f t="array" ref="AA704">IF(OR(AND(J704="Not accepted",N704:O704&lt;&gt;"",$S704=""),AND(J704="Accepted",S704="")),"ERROR","OK")</f>
        <v>OK</v>
      </c>
      <c r="AB704" s="240" t="str">
        <f t="shared" si="85"/>
        <v>OK</v>
      </c>
      <c r="AC704" s="240" t="str" cm="1">
        <f t="array" ref="AC704">IF(AND(F704:H704&lt;&gt;"",I704=""),"ERROR","OK")</f>
        <v>OK</v>
      </c>
      <c r="AD704" s="240" t="str">
        <f t="shared" si="86"/>
        <v>OK</v>
      </c>
      <c r="AE704" s="240" t="str">
        <f t="shared" si="87"/>
        <v>OK</v>
      </c>
      <c r="AF704" s="240" t="str" cm="1">
        <f t="array" aca="1" ref="AF704" ca="1" xml:space="preserve">
IF(AND($G704&lt;&gt;"",$F704=""),"ERROR",
IF(OR($F704:$G704="",AND($G704="",$F704&lt;&gt;"")),"OK",
IF(COUNTIF(INDIRECT(IFERROR(LEFT($F704,FIND(" ",$F704)-1),$F704)), $G704)&gt;0, "OK", "ERROR")))</f>
        <v>OK</v>
      </c>
    </row>
    <row r="705" spans="1:32" s="240" customFormat="1">
      <c r="A705" s="48"/>
      <c r="B705" s="31"/>
      <c r="C705" s="48"/>
      <c r="D705" s="47"/>
      <c r="E705" s="47"/>
      <c r="F705" s="31"/>
      <c r="G705" s="31"/>
      <c r="H705" s="31"/>
      <c r="I705" s="47"/>
      <c r="J705" s="31"/>
      <c r="K705" s="47"/>
      <c r="L705" s="47"/>
      <c r="M705" s="47"/>
      <c r="N705" s="31"/>
      <c r="O705" s="47"/>
      <c r="P705" s="31"/>
      <c r="Q705" s="31"/>
      <c r="R705" s="31"/>
      <c r="S705" s="31"/>
      <c r="T705" s="270">
        <f t="shared" si="80"/>
        <v>0</v>
      </c>
      <c r="U705" s="270">
        <f t="shared" si="81"/>
        <v>0</v>
      </c>
      <c r="V705" s="31"/>
      <c r="X705" s="240" t="str">
        <f t="shared" si="82"/>
        <v>OK</v>
      </c>
      <c r="Y705" s="240" t="str">
        <f t="shared" si="83"/>
        <v>OK</v>
      </c>
      <c r="Z705" s="240" t="str">
        <f t="shared" si="84"/>
        <v>OK</v>
      </c>
      <c r="AA705" s="240" t="str" cm="1">
        <f t="array" ref="AA705">IF(OR(AND(J705="Not accepted",N705:O705&lt;&gt;"",$S705=""),AND(J705="Accepted",S705="")),"ERROR","OK")</f>
        <v>OK</v>
      </c>
      <c r="AB705" s="240" t="str">
        <f t="shared" si="85"/>
        <v>OK</v>
      </c>
      <c r="AC705" s="240" t="str" cm="1">
        <f t="array" ref="AC705">IF(AND(F705:H705&lt;&gt;"",I705=""),"ERROR","OK")</f>
        <v>OK</v>
      </c>
      <c r="AD705" s="240" t="str">
        <f t="shared" si="86"/>
        <v>OK</v>
      </c>
      <c r="AE705" s="240" t="str">
        <f t="shared" si="87"/>
        <v>OK</v>
      </c>
      <c r="AF705" s="240" t="str" cm="1">
        <f t="array" aca="1" ref="AF705" ca="1" xml:space="preserve">
IF(AND($G705&lt;&gt;"",$F705=""),"ERROR",
IF(OR($F705:$G705="",AND($G705="",$F705&lt;&gt;"")),"OK",
IF(COUNTIF(INDIRECT(IFERROR(LEFT($F705,FIND(" ",$F705)-1),$F705)), $G705)&gt;0, "OK", "ERROR")))</f>
        <v>OK</v>
      </c>
    </row>
    <row r="706" spans="1:32" s="240" customFormat="1">
      <c r="A706" s="48"/>
      <c r="B706" s="31"/>
      <c r="C706" s="48"/>
      <c r="D706" s="47"/>
      <c r="E706" s="47"/>
      <c r="F706" s="31"/>
      <c r="G706" s="31"/>
      <c r="H706" s="31"/>
      <c r="I706" s="47"/>
      <c r="J706" s="31"/>
      <c r="K706" s="47"/>
      <c r="L706" s="47"/>
      <c r="M706" s="47"/>
      <c r="N706" s="31"/>
      <c r="O706" s="47"/>
      <c r="P706" s="31"/>
      <c r="Q706" s="31"/>
      <c r="R706" s="31"/>
      <c r="S706" s="31"/>
      <c r="T706" s="270">
        <f t="shared" si="80"/>
        <v>0</v>
      </c>
      <c r="U706" s="270">
        <f t="shared" si="81"/>
        <v>0</v>
      </c>
      <c r="V706" s="31"/>
      <c r="X706" s="240" t="str">
        <f t="shared" si="82"/>
        <v>OK</v>
      </c>
      <c r="Y706" s="240" t="str">
        <f t="shared" si="83"/>
        <v>OK</v>
      </c>
      <c r="Z706" s="240" t="str">
        <f t="shared" si="84"/>
        <v>OK</v>
      </c>
      <c r="AA706" s="240" t="str" cm="1">
        <f t="array" ref="AA706">IF(OR(AND(J706="Not accepted",N706:O706&lt;&gt;"",$S706=""),AND(J706="Accepted",S706="")),"ERROR","OK")</f>
        <v>OK</v>
      </c>
      <c r="AB706" s="240" t="str">
        <f t="shared" si="85"/>
        <v>OK</v>
      </c>
      <c r="AC706" s="240" t="str" cm="1">
        <f t="array" ref="AC706">IF(AND(F706:H706&lt;&gt;"",I706=""),"ERROR","OK")</f>
        <v>OK</v>
      </c>
      <c r="AD706" s="240" t="str">
        <f t="shared" si="86"/>
        <v>OK</v>
      </c>
      <c r="AE706" s="240" t="str">
        <f t="shared" si="87"/>
        <v>OK</v>
      </c>
      <c r="AF706" s="240" t="str" cm="1">
        <f t="array" aca="1" ref="AF706" ca="1" xml:space="preserve">
IF(AND($G706&lt;&gt;"",$F706=""),"ERROR",
IF(OR($F706:$G706="",AND($G706="",$F706&lt;&gt;"")),"OK",
IF(COUNTIF(INDIRECT(IFERROR(LEFT($F706,FIND(" ",$F706)-1),$F706)), $G706)&gt;0, "OK", "ERROR")))</f>
        <v>OK</v>
      </c>
    </row>
    <row r="707" spans="1:32" s="240" customFormat="1">
      <c r="A707" s="48"/>
      <c r="B707" s="31"/>
      <c r="C707" s="48"/>
      <c r="D707" s="47"/>
      <c r="E707" s="47"/>
      <c r="F707" s="31"/>
      <c r="G707" s="31"/>
      <c r="H707" s="31"/>
      <c r="I707" s="47"/>
      <c r="J707" s="31"/>
      <c r="K707" s="47"/>
      <c r="L707" s="47"/>
      <c r="M707" s="47"/>
      <c r="N707" s="31"/>
      <c r="O707" s="47"/>
      <c r="P707" s="31"/>
      <c r="Q707" s="31"/>
      <c r="R707" s="31"/>
      <c r="S707" s="31"/>
      <c r="T707" s="270">
        <f t="shared" si="80"/>
        <v>0</v>
      </c>
      <c r="U707" s="270">
        <f t="shared" si="81"/>
        <v>0</v>
      </c>
      <c r="V707" s="31"/>
      <c r="X707" s="240" t="str">
        <f t="shared" si="82"/>
        <v>OK</v>
      </c>
      <c r="Y707" s="240" t="str">
        <f t="shared" si="83"/>
        <v>OK</v>
      </c>
      <c r="Z707" s="240" t="str">
        <f t="shared" si="84"/>
        <v>OK</v>
      </c>
      <c r="AA707" s="240" t="str" cm="1">
        <f t="array" ref="AA707">IF(OR(AND(J707="Not accepted",N707:O707&lt;&gt;"",$S707=""),AND(J707="Accepted",S707="")),"ERROR","OK")</f>
        <v>OK</v>
      </c>
      <c r="AB707" s="240" t="str">
        <f t="shared" si="85"/>
        <v>OK</v>
      </c>
      <c r="AC707" s="240" t="str" cm="1">
        <f t="array" ref="AC707">IF(AND(F707:H707&lt;&gt;"",I707=""),"ERROR","OK")</f>
        <v>OK</v>
      </c>
      <c r="AD707" s="240" t="str">
        <f t="shared" si="86"/>
        <v>OK</v>
      </c>
      <c r="AE707" s="240" t="str">
        <f t="shared" si="87"/>
        <v>OK</v>
      </c>
      <c r="AF707" s="240" t="str" cm="1">
        <f t="array" aca="1" ref="AF707" ca="1" xml:space="preserve">
IF(AND($G707&lt;&gt;"",$F707=""),"ERROR",
IF(OR($F707:$G707="",AND($G707="",$F707&lt;&gt;"")),"OK",
IF(COUNTIF(INDIRECT(IFERROR(LEFT($F707,FIND(" ",$F707)-1),$F707)), $G707)&gt;0, "OK", "ERROR")))</f>
        <v>OK</v>
      </c>
    </row>
    <row r="708" spans="1:32" s="240" customFormat="1">
      <c r="A708" s="48"/>
      <c r="B708" s="31"/>
      <c r="C708" s="48"/>
      <c r="D708" s="47"/>
      <c r="E708" s="47"/>
      <c r="F708" s="31"/>
      <c r="G708" s="31"/>
      <c r="H708" s="31"/>
      <c r="I708" s="47"/>
      <c r="J708" s="31"/>
      <c r="K708" s="47"/>
      <c r="L708" s="47"/>
      <c r="M708" s="47"/>
      <c r="N708" s="31"/>
      <c r="O708" s="47"/>
      <c r="P708" s="31"/>
      <c r="Q708" s="31"/>
      <c r="R708" s="31"/>
      <c r="S708" s="31"/>
      <c r="T708" s="270">
        <f t="shared" si="80"/>
        <v>0</v>
      </c>
      <c r="U708" s="270">
        <f t="shared" si="81"/>
        <v>0</v>
      </c>
      <c r="V708" s="31"/>
      <c r="X708" s="240" t="str">
        <f t="shared" si="82"/>
        <v>OK</v>
      </c>
      <c r="Y708" s="240" t="str">
        <f t="shared" si="83"/>
        <v>OK</v>
      </c>
      <c r="Z708" s="240" t="str">
        <f t="shared" si="84"/>
        <v>OK</v>
      </c>
      <c r="AA708" s="240" t="str" cm="1">
        <f t="array" ref="AA708">IF(OR(AND(J708="Not accepted",N708:O708&lt;&gt;"",$S708=""),AND(J708="Accepted",S708="")),"ERROR","OK")</f>
        <v>OK</v>
      </c>
      <c r="AB708" s="240" t="str">
        <f t="shared" si="85"/>
        <v>OK</v>
      </c>
      <c r="AC708" s="240" t="str" cm="1">
        <f t="array" ref="AC708">IF(AND(F708:H708&lt;&gt;"",I708=""),"ERROR","OK")</f>
        <v>OK</v>
      </c>
      <c r="AD708" s="240" t="str">
        <f t="shared" si="86"/>
        <v>OK</v>
      </c>
      <c r="AE708" s="240" t="str">
        <f t="shared" si="87"/>
        <v>OK</v>
      </c>
      <c r="AF708" s="240" t="str" cm="1">
        <f t="array" aca="1" ref="AF708" ca="1" xml:space="preserve">
IF(AND($G708&lt;&gt;"",$F708=""),"ERROR",
IF(OR($F708:$G708="",AND($G708="",$F708&lt;&gt;"")),"OK",
IF(COUNTIF(INDIRECT(IFERROR(LEFT($F708,FIND(" ",$F708)-1),$F708)), $G708)&gt;0, "OK", "ERROR")))</f>
        <v>OK</v>
      </c>
    </row>
    <row r="709" spans="1:32" s="240" customFormat="1">
      <c r="A709" s="48"/>
      <c r="B709" s="31"/>
      <c r="C709" s="48"/>
      <c r="D709" s="47"/>
      <c r="E709" s="47"/>
      <c r="F709" s="31"/>
      <c r="G709" s="31"/>
      <c r="H709" s="31"/>
      <c r="I709" s="47"/>
      <c r="J709" s="31"/>
      <c r="K709" s="47"/>
      <c r="L709" s="47"/>
      <c r="M709" s="47"/>
      <c r="N709" s="31"/>
      <c r="O709" s="47"/>
      <c r="P709" s="31"/>
      <c r="Q709" s="31"/>
      <c r="R709" s="31"/>
      <c r="S709" s="31"/>
      <c r="T709" s="270">
        <f t="shared" ref="T709:T772" si="88">IF(OR($J709="Accepted",ISBLANK($J709)),IF(AND($G709="Legacy Data",$Q709="Legacy Data"),1,IF(OR($G709="Legacy Data",$Q709="Legacy Data"),1,0)),IF(OR($N709="Agree with original translator",ISBLANK($N709)),IF(AND($G709="Source Text Data",$Q709="Legacy Data"),1,IF(AND($G709="Legacy Data",$Q709="Legacy Data"),1,IF($Q709="Legacy Data",1,0))),IF(AND($G709="Legacy Data",$Q709="Legacy Data"),1,IF(OR($Q709="Legacy Data",ISBLANK($Q709)),IF($G709&lt;&gt;"Legacy Data",IF(AND($G709="Source Text Data",$Q709="Legacy Data"),1,0),1),0))))</f>
        <v>0</v>
      </c>
      <c r="U709" s="270">
        <f t="shared" ref="U709:U772" si="89">IF(OR($J709="Accepted",ISBLANK($J709)),IF(AND($G709="Source Text Data",$Q709="Source Text Data"),1,IF(OR($G709="Source Text Data",$Q709="Source Text Data"),1,0)),IF(OR($N709="Agree with original translator",ISBLANK($N709)),IF(AND($G709="Legacy Data",$Q709="Source Text Data"),1,IF(AND($G709="Source Text Data",$Q709="Source Text Data"),1,IF($Q709="Source Text Data",1,0))),IF(AND($G709="Source Text Data",$Q709="Source Text Data"),1,IF(OR($Q709="Source Text Data",ISBLANK($Q709)),IF($G709&lt;&gt;"Source Text Data",IF(AND($G709="Legacy Data",$Q709="Source Text Data"),1,0),1),0))))</f>
        <v>0</v>
      </c>
      <c r="V709" s="31"/>
      <c r="X709" s="240" t="str">
        <f t="shared" ref="X709:X772" si="90">IF(AND(COUNTBLANK($F709:$H709)&lt;&gt;COLUMNS($F709:$H709),COUNTA($F709:$H709)&lt;&gt;COLUMNS($F709:$H709)),"ERROR","OK")</f>
        <v>OK</v>
      </c>
      <c r="Y709" s="240" t="str">
        <f t="shared" ref="Y709:Y772" si="91">IF(AND($J709="Not accepted",$K709=""),"ERROR","OK")</f>
        <v>OK</v>
      </c>
      <c r="Z709" s="240" t="str">
        <f t="shared" ref="Z709:Z772" si="92">IF(AND($F709&lt;&gt;"",$J709=""),"ERROR","OK")</f>
        <v>OK</v>
      </c>
      <c r="AA709" s="240" t="str" cm="1">
        <f t="array" ref="AA709">IF(OR(AND(J709="Not accepted",N709:O709&lt;&gt;"",$S709=""),AND(J709="Accepted",S709="")),"ERROR","OK")</f>
        <v>OK</v>
      </c>
      <c r="AB709" s="240" t="str">
        <f t="shared" ref="AB709:AB772" si="93">IF(AND($S709="Not Implemented",$V709=""),"ERROR","OK")</f>
        <v>OK</v>
      </c>
      <c r="AC709" s="240" t="str" cm="1">
        <f t="array" ref="AC709">IF(AND(F709:H709&lt;&gt;"",I709=""),"ERROR","OK")</f>
        <v>OK</v>
      </c>
      <c r="AD709" s="240" t="str">
        <f t="shared" ref="AD709:AD772" si="94">IF(AND($N709="",$J709="Not accepted",$K709&lt;&gt;""),"ERROR","OK")</f>
        <v>OK</v>
      </c>
      <c r="AE709" s="240" t="str">
        <f t="shared" ref="AE709:AE772" si="95">IF(AND($O709="",$N709&lt;&gt;""),"ERROR","OK")</f>
        <v>OK</v>
      </c>
      <c r="AF709" s="240" t="str" cm="1">
        <f t="array" aca="1" ref="AF709" ca="1" xml:space="preserve">
IF(AND($G709&lt;&gt;"",$F709=""),"ERROR",
IF(OR($F709:$G709="",AND($G709="",$F709&lt;&gt;"")),"OK",
IF(COUNTIF(INDIRECT(IFERROR(LEFT($F709,FIND(" ",$F709)-1),$F709)), $G709)&gt;0, "OK", "ERROR")))</f>
        <v>OK</v>
      </c>
    </row>
    <row r="710" spans="1:32" s="240" customFormat="1">
      <c r="A710" s="48"/>
      <c r="B710" s="31"/>
      <c r="C710" s="48"/>
      <c r="D710" s="47"/>
      <c r="E710" s="47"/>
      <c r="F710" s="31"/>
      <c r="G710" s="31"/>
      <c r="H710" s="31"/>
      <c r="I710" s="47"/>
      <c r="J710" s="31"/>
      <c r="K710" s="47"/>
      <c r="L710" s="47"/>
      <c r="M710" s="47"/>
      <c r="N710" s="31"/>
      <c r="O710" s="47"/>
      <c r="P710" s="31"/>
      <c r="Q710" s="31"/>
      <c r="R710" s="31"/>
      <c r="S710" s="31"/>
      <c r="T710" s="270">
        <f t="shared" si="88"/>
        <v>0</v>
      </c>
      <c r="U710" s="270">
        <f t="shared" si="89"/>
        <v>0</v>
      </c>
      <c r="V710" s="31"/>
      <c r="X710" s="240" t="str">
        <f t="shared" si="90"/>
        <v>OK</v>
      </c>
      <c r="Y710" s="240" t="str">
        <f t="shared" si="91"/>
        <v>OK</v>
      </c>
      <c r="Z710" s="240" t="str">
        <f t="shared" si="92"/>
        <v>OK</v>
      </c>
      <c r="AA710" s="240" t="str" cm="1">
        <f t="array" ref="AA710">IF(OR(AND(J710="Not accepted",N710:O710&lt;&gt;"",$S710=""),AND(J710="Accepted",S710="")),"ERROR","OK")</f>
        <v>OK</v>
      </c>
      <c r="AB710" s="240" t="str">
        <f t="shared" si="93"/>
        <v>OK</v>
      </c>
      <c r="AC710" s="240" t="str" cm="1">
        <f t="array" ref="AC710">IF(AND(F710:H710&lt;&gt;"",I710=""),"ERROR","OK")</f>
        <v>OK</v>
      </c>
      <c r="AD710" s="240" t="str">
        <f t="shared" si="94"/>
        <v>OK</v>
      </c>
      <c r="AE710" s="240" t="str">
        <f t="shared" si="95"/>
        <v>OK</v>
      </c>
      <c r="AF710" s="240" t="str" cm="1">
        <f t="array" aca="1" ref="AF710" ca="1" xml:space="preserve">
IF(AND($G710&lt;&gt;"",$F710=""),"ERROR",
IF(OR($F710:$G710="",AND($G710="",$F710&lt;&gt;"")),"OK",
IF(COUNTIF(INDIRECT(IFERROR(LEFT($F710,FIND(" ",$F710)-1),$F710)), $G710)&gt;0, "OK", "ERROR")))</f>
        <v>OK</v>
      </c>
    </row>
    <row r="711" spans="1:32" s="240" customFormat="1">
      <c r="A711" s="48"/>
      <c r="B711" s="31"/>
      <c r="C711" s="48"/>
      <c r="D711" s="47"/>
      <c r="E711" s="47"/>
      <c r="F711" s="31"/>
      <c r="G711" s="31"/>
      <c r="H711" s="31"/>
      <c r="I711" s="47"/>
      <c r="J711" s="31"/>
      <c r="K711" s="47"/>
      <c r="L711" s="47"/>
      <c r="M711" s="47"/>
      <c r="N711" s="31"/>
      <c r="O711" s="47"/>
      <c r="P711" s="31"/>
      <c r="Q711" s="31"/>
      <c r="R711" s="31"/>
      <c r="S711" s="31"/>
      <c r="T711" s="270">
        <f t="shared" si="88"/>
        <v>0</v>
      </c>
      <c r="U711" s="270">
        <f t="shared" si="89"/>
        <v>0</v>
      </c>
      <c r="V711" s="31"/>
      <c r="X711" s="240" t="str">
        <f t="shared" si="90"/>
        <v>OK</v>
      </c>
      <c r="Y711" s="240" t="str">
        <f t="shared" si="91"/>
        <v>OK</v>
      </c>
      <c r="Z711" s="240" t="str">
        <f t="shared" si="92"/>
        <v>OK</v>
      </c>
      <c r="AA711" s="240" t="str" cm="1">
        <f t="array" ref="AA711">IF(OR(AND(J711="Not accepted",N711:O711&lt;&gt;"",$S711=""),AND(J711="Accepted",S711="")),"ERROR","OK")</f>
        <v>OK</v>
      </c>
      <c r="AB711" s="240" t="str">
        <f t="shared" si="93"/>
        <v>OK</v>
      </c>
      <c r="AC711" s="240" t="str" cm="1">
        <f t="array" ref="AC711">IF(AND(F711:H711&lt;&gt;"",I711=""),"ERROR","OK")</f>
        <v>OK</v>
      </c>
      <c r="AD711" s="240" t="str">
        <f t="shared" si="94"/>
        <v>OK</v>
      </c>
      <c r="AE711" s="240" t="str">
        <f t="shared" si="95"/>
        <v>OK</v>
      </c>
      <c r="AF711" s="240" t="str" cm="1">
        <f t="array" aca="1" ref="AF711" ca="1" xml:space="preserve">
IF(AND($G711&lt;&gt;"",$F711=""),"ERROR",
IF(OR($F711:$G711="",AND($G711="",$F711&lt;&gt;"")),"OK",
IF(COUNTIF(INDIRECT(IFERROR(LEFT($F711,FIND(" ",$F711)-1),$F711)), $G711)&gt;0, "OK", "ERROR")))</f>
        <v>OK</v>
      </c>
    </row>
    <row r="712" spans="1:32" s="240" customFormat="1">
      <c r="A712" s="48"/>
      <c r="B712" s="31"/>
      <c r="C712" s="48"/>
      <c r="D712" s="47"/>
      <c r="E712" s="47"/>
      <c r="F712" s="31"/>
      <c r="G712" s="31"/>
      <c r="H712" s="31"/>
      <c r="I712" s="47"/>
      <c r="J712" s="31"/>
      <c r="K712" s="47"/>
      <c r="L712" s="47"/>
      <c r="M712" s="47"/>
      <c r="N712" s="31"/>
      <c r="O712" s="47"/>
      <c r="P712" s="31"/>
      <c r="Q712" s="31"/>
      <c r="R712" s="31"/>
      <c r="S712" s="31"/>
      <c r="T712" s="270">
        <f t="shared" si="88"/>
        <v>0</v>
      </c>
      <c r="U712" s="270">
        <f t="shared" si="89"/>
        <v>0</v>
      </c>
      <c r="V712" s="31"/>
      <c r="X712" s="240" t="str">
        <f t="shared" si="90"/>
        <v>OK</v>
      </c>
      <c r="Y712" s="240" t="str">
        <f t="shared" si="91"/>
        <v>OK</v>
      </c>
      <c r="Z712" s="240" t="str">
        <f t="shared" si="92"/>
        <v>OK</v>
      </c>
      <c r="AA712" s="240" t="str" cm="1">
        <f t="array" ref="AA712">IF(OR(AND(J712="Not accepted",N712:O712&lt;&gt;"",$S712=""),AND(J712="Accepted",S712="")),"ERROR","OK")</f>
        <v>OK</v>
      </c>
      <c r="AB712" s="240" t="str">
        <f t="shared" si="93"/>
        <v>OK</v>
      </c>
      <c r="AC712" s="240" t="str" cm="1">
        <f t="array" ref="AC712">IF(AND(F712:H712&lt;&gt;"",I712=""),"ERROR","OK")</f>
        <v>OK</v>
      </c>
      <c r="AD712" s="240" t="str">
        <f t="shared" si="94"/>
        <v>OK</v>
      </c>
      <c r="AE712" s="240" t="str">
        <f t="shared" si="95"/>
        <v>OK</v>
      </c>
      <c r="AF712" s="240" t="str" cm="1">
        <f t="array" aca="1" ref="AF712" ca="1" xml:space="preserve">
IF(AND($G712&lt;&gt;"",$F712=""),"ERROR",
IF(OR($F712:$G712="",AND($G712="",$F712&lt;&gt;"")),"OK",
IF(COUNTIF(INDIRECT(IFERROR(LEFT($F712,FIND(" ",$F712)-1),$F712)), $G712)&gt;0, "OK", "ERROR")))</f>
        <v>OK</v>
      </c>
    </row>
    <row r="713" spans="1:32" s="240" customFormat="1">
      <c r="A713" s="48"/>
      <c r="B713" s="31"/>
      <c r="C713" s="48"/>
      <c r="D713" s="47"/>
      <c r="E713" s="47"/>
      <c r="F713" s="31"/>
      <c r="G713" s="31"/>
      <c r="H713" s="31"/>
      <c r="I713" s="47"/>
      <c r="J713" s="31"/>
      <c r="K713" s="47"/>
      <c r="L713" s="47"/>
      <c r="M713" s="47"/>
      <c r="N713" s="31"/>
      <c r="O713" s="47"/>
      <c r="P713" s="31"/>
      <c r="Q713" s="31"/>
      <c r="R713" s="31"/>
      <c r="S713" s="31"/>
      <c r="T713" s="270">
        <f t="shared" si="88"/>
        <v>0</v>
      </c>
      <c r="U713" s="270">
        <f t="shared" si="89"/>
        <v>0</v>
      </c>
      <c r="V713" s="31"/>
      <c r="X713" s="240" t="str">
        <f t="shared" si="90"/>
        <v>OK</v>
      </c>
      <c r="Y713" s="240" t="str">
        <f t="shared" si="91"/>
        <v>OK</v>
      </c>
      <c r="Z713" s="240" t="str">
        <f t="shared" si="92"/>
        <v>OK</v>
      </c>
      <c r="AA713" s="240" t="str" cm="1">
        <f t="array" ref="AA713">IF(OR(AND(J713="Not accepted",N713:O713&lt;&gt;"",$S713=""),AND(J713="Accepted",S713="")),"ERROR","OK")</f>
        <v>OK</v>
      </c>
      <c r="AB713" s="240" t="str">
        <f t="shared" si="93"/>
        <v>OK</v>
      </c>
      <c r="AC713" s="240" t="str" cm="1">
        <f t="array" ref="AC713">IF(AND(F713:H713&lt;&gt;"",I713=""),"ERROR","OK")</f>
        <v>OK</v>
      </c>
      <c r="AD713" s="240" t="str">
        <f t="shared" si="94"/>
        <v>OK</v>
      </c>
      <c r="AE713" s="240" t="str">
        <f t="shared" si="95"/>
        <v>OK</v>
      </c>
      <c r="AF713" s="240" t="str" cm="1">
        <f t="array" aca="1" ref="AF713" ca="1" xml:space="preserve">
IF(AND($G713&lt;&gt;"",$F713=""),"ERROR",
IF(OR($F713:$G713="",AND($G713="",$F713&lt;&gt;"")),"OK",
IF(COUNTIF(INDIRECT(IFERROR(LEFT($F713,FIND(" ",$F713)-1),$F713)), $G713)&gt;0, "OK", "ERROR")))</f>
        <v>OK</v>
      </c>
    </row>
    <row r="714" spans="1:32" s="240" customFormat="1">
      <c r="A714" s="48"/>
      <c r="B714" s="31"/>
      <c r="C714" s="48"/>
      <c r="D714" s="47"/>
      <c r="E714" s="47"/>
      <c r="F714" s="31"/>
      <c r="G714" s="31"/>
      <c r="H714" s="31"/>
      <c r="I714" s="47"/>
      <c r="J714" s="31"/>
      <c r="K714" s="47"/>
      <c r="L714" s="47"/>
      <c r="M714" s="47"/>
      <c r="N714" s="31"/>
      <c r="O714" s="47"/>
      <c r="P714" s="31"/>
      <c r="Q714" s="31"/>
      <c r="R714" s="31"/>
      <c r="S714" s="31"/>
      <c r="T714" s="270">
        <f t="shared" si="88"/>
        <v>0</v>
      </c>
      <c r="U714" s="270">
        <f t="shared" si="89"/>
        <v>0</v>
      </c>
      <c r="V714" s="31"/>
      <c r="X714" s="240" t="str">
        <f t="shared" si="90"/>
        <v>OK</v>
      </c>
      <c r="Y714" s="240" t="str">
        <f t="shared" si="91"/>
        <v>OK</v>
      </c>
      <c r="Z714" s="240" t="str">
        <f t="shared" si="92"/>
        <v>OK</v>
      </c>
      <c r="AA714" s="240" t="str" cm="1">
        <f t="array" ref="AA714">IF(OR(AND(J714="Not accepted",N714:O714&lt;&gt;"",$S714=""),AND(J714="Accepted",S714="")),"ERROR","OK")</f>
        <v>OK</v>
      </c>
      <c r="AB714" s="240" t="str">
        <f t="shared" si="93"/>
        <v>OK</v>
      </c>
      <c r="AC714" s="240" t="str" cm="1">
        <f t="array" ref="AC714">IF(AND(F714:H714&lt;&gt;"",I714=""),"ERROR","OK")</f>
        <v>OK</v>
      </c>
      <c r="AD714" s="240" t="str">
        <f t="shared" si="94"/>
        <v>OK</v>
      </c>
      <c r="AE714" s="240" t="str">
        <f t="shared" si="95"/>
        <v>OK</v>
      </c>
      <c r="AF714" s="240" t="str" cm="1">
        <f t="array" aca="1" ref="AF714" ca="1" xml:space="preserve">
IF(AND($G714&lt;&gt;"",$F714=""),"ERROR",
IF(OR($F714:$G714="",AND($G714="",$F714&lt;&gt;"")),"OK",
IF(COUNTIF(INDIRECT(IFERROR(LEFT($F714,FIND(" ",$F714)-1),$F714)), $G714)&gt;0, "OK", "ERROR")))</f>
        <v>OK</v>
      </c>
    </row>
    <row r="715" spans="1:32" s="240" customFormat="1">
      <c r="A715" s="48"/>
      <c r="B715" s="31"/>
      <c r="C715" s="48"/>
      <c r="D715" s="47"/>
      <c r="E715" s="47"/>
      <c r="F715" s="31"/>
      <c r="G715" s="31"/>
      <c r="H715" s="31"/>
      <c r="I715" s="47"/>
      <c r="J715" s="31"/>
      <c r="K715" s="47"/>
      <c r="L715" s="47"/>
      <c r="M715" s="47"/>
      <c r="N715" s="31"/>
      <c r="O715" s="47"/>
      <c r="P715" s="31"/>
      <c r="Q715" s="31"/>
      <c r="R715" s="31"/>
      <c r="S715" s="31"/>
      <c r="T715" s="270">
        <f t="shared" si="88"/>
        <v>0</v>
      </c>
      <c r="U715" s="270">
        <f t="shared" si="89"/>
        <v>0</v>
      </c>
      <c r="V715" s="31"/>
      <c r="X715" s="240" t="str">
        <f t="shared" si="90"/>
        <v>OK</v>
      </c>
      <c r="Y715" s="240" t="str">
        <f t="shared" si="91"/>
        <v>OK</v>
      </c>
      <c r="Z715" s="240" t="str">
        <f t="shared" si="92"/>
        <v>OK</v>
      </c>
      <c r="AA715" s="240" t="str" cm="1">
        <f t="array" ref="AA715">IF(OR(AND(J715="Not accepted",N715:O715&lt;&gt;"",$S715=""),AND(J715="Accepted",S715="")),"ERROR","OK")</f>
        <v>OK</v>
      </c>
      <c r="AB715" s="240" t="str">
        <f t="shared" si="93"/>
        <v>OK</v>
      </c>
      <c r="AC715" s="240" t="str" cm="1">
        <f t="array" ref="AC715">IF(AND(F715:H715&lt;&gt;"",I715=""),"ERROR","OK")</f>
        <v>OK</v>
      </c>
      <c r="AD715" s="240" t="str">
        <f t="shared" si="94"/>
        <v>OK</v>
      </c>
      <c r="AE715" s="240" t="str">
        <f t="shared" si="95"/>
        <v>OK</v>
      </c>
      <c r="AF715" s="240" t="str" cm="1">
        <f t="array" aca="1" ref="AF715" ca="1" xml:space="preserve">
IF(AND($G715&lt;&gt;"",$F715=""),"ERROR",
IF(OR($F715:$G715="",AND($G715="",$F715&lt;&gt;"")),"OK",
IF(COUNTIF(INDIRECT(IFERROR(LEFT($F715,FIND(" ",$F715)-1),$F715)), $G715)&gt;0, "OK", "ERROR")))</f>
        <v>OK</v>
      </c>
    </row>
    <row r="716" spans="1:32" s="240" customFormat="1">
      <c r="A716" s="48"/>
      <c r="B716" s="31"/>
      <c r="C716" s="48"/>
      <c r="D716" s="47"/>
      <c r="E716" s="47"/>
      <c r="F716" s="31"/>
      <c r="G716" s="31"/>
      <c r="H716" s="31"/>
      <c r="I716" s="47"/>
      <c r="J716" s="31"/>
      <c r="K716" s="47"/>
      <c r="L716" s="47"/>
      <c r="M716" s="47"/>
      <c r="N716" s="31"/>
      <c r="O716" s="47"/>
      <c r="P716" s="31"/>
      <c r="Q716" s="31"/>
      <c r="R716" s="31"/>
      <c r="S716" s="31"/>
      <c r="T716" s="270">
        <f t="shared" si="88"/>
        <v>0</v>
      </c>
      <c r="U716" s="270">
        <f t="shared" si="89"/>
        <v>0</v>
      </c>
      <c r="V716" s="31"/>
      <c r="X716" s="240" t="str">
        <f t="shared" si="90"/>
        <v>OK</v>
      </c>
      <c r="Y716" s="240" t="str">
        <f t="shared" si="91"/>
        <v>OK</v>
      </c>
      <c r="Z716" s="240" t="str">
        <f t="shared" si="92"/>
        <v>OK</v>
      </c>
      <c r="AA716" s="240" t="str" cm="1">
        <f t="array" ref="AA716">IF(OR(AND(J716="Not accepted",N716:O716&lt;&gt;"",$S716=""),AND(J716="Accepted",S716="")),"ERROR","OK")</f>
        <v>OK</v>
      </c>
      <c r="AB716" s="240" t="str">
        <f t="shared" si="93"/>
        <v>OK</v>
      </c>
      <c r="AC716" s="240" t="str" cm="1">
        <f t="array" ref="AC716">IF(AND(F716:H716&lt;&gt;"",I716=""),"ERROR","OK")</f>
        <v>OK</v>
      </c>
      <c r="AD716" s="240" t="str">
        <f t="shared" si="94"/>
        <v>OK</v>
      </c>
      <c r="AE716" s="240" t="str">
        <f t="shared" si="95"/>
        <v>OK</v>
      </c>
      <c r="AF716" s="240" t="str" cm="1">
        <f t="array" aca="1" ref="AF716" ca="1" xml:space="preserve">
IF(AND($G716&lt;&gt;"",$F716=""),"ERROR",
IF(OR($F716:$G716="",AND($G716="",$F716&lt;&gt;"")),"OK",
IF(COUNTIF(INDIRECT(IFERROR(LEFT($F716,FIND(" ",$F716)-1),$F716)), $G716)&gt;0, "OK", "ERROR")))</f>
        <v>OK</v>
      </c>
    </row>
    <row r="717" spans="1:32" s="240" customFormat="1">
      <c r="A717" s="48"/>
      <c r="B717" s="31"/>
      <c r="C717" s="48"/>
      <c r="D717" s="47"/>
      <c r="E717" s="47"/>
      <c r="F717" s="31"/>
      <c r="G717" s="31"/>
      <c r="H717" s="31"/>
      <c r="I717" s="47"/>
      <c r="J717" s="31"/>
      <c r="K717" s="47"/>
      <c r="L717" s="47"/>
      <c r="M717" s="47"/>
      <c r="N717" s="31"/>
      <c r="O717" s="47"/>
      <c r="P717" s="31"/>
      <c r="Q717" s="31"/>
      <c r="R717" s="31"/>
      <c r="S717" s="31"/>
      <c r="T717" s="270">
        <f t="shared" si="88"/>
        <v>0</v>
      </c>
      <c r="U717" s="270">
        <f t="shared" si="89"/>
        <v>0</v>
      </c>
      <c r="V717" s="31"/>
      <c r="X717" s="240" t="str">
        <f t="shared" si="90"/>
        <v>OK</v>
      </c>
      <c r="Y717" s="240" t="str">
        <f t="shared" si="91"/>
        <v>OK</v>
      </c>
      <c r="Z717" s="240" t="str">
        <f t="shared" si="92"/>
        <v>OK</v>
      </c>
      <c r="AA717" s="240" t="str" cm="1">
        <f t="array" ref="AA717">IF(OR(AND(J717="Not accepted",N717:O717&lt;&gt;"",$S717=""),AND(J717="Accepted",S717="")),"ERROR","OK")</f>
        <v>OK</v>
      </c>
      <c r="AB717" s="240" t="str">
        <f t="shared" si="93"/>
        <v>OK</v>
      </c>
      <c r="AC717" s="240" t="str" cm="1">
        <f t="array" ref="AC717">IF(AND(F717:H717&lt;&gt;"",I717=""),"ERROR","OK")</f>
        <v>OK</v>
      </c>
      <c r="AD717" s="240" t="str">
        <f t="shared" si="94"/>
        <v>OK</v>
      </c>
      <c r="AE717" s="240" t="str">
        <f t="shared" si="95"/>
        <v>OK</v>
      </c>
      <c r="AF717" s="240" t="str" cm="1">
        <f t="array" aca="1" ref="AF717" ca="1" xml:space="preserve">
IF(AND($G717&lt;&gt;"",$F717=""),"ERROR",
IF(OR($F717:$G717="",AND($G717="",$F717&lt;&gt;"")),"OK",
IF(COUNTIF(INDIRECT(IFERROR(LEFT($F717,FIND(" ",$F717)-1),$F717)), $G717)&gt;0, "OK", "ERROR")))</f>
        <v>OK</v>
      </c>
    </row>
    <row r="718" spans="1:32" s="240" customFormat="1">
      <c r="A718" s="48"/>
      <c r="B718" s="31"/>
      <c r="C718" s="48"/>
      <c r="D718" s="47"/>
      <c r="E718" s="47"/>
      <c r="F718" s="31"/>
      <c r="G718" s="31"/>
      <c r="H718" s="31"/>
      <c r="I718" s="47"/>
      <c r="J718" s="31"/>
      <c r="K718" s="47"/>
      <c r="L718" s="47"/>
      <c r="M718" s="47"/>
      <c r="N718" s="31"/>
      <c r="O718" s="47"/>
      <c r="P718" s="31"/>
      <c r="Q718" s="31"/>
      <c r="R718" s="31"/>
      <c r="S718" s="31"/>
      <c r="T718" s="270">
        <f t="shared" si="88"/>
        <v>0</v>
      </c>
      <c r="U718" s="270">
        <f t="shared" si="89"/>
        <v>0</v>
      </c>
      <c r="V718" s="31"/>
      <c r="X718" s="240" t="str">
        <f t="shared" si="90"/>
        <v>OK</v>
      </c>
      <c r="Y718" s="240" t="str">
        <f t="shared" si="91"/>
        <v>OK</v>
      </c>
      <c r="Z718" s="240" t="str">
        <f t="shared" si="92"/>
        <v>OK</v>
      </c>
      <c r="AA718" s="240" t="str" cm="1">
        <f t="array" ref="AA718">IF(OR(AND(J718="Not accepted",N718:O718&lt;&gt;"",$S718=""),AND(J718="Accepted",S718="")),"ERROR","OK")</f>
        <v>OK</v>
      </c>
      <c r="AB718" s="240" t="str">
        <f t="shared" si="93"/>
        <v>OK</v>
      </c>
      <c r="AC718" s="240" t="str" cm="1">
        <f t="array" ref="AC718">IF(AND(F718:H718&lt;&gt;"",I718=""),"ERROR","OK")</f>
        <v>OK</v>
      </c>
      <c r="AD718" s="240" t="str">
        <f t="shared" si="94"/>
        <v>OK</v>
      </c>
      <c r="AE718" s="240" t="str">
        <f t="shared" si="95"/>
        <v>OK</v>
      </c>
      <c r="AF718" s="240" t="str" cm="1">
        <f t="array" aca="1" ref="AF718" ca="1" xml:space="preserve">
IF(AND($G718&lt;&gt;"",$F718=""),"ERROR",
IF(OR($F718:$G718="",AND($G718="",$F718&lt;&gt;"")),"OK",
IF(COUNTIF(INDIRECT(IFERROR(LEFT($F718,FIND(" ",$F718)-1),$F718)), $G718)&gt;0, "OK", "ERROR")))</f>
        <v>OK</v>
      </c>
    </row>
    <row r="719" spans="1:32" s="240" customFormat="1">
      <c r="A719" s="48"/>
      <c r="B719" s="31"/>
      <c r="C719" s="48"/>
      <c r="D719" s="47"/>
      <c r="E719" s="47"/>
      <c r="F719" s="31"/>
      <c r="G719" s="31"/>
      <c r="H719" s="31"/>
      <c r="I719" s="47"/>
      <c r="J719" s="31"/>
      <c r="K719" s="47"/>
      <c r="L719" s="47"/>
      <c r="M719" s="47"/>
      <c r="N719" s="31"/>
      <c r="O719" s="47"/>
      <c r="P719" s="31"/>
      <c r="Q719" s="31"/>
      <c r="R719" s="31"/>
      <c r="S719" s="31"/>
      <c r="T719" s="270">
        <f t="shared" si="88"/>
        <v>0</v>
      </c>
      <c r="U719" s="270">
        <f t="shared" si="89"/>
        <v>0</v>
      </c>
      <c r="V719" s="31"/>
      <c r="X719" s="240" t="str">
        <f t="shared" si="90"/>
        <v>OK</v>
      </c>
      <c r="Y719" s="240" t="str">
        <f t="shared" si="91"/>
        <v>OK</v>
      </c>
      <c r="Z719" s="240" t="str">
        <f t="shared" si="92"/>
        <v>OK</v>
      </c>
      <c r="AA719" s="240" t="str" cm="1">
        <f t="array" ref="AA719">IF(OR(AND(J719="Not accepted",N719:O719&lt;&gt;"",$S719=""),AND(J719="Accepted",S719="")),"ERROR","OK")</f>
        <v>OK</v>
      </c>
      <c r="AB719" s="240" t="str">
        <f t="shared" si="93"/>
        <v>OK</v>
      </c>
      <c r="AC719" s="240" t="str" cm="1">
        <f t="array" ref="AC719">IF(AND(F719:H719&lt;&gt;"",I719=""),"ERROR","OK")</f>
        <v>OK</v>
      </c>
      <c r="AD719" s="240" t="str">
        <f t="shared" si="94"/>
        <v>OK</v>
      </c>
      <c r="AE719" s="240" t="str">
        <f t="shared" si="95"/>
        <v>OK</v>
      </c>
      <c r="AF719" s="240" t="str" cm="1">
        <f t="array" aca="1" ref="AF719" ca="1" xml:space="preserve">
IF(AND($G719&lt;&gt;"",$F719=""),"ERROR",
IF(OR($F719:$G719="",AND($G719="",$F719&lt;&gt;"")),"OK",
IF(COUNTIF(INDIRECT(IFERROR(LEFT($F719,FIND(" ",$F719)-1),$F719)), $G719)&gt;0, "OK", "ERROR")))</f>
        <v>OK</v>
      </c>
    </row>
    <row r="720" spans="1:32" s="240" customFormat="1">
      <c r="A720" s="48"/>
      <c r="B720" s="31"/>
      <c r="C720" s="48"/>
      <c r="D720" s="47"/>
      <c r="E720" s="47"/>
      <c r="F720" s="31"/>
      <c r="G720" s="31"/>
      <c r="H720" s="31"/>
      <c r="I720" s="47"/>
      <c r="J720" s="31"/>
      <c r="K720" s="47"/>
      <c r="L720" s="47"/>
      <c r="M720" s="47"/>
      <c r="N720" s="31"/>
      <c r="O720" s="47"/>
      <c r="P720" s="31"/>
      <c r="Q720" s="31"/>
      <c r="R720" s="31"/>
      <c r="S720" s="31"/>
      <c r="T720" s="270">
        <f t="shared" si="88"/>
        <v>0</v>
      </c>
      <c r="U720" s="270">
        <f t="shared" si="89"/>
        <v>0</v>
      </c>
      <c r="V720" s="31"/>
      <c r="X720" s="240" t="str">
        <f t="shared" si="90"/>
        <v>OK</v>
      </c>
      <c r="Y720" s="240" t="str">
        <f t="shared" si="91"/>
        <v>OK</v>
      </c>
      <c r="Z720" s="240" t="str">
        <f t="shared" si="92"/>
        <v>OK</v>
      </c>
      <c r="AA720" s="240" t="str" cm="1">
        <f t="array" ref="AA720">IF(OR(AND(J720="Not accepted",N720:O720&lt;&gt;"",$S720=""),AND(J720="Accepted",S720="")),"ERROR","OK")</f>
        <v>OK</v>
      </c>
      <c r="AB720" s="240" t="str">
        <f t="shared" si="93"/>
        <v>OK</v>
      </c>
      <c r="AC720" s="240" t="str" cm="1">
        <f t="array" ref="AC720">IF(AND(F720:H720&lt;&gt;"",I720=""),"ERROR","OK")</f>
        <v>OK</v>
      </c>
      <c r="AD720" s="240" t="str">
        <f t="shared" si="94"/>
        <v>OK</v>
      </c>
      <c r="AE720" s="240" t="str">
        <f t="shared" si="95"/>
        <v>OK</v>
      </c>
      <c r="AF720" s="240" t="str" cm="1">
        <f t="array" aca="1" ref="AF720" ca="1" xml:space="preserve">
IF(AND($G720&lt;&gt;"",$F720=""),"ERROR",
IF(OR($F720:$G720="",AND($G720="",$F720&lt;&gt;"")),"OK",
IF(COUNTIF(INDIRECT(IFERROR(LEFT($F720,FIND(" ",$F720)-1),$F720)), $G720)&gt;0, "OK", "ERROR")))</f>
        <v>OK</v>
      </c>
    </row>
    <row r="721" spans="1:32" s="240" customFormat="1">
      <c r="A721" s="48"/>
      <c r="B721" s="31"/>
      <c r="C721" s="48"/>
      <c r="D721" s="47"/>
      <c r="E721" s="47"/>
      <c r="F721" s="31"/>
      <c r="G721" s="31"/>
      <c r="H721" s="31"/>
      <c r="I721" s="47"/>
      <c r="J721" s="31"/>
      <c r="K721" s="47"/>
      <c r="L721" s="47"/>
      <c r="M721" s="47"/>
      <c r="N721" s="31"/>
      <c r="O721" s="47"/>
      <c r="P721" s="31"/>
      <c r="Q721" s="31"/>
      <c r="R721" s="31"/>
      <c r="S721" s="31"/>
      <c r="T721" s="270">
        <f t="shared" si="88"/>
        <v>0</v>
      </c>
      <c r="U721" s="270">
        <f t="shared" si="89"/>
        <v>0</v>
      </c>
      <c r="V721" s="31"/>
      <c r="X721" s="240" t="str">
        <f t="shared" si="90"/>
        <v>OK</v>
      </c>
      <c r="Y721" s="240" t="str">
        <f t="shared" si="91"/>
        <v>OK</v>
      </c>
      <c r="Z721" s="240" t="str">
        <f t="shared" si="92"/>
        <v>OK</v>
      </c>
      <c r="AA721" s="240" t="str" cm="1">
        <f t="array" ref="AA721">IF(OR(AND(J721="Not accepted",N721:O721&lt;&gt;"",$S721=""),AND(J721="Accepted",S721="")),"ERROR","OK")</f>
        <v>OK</v>
      </c>
      <c r="AB721" s="240" t="str">
        <f t="shared" si="93"/>
        <v>OK</v>
      </c>
      <c r="AC721" s="240" t="str" cm="1">
        <f t="array" ref="AC721">IF(AND(F721:H721&lt;&gt;"",I721=""),"ERROR","OK")</f>
        <v>OK</v>
      </c>
      <c r="AD721" s="240" t="str">
        <f t="shared" si="94"/>
        <v>OK</v>
      </c>
      <c r="AE721" s="240" t="str">
        <f t="shared" si="95"/>
        <v>OK</v>
      </c>
      <c r="AF721" s="240" t="str" cm="1">
        <f t="array" aca="1" ref="AF721" ca="1" xml:space="preserve">
IF(AND($G721&lt;&gt;"",$F721=""),"ERROR",
IF(OR($F721:$G721="",AND($G721="",$F721&lt;&gt;"")),"OK",
IF(COUNTIF(INDIRECT(IFERROR(LEFT($F721,FIND(" ",$F721)-1),$F721)), $G721)&gt;0, "OK", "ERROR")))</f>
        <v>OK</v>
      </c>
    </row>
    <row r="722" spans="1:32" s="240" customFormat="1">
      <c r="A722" s="48"/>
      <c r="B722" s="31"/>
      <c r="C722" s="48"/>
      <c r="D722" s="47"/>
      <c r="E722" s="47"/>
      <c r="F722" s="31"/>
      <c r="G722" s="31"/>
      <c r="H722" s="31"/>
      <c r="I722" s="47"/>
      <c r="J722" s="31"/>
      <c r="K722" s="47"/>
      <c r="L722" s="47"/>
      <c r="M722" s="47"/>
      <c r="N722" s="31"/>
      <c r="O722" s="47"/>
      <c r="P722" s="31"/>
      <c r="Q722" s="31"/>
      <c r="R722" s="31"/>
      <c r="S722" s="31"/>
      <c r="T722" s="270">
        <f t="shared" si="88"/>
        <v>0</v>
      </c>
      <c r="U722" s="270">
        <f t="shared" si="89"/>
        <v>0</v>
      </c>
      <c r="V722" s="31"/>
      <c r="X722" s="240" t="str">
        <f t="shared" si="90"/>
        <v>OK</v>
      </c>
      <c r="Y722" s="240" t="str">
        <f t="shared" si="91"/>
        <v>OK</v>
      </c>
      <c r="Z722" s="240" t="str">
        <f t="shared" si="92"/>
        <v>OK</v>
      </c>
      <c r="AA722" s="240" t="str" cm="1">
        <f t="array" ref="AA722">IF(OR(AND(J722="Not accepted",N722:O722&lt;&gt;"",$S722=""),AND(J722="Accepted",S722="")),"ERROR","OK")</f>
        <v>OK</v>
      </c>
      <c r="AB722" s="240" t="str">
        <f t="shared" si="93"/>
        <v>OK</v>
      </c>
      <c r="AC722" s="240" t="str" cm="1">
        <f t="array" ref="AC722">IF(AND(F722:H722&lt;&gt;"",I722=""),"ERROR","OK")</f>
        <v>OK</v>
      </c>
      <c r="AD722" s="240" t="str">
        <f t="shared" si="94"/>
        <v>OK</v>
      </c>
      <c r="AE722" s="240" t="str">
        <f t="shared" si="95"/>
        <v>OK</v>
      </c>
      <c r="AF722" s="240" t="str" cm="1">
        <f t="array" aca="1" ref="AF722" ca="1" xml:space="preserve">
IF(AND($G722&lt;&gt;"",$F722=""),"ERROR",
IF(OR($F722:$G722="",AND($G722="",$F722&lt;&gt;"")),"OK",
IF(COUNTIF(INDIRECT(IFERROR(LEFT($F722,FIND(" ",$F722)-1),$F722)), $G722)&gt;0, "OK", "ERROR")))</f>
        <v>OK</v>
      </c>
    </row>
    <row r="723" spans="1:32" s="240" customFormat="1">
      <c r="A723" s="48"/>
      <c r="B723" s="31"/>
      <c r="C723" s="48"/>
      <c r="D723" s="47"/>
      <c r="E723" s="47"/>
      <c r="F723" s="31"/>
      <c r="G723" s="31"/>
      <c r="H723" s="31"/>
      <c r="I723" s="47"/>
      <c r="J723" s="31"/>
      <c r="K723" s="47"/>
      <c r="L723" s="47"/>
      <c r="M723" s="47"/>
      <c r="N723" s="31"/>
      <c r="O723" s="47"/>
      <c r="P723" s="31"/>
      <c r="Q723" s="31"/>
      <c r="R723" s="31"/>
      <c r="S723" s="31"/>
      <c r="T723" s="270">
        <f t="shared" si="88"/>
        <v>0</v>
      </c>
      <c r="U723" s="270">
        <f t="shared" si="89"/>
        <v>0</v>
      </c>
      <c r="V723" s="31"/>
      <c r="X723" s="240" t="str">
        <f t="shared" si="90"/>
        <v>OK</v>
      </c>
      <c r="Y723" s="240" t="str">
        <f t="shared" si="91"/>
        <v>OK</v>
      </c>
      <c r="Z723" s="240" t="str">
        <f t="shared" si="92"/>
        <v>OK</v>
      </c>
      <c r="AA723" s="240" t="str" cm="1">
        <f t="array" ref="AA723">IF(OR(AND(J723="Not accepted",N723:O723&lt;&gt;"",$S723=""),AND(J723="Accepted",S723="")),"ERROR","OK")</f>
        <v>OK</v>
      </c>
      <c r="AB723" s="240" t="str">
        <f t="shared" si="93"/>
        <v>OK</v>
      </c>
      <c r="AC723" s="240" t="str" cm="1">
        <f t="array" ref="AC723">IF(AND(F723:H723&lt;&gt;"",I723=""),"ERROR","OK")</f>
        <v>OK</v>
      </c>
      <c r="AD723" s="240" t="str">
        <f t="shared" si="94"/>
        <v>OK</v>
      </c>
      <c r="AE723" s="240" t="str">
        <f t="shared" si="95"/>
        <v>OK</v>
      </c>
      <c r="AF723" s="240" t="str" cm="1">
        <f t="array" aca="1" ref="AF723" ca="1" xml:space="preserve">
IF(AND($G723&lt;&gt;"",$F723=""),"ERROR",
IF(OR($F723:$G723="",AND($G723="",$F723&lt;&gt;"")),"OK",
IF(COUNTIF(INDIRECT(IFERROR(LEFT($F723,FIND(" ",$F723)-1),$F723)), $G723)&gt;0, "OK", "ERROR")))</f>
        <v>OK</v>
      </c>
    </row>
    <row r="724" spans="1:32" s="240" customFormat="1">
      <c r="A724" s="48"/>
      <c r="B724" s="31"/>
      <c r="C724" s="48"/>
      <c r="D724" s="47"/>
      <c r="E724" s="47"/>
      <c r="F724" s="31"/>
      <c r="G724" s="31"/>
      <c r="H724" s="31"/>
      <c r="I724" s="47"/>
      <c r="J724" s="31"/>
      <c r="K724" s="47"/>
      <c r="L724" s="47"/>
      <c r="M724" s="47"/>
      <c r="N724" s="31"/>
      <c r="O724" s="47"/>
      <c r="P724" s="31"/>
      <c r="Q724" s="31"/>
      <c r="R724" s="31"/>
      <c r="S724" s="31"/>
      <c r="T724" s="270">
        <f t="shared" si="88"/>
        <v>0</v>
      </c>
      <c r="U724" s="270">
        <f t="shared" si="89"/>
        <v>0</v>
      </c>
      <c r="V724" s="31"/>
      <c r="X724" s="240" t="str">
        <f t="shared" si="90"/>
        <v>OK</v>
      </c>
      <c r="Y724" s="240" t="str">
        <f t="shared" si="91"/>
        <v>OK</v>
      </c>
      <c r="Z724" s="240" t="str">
        <f t="shared" si="92"/>
        <v>OK</v>
      </c>
      <c r="AA724" s="240" t="str" cm="1">
        <f t="array" ref="AA724">IF(OR(AND(J724="Not accepted",N724:O724&lt;&gt;"",$S724=""),AND(J724="Accepted",S724="")),"ERROR","OK")</f>
        <v>OK</v>
      </c>
      <c r="AB724" s="240" t="str">
        <f t="shared" si="93"/>
        <v>OK</v>
      </c>
      <c r="AC724" s="240" t="str" cm="1">
        <f t="array" ref="AC724">IF(AND(F724:H724&lt;&gt;"",I724=""),"ERROR","OK")</f>
        <v>OK</v>
      </c>
      <c r="AD724" s="240" t="str">
        <f t="shared" si="94"/>
        <v>OK</v>
      </c>
      <c r="AE724" s="240" t="str">
        <f t="shared" si="95"/>
        <v>OK</v>
      </c>
      <c r="AF724" s="240" t="str" cm="1">
        <f t="array" aca="1" ref="AF724" ca="1" xml:space="preserve">
IF(AND($G724&lt;&gt;"",$F724=""),"ERROR",
IF(OR($F724:$G724="",AND($G724="",$F724&lt;&gt;"")),"OK",
IF(COUNTIF(INDIRECT(IFERROR(LEFT($F724,FIND(" ",$F724)-1),$F724)), $G724)&gt;0, "OK", "ERROR")))</f>
        <v>OK</v>
      </c>
    </row>
    <row r="725" spans="1:32" s="240" customFormat="1">
      <c r="A725" s="48"/>
      <c r="B725" s="31"/>
      <c r="C725" s="48"/>
      <c r="D725" s="47"/>
      <c r="E725" s="47"/>
      <c r="F725" s="31"/>
      <c r="G725" s="31"/>
      <c r="H725" s="31"/>
      <c r="I725" s="47"/>
      <c r="J725" s="31"/>
      <c r="K725" s="47"/>
      <c r="L725" s="47"/>
      <c r="M725" s="47"/>
      <c r="N725" s="31"/>
      <c r="O725" s="47"/>
      <c r="P725" s="31"/>
      <c r="Q725" s="31"/>
      <c r="R725" s="31"/>
      <c r="S725" s="31"/>
      <c r="T725" s="270">
        <f t="shared" si="88"/>
        <v>0</v>
      </c>
      <c r="U725" s="270">
        <f t="shared" si="89"/>
        <v>0</v>
      </c>
      <c r="V725" s="31"/>
      <c r="X725" s="240" t="str">
        <f t="shared" si="90"/>
        <v>OK</v>
      </c>
      <c r="Y725" s="240" t="str">
        <f t="shared" si="91"/>
        <v>OK</v>
      </c>
      <c r="Z725" s="240" t="str">
        <f t="shared" si="92"/>
        <v>OK</v>
      </c>
      <c r="AA725" s="240" t="str" cm="1">
        <f t="array" ref="AA725">IF(OR(AND(J725="Not accepted",N725:O725&lt;&gt;"",$S725=""),AND(J725="Accepted",S725="")),"ERROR","OK")</f>
        <v>OK</v>
      </c>
      <c r="AB725" s="240" t="str">
        <f t="shared" si="93"/>
        <v>OK</v>
      </c>
      <c r="AC725" s="240" t="str" cm="1">
        <f t="array" ref="AC725">IF(AND(F725:H725&lt;&gt;"",I725=""),"ERROR","OK")</f>
        <v>OK</v>
      </c>
      <c r="AD725" s="240" t="str">
        <f t="shared" si="94"/>
        <v>OK</v>
      </c>
      <c r="AE725" s="240" t="str">
        <f t="shared" si="95"/>
        <v>OK</v>
      </c>
      <c r="AF725" s="240" t="str" cm="1">
        <f t="array" aca="1" ref="AF725" ca="1" xml:space="preserve">
IF(AND($G725&lt;&gt;"",$F725=""),"ERROR",
IF(OR($F725:$G725="",AND($G725="",$F725&lt;&gt;"")),"OK",
IF(COUNTIF(INDIRECT(IFERROR(LEFT($F725,FIND(" ",$F725)-1),$F725)), $G725)&gt;0, "OK", "ERROR")))</f>
        <v>OK</v>
      </c>
    </row>
    <row r="726" spans="1:32" s="240" customFormat="1">
      <c r="A726" s="48"/>
      <c r="B726" s="31"/>
      <c r="C726" s="48"/>
      <c r="D726" s="47"/>
      <c r="E726" s="47"/>
      <c r="F726" s="31"/>
      <c r="G726" s="31"/>
      <c r="H726" s="31"/>
      <c r="I726" s="47"/>
      <c r="J726" s="31"/>
      <c r="K726" s="47"/>
      <c r="L726" s="47"/>
      <c r="M726" s="47"/>
      <c r="N726" s="31"/>
      <c r="O726" s="47"/>
      <c r="P726" s="31"/>
      <c r="Q726" s="31"/>
      <c r="R726" s="31"/>
      <c r="S726" s="31"/>
      <c r="T726" s="270">
        <f t="shared" si="88"/>
        <v>0</v>
      </c>
      <c r="U726" s="270">
        <f t="shared" si="89"/>
        <v>0</v>
      </c>
      <c r="V726" s="31"/>
      <c r="X726" s="240" t="str">
        <f t="shared" si="90"/>
        <v>OK</v>
      </c>
      <c r="Y726" s="240" t="str">
        <f t="shared" si="91"/>
        <v>OK</v>
      </c>
      <c r="Z726" s="240" t="str">
        <f t="shared" si="92"/>
        <v>OK</v>
      </c>
      <c r="AA726" s="240" t="str" cm="1">
        <f t="array" ref="AA726">IF(OR(AND(J726="Not accepted",N726:O726&lt;&gt;"",$S726=""),AND(J726="Accepted",S726="")),"ERROR","OK")</f>
        <v>OK</v>
      </c>
      <c r="AB726" s="240" t="str">
        <f t="shared" si="93"/>
        <v>OK</v>
      </c>
      <c r="AC726" s="240" t="str" cm="1">
        <f t="array" ref="AC726">IF(AND(F726:H726&lt;&gt;"",I726=""),"ERROR","OK")</f>
        <v>OK</v>
      </c>
      <c r="AD726" s="240" t="str">
        <f t="shared" si="94"/>
        <v>OK</v>
      </c>
      <c r="AE726" s="240" t="str">
        <f t="shared" si="95"/>
        <v>OK</v>
      </c>
      <c r="AF726" s="240" t="str" cm="1">
        <f t="array" aca="1" ref="AF726" ca="1" xml:space="preserve">
IF(AND($G726&lt;&gt;"",$F726=""),"ERROR",
IF(OR($F726:$G726="",AND($G726="",$F726&lt;&gt;"")),"OK",
IF(COUNTIF(INDIRECT(IFERROR(LEFT($F726,FIND(" ",$F726)-1),$F726)), $G726)&gt;0, "OK", "ERROR")))</f>
        <v>OK</v>
      </c>
    </row>
    <row r="727" spans="1:32" s="240" customFormat="1">
      <c r="A727" s="48"/>
      <c r="B727" s="31"/>
      <c r="C727" s="48"/>
      <c r="D727" s="47"/>
      <c r="E727" s="47"/>
      <c r="F727" s="31"/>
      <c r="G727" s="31"/>
      <c r="H727" s="31"/>
      <c r="I727" s="47"/>
      <c r="J727" s="31"/>
      <c r="K727" s="47"/>
      <c r="L727" s="47"/>
      <c r="M727" s="47"/>
      <c r="N727" s="31"/>
      <c r="O727" s="47"/>
      <c r="P727" s="31"/>
      <c r="Q727" s="31"/>
      <c r="R727" s="31"/>
      <c r="S727" s="31"/>
      <c r="T727" s="270">
        <f t="shared" si="88"/>
        <v>0</v>
      </c>
      <c r="U727" s="270">
        <f t="shared" si="89"/>
        <v>0</v>
      </c>
      <c r="V727" s="31"/>
      <c r="X727" s="240" t="str">
        <f t="shared" si="90"/>
        <v>OK</v>
      </c>
      <c r="Y727" s="240" t="str">
        <f t="shared" si="91"/>
        <v>OK</v>
      </c>
      <c r="Z727" s="240" t="str">
        <f t="shared" si="92"/>
        <v>OK</v>
      </c>
      <c r="AA727" s="240" t="str" cm="1">
        <f t="array" ref="AA727">IF(OR(AND(J727="Not accepted",N727:O727&lt;&gt;"",$S727=""),AND(J727="Accepted",S727="")),"ERROR","OK")</f>
        <v>OK</v>
      </c>
      <c r="AB727" s="240" t="str">
        <f t="shared" si="93"/>
        <v>OK</v>
      </c>
      <c r="AC727" s="240" t="str" cm="1">
        <f t="array" ref="AC727">IF(AND(F727:H727&lt;&gt;"",I727=""),"ERROR","OK")</f>
        <v>OK</v>
      </c>
      <c r="AD727" s="240" t="str">
        <f t="shared" si="94"/>
        <v>OK</v>
      </c>
      <c r="AE727" s="240" t="str">
        <f t="shared" si="95"/>
        <v>OK</v>
      </c>
      <c r="AF727" s="240" t="str" cm="1">
        <f t="array" aca="1" ref="AF727" ca="1" xml:space="preserve">
IF(AND($G727&lt;&gt;"",$F727=""),"ERROR",
IF(OR($F727:$G727="",AND($G727="",$F727&lt;&gt;"")),"OK",
IF(COUNTIF(INDIRECT(IFERROR(LEFT($F727,FIND(" ",$F727)-1),$F727)), $G727)&gt;0, "OK", "ERROR")))</f>
        <v>OK</v>
      </c>
    </row>
    <row r="728" spans="1:32" s="240" customFormat="1">
      <c r="A728" s="48"/>
      <c r="B728" s="31"/>
      <c r="C728" s="48"/>
      <c r="D728" s="47"/>
      <c r="E728" s="47"/>
      <c r="F728" s="31"/>
      <c r="G728" s="31"/>
      <c r="H728" s="31"/>
      <c r="I728" s="47"/>
      <c r="J728" s="31"/>
      <c r="K728" s="47"/>
      <c r="L728" s="47"/>
      <c r="M728" s="47"/>
      <c r="N728" s="31"/>
      <c r="O728" s="47"/>
      <c r="P728" s="31"/>
      <c r="Q728" s="31"/>
      <c r="R728" s="31"/>
      <c r="S728" s="31"/>
      <c r="T728" s="270">
        <f t="shared" si="88"/>
        <v>0</v>
      </c>
      <c r="U728" s="270">
        <f t="shared" si="89"/>
        <v>0</v>
      </c>
      <c r="V728" s="31"/>
      <c r="X728" s="240" t="str">
        <f t="shared" si="90"/>
        <v>OK</v>
      </c>
      <c r="Y728" s="240" t="str">
        <f t="shared" si="91"/>
        <v>OK</v>
      </c>
      <c r="Z728" s="240" t="str">
        <f t="shared" si="92"/>
        <v>OK</v>
      </c>
      <c r="AA728" s="240" t="str" cm="1">
        <f t="array" ref="AA728">IF(OR(AND(J728="Not accepted",N728:O728&lt;&gt;"",$S728=""),AND(J728="Accepted",S728="")),"ERROR","OK")</f>
        <v>OK</v>
      </c>
      <c r="AB728" s="240" t="str">
        <f t="shared" si="93"/>
        <v>OK</v>
      </c>
      <c r="AC728" s="240" t="str" cm="1">
        <f t="array" ref="AC728">IF(AND(F728:H728&lt;&gt;"",I728=""),"ERROR","OK")</f>
        <v>OK</v>
      </c>
      <c r="AD728" s="240" t="str">
        <f t="shared" si="94"/>
        <v>OK</v>
      </c>
      <c r="AE728" s="240" t="str">
        <f t="shared" si="95"/>
        <v>OK</v>
      </c>
      <c r="AF728" s="240" t="str" cm="1">
        <f t="array" aca="1" ref="AF728" ca="1" xml:space="preserve">
IF(AND($G728&lt;&gt;"",$F728=""),"ERROR",
IF(OR($F728:$G728="",AND($G728="",$F728&lt;&gt;"")),"OK",
IF(COUNTIF(INDIRECT(IFERROR(LEFT($F728,FIND(" ",$F728)-1),$F728)), $G728)&gt;0, "OK", "ERROR")))</f>
        <v>OK</v>
      </c>
    </row>
    <row r="729" spans="1:32" s="240" customFormat="1">
      <c r="A729" s="48"/>
      <c r="B729" s="31"/>
      <c r="C729" s="48"/>
      <c r="D729" s="47"/>
      <c r="E729" s="47"/>
      <c r="F729" s="31"/>
      <c r="G729" s="31"/>
      <c r="H729" s="31"/>
      <c r="I729" s="47"/>
      <c r="J729" s="31"/>
      <c r="K729" s="47"/>
      <c r="L729" s="47"/>
      <c r="M729" s="47"/>
      <c r="N729" s="31"/>
      <c r="O729" s="47"/>
      <c r="P729" s="31"/>
      <c r="Q729" s="31"/>
      <c r="R729" s="31"/>
      <c r="S729" s="31"/>
      <c r="T729" s="270">
        <f t="shared" si="88"/>
        <v>0</v>
      </c>
      <c r="U729" s="270">
        <f t="shared" si="89"/>
        <v>0</v>
      </c>
      <c r="V729" s="31"/>
      <c r="X729" s="240" t="str">
        <f t="shared" si="90"/>
        <v>OK</v>
      </c>
      <c r="Y729" s="240" t="str">
        <f t="shared" si="91"/>
        <v>OK</v>
      </c>
      <c r="Z729" s="240" t="str">
        <f t="shared" si="92"/>
        <v>OK</v>
      </c>
      <c r="AA729" s="240" t="str" cm="1">
        <f t="array" ref="AA729">IF(OR(AND(J729="Not accepted",N729:O729&lt;&gt;"",$S729=""),AND(J729="Accepted",S729="")),"ERROR","OK")</f>
        <v>OK</v>
      </c>
      <c r="AB729" s="240" t="str">
        <f t="shared" si="93"/>
        <v>OK</v>
      </c>
      <c r="AC729" s="240" t="str" cm="1">
        <f t="array" ref="AC729">IF(AND(F729:H729&lt;&gt;"",I729=""),"ERROR","OK")</f>
        <v>OK</v>
      </c>
      <c r="AD729" s="240" t="str">
        <f t="shared" si="94"/>
        <v>OK</v>
      </c>
      <c r="AE729" s="240" t="str">
        <f t="shared" si="95"/>
        <v>OK</v>
      </c>
      <c r="AF729" s="240" t="str" cm="1">
        <f t="array" aca="1" ref="AF729" ca="1" xml:space="preserve">
IF(AND($G729&lt;&gt;"",$F729=""),"ERROR",
IF(OR($F729:$G729="",AND($G729="",$F729&lt;&gt;"")),"OK",
IF(COUNTIF(INDIRECT(IFERROR(LEFT($F729,FIND(" ",$F729)-1),$F729)), $G729)&gt;0, "OK", "ERROR")))</f>
        <v>OK</v>
      </c>
    </row>
    <row r="730" spans="1:32" s="240" customFormat="1">
      <c r="A730" s="48"/>
      <c r="B730" s="31"/>
      <c r="C730" s="48"/>
      <c r="D730" s="47"/>
      <c r="E730" s="47"/>
      <c r="F730" s="31"/>
      <c r="G730" s="31"/>
      <c r="H730" s="31"/>
      <c r="I730" s="47"/>
      <c r="J730" s="31"/>
      <c r="K730" s="47"/>
      <c r="L730" s="47"/>
      <c r="M730" s="47"/>
      <c r="N730" s="31"/>
      <c r="O730" s="47"/>
      <c r="P730" s="31"/>
      <c r="Q730" s="31"/>
      <c r="R730" s="31"/>
      <c r="S730" s="31"/>
      <c r="T730" s="270">
        <f t="shared" si="88"/>
        <v>0</v>
      </c>
      <c r="U730" s="270">
        <f t="shared" si="89"/>
        <v>0</v>
      </c>
      <c r="V730" s="31"/>
      <c r="X730" s="240" t="str">
        <f t="shared" si="90"/>
        <v>OK</v>
      </c>
      <c r="Y730" s="240" t="str">
        <f t="shared" si="91"/>
        <v>OK</v>
      </c>
      <c r="Z730" s="240" t="str">
        <f t="shared" si="92"/>
        <v>OK</v>
      </c>
      <c r="AA730" s="240" t="str" cm="1">
        <f t="array" ref="AA730">IF(OR(AND(J730="Not accepted",N730:O730&lt;&gt;"",$S730=""),AND(J730="Accepted",S730="")),"ERROR","OK")</f>
        <v>OK</v>
      </c>
      <c r="AB730" s="240" t="str">
        <f t="shared" si="93"/>
        <v>OK</v>
      </c>
      <c r="AC730" s="240" t="str" cm="1">
        <f t="array" ref="AC730">IF(AND(F730:H730&lt;&gt;"",I730=""),"ERROR","OK")</f>
        <v>OK</v>
      </c>
      <c r="AD730" s="240" t="str">
        <f t="shared" si="94"/>
        <v>OK</v>
      </c>
      <c r="AE730" s="240" t="str">
        <f t="shared" si="95"/>
        <v>OK</v>
      </c>
      <c r="AF730" s="240" t="str" cm="1">
        <f t="array" aca="1" ref="AF730" ca="1" xml:space="preserve">
IF(AND($G730&lt;&gt;"",$F730=""),"ERROR",
IF(OR($F730:$G730="",AND($G730="",$F730&lt;&gt;"")),"OK",
IF(COUNTIF(INDIRECT(IFERROR(LEFT($F730,FIND(" ",$F730)-1),$F730)), $G730)&gt;0, "OK", "ERROR")))</f>
        <v>OK</v>
      </c>
    </row>
    <row r="731" spans="1:32" s="240" customFormat="1">
      <c r="A731" s="48"/>
      <c r="B731" s="31"/>
      <c r="C731" s="48"/>
      <c r="D731" s="47"/>
      <c r="E731" s="47"/>
      <c r="F731" s="31"/>
      <c r="G731" s="31"/>
      <c r="H731" s="31"/>
      <c r="I731" s="47"/>
      <c r="J731" s="31"/>
      <c r="K731" s="47"/>
      <c r="L731" s="47"/>
      <c r="M731" s="47"/>
      <c r="N731" s="31"/>
      <c r="O731" s="47"/>
      <c r="P731" s="31"/>
      <c r="Q731" s="31"/>
      <c r="R731" s="31"/>
      <c r="S731" s="31"/>
      <c r="T731" s="270">
        <f t="shared" si="88"/>
        <v>0</v>
      </c>
      <c r="U731" s="270">
        <f t="shared" si="89"/>
        <v>0</v>
      </c>
      <c r="V731" s="31"/>
      <c r="X731" s="240" t="str">
        <f t="shared" si="90"/>
        <v>OK</v>
      </c>
      <c r="Y731" s="240" t="str">
        <f t="shared" si="91"/>
        <v>OK</v>
      </c>
      <c r="Z731" s="240" t="str">
        <f t="shared" si="92"/>
        <v>OK</v>
      </c>
      <c r="AA731" s="240" t="str" cm="1">
        <f t="array" ref="AA731">IF(OR(AND(J731="Not accepted",N731:O731&lt;&gt;"",$S731=""),AND(J731="Accepted",S731="")),"ERROR","OK")</f>
        <v>OK</v>
      </c>
      <c r="AB731" s="240" t="str">
        <f t="shared" si="93"/>
        <v>OK</v>
      </c>
      <c r="AC731" s="240" t="str" cm="1">
        <f t="array" ref="AC731">IF(AND(F731:H731&lt;&gt;"",I731=""),"ERROR","OK")</f>
        <v>OK</v>
      </c>
      <c r="AD731" s="240" t="str">
        <f t="shared" si="94"/>
        <v>OK</v>
      </c>
      <c r="AE731" s="240" t="str">
        <f t="shared" si="95"/>
        <v>OK</v>
      </c>
      <c r="AF731" s="240" t="str" cm="1">
        <f t="array" aca="1" ref="AF731" ca="1" xml:space="preserve">
IF(AND($G731&lt;&gt;"",$F731=""),"ERROR",
IF(OR($F731:$G731="",AND($G731="",$F731&lt;&gt;"")),"OK",
IF(COUNTIF(INDIRECT(IFERROR(LEFT($F731,FIND(" ",$F731)-1),$F731)), $G731)&gt;0, "OK", "ERROR")))</f>
        <v>OK</v>
      </c>
    </row>
    <row r="732" spans="1:32" s="240" customFormat="1">
      <c r="A732" s="48"/>
      <c r="B732" s="31"/>
      <c r="C732" s="48"/>
      <c r="D732" s="47"/>
      <c r="E732" s="47"/>
      <c r="F732" s="31"/>
      <c r="G732" s="31"/>
      <c r="H732" s="31"/>
      <c r="I732" s="47"/>
      <c r="J732" s="31"/>
      <c r="K732" s="47"/>
      <c r="L732" s="47"/>
      <c r="M732" s="47"/>
      <c r="N732" s="31"/>
      <c r="O732" s="47"/>
      <c r="P732" s="31"/>
      <c r="Q732" s="31"/>
      <c r="R732" s="31"/>
      <c r="S732" s="31"/>
      <c r="T732" s="270">
        <f t="shared" si="88"/>
        <v>0</v>
      </c>
      <c r="U732" s="270">
        <f t="shared" si="89"/>
        <v>0</v>
      </c>
      <c r="V732" s="31"/>
      <c r="X732" s="240" t="str">
        <f t="shared" si="90"/>
        <v>OK</v>
      </c>
      <c r="Y732" s="240" t="str">
        <f t="shared" si="91"/>
        <v>OK</v>
      </c>
      <c r="Z732" s="240" t="str">
        <f t="shared" si="92"/>
        <v>OK</v>
      </c>
      <c r="AA732" s="240" t="str" cm="1">
        <f t="array" ref="AA732">IF(OR(AND(J732="Not accepted",N732:O732&lt;&gt;"",$S732=""),AND(J732="Accepted",S732="")),"ERROR","OK")</f>
        <v>OK</v>
      </c>
      <c r="AB732" s="240" t="str">
        <f t="shared" si="93"/>
        <v>OK</v>
      </c>
      <c r="AC732" s="240" t="str" cm="1">
        <f t="array" ref="AC732">IF(AND(F732:H732&lt;&gt;"",I732=""),"ERROR","OK")</f>
        <v>OK</v>
      </c>
      <c r="AD732" s="240" t="str">
        <f t="shared" si="94"/>
        <v>OK</v>
      </c>
      <c r="AE732" s="240" t="str">
        <f t="shared" si="95"/>
        <v>OK</v>
      </c>
      <c r="AF732" s="240" t="str" cm="1">
        <f t="array" aca="1" ref="AF732" ca="1" xml:space="preserve">
IF(AND($G732&lt;&gt;"",$F732=""),"ERROR",
IF(OR($F732:$G732="",AND($G732="",$F732&lt;&gt;"")),"OK",
IF(COUNTIF(INDIRECT(IFERROR(LEFT($F732,FIND(" ",$F732)-1),$F732)), $G732)&gt;0, "OK", "ERROR")))</f>
        <v>OK</v>
      </c>
    </row>
    <row r="733" spans="1:32" s="240" customFormat="1">
      <c r="A733" s="48"/>
      <c r="B733" s="31"/>
      <c r="C733" s="48"/>
      <c r="D733" s="47"/>
      <c r="E733" s="47"/>
      <c r="F733" s="31"/>
      <c r="G733" s="31"/>
      <c r="H733" s="31"/>
      <c r="I733" s="47"/>
      <c r="J733" s="31"/>
      <c r="K733" s="47"/>
      <c r="L733" s="47"/>
      <c r="M733" s="47"/>
      <c r="N733" s="31"/>
      <c r="O733" s="47"/>
      <c r="P733" s="31"/>
      <c r="Q733" s="31"/>
      <c r="R733" s="31"/>
      <c r="S733" s="31"/>
      <c r="T733" s="270">
        <f t="shared" si="88"/>
        <v>0</v>
      </c>
      <c r="U733" s="270">
        <f t="shared" si="89"/>
        <v>0</v>
      </c>
      <c r="V733" s="31"/>
      <c r="X733" s="240" t="str">
        <f t="shared" si="90"/>
        <v>OK</v>
      </c>
      <c r="Y733" s="240" t="str">
        <f t="shared" si="91"/>
        <v>OK</v>
      </c>
      <c r="Z733" s="240" t="str">
        <f t="shared" si="92"/>
        <v>OK</v>
      </c>
      <c r="AA733" s="240" t="str" cm="1">
        <f t="array" ref="AA733">IF(OR(AND(J733="Not accepted",N733:O733&lt;&gt;"",$S733=""),AND(J733="Accepted",S733="")),"ERROR","OK")</f>
        <v>OK</v>
      </c>
      <c r="AB733" s="240" t="str">
        <f t="shared" si="93"/>
        <v>OK</v>
      </c>
      <c r="AC733" s="240" t="str" cm="1">
        <f t="array" ref="AC733">IF(AND(F733:H733&lt;&gt;"",I733=""),"ERROR","OK")</f>
        <v>OK</v>
      </c>
      <c r="AD733" s="240" t="str">
        <f t="shared" si="94"/>
        <v>OK</v>
      </c>
      <c r="AE733" s="240" t="str">
        <f t="shared" si="95"/>
        <v>OK</v>
      </c>
      <c r="AF733" s="240" t="str" cm="1">
        <f t="array" aca="1" ref="AF733" ca="1" xml:space="preserve">
IF(AND($G733&lt;&gt;"",$F733=""),"ERROR",
IF(OR($F733:$G733="",AND($G733="",$F733&lt;&gt;"")),"OK",
IF(COUNTIF(INDIRECT(IFERROR(LEFT($F733,FIND(" ",$F733)-1),$F733)), $G733)&gt;0, "OK", "ERROR")))</f>
        <v>OK</v>
      </c>
    </row>
    <row r="734" spans="1:32" s="240" customFormat="1">
      <c r="A734" s="48"/>
      <c r="B734" s="31"/>
      <c r="C734" s="48"/>
      <c r="D734" s="47"/>
      <c r="E734" s="47"/>
      <c r="F734" s="31"/>
      <c r="G734" s="31"/>
      <c r="H734" s="31"/>
      <c r="I734" s="47"/>
      <c r="J734" s="31"/>
      <c r="K734" s="47"/>
      <c r="L734" s="47"/>
      <c r="M734" s="47"/>
      <c r="N734" s="31"/>
      <c r="O734" s="47"/>
      <c r="P734" s="31"/>
      <c r="Q734" s="31"/>
      <c r="R734" s="31"/>
      <c r="S734" s="31"/>
      <c r="T734" s="270">
        <f t="shared" si="88"/>
        <v>0</v>
      </c>
      <c r="U734" s="270">
        <f t="shared" si="89"/>
        <v>0</v>
      </c>
      <c r="V734" s="31"/>
      <c r="X734" s="240" t="str">
        <f t="shared" si="90"/>
        <v>OK</v>
      </c>
      <c r="Y734" s="240" t="str">
        <f t="shared" si="91"/>
        <v>OK</v>
      </c>
      <c r="Z734" s="240" t="str">
        <f t="shared" si="92"/>
        <v>OK</v>
      </c>
      <c r="AA734" s="240" t="str" cm="1">
        <f t="array" ref="AA734">IF(OR(AND(J734="Not accepted",N734:O734&lt;&gt;"",$S734=""),AND(J734="Accepted",S734="")),"ERROR","OK")</f>
        <v>OK</v>
      </c>
      <c r="AB734" s="240" t="str">
        <f t="shared" si="93"/>
        <v>OK</v>
      </c>
      <c r="AC734" s="240" t="str" cm="1">
        <f t="array" ref="AC734">IF(AND(F734:H734&lt;&gt;"",I734=""),"ERROR","OK")</f>
        <v>OK</v>
      </c>
      <c r="AD734" s="240" t="str">
        <f t="shared" si="94"/>
        <v>OK</v>
      </c>
      <c r="AE734" s="240" t="str">
        <f t="shared" si="95"/>
        <v>OK</v>
      </c>
      <c r="AF734" s="240" t="str" cm="1">
        <f t="array" aca="1" ref="AF734" ca="1" xml:space="preserve">
IF(AND($G734&lt;&gt;"",$F734=""),"ERROR",
IF(OR($F734:$G734="",AND($G734="",$F734&lt;&gt;"")),"OK",
IF(COUNTIF(INDIRECT(IFERROR(LEFT($F734,FIND(" ",$F734)-1),$F734)), $G734)&gt;0, "OK", "ERROR")))</f>
        <v>OK</v>
      </c>
    </row>
    <row r="735" spans="1:32" s="240" customFormat="1">
      <c r="A735" s="48"/>
      <c r="B735" s="31"/>
      <c r="C735" s="48"/>
      <c r="D735" s="47"/>
      <c r="E735" s="47"/>
      <c r="F735" s="31"/>
      <c r="G735" s="31"/>
      <c r="H735" s="31"/>
      <c r="I735" s="47"/>
      <c r="J735" s="31"/>
      <c r="K735" s="47"/>
      <c r="L735" s="47"/>
      <c r="M735" s="47"/>
      <c r="N735" s="31"/>
      <c r="O735" s="47"/>
      <c r="P735" s="31"/>
      <c r="Q735" s="31"/>
      <c r="R735" s="31"/>
      <c r="S735" s="31"/>
      <c r="T735" s="270">
        <f t="shared" si="88"/>
        <v>0</v>
      </c>
      <c r="U735" s="270">
        <f t="shared" si="89"/>
        <v>0</v>
      </c>
      <c r="V735" s="31"/>
      <c r="X735" s="240" t="str">
        <f t="shared" si="90"/>
        <v>OK</v>
      </c>
      <c r="Y735" s="240" t="str">
        <f t="shared" si="91"/>
        <v>OK</v>
      </c>
      <c r="Z735" s="240" t="str">
        <f t="shared" si="92"/>
        <v>OK</v>
      </c>
      <c r="AA735" s="240" t="str" cm="1">
        <f t="array" ref="AA735">IF(OR(AND(J735="Not accepted",N735:O735&lt;&gt;"",$S735=""),AND(J735="Accepted",S735="")),"ERROR","OK")</f>
        <v>OK</v>
      </c>
      <c r="AB735" s="240" t="str">
        <f t="shared" si="93"/>
        <v>OK</v>
      </c>
      <c r="AC735" s="240" t="str" cm="1">
        <f t="array" ref="AC735">IF(AND(F735:H735&lt;&gt;"",I735=""),"ERROR","OK")</f>
        <v>OK</v>
      </c>
      <c r="AD735" s="240" t="str">
        <f t="shared" si="94"/>
        <v>OK</v>
      </c>
      <c r="AE735" s="240" t="str">
        <f t="shared" si="95"/>
        <v>OK</v>
      </c>
      <c r="AF735" s="240" t="str" cm="1">
        <f t="array" aca="1" ref="AF735" ca="1" xml:space="preserve">
IF(AND($G735&lt;&gt;"",$F735=""),"ERROR",
IF(OR($F735:$G735="",AND($G735="",$F735&lt;&gt;"")),"OK",
IF(COUNTIF(INDIRECT(IFERROR(LEFT($F735,FIND(" ",$F735)-1),$F735)), $G735)&gt;0, "OK", "ERROR")))</f>
        <v>OK</v>
      </c>
    </row>
    <row r="736" spans="1:32" s="240" customFormat="1">
      <c r="A736" s="48"/>
      <c r="B736" s="31"/>
      <c r="C736" s="48"/>
      <c r="D736" s="47"/>
      <c r="E736" s="47"/>
      <c r="F736" s="31"/>
      <c r="G736" s="31"/>
      <c r="H736" s="31"/>
      <c r="I736" s="47"/>
      <c r="J736" s="31"/>
      <c r="K736" s="47"/>
      <c r="L736" s="47"/>
      <c r="M736" s="47"/>
      <c r="N736" s="31"/>
      <c r="O736" s="47"/>
      <c r="P736" s="31"/>
      <c r="Q736" s="31"/>
      <c r="R736" s="31"/>
      <c r="S736" s="31"/>
      <c r="T736" s="270">
        <f t="shared" si="88"/>
        <v>0</v>
      </c>
      <c r="U736" s="270">
        <f t="shared" si="89"/>
        <v>0</v>
      </c>
      <c r="V736" s="31"/>
      <c r="X736" s="240" t="str">
        <f t="shared" si="90"/>
        <v>OK</v>
      </c>
      <c r="Y736" s="240" t="str">
        <f t="shared" si="91"/>
        <v>OK</v>
      </c>
      <c r="Z736" s="240" t="str">
        <f t="shared" si="92"/>
        <v>OK</v>
      </c>
      <c r="AA736" s="240" t="str" cm="1">
        <f t="array" ref="AA736">IF(OR(AND(J736="Not accepted",N736:O736&lt;&gt;"",$S736=""),AND(J736="Accepted",S736="")),"ERROR","OK")</f>
        <v>OK</v>
      </c>
      <c r="AB736" s="240" t="str">
        <f t="shared" si="93"/>
        <v>OK</v>
      </c>
      <c r="AC736" s="240" t="str" cm="1">
        <f t="array" ref="AC736">IF(AND(F736:H736&lt;&gt;"",I736=""),"ERROR","OK")</f>
        <v>OK</v>
      </c>
      <c r="AD736" s="240" t="str">
        <f t="shared" si="94"/>
        <v>OK</v>
      </c>
      <c r="AE736" s="240" t="str">
        <f t="shared" si="95"/>
        <v>OK</v>
      </c>
      <c r="AF736" s="240" t="str" cm="1">
        <f t="array" aca="1" ref="AF736" ca="1" xml:space="preserve">
IF(AND($G736&lt;&gt;"",$F736=""),"ERROR",
IF(OR($F736:$G736="",AND($G736="",$F736&lt;&gt;"")),"OK",
IF(COUNTIF(INDIRECT(IFERROR(LEFT($F736,FIND(" ",$F736)-1),$F736)), $G736)&gt;0, "OK", "ERROR")))</f>
        <v>OK</v>
      </c>
    </row>
    <row r="737" spans="1:32" s="240" customFormat="1">
      <c r="A737" s="48"/>
      <c r="B737" s="31"/>
      <c r="C737" s="48"/>
      <c r="D737" s="47"/>
      <c r="E737" s="47"/>
      <c r="F737" s="31"/>
      <c r="G737" s="31"/>
      <c r="H737" s="31"/>
      <c r="I737" s="47"/>
      <c r="J737" s="31"/>
      <c r="K737" s="47"/>
      <c r="L737" s="47"/>
      <c r="M737" s="47"/>
      <c r="N737" s="31"/>
      <c r="O737" s="47"/>
      <c r="P737" s="31"/>
      <c r="Q737" s="31"/>
      <c r="R737" s="31"/>
      <c r="S737" s="31"/>
      <c r="T737" s="270">
        <f t="shared" si="88"/>
        <v>0</v>
      </c>
      <c r="U737" s="270">
        <f t="shared" si="89"/>
        <v>0</v>
      </c>
      <c r="V737" s="31"/>
      <c r="X737" s="240" t="str">
        <f t="shared" si="90"/>
        <v>OK</v>
      </c>
      <c r="Y737" s="240" t="str">
        <f t="shared" si="91"/>
        <v>OK</v>
      </c>
      <c r="Z737" s="240" t="str">
        <f t="shared" si="92"/>
        <v>OK</v>
      </c>
      <c r="AA737" s="240" t="str" cm="1">
        <f t="array" ref="AA737">IF(OR(AND(J737="Not accepted",N737:O737&lt;&gt;"",$S737=""),AND(J737="Accepted",S737="")),"ERROR","OK")</f>
        <v>OK</v>
      </c>
      <c r="AB737" s="240" t="str">
        <f t="shared" si="93"/>
        <v>OK</v>
      </c>
      <c r="AC737" s="240" t="str" cm="1">
        <f t="array" ref="AC737">IF(AND(F737:H737&lt;&gt;"",I737=""),"ERROR","OK")</f>
        <v>OK</v>
      </c>
      <c r="AD737" s="240" t="str">
        <f t="shared" si="94"/>
        <v>OK</v>
      </c>
      <c r="AE737" s="240" t="str">
        <f t="shared" si="95"/>
        <v>OK</v>
      </c>
      <c r="AF737" s="240" t="str" cm="1">
        <f t="array" aca="1" ref="AF737" ca="1" xml:space="preserve">
IF(AND($G737&lt;&gt;"",$F737=""),"ERROR",
IF(OR($F737:$G737="",AND($G737="",$F737&lt;&gt;"")),"OK",
IF(COUNTIF(INDIRECT(IFERROR(LEFT($F737,FIND(" ",$F737)-1),$F737)), $G737)&gt;0, "OK", "ERROR")))</f>
        <v>OK</v>
      </c>
    </row>
    <row r="738" spans="1:32" s="240" customFormat="1">
      <c r="A738" s="48"/>
      <c r="B738" s="31"/>
      <c r="C738" s="48"/>
      <c r="D738" s="47"/>
      <c r="E738" s="47"/>
      <c r="F738" s="31"/>
      <c r="G738" s="31"/>
      <c r="H738" s="31"/>
      <c r="I738" s="47"/>
      <c r="J738" s="31"/>
      <c r="K738" s="47"/>
      <c r="L738" s="47"/>
      <c r="M738" s="47"/>
      <c r="N738" s="31"/>
      <c r="O738" s="47"/>
      <c r="P738" s="31"/>
      <c r="Q738" s="31"/>
      <c r="R738" s="31"/>
      <c r="S738" s="31"/>
      <c r="T738" s="270">
        <f t="shared" si="88"/>
        <v>0</v>
      </c>
      <c r="U738" s="270">
        <f t="shared" si="89"/>
        <v>0</v>
      </c>
      <c r="V738" s="31"/>
      <c r="X738" s="240" t="str">
        <f t="shared" si="90"/>
        <v>OK</v>
      </c>
      <c r="Y738" s="240" t="str">
        <f t="shared" si="91"/>
        <v>OK</v>
      </c>
      <c r="Z738" s="240" t="str">
        <f t="shared" si="92"/>
        <v>OK</v>
      </c>
      <c r="AA738" s="240" t="str" cm="1">
        <f t="array" ref="AA738">IF(OR(AND(J738="Not accepted",N738:O738&lt;&gt;"",$S738=""),AND(J738="Accepted",S738="")),"ERROR","OK")</f>
        <v>OK</v>
      </c>
      <c r="AB738" s="240" t="str">
        <f t="shared" si="93"/>
        <v>OK</v>
      </c>
      <c r="AC738" s="240" t="str" cm="1">
        <f t="array" ref="AC738">IF(AND(F738:H738&lt;&gt;"",I738=""),"ERROR","OK")</f>
        <v>OK</v>
      </c>
      <c r="AD738" s="240" t="str">
        <f t="shared" si="94"/>
        <v>OK</v>
      </c>
      <c r="AE738" s="240" t="str">
        <f t="shared" si="95"/>
        <v>OK</v>
      </c>
      <c r="AF738" s="240" t="str" cm="1">
        <f t="array" aca="1" ref="AF738" ca="1" xml:space="preserve">
IF(AND($G738&lt;&gt;"",$F738=""),"ERROR",
IF(OR($F738:$G738="",AND($G738="",$F738&lt;&gt;"")),"OK",
IF(COUNTIF(INDIRECT(IFERROR(LEFT($F738,FIND(" ",$F738)-1),$F738)), $G738)&gt;0, "OK", "ERROR")))</f>
        <v>OK</v>
      </c>
    </row>
    <row r="739" spans="1:32" s="240" customFormat="1">
      <c r="A739" s="48"/>
      <c r="B739" s="31"/>
      <c r="C739" s="48"/>
      <c r="D739" s="47"/>
      <c r="E739" s="47"/>
      <c r="F739" s="31"/>
      <c r="G739" s="31"/>
      <c r="H739" s="31"/>
      <c r="I739" s="47"/>
      <c r="J739" s="31"/>
      <c r="K739" s="47"/>
      <c r="L739" s="47"/>
      <c r="M739" s="47"/>
      <c r="N739" s="31"/>
      <c r="O739" s="47"/>
      <c r="P739" s="31"/>
      <c r="Q739" s="31"/>
      <c r="R739" s="31"/>
      <c r="S739" s="31"/>
      <c r="T739" s="270">
        <f t="shared" si="88"/>
        <v>0</v>
      </c>
      <c r="U739" s="270">
        <f t="shared" si="89"/>
        <v>0</v>
      </c>
      <c r="V739" s="31"/>
      <c r="X739" s="240" t="str">
        <f t="shared" si="90"/>
        <v>OK</v>
      </c>
      <c r="Y739" s="240" t="str">
        <f t="shared" si="91"/>
        <v>OK</v>
      </c>
      <c r="Z739" s="240" t="str">
        <f t="shared" si="92"/>
        <v>OK</v>
      </c>
      <c r="AA739" s="240" t="str" cm="1">
        <f t="array" ref="AA739">IF(OR(AND(J739="Not accepted",N739:O739&lt;&gt;"",$S739=""),AND(J739="Accepted",S739="")),"ERROR","OK")</f>
        <v>OK</v>
      </c>
      <c r="AB739" s="240" t="str">
        <f t="shared" si="93"/>
        <v>OK</v>
      </c>
      <c r="AC739" s="240" t="str" cm="1">
        <f t="array" ref="AC739">IF(AND(F739:H739&lt;&gt;"",I739=""),"ERROR","OK")</f>
        <v>OK</v>
      </c>
      <c r="AD739" s="240" t="str">
        <f t="shared" si="94"/>
        <v>OK</v>
      </c>
      <c r="AE739" s="240" t="str">
        <f t="shared" si="95"/>
        <v>OK</v>
      </c>
      <c r="AF739" s="240" t="str" cm="1">
        <f t="array" aca="1" ref="AF739" ca="1" xml:space="preserve">
IF(AND($G739&lt;&gt;"",$F739=""),"ERROR",
IF(OR($F739:$G739="",AND($G739="",$F739&lt;&gt;"")),"OK",
IF(COUNTIF(INDIRECT(IFERROR(LEFT($F739,FIND(" ",$F739)-1),$F739)), $G739)&gt;0, "OK", "ERROR")))</f>
        <v>OK</v>
      </c>
    </row>
    <row r="740" spans="1:32" s="240" customFormat="1">
      <c r="A740" s="48"/>
      <c r="B740" s="31"/>
      <c r="C740" s="48"/>
      <c r="D740" s="47"/>
      <c r="E740" s="47"/>
      <c r="F740" s="31"/>
      <c r="G740" s="31"/>
      <c r="H740" s="31"/>
      <c r="I740" s="47"/>
      <c r="J740" s="31"/>
      <c r="K740" s="47"/>
      <c r="L740" s="47"/>
      <c r="M740" s="47"/>
      <c r="N740" s="31"/>
      <c r="O740" s="47"/>
      <c r="P740" s="31"/>
      <c r="Q740" s="31"/>
      <c r="R740" s="31"/>
      <c r="S740" s="31"/>
      <c r="T740" s="270">
        <f t="shared" si="88"/>
        <v>0</v>
      </c>
      <c r="U740" s="270">
        <f t="shared" si="89"/>
        <v>0</v>
      </c>
      <c r="V740" s="31"/>
      <c r="X740" s="240" t="str">
        <f t="shared" si="90"/>
        <v>OK</v>
      </c>
      <c r="Y740" s="240" t="str">
        <f t="shared" si="91"/>
        <v>OK</v>
      </c>
      <c r="Z740" s="240" t="str">
        <f t="shared" si="92"/>
        <v>OK</v>
      </c>
      <c r="AA740" s="240" t="str" cm="1">
        <f t="array" ref="AA740">IF(OR(AND(J740="Not accepted",N740:O740&lt;&gt;"",$S740=""),AND(J740="Accepted",S740="")),"ERROR","OK")</f>
        <v>OK</v>
      </c>
      <c r="AB740" s="240" t="str">
        <f t="shared" si="93"/>
        <v>OK</v>
      </c>
      <c r="AC740" s="240" t="str" cm="1">
        <f t="array" ref="AC740">IF(AND(F740:H740&lt;&gt;"",I740=""),"ERROR","OK")</f>
        <v>OK</v>
      </c>
      <c r="AD740" s="240" t="str">
        <f t="shared" si="94"/>
        <v>OK</v>
      </c>
      <c r="AE740" s="240" t="str">
        <f t="shared" si="95"/>
        <v>OK</v>
      </c>
      <c r="AF740" s="240" t="str" cm="1">
        <f t="array" aca="1" ref="AF740" ca="1" xml:space="preserve">
IF(AND($G740&lt;&gt;"",$F740=""),"ERROR",
IF(OR($F740:$G740="",AND($G740="",$F740&lt;&gt;"")),"OK",
IF(COUNTIF(INDIRECT(IFERROR(LEFT($F740,FIND(" ",$F740)-1),$F740)), $G740)&gt;0, "OK", "ERROR")))</f>
        <v>OK</v>
      </c>
    </row>
    <row r="741" spans="1:32" s="240" customFormat="1">
      <c r="A741" s="48"/>
      <c r="B741" s="31"/>
      <c r="C741" s="48"/>
      <c r="D741" s="47"/>
      <c r="E741" s="47"/>
      <c r="F741" s="31"/>
      <c r="G741" s="31"/>
      <c r="H741" s="31"/>
      <c r="I741" s="47"/>
      <c r="J741" s="31"/>
      <c r="K741" s="47"/>
      <c r="L741" s="47"/>
      <c r="M741" s="47"/>
      <c r="N741" s="31"/>
      <c r="O741" s="47"/>
      <c r="P741" s="31"/>
      <c r="Q741" s="31"/>
      <c r="R741" s="31"/>
      <c r="S741" s="31"/>
      <c r="T741" s="270">
        <f t="shared" si="88"/>
        <v>0</v>
      </c>
      <c r="U741" s="270">
        <f t="shared" si="89"/>
        <v>0</v>
      </c>
      <c r="V741" s="31"/>
      <c r="X741" s="240" t="str">
        <f t="shared" si="90"/>
        <v>OK</v>
      </c>
      <c r="Y741" s="240" t="str">
        <f t="shared" si="91"/>
        <v>OK</v>
      </c>
      <c r="Z741" s="240" t="str">
        <f t="shared" si="92"/>
        <v>OK</v>
      </c>
      <c r="AA741" s="240" t="str" cm="1">
        <f t="array" ref="AA741">IF(OR(AND(J741="Not accepted",N741:O741&lt;&gt;"",$S741=""),AND(J741="Accepted",S741="")),"ERROR","OK")</f>
        <v>OK</v>
      </c>
      <c r="AB741" s="240" t="str">
        <f t="shared" si="93"/>
        <v>OK</v>
      </c>
      <c r="AC741" s="240" t="str" cm="1">
        <f t="array" ref="AC741">IF(AND(F741:H741&lt;&gt;"",I741=""),"ERROR","OK")</f>
        <v>OK</v>
      </c>
      <c r="AD741" s="240" t="str">
        <f t="shared" si="94"/>
        <v>OK</v>
      </c>
      <c r="AE741" s="240" t="str">
        <f t="shared" si="95"/>
        <v>OK</v>
      </c>
      <c r="AF741" s="240" t="str" cm="1">
        <f t="array" aca="1" ref="AF741" ca="1" xml:space="preserve">
IF(AND($G741&lt;&gt;"",$F741=""),"ERROR",
IF(OR($F741:$G741="",AND($G741="",$F741&lt;&gt;"")),"OK",
IF(COUNTIF(INDIRECT(IFERROR(LEFT($F741,FIND(" ",$F741)-1),$F741)), $G741)&gt;0, "OK", "ERROR")))</f>
        <v>OK</v>
      </c>
    </row>
    <row r="742" spans="1:32" s="240" customFormat="1">
      <c r="A742" s="48"/>
      <c r="B742" s="31"/>
      <c r="C742" s="48"/>
      <c r="D742" s="47"/>
      <c r="E742" s="47"/>
      <c r="F742" s="31"/>
      <c r="G742" s="31"/>
      <c r="H742" s="31"/>
      <c r="I742" s="47"/>
      <c r="J742" s="31"/>
      <c r="K742" s="47"/>
      <c r="L742" s="47"/>
      <c r="M742" s="47"/>
      <c r="N742" s="31"/>
      <c r="O742" s="47"/>
      <c r="P742" s="31"/>
      <c r="Q742" s="31"/>
      <c r="R742" s="31"/>
      <c r="S742" s="31"/>
      <c r="T742" s="270">
        <f t="shared" si="88"/>
        <v>0</v>
      </c>
      <c r="U742" s="270">
        <f t="shared" si="89"/>
        <v>0</v>
      </c>
      <c r="V742" s="31"/>
      <c r="X742" s="240" t="str">
        <f t="shared" si="90"/>
        <v>OK</v>
      </c>
      <c r="Y742" s="240" t="str">
        <f t="shared" si="91"/>
        <v>OK</v>
      </c>
      <c r="Z742" s="240" t="str">
        <f t="shared" si="92"/>
        <v>OK</v>
      </c>
      <c r="AA742" s="240" t="str" cm="1">
        <f t="array" ref="AA742">IF(OR(AND(J742="Not accepted",N742:O742&lt;&gt;"",$S742=""),AND(J742="Accepted",S742="")),"ERROR","OK")</f>
        <v>OK</v>
      </c>
      <c r="AB742" s="240" t="str">
        <f t="shared" si="93"/>
        <v>OK</v>
      </c>
      <c r="AC742" s="240" t="str" cm="1">
        <f t="array" ref="AC742">IF(AND(F742:H742&lt;&gt;"",I742=""),"ERROR","OK")</f>
        <v>OK</v>
      </c>
      <c r="AD742" s="240" t="str">
        <f t="shared" si="94"/>
        <v>OK</v>
      </c>
      <c r="AE742" s="240" t="str">
        <f t="shared" si="95"/>
        <v>OK</v>
      </c>
      <c r="AF742" s="240" t="str" cm="1">
        <f t="array" aca="1" ref="AF742" ca="1" xml:space="preserve">
IF(AND($G742&lt;&gt;"",$F742=""),"ERROR",
IF(OR($F742:$G742="",AND($G742="",$F742&lt;&gt;"")),"OK",
IF(COUNTIF(INDIRECT(IFERROR(LEFT($F742,FIND(" ",$F742)-1),$F742)), $G742)&gt;0, "OK", "ERROR")))</f>
        <v>OK</v>
      </c>
    </row>
    <row r="743" spans="1:32" s="240" customFormat="1">
      <c r="A743" s="48"/>
      <c r="B743" s="31"/>
      <c r="C743" s="48"/>
      <c r="D743" s="47"/>
      <c r="E743" s="47"/>
      <c r="F743" s="31"/>
      <c r="G743" s="31"/>
      <c r="H743" s="31"/>
      <c r="I743" s="47"/>
      <c r="J743" s="31"/>
      <c r="K743" s="47"/>
      <c r="L743" s="47"/>
      <c r="M743" s="47"/>
      <c r="N743" s="31"/>
      <c r="O743" s="47"/>
      <c r="P743" s="31"/>
      <c r="Q743" s="31"/>
      <c r="R743" s="31"/>
      <c r="S743" s="31"/>
      <c r="T743" s="270">
        <f t="shared" si="88"/>
        <v>0</v>
      </c>
      <c r="U743" s="270">
        <f t="shared" si="89"/>
        <v>0</v>
      </c>
      <c r="V743" s="31"/>
      <c r="X743" s="240" t="str">
        <f t="shared" si="90"/>
        <v>OK</v>
      </c>
      <c r="Y743" s="240" t="str">
        <f t="shared" si="91"/>
        <v>OK</v>
      </c>
      <c r="Z743" s="240" t="str">
        <f t="shared" si="92"/>
        <v>OK</v>
      </c>
      <c r="AA743" s="240" t="str" cm="1">
        <f t="array" ref="AA743">IF(OR(AND(J743="Not accepted",N743:O743&lt;&gt;"",$S743=""),AND(J743="Accepted",S743="")),"ERROR","OK")</f>
        <v>OK</v>
      </c>
      <c r="AB743" s="240" t="str">
        <f t="shared" si="93"/>
        <v>OK</v>
      </c>
      <c r="AC743" s="240" t="str" cm="1">
        <f t="array" ref="AC743">IF(AND(F743:H743&lt;&gt;"",I743=""),"ERROR","OK")</f>
        <v>OK</v>
      </c>
      <c r="AD743" s="240" t="str">
        <f t="shared" si="94"/>
        <v>OK</v>
      </c>
      <c r="AE743" s="240" t="str">
        <f t="shared" si="95"/>
        <v>OK</v>
      </c>
      <c r="AF743" s="240" t="str" cm="1">
        <f t="array" aca="1" ref="AF743" ca="1" xml:space="preserve">
IF(AND($G743&lt;&gt;"",$F743=""),"ERROR",
IF(OR($F743:$G743="",AND($G743="",$F743&lt;&gt;"")),"OK",
IF(COUNTIF(INDIRECT(IFERROR(LEFT($F743,FIND(" ",$F743)-1),$F743)), $G743)&gt;0, "OK", "ERROR")))</f>
        <v>OK</v>
      </c>
    </row>
    <row r="744" spans="1:32" s="240" customFormat="1">
      <c r="A744" s="48"/>
      <c r="B744" s="31"/>
      <c r="C744" s="48"/>
      <c r="D744" s="47"/>
      <c r="E744" s="47"/>
      <c r="F744" s="31"/>
      <c r="G744" s="31"/>
      <c r="H744" s="31"/>
      <c r="I744" s="47"/>
      <c r="J744" s="31"/>
      <c r="K744" s="47"/>
      <c r="L744" s="47"/>
      <c r="M744" s="47"/>
      <c r="N744" s="31"/>
      <c r="O744" s="47"/>
      <c r="P744" s="31"/>
      <c r="Q744" s="31"/>
      <c r="R744" s="31"/>
      <c r="S744" s="31"/>
      <c r="T744" s="270">
        <f t="shared" si="88"/>
        <v>0</v>
      </c>
      <c r="U744" s="270">
        <f t="shared" si="89"/>
        <v>0</v>
      </c>
      <c r="V744" s="31"/>
      <c r="X744" s="240" t="str">
        <f t="shared" si="90"/>
        <v>OK</v>
      </c>
      <c r="Y744" s="240" t="str">
        <f t="shared" si="91"/>
        <v>OK</v>
      </c>
      <c r="Z744" s="240" t="str">
        <f t="shared" si="92"/>
        <v>OK</v>
      </c>
      <c r="AA744" s="240" t="str" cm="1">
        <f t="array" ref="AA744">IF(OR(AND(J744="Not accepted",N744:O744&lt;&gt;"",$S744=""),AND(J744="Accepted",S744="")),"ERROR","OK")</f>
        <v>OK</v>
      </c>
      <c r="AB744" s="240" t="str">
        <f t="shared" si="93"/>
        <v>OK</v>
      </c>
      <c r="AC744" s="240" t="str" cm="1">
        <f t="array" ref="AC744">IF(AND(F744:H744&lt;&gt;"",I744=""),"ERROR","OK")</f>
        <v>OK</v>
      </c>
      <c r="AD744" s="240" t="str">
        <f t="shared" si="94"/>
        <v>OK</v>
      </c>
      <c r="AE744" s="240" t="str">
        <f t="shared" si="95"/>
        <v>OK</v>
      </c>
      <c r="AF744" s="240" t="str" cm="1">
        <f t="array" aca="1" ref="AF744" ca="1" xml:space="preserve">
IF(AND($G744&lt;&gt;"",$F744=""),"ERROR",
IF(OR($F744:$G744="",AND($G744="",$F744&lt;&gt;"")),"OK",
IF(COUNTIF(INDIRECT(IFERROR(LEFT($F744,FIND(" ",$F744)-1),$F744)), $G744)&gt;0, "OK", "ERROR")))</f>
        <v>OK</v>
      </c>
    </row>
    <row r="745" spans="1:32" s="240" customFormat="1">
      <c r="A745" s="48"/>
      <c r="B745" s="31"/>
      <c r="C745" s="48"/>
      <c r="D745" s="47"/>
      <c r="E745" s="47"/>
      <c r="F745" s="31"/>
      <c r="G745" s="31"/>
      <c r="H745" s="31"/>
      <c r="I745" s="47"/>
      <c r="J745" s="31"/>
      <c r="K745" s="47"/>
      <c r="L745" s="47"/>
      <c r="M745" s="47"/>
      <c r="N745" s="31"/>
      <c r="O745" s="47"/>
      <c r="P745" s="31"/>
      <c r="Q745" s="31"/>
      <c r="R745" s="31"/>
      <c r="S745" s="31"/>
      <c r="T745" s="270">
        <f t="shared" si="88"/>
        <v>0</v>
      </c>
      <c r="U745" s="270">
        <f t="shared" si="89"/>
        <v>0</v>
      </c>
      <c r="V745" s="31"/>
      <c r="X745" s="240" t="str">
        <f t="shared" si="90"/>
        <v>OK</v>
      </c>
      <c r="Y745" s="240" t="str">
        <f t="shared" si="91"/>
        <v>OK</v>
      </c>
      <c r="Z745" s="240" t="str">
        <f t="shared" si="92"/>
        <v>OK</v>
      </c>
      <c r="AA745" s="240" t="str" cm="1">
        <f t="array" ref="AA745">IF(OR(AND(J745="Not accepted",N745:O745&lt;&gt;"",$S745=""),AND(J745="Accepted",S745="")),"ERROR","OK")</f>
        <v>OK</v>
      </c>
      <c r="AB745" s="240" t="str">
        <f t="shared" si="93"/>
        <v>OK</v>
      </c>
      <c r="AC745" s="240" t="str" cm="1">
        <f t="array" ref="AC745">IF(AND(F745:H745&lt;&gt;"",I745=""),"ERROR","OK")</f>
        <v>OK</v>
      </c>
      <c r="AD745" s="240" t="str">
        <f t="shared" si="94"/>
        <v>OK</v>
      </c>
      <c r="AE745" s="240" t="str">
        <f t="shared" si="95"/>
        <v>OK</v>
      </c>
      <c r="AF745" s="240" t="str" cm="1">
        <f t="array" aca="1" ref="AF745" ca="1" xml:space="preserve">
IF(AND($G745&lt;&gt;"",$F745=""),"ERROR",
IF(OR($F745:$G745="",AND($G745="",$F745&lt;&gt;"")),"OK",
IF(COUNTIF(INDIRECT(IFERROR(LEFT($F745,FIND(" ",$F745)-1),$F745)), $G745)&gt;0, "OK", "ERROR")))</f>
        <v>OK</v>
      </c>
    </row>
    <row r="746" spans="1:32" s="240" customFormat="1">
      <c r="A746" s="48"/>
      <c r="B746" s="31"/>
      <c r="C746" s="48"/>
      <c r="D746" s="47"/>
      <c r="E746" s="47"/>
      <c r="F746" s="31"/>
      <c r="G746" s="31"/>
      <c r="H746" s="31"/>
      <c r="I746" s="47"/>
      <c r="J746" s="31"/>
      <c r="K746" s="47"/>
      <c r="L746" s="47"/>
      <c r="M746" s="47"/>
      <c r="N746" s="31"/>
      <c r="O746" s="47"/>
      <c r="P746" s="31"/>
      <c r="Q746" s="31"/>
      <c r="R746" s="31"/>
      <c r="S746" s="31"/>
      <c r="T746" s="270">
        <f t="shared" si="88"/>
        <v>0</v>
      </c>
      <c r="U746" s="270">
        <f t="shared" si="89"/>
        <v>0</v>
      </c>
      <c r="V746" s="31"/>
      <c r="X746" s="240" t="str">
        <f t="shared" si="90"/>
        <v>OK</v>
      </c>
      <c r="Y746" s="240" t="str">
        <f t="shared" si="91"/>
        <v>OK</v>
      </c>
      <c r="Z746" s="240" t="str">
        <f t="shared" si="92"/>
        <v>OK</v>
      </c>
      <c r="AA746" s="240" t="str" cm="1">
        <f t="array" ref="AA746">IF(OR(AND(J746="Not accepted",N746:O746&lt;&gt;"",$S746=""),AND(J746="Accepted",S746="")),"ERROR","OK")</f>
        <v>OK</v>
      </c>
      <c r="AB746" s="240" t="str">
        <f t="shared" si="93"/>
        <v>OK</v>
      </c>
      <c r="AC746" s="240" t="str" cm="1">
        <f t="array" ref="AC746">IF(AND(F746:H746&lt;&gt;"",I746=""),"ERROR","OK")</f>
        <v>OK</v>
      </c>
      <c r="AD746" s="240" t="str">
        <f t="shared" si="94"/>
        <v>OK</v>
      </c>
      <c r="AE746" s="240" t="str">
        <f t="shared" si="95"/>
        <v>OK</v>
      </c>
      <c r="AF746" s="240" t="str" cm="1">
        <f t="array" aca="1" ref="AF746" ca="1" xml:space="preserve">
IF(AND($G746&lt;&gt;"",$F746=""),"ERROR",
IF(OR($F746:$G746="",AND($G746="",$F746&lt;&gt;"")),"OK",
IF(COUNTIF(INDIRECT(IFERROR(LEFT($F746,FIND(" ",$F746)-1),$F746)), $G746)&gt;0, "OK", "ERROR")))</f>
        <v>OK</v>
      </c>
    </row>
    <row r="747" spans="1:32" s="240" customFormat="1">
      <c r="A747" s="48"/>
      <c r="B747" s="31"/>
      <c r="C747" s="48"/>
      <c r="D747" s="47"/>
      <c r="E747" s="47"/>
      <c r="F747" s="31"/>
      <c r="G747" s="31"/>
      <c r="H747" s="31"/>
      <c r="I747" s="47"/>
      <c r="J747" s="31"/>
      <c r="K747" s="47"/>
      <c r="L747" s="47"/>
      <c r="M747" s="47"/>
      <c r="N747" s="31"/>
      <c r="O747" s="47"/>
      <c r="P747" s="31"/>
      <c r="Q747" s="31"/>
      <c r="R747" s="31"/>
      <c r="S747" s="31"/>
      <c r="T747" s="270">
        <f t="shared" si="88"/>
        <v>0</v>
      </c>
      <c r="U747" s="270">
        <f t="shared" si="89"/>
        <v>0</v>
      </c>
      <c r="V747" s="31"/>
      <c r="X747" s="240" t="str">
        <f t="shared" si="90"/>
        <v>OK</v>
      </c>
      <c r="Y747" s="240" t="str">
        <f t="shared" si="91"/>
        <v>OK</v>
      </c>
      <c r="Z747" s="240" t="str">
        <f t="shared" si="92"/>
        <v>OK</v>
      </c>
      <c r="AA747" s="240" t="str" cm="1">
        <f t="array" ref="AA747">IF(OR(AND(J747="Not accepted",N747:O747&lt;&gt;"",$S747=""),AND(J747="Accepted",S747="")),"ERROR","OK")</f>
        <v>OK</v>
      </c>
      <c r="AB747" s="240" t="str">
        <f t="shared" si="93"/>
        <v>OK</v>
      </c>
      <c r="AC747" s="240" t="str" cm="1">
        <f t="array" ref="AC747">IF(AND(F747:H747&lt;&gt;"",I747=""),"ERROR","OK")</f>
        <v>OK</v>
      </c>
      <c r="AD747" s="240" t="str">
        <f t="shared" si="94"/>
        <v>OK</v>
      </c>
      <c r="AE747" s="240" t="str">
        <f t="shared" si="95"/>
        <v>OK</v>
      </c>
      <c r="AF747" s="240" t="str" cm="1">
        <f t="array" aca="1" ref="AF747" ca="1" xml:space="preserve">
IF(AND($G747&lt;&gt;"",$F747=""),"ERROR",
IF(OR($F747:$G747="",AND($G747="",$F747&lt;&gt;"")),"OK",
IF(COUNTIF(INDIRECT(IFERROR(LEFT($F747,FIND(" ",$F747)-1),$F747)), $G747)&gt;0, "OK", "ERROR")))</f>
        <v>OK</v>
      </c>
    </row>
    <row r="748" spans="1:32" s="240" customFormat="1">
      <c r="A748" s="48"/>
      <c r="B748" s="31"/>
      <c r="C748" s="48"/>
      <c r="D748" s="47"/>
      <c r="E748" s="47"/>
      <c r="F748" s="31"/>
      <c r="G748" s="31"/>
      <c r="H748" s="31"/>
      <c r="I748" s="47"/>
      <c r="J748" s="31"/>
      <c r="K748" s="47"/>
      <c r="L748" s="47"/>
      <c r="M748" s="47"/>
      <c r="N748" s="31"/>
      <c r="O748" s="47"/>
      <c r="P748" s="31"/>
      <c r="Q748" s="31"/>
      <c r="R748" s="31"/>
      <c r="S748" s="31"/>
      <c r="T748" s="270">
        <f t="shared" si="88"/>
        <v>0</v>
      </c>
      <c r="U748" s="270">
        <f t="shared" si="89"/>
        <v>0</v>
      </c>
      <c r="V748" s="31"/>
      <c r="X748" s="240" t="str">
        <f t="shared" si="90"/>
        <v>OK</v>
      </c>
      <c r="Y748" s="240" t="str">
        <f t="shared" si="91"/>
        <v>OK</v>
      </c>
      <c r="Z748" s="240" t="str">
        <f t="shared" si="92"/>
        <v>OK</v>
      </c>
      <c r="AA748" s="240" t="str" cm="1">
        <f t="array" ref="AA748">IF(OR(AND(J748="Not accepted",N748:O748&lt;&gt;"",$S748=""),AND(J748="Accepted",S748="")),"ERROR","OK")</f>
        <v>OK</v>
      </c>
      <c r="AB748" s="240" t="str">
        <f t="shared" si="93"/>
        <v>OK</v>
      </c>
      <c r="AC748" s="240" t="str" cm="1">
        <f t="array" ref="AC748">IF(AND(F748:H748&lt;&gt;"",I748=""),"ERROR","OK")</f>
        <v>OK</v>
      </c>
      <c r="AD748" s="240" t="str">
        <f t="shared" si="94"/>
        <v>OK</v>
      </c>
      <c r="AE748" s="240" t="str">
        <f t="shared" si="95"/>
        <v>OK</v>
      </c>
      <c r="AF748" s="240" t="str" cm="1">
        <f t="array" aca="1" ref="AF748" ca="1" xml:space="preserve">
IF(AND($G748&lt;&gt;"",$F748=""),"ERROR",
IF(OR($F748:$G748="",AND($G748="",$F748&lt;&gt;"")),"OK",
IF(COUNTIF(INDIRECT(IFERROR(LEFT($F748,FIND(" ",$F748)-1),$F748)), $G748)&gt;0, "OK", "ERROR")))</f>
        <v>OK</v>
      </c>
    </row>
    <row r="749" spans="1:32" s="240" customFormat="1">
      <c r="A749" s="48"/>
      <c r="B749" s="31"/>
      <c r="C749" s="48"/>
      <c r="D749" s="47"/>
      <c r="E749" s="47"/>
      <c r="F749" s="31"/>
      <c r="G749" s="31"/>
      <c r="H749" s="31"/>
      <c r="I749" s="47"/>
      <c r="J749" s="31"/>
      <c r="K749" s="47"/>
      <c r="L749" s="47"/>
      <c r="M749" s="47"/>
      <c r="N749" s="31"/>
      <c r="O749" s="47"/>
      <c r="P749" s="31"/>
      <c r="Q749" s="31"/>
      <c r="R749" s="31"/>
      <c r="S749" s="31"/>
      <c r="T749" s="270">
        <f t="shared" si="88"/>
        <v>0</v>
      </c>
      <c r="U749" s="270">
        <f t="shared" si="89"/>
        <v>0</v>
      </c>
      <c r="V749" s="31"/>
      <c r="X749" s="240" t="str">
        <f t="shared" si="90"/>
        <v>OK</v>
      </c>
      <c r="Y749" s="240" t="str">
        <f t="shared" si="91"/>
        <v>OK</v>
      </c>
      <c r="Z749" s="240" t="str">
        <f t="shared" si="92"/>
        <v>OK</v>
      </c>
      <c r="AA749" s="240" t="str" cm="1">
        <f t="array" ref="AA749">IF(OR(AND(J749="Not accepted",N749:O749&lt;&gt;"",$S749=""),AND(J749="Accepted",S749="")),"ERROR","OK")</f>
        <v>OK</v>
      </c>
      <c r="AB749" s="240" t="str">
        <f t="shared" si="93"/>
        <v>OK</v>
      </c>
      <c r="AC749" s="240" t="str" cm="1">
        <f t="array" ref="AC749">IF(AND(F749:H749&lt;&gt;"",I749=""),"ERROR","OK")</f>
        <v>OK</v>
      </c>
      <c r="AD749" s="240" t="str">
        <f t="shared" si="94"/>
        <v>OK</v>
      </c>
      <c r="AE749" s="240" t="str">
        <f t="shared" si="95"/>
        <v>OK</v>
      </c>
      <c r="AF749" s="240" t="str" cm="1">
        <f t="array" aca="1" ref="AF749" ca="1" xml:space="preserve">
IF(AND($G749&lt;&gt;"",$F749=""),"ERROR",
IF(OR($F749:$G749="",AND($G749="",$F749&lt;&gt;"")),"OK",
IF(COUNTIF(INDIRECT(IFERROR(LEFT($F749,FIND(" ",$F749)-1),$F749)), $G749)&gt;0, "OK", "ERROR")))</f>
        <v>OK</v>
      </c>
    </row>
    <row r="750" spans="1:32" s="240" customFormat="1">
      <c r="A750" s="48"/>
      <c r="B750" s="31"/>
      <c r="C750" s="48"/>
      <c r="D750" s="47"/>
      <c r="E750" s="47"/>
      <c r="F750" s="31"/>
      <c r="G750" s="31"/>
      <c r="H750" s="31"/>
      <c r="I750" s="47"/>
      <c r="J750" s="31"/>
      <c r="K750" s="47"/>
      <c r="L750" s="47"/>
      <c r="M750" s="47"/>
      <c r="N750" s="31"/>
      <c r="O750" s="47"/>
      <c r="P750" s="31"/>
      <c r="Q750" s="31"/>
      <c r="R750" s="31"/>
      <c r="S750" s="31"/>
      <c r="T750" s="270">
        <f t="shared" si="88"/>
        <v>0</v>
      </c>
      <c r="U750" s="270">
        <f t="shared" si="89"/>
        <v>0</v>
      </c>
      <c r="V750" s="31"/>
      <c r="X750" s="240" t="str">
        <f t="shared" si="90"/>
        <v>OK</v>
      </c>
      <c r="Y750" s="240" t="str">
        <f t="shared" si="91"/>
        <v>OK</v>
      </c>
      <c r="Z750" s="240" t="str">
        <f t="shared" si="92"/>
        <v>OK</v>
      </c>
      <c r="AA750" s="240" t="str" cm="1">
        <f t="array" ref="AA750">IF(OR(AND(J750="Not accepted",N750:O750&lt;&gt;"",$S750=""),AND(J750="Accepted",S750="")),"ERROR","OK")</f>
        <v>OK</v>
      </c>
      <c r="AB750" s="240" t="str">
        <f t="shared" si="93"/>
        <v>OK</v>
      </c>
      <c r="AC750" s="240" t="str" cm="1">
        <f t="array" ref="AC750">IF(AND(F750:H750&lt;&gt;"",I750=""),"ERROR","OK")</f>
        <v>OK</v>
      </c>
      <c r="AD750" s="240" t="str">
        <f t="shared" si="94"/>
        <v>OK</v>
      </c>
      <c r="AE750" s="240" t="str">
        <f t="shared" si="95"/>
        <v>OK</v>
      </c>
      <c r="AF750" s="240" t="str" cm="1">
        <f t="array" aca="1" ref="AF750" ca="1" xml:space="preserve">
IF(AND($G750&lt;&gt;"",$F750=""),"ERROR",
IF(OR($F750:$G750="",AND($G750="",$F750&lt;&gt;"")),"OK",
IF(COUNTIF(INDIRECT(IFERROR(LEFT($F750,FIND(" ",$F750)-1),$F750)), $G750)&gt;0, "OK", "ERROR")))</f>
        <v>OK</v>
      </c>
    </row>
    <row r="751" spans="1:32" s="240" customFormat="1">
      <c r="A751" s="48"/>
      <c r="B751" s="31"/>
      <c r="C751" s="48"/>
      <c r="D751" s="47"/>
      <c r="E751" s="47"/>
      <c r="F751" s="31"/>
      <c r="G751" s="31"/>
      <c r="H751" s="31"/>
      <c r="I751" s="47"/>
      <c r="J751" s="31"/>
      <c r="K751" s="47"/>
      <c r="L751" s="47"/>
      <c r="M751" s="47"/>
      <c r="N751" s="31"/>
      <c r="O751" s="47"/>
      <c r="P751" s="31"/>
      <c r="Q751" s="31"/>
      <c r="R751" s="31"/>
      <c r="S751" s="31"/>
      <c r="T751" s="270">
        <f t="shared" si="88"/>
        <v>0</v>
      </c>
      <c r="U751" s="270">
        <f t="shared" si="89"/>
        <v>0</v>
      </c>
      <c r="V751" s="31"/>
      <c r="X751" s="240" t="str">
        <f t="shared" si="90"/>
        <v>OK</v>
      </c>
      <c r="Y751" s="240" t="str">
        <f t="shared" si="91"/>
        <v>OK</v>
      </c>
      <c r="Z751" s="240" t="str">
        <f t="shared" si="92"/>
        <v>OK</v>
      </c>
      <c r="AA751" s="240" t="str" cm="1">
        <f t="array" ref="AA751">IF(OR(AND(J751="Not accepted",N751:O751&lt;&gt;"",$S751=""),AND(J751="Accepted",S751="")),"ERROR","OK")</f>
        <v>OK</v>
      </c>
      <c r="AB751" s="240" t="str">
        <f t="shared" si="93"/>
        <v>OK</v>
      </c>
      <c r="AC751" s="240" t="str" cm="1">
        <f t="array" ref="AC751">IF(AND(F751:H751&lt;&gt;"",I751=""),"ERROR","OK")</f>
        <v>OK</v>
      </c>
      <c r="AD751" s="240" t="str">
        <f t="shared" si="94"/>
        <v>OK</v>
      </c>
      <c r="AE751" s="240" t="str">
        <f t="shared" si="95"/>
        <v>OK</v>
      </c>
      <c r="AF751" s="240" t="str" cm="1">
        <f t="array" aca="1" ref="AF751" ca="1" xml:space="preserve">
IF(AND($G751&lt;&gt;"",$F751=""),"ERROR",
IF(OR($F751:$G751="",AND($G751="",$F751&lt;&gt;"")),"OK",
IF(COUNTIF(INDIRECT(IFERROR(LEFT($F751,FIND(" ",$F751)-1),$F751)), $G751)&gt;0, "OK", "ERROR")))</f>
        <v>OK</v>
      </c>
    </row>
    <row r="752" spans="1:32" s="240" customFormat="1">
      <c r="A752" s="48"/>
      <c r="B752" s="31"/>
      <c r="C752" s="48"/>
      <c r="D752" s="47"/>
      <c r="E752" s="47"/>
      <c r="F752" s="31"/>
      <c r="G752" s="31"/>
      <c r="H752" s="31"/>
      <c r="I752" s="47"/>
      <c r="J752" s="31"/>
      <c r="K752" s="47"/>
      <c r="L752" s="47"/>
      <c r="M752" s="47"/>
      <c r="N752" s="31"/>
      <c r="O752" s="47"/>
      <c r="P752" s="31"/>
      <c r="Q752" s="31"/>
      <c r="R752" s="31"/>
      <c r="S752" s="31"/>
      <c r="T752" s="270">
        <f t="shared" si="88"/>
        <v>0</v>
      </c>
      <c r="U752" s="270">
        <f t="shared" si="89"/>
        <v>0</v>
      </c>
      <c r="V752" s="31"/>
      <c r="X752" s="240" t="str">
        <f t="shared" si="90"/>
        <v>OK</v>
      </c>
      <c r="Y752" s="240" t="str">
        <f t="shared" si="91"/>
        <v>OK</v>
      </c>
      <c r="Z752" s="240" t="str">
        <f t="shared" si="92"/>
        <v>OK</v>
      </c>
      <c r="AA752" s="240" t="str" cm="1">
        <f t="array" ref="AA752">IF(OR(AND(J752="Not accepted",N752:O752&lt;&gt;"",$S752=""),AND(J752="Accepted",S752="")),"ERROR","OK")</f>
        <v>OK</v>
      </c>
      <c r="AB752" s="240" t="str">
        <f t="shared" si="93"/>
        <v>OK</v>
      </c>
      <c r="AC752" s="240" t="str" cm="1">
        <f t="array" ref="AC752">IF(AND(F752:H752&lt;&gt;"",I752=""),"ERROR","OK")</f>
        <v>OK</v>
      </c>
      <c r="AD752" s="240" t="str">
        <f t="shared" si="94"/>
        <v>OK</v>
      </c>
      <c r="AE752" s="240" t="str">
        <f t="shared" si="95"/>
        <v>OK</v>
      </c>
      <c r="AF752" s="240" t="str" cm="1">
        <f t="array" aca="1" ref="AF752" ca="1" xml:space="preserve">
IF(AND($G752&lt;&gt;"",$F752=""),"ERROR",
IF(OR($F752:$G752="",AND($G752="",$F752&lt;&gt;"")),"OK",
IF(COUNTIF(INDIRECT(IFERROR(LEFT($F752,FIND(" ",$F752)-1),$F752)), $G752)&gt;0, "OK", "ERROR")))</f>
        <v>OK</v>
      </c>
    </row>
    <row r="753" spans="1:32" s="240" customFormat="1">
      <c r="A753" s="48"/>
      <c r="B753" s="31"/>
      <c r="C753" s="48"/>
      <c r="D753" s="47"/>
      <c r="E753" s="47"/>
      <c r="F753" s="31"/>
      <c r="G753" s="31"/>
      <c r="H753" s="31"/>
      <c r="I753" s="47"/>
      <c r="J753" s="31"/>
      <c r="K753" s="47"/>
      <c r="L753" s="47"/>
      <c r="M753" s="47"/>
      <c r="N753" s="31"/>
      <c r="O753" s="47"/>
      <c r="P753" s="31"/>
      <c r="Q753" s="31"/>
      <c r="R753" s="31"/>
      <c r="S753" s="31"/>
      <c r="T753" s="270">
        <f t="shared" si="88"/>
        <v>0</v>
      </c>
      <c r="U753" s="270">
        <f t="shared" si="89"/>
        <v>0</v>
      </c>
      <c r="V753" s="31"/>
      <c r="X753" s="240" t="str">
        <f t="shared" si="90"/>
        <v>OK</v>
      </c>
      <c r="Y753" s="240" t="str">
        <f t="shared" si="91"/>
        <v>OK</v>
      </c>
      <c r="Z753" s="240" t="str">
        <f t="shared" si="92"/>
        <v>OK</v>
      </c>
      <c r="AA753" s="240" t="str" cm="1">
        <f t="array" ref="AA753">IF(OR(AND(J753="Not accepted",N753:O753&lt;&gt;"",$S753=""),AND(J753="Accepted",S753="")),"ERROR","OK")</f>
        <v>OK</v>
      </c>
      <c r="AB753" s="240" t="str">
        <f t="shared" si="93"/>
        <v>OK</v>
      </c>
      <c r="AC753" s="240" t="str" cm="1">
        <f t="array" ref="AC753">IF(AND(F753:H753&lt;&gt;"",I753=""),"ERROR","OK")</f>
        <v>OK</v>
      </c>
      <c r="AD753" s="240" t="str">
        <f t="shared" si="94"/>
        <v>OK</v>
      </c>
      <c r="AE753" s="240" t="str">
        <f t="shared" si="95"/>
        <v>OK</v>
      </c>
      <c r="AF753" s="240" t="str" cm="1">
        <f t="array" aca="1" ref="AF753" ca="1" xml:space="preserve">
IF(AND($G753&lt;&gt;"",$F753=""),"ERROR",
IF(OR($F753:$G753="",AND($G753="",$F753&lt;&gt;"")),"OK",
IF(COUNTIF(INDIRECT(IFERROR(LEFT($F753,FIND(" ",$F753)-1),$F753)), $G753)&gt;0, "OK", "ERROR")))</f>
        <v>OK</v>
      </c>
    </row>
    <row r="754" spans="1:32" s="240" customFormat="1">
      <c r="A754" s="48"/>
      <c r="B754" s="31"/>
      <c r="C754" s="48"/>
      <c r="D754" s="47"/>
      <c r="E754" s="47"/>
      <c r="F754" s="31"/>
      <c r="G754" s="31"/>
      <c r="H754" s="31"/>
      <c r="I754" s="47"/>
      <c r="J754" s="31"/>
      <c r="K754" s="47"/>
      <c r="L754" s="47"/>
      <c r="M754" s="47"/>
      <c r="N754" s="31"/>
      <c r="O754" s="47"/>
      <c r="P754" s="31"/>
      <c r="Q754" s="31"/>
      <c r="R754" s="31"/>
      <c r="S754" s="31"/>
      <c r="T754" s="270">
        <f t="shared" si="88"/>
        <v>0</v>
      </c>
      <c r="U754" s="270">
        <f t="shared" si="89"/>
        <v>0</v>
      </c>
      <c r="V754" s="31"/>
      <c r="X754" s="240" t="str">
        <f t="shared" si="90"/>
        <v>OK</v>
      </c>
      <c r="Y754" s="240" t="str">
        <f t="shared" si="91"/>
        <v>OK</v>
      </c>
      <c r="Z754" s="240" t="str">
        <f t="shared" si="92"/>
        <v>OK</v>
      </c>
      <c r="AA754" s="240" t="str" cm="1">
        <f t="array" ref="AA754">IF(OR(AND(J754="Not accepted",N754:O754&lt;&gt;"",$S754=""),AND(J754="Accepted",S754="")),"ERROR","OK")</f>
        <v>OK</v>
      </c>
      <c r="AB754" s="240" t="str">
        <f t="shared" si="93"/>
        <v>OK</v>
      </c>
      <c r="AC754" s="240" t="str" cm="1">
        <f t="array" ref="AC754">IF(AND(F754:H754&lt;&gt;"",I754=""),"ERROR","OK")</f>
        <v>OK</v>
      </c>
      <c r="AD754" s="240" t="str">
        <f t="shared" si="94"/>
        <v>OK</v>
      </c>
      <c r="AE754" s="240" t="str">
        <f t="shared" si="95"/>
        <v>OK</v>
      </c>
      <c r="AF754" s="240" t="str" cm="1">
        <f t="array" aca="1" ref="AF754" ca="1" xml:space="preserve">
IF(AND($G754&lt;&gt;"",$F754=""),"ERROR",
IF(OR($F754:$G754="",AND($G754="",$F754&lt;&gt;"")),"OK",
IF(COUNTIF(INDIRECT(IFERROR(LEFT($F754,FIND(" ",$F754)-1),$F754)), $G754)&gt;0, "OK", "ERROR")))</f>
        <v>OK</v>
      </c>
    </row>
    <row r="755" spans="1:32" s="240" customFormat="1">
      <c r="A755" s="48"/>
      <c r="B755" s="31"/>
      <c r="C755" s="48"/>
      <c r="D755" s="47"/>
      <c r="E755" s="47"/>
      <c r="F755" s="31"/>
      <c r="G755" s="31"/>
      <c r="H755" s="31"/>
      <c r="I755" s="47"/>
      <c r="J755" s="31"/>
      <c r="K755" s="47"/>
      <c r="L755" s="47"/>
      <c r="M755" s="47"/>
      <c r="N755" s="31"/>
      <c r="O755" s="47"/>
      <c r="P755" s="31"/>
      <c r="Q755" s="31"/>
      <c r="R755" s="31"/>
      <c r="S755" s="31"/>
      <c r="T755" s="270">
        <f t="shared" si="88"/>
        <v>0</v>
      </c>
      <c r="U755" s="270">
        <f t="shared" si="89"/>
        <v>0</v>
      </c>
      <c r="V755" s="31"/>
      <c r="X755" s="240" t="str">
        <f t="shared" si="90"/>
        <v>OK</v>
      </c>
      <c r="Y755" s="240" t="str">
        <f t="shared" si="91"/>
        <v>OK</v>
      </c>
      <c r="Z755" s="240" t="str">
        <f t="shared" si="92"/>
        <v>OK</v>
      </c>
      <c r="AA755" s="240" t="str" cm="1">
        <f t="array" ref="AA755">IF(OR(AND(J755="Not accepted",N755:O755&lt;&gt;"",$S755=""),AND(J755="Accepted",S755="")),"ERROR","OK")</f>
        <v>OK</v>
      </c>
      <c r="AB755" s="240" t="str">
        <f t="shared" si="93"/>
        <v>OK</v>
      </c>
      <c r="AC755" s="240" t="str" cm="1">
        <f t="array" ref="AC755">IF(AND(F755:H755&lt;&gt;"",I755=""),"ERROR","OK")</f>
        <v>OK</v>
      </c>
      <c r="AD755" s="240" t="str">
        <f t="shared" si="94"/>
        <v>OK</v>
      </c>
      <c r="AE755" s="240" t="str">
        <f t="shared" si="95"/>
        <v>OK</v>
      </c>
      <c r="AF755" s="240" t="str" cm="1">
        <f t="array" aca="1" ref="AF755" ca="1" xml:space="preserve">
IF(AND($G755&lt;&gt;"",$F755=""),"ERROR",
IF(OR($F755:$G755="",AND($G755="",$F755&lt;&gt;"")),"OK",
IF(COUNTIF(INDIRECT(IFERROR(LEFT($F755,FIND(" ",$F755)-1),$F755)), $G755)&gt;0, "OK", "ERROR")))</f>
        <v>OK</v>
      </c>
    </row>
    <row r="756" spans="1:32" s="240" customFormat="1">
      <c r="A756" s="48"/>
      <c r="B756" s="31"/>
      <c r="C756" s="48"/>
      <c r="D756" s="47"/>
      <c r="E756" s="47"/>
      <c r="F756" s="31"/>
      <c r="G756" s="31"/>
      <c r="H756" s="31"/>
      <c r="I756" s="47"/>
      <c r="J756" s="31"/>
      <c r="K756" s="47"/>
      <c r="L756" s="47"/>
      <c r="M756" s="47"/>
      <c r="N756" s="31"/>
      <c r="O756" s="47"/>
      <c r="P756" s="31"/>
      <c r="Q756" s="31"/>
      <c r="R756" s="31"/>
      <c r="S756" s="31"/>
      <c r="T756" s="270">
        <f t="shared" si="88"/>
        <v>0</v>
      </c>
      <c r="U756" s="270">
        <f t="shared" si="89"/>
        <v>0</v>
      </c>
      <c r="V756" s="31"/>
      <c r="X756" s="240" t="str">
        <f t="shared" si="90"/>
        <v>OK</v>
      </c>
      <c r="Y756" s="240" t="str">
        <f t="shared" si="91"/>
        <v>OK</v>
      </c>
      <c r="Z756" s="240" t="str">
        <f t="shared" si="92"/>
        <v>OK</v>
      </c>
      <c r="AA756" s="240" t="str" cm="1">
        <f t="array" ref="AA756">IF(OR(AND(J756="Not accepted",N756:O756&lt;&gt;"",$S756=""),AND(J756="Accepted",S756="")),"ERROR","OK")</f>
        <v>OK</v>
      </c>
      <c r="AB756" s="240" t="str">
        <f t="shared" si="93"/>
        <v>OK</v>
      </c>
      <c r="AC756" s="240" t="str" cm="1">
        <f t="array" ref="AC756">IF(AND(F756:H756&lt;&gt;"",I756=""),"ERROR","OK")</f>
        <v>OK</v>
      </c>
      <c r="AD756" s="240" t="str">
        <f t="shared" si="94"/>
        <v>OK</v>
      </c>
      <c r="AE756" s="240" t="str">
        <f t="shared" si="95"/>
        <v>OK</v>
      </c>
      <c r="AF756" s="240" t="str" cm="1">
        <f t="array" aca="1" ref="AF756" ca="1" xml:space="preserve">
IF(AND($G756&lt;&gt;"",$F756=""),"ERROR",
IF(OR($F756:$G756="",AND($G756="",$F756&lt;&gt;"")),"OK",
IF(COUNTIF(INDIRECT(IFERROR(LEFT($F756,FIND(" ",$F756)-1),$F756)), $G756)&gt;0, "OK", "ERROR")))</f>
        <v>OK</v>
      </c>
    </row>
    <row r="757" spans="1:32" s="240" customFormat="1">
      <c r="A757" s="48"/>
      <c r="B757" s="31"/>
      <c r="C757" s="48"/>
      <c r="D757" s="47"/>
      <c r="E757" s="47"/>
      <c r="F757" s="31"/>
      <c r="G757" s="31"/>
      <c r="H757" s="31"/>
      <c r="I757" s="47"/>
      <c r="J757" s="31"/>
      <c r="K757" s="47"/>
      <c r="L757" s="47"/>
      <c r="M757" s="47"/>
      <c r="N757" s="31"/>
      <c r="O757" s="47"/>
      <c r="P757" s="31"/>
      <c r="Q757" s="31"/>
      <c r="R757" s="31"/>
      <c r="S757" s="31"/>
      <c r="T757" s="270">
        <f t="shared" si="88"/>
        <v>0</v>
      </c>
      <c r="U757" s="270">
        <f t="shared" si="89"/>
        <v>0</v>
      </c>
      <c r="V757" s="31"/>
      <c r="X757" s="240" t="str">
        <f t="shared" si="90"/>
        <v>OK</v>
      </c>
      <c r="Y757" s="240" t="str">
        <f t="shared" si="91"/>
        <v>OK</v>
      </c>
      <c r="Z757" s="240" t="str">
        <f t="shared" si="92"/>
        <v>OK</v>
      </c>
      <c r="AA757" s="240" t="str" cm="1">
        <f t="array" ref="AA757">IF(OR(AND(J757="Not accepted",N757:O757&lt;&gt;"",$S757=""),AND(J757="Accepted",S757="")),"ERROR","OK")</f>
        <v>OK</v>
      </c>
      <c r="AB757" s="240" t="str">
        <f t="shared" si="93"/>
        <v>OK</v>
      </c>
      <c r="AC757" s="240" t="str" cm="1">
        <f t="array" ref="AC757">IF(AND(F757:H757&lt;&gt;"",I757=""),"ERROR","OK")</f>
        <v>OK</v>
      </c>
      <c r="AD757" s="240" t="str">
        <f t="shared" si="94"/>
        <v>OK</v>
      </c>
      <c r="AE757" s="240" t="str">
        <f t="shared" si="95"/>
        <v>OK</v>
      </c>
      <c r="AF757" s="240" t="str" cm="1">
        <f t="array" aca="1" ref="AF757" ca="1" xml:space="preserve">
IF(AND($G757&lt;&gt;"",$F757=""),"ERROR",
IF(OR($F757:$G757="",AND($G757="",$F757&lt;&gt;"")),"OK",
IF(COUNTIF(INDIRECT(IFERROR(LEFT($F757,FIND(" ",$F757)-1),$F757)), $G757)&gt;0, "OK", "ERROR")))</f>
        <v>OK</v>
      </c>
    </row>
    <row r="758" spans="1:32" s="240" customFormat="1">
      <c r="A758" s="48"/>
      <c r="B758" s="31"/>
      <c r="C758" s="48"/>
      <c r="D758" s="47"/>
      <c r="E758" s="47"/>
      <c r="F758" s="31"/>
      <c r="G758" s="31"/>
      <c r="H758" s="31"/>
      <c r="I758" s="47"/>
      <c r="J758" s="31"/>
      <c r="K758" s="47"/>
      <c r="L758" s="47"/>
      <c r="M758" s="47"/>
      <c r="N758" s="31"/>
      <c r="O758" s="47"/>
      <c r="P758" s="31"/>
      <c r="Q758" s="31"/>
      <c r="R758" s="31"/>
      <c r="S758" s="31"/>
      <c r="T758" s="270">
        <f t="shared" si="88"/>
        <v>0</v>
      </c>
      <c r="U758" s="270">
        <f t="shared" si="89"/>
        <v>0</v>
      </c>
      <c r="V758" s="31"/>
      <c r="X758" s="240" t="str">
        <f t="shared" si="90"/>
        <v>OK</v>
      </c>
      <c r="Y758" s="240" t="str">
        <f t="shared" si="91"/>
        <v>OK</v>
      </c>
      <c r="Z758" s="240" t="str">
        <f t="shared" si="92"/>
        <v>OK</v>
      </c>
      <c r="AA758" s="240" t="str" cm="1">
        <f t="array" ref="AA758">IF(OR(AND(J758="Not accepted",N758:O758&lt;&gt;"",$S758=""),AND(J758="Accepted",S758="")),"ERROR","OK")</f>
        <v>OK</v>
      </c>
      <c r="AB758" s="240" t="str">
        <f t="shared" si="93"/>
        <v>OK</v>
      </c>
      <c r="AC758" s="240" t="str" cm="1">
        <f t="array" ref="AC758">IF(AND(F758:H758&lt;&gt;"",I758=""),"ERROR","OK")</f>
        <v>OK</v>
      </c>
      <c r="AD758" s="240" t="str">
        <f t="shared" si="94"/>
        <v>OK</v>
      </c>
      <c r="AE758" s="240" t="str">
        <f t="shared" si="95"/>
        <v>OK</v>
      </c>
      <c r="AF758" s="240" t="str" cm="1">
        <f t="array" aca="1" ref="AF758" ca="1" xml:space="preserve">
IF(AND($G758&lt;&gt;"",$F758=""),"ERROR",
IF(OR($F758:$G758="",AND($G758="",$F758&lt;&gt;"")),"OK",
IF(COUNTIF(INDIRECT(IFERROR(LEFT($F758,FIND(" ",$F758)-1),$F758)), $G758)&gt;0, "OK", "ERROR")))</f>
        <v>OK</v>
      </c>
    </row>
    <row r="759" spans="1:32" s="240" customFormat="1">
      <c r="A759" s="48"/>
      <c r="B759" s="31"/>
      <c r="C759" s="48"/>
      <c r="D759" s="47"/>
      <c r="E759" s="47"/>
      <c r="F759" s="31"/>
      <c r="G759" s="31"/>
      <c r="H759" s="31"/>
      <c r="I759" s="47"/>
      <c r="J759" s="31"/>
      <c r="K759" s="47"/>
      <c r="L759" s="47"/>
      <c r="M759" s="47"/>
      <c r="N759" s="31"/>
      <c r="O759" s="47"/>
      <c r="P759" s="31"/>
      <c r="Q759" s="31"/>
      <c r="R759" s="31"/>
      <c r="S759" s="31"/>
      <c r="T759" s="270">
        <f t="shared" si="88"/>
        <v>0</v>
      </c>
      <c r="U759" s="270">
        <f t="shared" si="89"/>
        <v>0</v>
      </c>
      <c r="V759" s="31"/>
      <c r="X759" s="240" t="str">
        <f t="shared" si="90"/>
        <v>OK</v>
      </c>
      <c r="Y759" s="240" t="str">
        <f t="shared" si="91"/>
        <v>OK</v>
      </c>
      <c r="Z759" s="240" t="str">
        <f t="shared" si="92"/>
        <v>OK</v>
      </c>
      <c r="AA759" s="240" t="str" cm="1">
        <f t="array" ref="AA759">IF(OR(AND(J759="Not accepted",N759:O759&lt;&gt;"",$S759=""),AND(J759="Accepted",S759="")),"ERROR","OK")</f>
        <v>OK</v>
      </c>
      <c r="AB759" s="240" t="str">
        <f t="shared" si="93"/>
        <v>OK</v>
      </c>
      <c r="AC759" s="240" t="str" cm="1">
        <f t="array" ref="AC759">IF(AND(F759:H759&lt;&gt;"",I759=""),"ERROR","OK")</f>
        <v>OK</v>
      </c>
      <c r="AD759" s="240" t="str">
        <f t="shared" si="94"/>
        <v>OK</v>
      </c>
      <c r="AE759" s="240" t="str">
        <f t="shared" si="95"/>
        <v>OK</v>
      </c>
      <c r="AF759" s="240" t="str" cm="1">
        <f t="array" aca="1" ref="AF759" ca="1" xml:space="preserve">
IF(AND($G759&lt;&gt;"",$F759=""),"ERROR",
IF(OR($F759:$G759="",AND($G759="",$F759&lt;&gt;"")),"OK",
IF(COUNTIF(INDIRECT(IFERROR(LEFT($F759,FIND(" ",$F759)-1),$F759)), $G759)&gt;0, "OK", "ERROR")))</f>
        <v>OK</v>
      </c>
    </row>
    <row r="760" spans="1:32" s="240" customFormat="1">
      <c r="A760" s="48"/>
      <c r="B760" s="31"/>
      <c r="C760" s="48"/>
      <c r="D760" s="47"/>
      <c r="E760" s="47"/>
      <c r="F760" s="31"/>
      <c r="G760" s="31"/>
      <c r="H760" s="31"/>
      <c r="I760" s="47"/>
      <c r="J760" s="31"/>
      <c r="K760" s="47"/>
      <c r="L760" s="47"/>
      <c r="M760" s="47"/>
      <c r="N760" s="31"/>
      <c r="O760" s="47"/>
      <c r="P760" s="31"/>
      <c r="Q760" s="31"/>
      <c r="R760" s="31"/>
      <c r="S760" s="31"/>
      <c r="T760" s="270">
        <f t="shared" si="88"/>
        <v>0</v>
      </c>
      <c r="U760" s="270">
        <f t="shared" si="89"/>
        <v>0</v>
      </c>
      <c r="V760" s="31"/>
      <c r="X760" s="240" t="str">
        <f t="shared" si="90"/>
        <v>OK</v>
      </c>
      <c r="Y760" s="240" t="str">
        <f t="shared" si="91"/>
        <v>OK</v>
      </c>
      <c r="Z760" s="240" t="str">
        <f t="shared" si="92"/>
        <v>OK</v>
      </c>
      <c r="AA760" s="240" t="str" cm="1">
        <f t="array" ref="AA760">IF(OR(AND(J760="Not accepted",N760:O760&lt;&gt;"",$S760=""),AND(J760="Accepted",S760="")),"ERROR","OK")</f>
        <v>OK</v>
      </c>
      <c r="AB760" s="240" t="str">
        <f t="shared" si="93"/>
        <v>OK</v>
      </c>
      <c r="AC760" s="240" t="str" cm="1">
        <f t="array" ref="AC760">IF(AND(F760:H760&lt;&gt;"",I760=""),"ERROR","OK")</f>
        <v>OK</v>
      </c>
      <c r="AD760" s="240" t="str">
        <f t="shared" si="94"/>
        <v>OK</v>
      </c>
      <c r="AE760" s="240" t="str">
        <f t="shared" si="95"/>
        <v>OK</v>
      </c>
      <c r="AF760" s="240" t="str" cm="1">
        <f t="array" aca="1" ref="AF760" ca="1" xml:space="preserve">
IF(AND($G760&lt;&gt;"",$F760=""),"ERROR",
IF(OR($F760:$G760="",AND($G760="",$F760&lt;&gt;"")),"OK",
IF(COUNTIF(INDIRECT(IFERROR(LEFT($F760,FIND(" ",$F760)-1),$F760)), $G760)&gt;0, "OK", "ERROR")))</f>
        <v>OK</v>
      </c>
    </row>
    <row r="761" spans="1:32" s="240" customFormat="1">
      <c r="A761" s="48"/>
      <c r="B761" s="31"/>
      <c r="C761" s="48"/>
      <c r="D761" s="47"/>
      <c r="E761" s="47"/>
      <c r="F761" s="31"/>
      <c r="G761" s="31"/>
      <c r="H761" s="31"/>
      <c r="I761" s="47"/>
      <c r="J761" s="31"/>
      <c r="K761" s="47"/>
      <c r="L761" s="47"/>
      <c r="M761" s="47"/>
      <c r="N761" s="31"/>
      <c r="O761" s="47"/>
      <c r="P761" s="31"/>
      <c r="Q761" s="31"/>
      <c r="R761" s="31"/>
      <c r="S761" s="31"/>
      <c r="T761" s="270">
        <f t="shared" si="88"/>
        <v>0</v>
      </c>
      <c r="U761" s="270">
        <f t="shared" si="89"/>
        <v>0</v>
      </c>
      <c r="V761" s="31"/>
      <c r="X761" s="240" t="str">
        <f t="shared" si="90"/>
        <v>OK</v>
      </c>
      <c r="Y761" s="240" t="str">
        <f t="shared" si="91"/>
        <v>OK</v>
      </c>
      <c r="Z761" s="240" t="str">
        <f t="shared" si="92"/>
        <v>OK</v>
      </c>
      <c r="AA761" s="240" t="str" cm="1">
        <f t="array" ref="AA761">IF(OR(AND(J761="Not accepted",N761:O761&lt;&gt;"",$S761=""),AND(J761="Accepted",S761="")),"ERROR","OK")</f>
        <v>OK</v>
      </c>
      <c r="AB761" s="240" t="str">
        <f t="shared" si="93"/>
        <v>OK</v>
      </c>
      <c r="AC761" s="240" t="str" cm="1">
        <f t="array" ref="AC761">IF(AND(F761:H761&lt;&gt;"",I761=""),"ERROR","OK")</f>
        <v>OK</v>
      </c>
      <c r="AD761" s="240" t="str">
        <f t="shared" si="94"/>
        <v>OK</v>
      </c>
      <c r="AE761" s="240" t="str">
        <f t="shared" si="95"/>
        <v>OK</v>
      </c>
      <c r="AF761" s="240" t="str" cm="1">
        <f t="array" aca="1" ref="AF761" ca="1" xml:space="preserve">
IF(AND($G761&lt;&gt;"",$F761=""),"ERROR",
IF(OR($F761:$G761="",AND($G761="",$F761&lt;&gt;"")),"OK",
IF(COUNTIF(INDIRECT(IFERROR(LEFT($F761,FIND(" ",$F761)-1),$F761)), $G761)&gt;0, "OK", "ERROR")))</f>
        <v>OK</v>
      </c>
    </row>
    <row r="762" spans="1:32" s="240" customFormat="1">
      <c r="A762" s="48"/>
      <c r="B762" s="31"/>
      <c r="C762" s="48"/>
      <c r="D762" s="47"/>
      <c r="E762" s="47"/>
      <c r="F762" s="31"/>
      <c r="G762" s="31"/>
      <c r="H762" s="31"/>
      <c r="I762" s="47"/>
      <c r="J762" s="31"/>
      <c r="K762" s="47"/>
      <c r="L762" s="47"/>
      <c r="M762" s="47"/>
      <c r="N762" s="31"/>
      <c r="O762" s="47"/>
      <c r="P762" s="31"/>
      <c r="Q762" s="31"/>
      <c r="R762" s="31"/>
      <c r="S762" s="31"/>
      <c r="T762" s="270">
        <f t="shared" si="88"/>
        <v>0</v>
      </c>
      <c r="U762" s="270">
        <f t="shared" si="89"/>
        <v>0</v>
      </c>
      <c r="V762" s="31"/>
      <c r="X762" s="240" t="str">
        <f t="shared" si="90"/>
        <v>OK</v>
      </c>
      <c r="Y762" s="240" t="str">
        <f t="shared" si="91"/>
        <v>OK</v>
      </c>
      <c r="Z762" s="240" t="str">
        <f t="shared" si="92"/>
        <v>OK</v>
      </c>
      <c r="AA762" s="240" t="str" cm="1">
        <f t="array" ref="AA762">IF(OR(AND(J762="Not accepted",N762:O762&lt;&gt;"",$S762=""),AND(J762="Accepted",S762="")),"ERROR","OK")</f>
        <v>OK</v>
      </c>
      <c r="AB762" s="240" t="str">
        <f t="shared" si="93"/>
        <v>OK</v>
      </c>
      <c r="AC762" s="240" t="str" cm="1">
        <f t="array" ref="AC762">IF(AND(F762:H762&lt;&gt;"",I762=""),"ERROR","OK")</f>
        <v>OK</v>
      </c>
      <c r="AD762" s="240" t="str">
        <f t="shared" si="94"/>
        <v>OK</v>
      </c>
      <c r="AE762" s="240" t="str">
        <f t="shared" si="95"/>
        <v>OK</v>
      </c>
      <c r="AF762" s="240" t="str" cm="1">
        <f t="array" aca="1" ref="AF762" ca="1" xml:space="preserve">
IF(AND($G762&lt;&gt;"",$F762=""),"ERROR",
IF(OR($F762:$G762="",AND($G762="",$F762&lt;&gt;"")),"OK",
IF(COUNTIF(INDIRECT(IFERROR(LEFT($F762,FIND(" ",$F762)-1),$F762)), $G762)&gt;0, "OK", "ERROR")))</f>
        <v>OK</v>
      </c>
    </row>
    <row r="763" spans="1:32" s="240" customFormat="1">
      <c r="A763" s="48"/>
      <c r="B763" s="31"/>
      <c r="C763" s="48"/>
      <c r="D763" s="47"/>
      <c r="E763" s="47"/>
      <c r="F763" s="31"/>
      <c r="G763" s="31"/>
      <c r="H763" s="31"/>
      <c r="I763" s="47"/>
      <c r="J763" s="31"/>
      <c r="K763" s="47"/>
      <c r="L763" s="47"/>
      <c r="M763" s="47"/>
      <c r="N763" s="31"/>
      <c r="O763" s="47"/>
      <c r="P763" s="31"/>
      <c r="Q763" s="31"/>
      <c r="R763" s="31"/>
      <c r="S763" s="31"/>
      <c r="T763" s="270">
        <f t="shared" si="88"/>
        <v>0</v>
      </c>
      <c r="U763" s="270">
        <f t="shared" si="89"/>
        <v>0</v>
      </c>
      <c r="V763" s="31"/>
      <c r="X763" s="240" t="str">
        <f t="shared" si="90"/>
        <v>OK</v>
      </c>
      <c r="Y763" s="240" t="str">
        <f t="shared" si="91"/>
        <v>OK</v>
      </c>
      <c r="Z763" s="240" t="str">
        <f t="shared" si="92"/>
        <v>OK</v>
      </c>
      <c r="AA763" s="240" t="str" cm="1">
        <f t="array" ref="AA763">IF(OR(AND(J763="Not accepted",N763:O763&lt;&gt;"",$S763=""),AND(J763="Accepted",S763="")),"ERROR","OK")</f>
        <v>OK</v>
      </c>
      <c r="AB763" s="240" t="str">
        <f t="shared" si="93"/>
        <v>OK</v>
      </c>
      <c r="AC763" s="240" t="str" cm="1">
        <f t="array" ref="AC763">IF(AND(F763:H763&lt;&gt;"",I763=""),"ERROR","OK")</f>
        <v>OK</v>
      </c>
      <c r="AD763" s="240" t="str">
        <f t="shared" si="94"/>
        <v>OK</v>
      </c>
      <c r="AE763" s="240" t="str">
        <f t="shared" si="95"/>
        <v>OK</v>
      </c>
      <c r="AF763" s="240" t="str" cm="1">
        <f t="array" aca="1" ref="AF763" ca="1" xml:space="preserve">
IF(AND($G763&lt;&gt;"",$F763=""),"ERROR",
IF(OR($F763:$G763="",AND($G763="",$F763&lt;&gt;"")),"OK",
IF(COUNTIF(INDIRECT(IFERROR(LEFT($F763,FIND(" ",$F763)-1),$F763)), $G763)&gt;0, "OK", "ERROR")))</f>
        <v>OK</v>
      </c>
    </row>
    <row r="764" spans="1:32" s="240" customFormat="1">
      <c r="A764" s="48"/>
      <c r="B764" s="31"/>
      <c r="C764" s="48"/>
      <c r="D764" s="47"/>
      <c r="E764" s="47"/>
      <c r="F764" s="31"/>
      <c r="G764" s="31"/>
      <c r="H764" s="31"/>
      <c r="I764" s="47"/>
      <c r="J764" s="31"/>
      <c r="K764" s="47"/>
      <c r="L764" s="47"/>
      <c r="M764" s="47"/>
      <c r="N764" s="31"/>
      <c r="O764" s="47"/>
      <c r="P764" s="31"/>
      <c r="Q764" s="31"/>
      <c r="R764" s="31"/>
      <c r="S764" s="31"/>
      <c r="T764" s="270">
        <f t="shared" si="88"/>
        <v>0</v>
      </c>
      <c r="U764" s="270">
        <f t="shared" si="89"/>
        <v>0</v>
      </c>
      <c r="V764" s="31"/>
      <c r="X764" s="240" t="str">
        <f t="shared" si="90"/>
        <v>OK</v>
      </c>
      <c r="Y764" s="240" t="str">
        <f t="shared" si="91"/>
        <v>OK</v>
      </c>
      <c r="Z764" s="240" t="str">
        <f t="shared" si="92"/>
        <v>OK</v>
      </c>
      <c r="AA764" s="240" t="str" cm="1">
        <f t="array" ref="AA764">IF(OR(AND(J764="Not accepted",N764:O764&lt;&gt;"",$S764=""),AND(J764="Accepted",S764="")),"ERROR","OK")</f>
        <v>OK</v>
      </c>
      <c r="AB764" s="240" t="str">
        <f t="shared" si="93"/>
        <v>OK</v>
      </c>
      <c r="AC764" s="240" t="str" cm="1">
        <f t="array" ref="AC764">IF(AND(F764:H764&lt;&gt;"",I764=""),"ERROR","OK")</f>
        <v>OK</v>
      </c>
      <c r="AD764" s="240" t="str">
        <f t="shared" si="94"/>
        <v>OK</v>
      </c>
      <c r="AE764" s="240" t="str">
        <f t="shared" si="95"/>
        <v>OK</v>
      </c>
      <c r="AF764" s="240" t="str" cm="1">
        <f t="array" aca="1" ref="AF764" ca="1" xml:space="preserve">
IF(AND($G764&lt;&gt;"",$F764=""),"ERROR",
IF(OR($F764:$G764="",AND($G764="",$F764&lt;&gt;"")),"OK",
IF(COUNTIF(INDIRECT(IFERROR(LEFT($F764,FIND(" ",$F764)-1),$F764)), $G764)&gt;0, "OK", "ERROR")))</f>
        <v>OK</v>
      </c>
    </row>
    <row r="765" spans="1:32" s="240" customFormat="1">
      <c r="A765" s="48"/>
      <c r="B765" s="31"/>
      <c r="C765" s="48"/>
      <c r="D765" s="47"/>
      <c r="E765" s="47"/>
      <c r="F765" s="31"/>
      <c r="G765" s="31"/>
      <c r="H765" s="31"/>
      <c r="I765" s="47"/>
      <c r="J765" s="31"/>
      <c r="K765" s="47"/>
      <c r="L765" s="47"/>
      <c r="M765" s="47"/>
      <c r="N765" s="31"/>
      <c r="O765" s="47"/>
      <c r="P765" s="31"/>
      <c r="Q765" s="31"/>
      <c r="R765" s="31"/>
      <c r="S765" s="31"/>
      <c r="T765" s="270">
        <f t="shared" si="88"/>
        <v>0</v>
      </c>
      <c r="U765" s="270">
        <f t="shared" si="89"/>
        <v>0</v>
      </c>
      <c r="V765" s="31"/>
      <c r="X765" s="240" t="str">
        <f t="shared" si="90"/>
        <v>OK</v>
      </c>
      <c r="Y765" s="240" t="str">
        <f t="shared" si="91"/>
        <v>OK</v>
      </c>
      <c r="Z765" s="240" t="str">
        <f t="shared" si="92"/>
        <v>OK</v>
      </c>
      <c r="AA765" s="240" t="str" cm="1">
        <f t="array" ref="AA765">IF(OR(AND(J765="Not accepted",N765:O765&lt;&gt;"",$S765=""),AND(J765="Accepted",S765="")),"ERROR","OK")</f>
        <v>OK</v>
      </c>
      <c r="AB765" s="240" t="str">
        <f t="shared" si="93"/>
        <v>OK</v>
      </c>
      <c r="AC765" s="240" t="str" cm="1">
        <f t="array" ref="AC765">IF(AND(F765:H765&lt;&gt;"",I765=""),"ERROR","OK")</f>
        <v>OK</v>
      </c>
      <c r="AD765" s="240" t="str">
        <f t="shared" si="94"/>
        <v>OK</v>
      </c>
      <c r="AE765" s="240" t="str">
        <f t="shared" si="95"/>
        <v>OK</v>
      </c>
      <c r="AF765" s="240" t="str" cm="1">
        <f t="array" aca="1" ref="AF765" ca="1" xml:space="preserve">
IF(AND($G765&lt;&gt;"",$F765=""),"ERROR",
IF(OR($F765:$G765="",AND($G765="",$F765&lt;&gt;"")),"OK",
IF(COUNTIF(INDIRECT(IFERROR(LEFT($F765,FIND(" ",$F765)-1),$F765)), $G765)&gt;0, "OK", "ERROR")))</f>
        <v>OK</v>
      </c>
    </row>
    <row r="766" spans="1:32" s="240" customFormat="1">
      <c r="A766" s="48"/>
      <c r="B766" s="31"/>
      <c r="C766" s="48"/>
      <c r="D766" s="47"/>
      <c r="E766" s="47"/>
      <c r="F766" s="31"/>
      <c r="G766" s="31"/>
      <c r="H766" s="31"/>
      <c r="I766" s="47"/>
      <c r="J766" s="31"/>
      <c r="K766" s="47"/>
      <c r="L766" s="47"/>
      <c r="M766" s="47"/>
      <c r="N766" s="31"/>
      <c r="O766" s="47"/>
      <c r="P766" s="31"/>
      <c r="Q766" s="31"/>
      <c r="R766" s="31"/>
      <c r="S766" s="31"/>
      <c r="T766" s="270">
        <f t="shared" si="88"/>
        <v>0</v>
      </c>
      <c r="U766" s="270">
        <f t="shared" si="89"/>
        <v>0</v>
      </c>
      <c r="V766" s="31"/>
      <c r="X766" s="240" t="str">
        <f t="shared" si="90"/>
        <v>OK</v>
      </c>
      <c r="Y766" s="240" t="str">
        <f t="shared" si="91"/>
        <v>OK</v>
      </c>
      <c r="Z766" s="240" t="str">
        <f t="shared" si="92"/>
        <v>OK</v>
      </c>
      <c r="AA766" s="240" t="str" cm="1">
        <f t="array" ref="AA766">IF(OR(AND(J766="Not accepted",N766:O766&lt;&gt;"",$S766=""),AND(J766="Accepted",S766="")),"ERROR","OK")</f>
        <v>OK</v>
      </c>
      <c r="AB766" s="240" t="str">
        <f t="shared" si="93"/>
        <v>OK</v>
      </c>
      <c r="AC766" s="240" t="str" cm="1">
        <f t="array" ref="AC766">IF(AND(F766:H766&lt;&gt;"",I766=""),"ERROR","OK")</f>
        <v>OK</v>
      </c>
      <c r="AD766" s="240" t="str">
        <f t="shared" si="94"/>
        <v>OK</v>
      </c>
      <c r="AE766" s="240" t="str">
        <f t="shared" si="95"/>
        <v>OK</v>
      </c>
      <c r="AF766" s="240" t="str" cm="1">
        <f t="array" aca="1" ref="AF766" ca="1" xml:space="preserve">
IF(AND($G766&lt;&gt;"",$F766=""),"ERROR",
IF(OR($F766:$G766="",AND($G766="",$F766&lt;&gt;"")),"OK",
IF(COUNTIF(INDIRECT(IFERROR(LEFT($F766,FIND(" ",$F766)-1),$F766)), $G766)&gt;0, "OK", "ERROR")))</f>
        <v>OK</v>
      </c>
    </row>
    <row r="767" spans="1:32" s="240" customFormat="1">
      <c r="A767" s="48"/>
      <c r="B767" s="31"/>
      <c r="C767" s="48"/>
      <c r="D767" s="47"/>
      <c r="E767" s="47"/>
      <c r="F767" s="31"/>
      <c r="G767" s="31"/>
      <c r="H767" s="31"/>
      <c r="I767" s="47"/>
      <c r="J767" s="31"/>
      <c r="K767" s="47"/>
      <c r="L767" s="47"/>
      <c r="M767" s="47"/>
      <c r="N767" s="31"/>
      <c r="O767" s="47"/>
      <c r="P767" s="31"/>
      <c r="Q767" s="31"/>
      <c r="R767" s="31"/>
      <c r="S767" s="31"/>
      <c r="T767" s="270">
        <f t="shared" si="88"/>
        <v>0</v>
      </c>
      <c r="U767" s="270">
        <f t="shared" si="89"/>
        <v>0</v>
      </c>
      <c r="V767" s="31"/>
      <c r="X767" s="240" t="str">
        <f t="shared" si="90"/>
        <v>OK</v>
      </c>
      <c r="Y767" s="240" t="str">
        <f t="shared" si="91"/>
        <v>OK</v>
      </c>
      <c r="Z767" s="240" t="str">
        <f t="shared" si="92"/>
        <v>OK</v>
      </c>
      <c r="AA767" s="240" t="str" cm="1">
        <f t="array" ref="AA767">IF(OR(AND(J767="Not accepted",N767:O767&lt;&gt;"",$S767=""),AND(J767="Accepted",S767="")),"ERROR","OK")</f>
        <v>OK</v>
      </c>
      <c r="AB767" s="240" t="str">
        <f t="shared" si="93"/>
        <v>OK</v>
      </c>
      <c r="AC767" s="240" t="str" cm="1">
        <f t="array" ref="AC767">IF(AND(F767:H767&lt;&gt;"",I767=""),"ERROR","OK")</f>
        <v>OK</v>
      </c>
      <c r="AD767" s="240" t="str">
        <f t="shared" si="94"/>
        <v>OK</v>
      </c>
      <c r="AE767" s="240" t="str">
        <f t="shared" si="95"/>
        <v>OK</v>
      </c>
      <c r="AF767" s="240" t="str" cm="1">
        <f t="array" aca="1" ref="AF767" ca="1" xml:space="preserve">
IF(AND($G767&lt;&gt;"",$F767=""),"ERROR",
IF(OR($F767:$G767="",AND($G767="",$F767&lt;&gt;"")),"OK",
IF(COUNTIF(INDIRECT(IFERROR(LEFT($F767,FIND(" ",$F767)-1),$F767)), $G767)&gt;0, "OK", "ERROR")))</f>
        <v>OK</v>
      </c>
    </row>
    <row r="768" spans="1:32" s="240" customFormat="1">
      <c r="A768" s="48"/>
      <c r="B768" s="31"/>
      <c r="C768" s="48"/>
      <c r="D768" s="47"/>
      <c r="E768" s="47"/>
      <c r="F768" s="31"/>
      <c r="G768" s="31"/>
      <c r="H768" s="31"/>
      <c r="I768" s="47"/>
      <c r="J768" s="31"/>
      <c r="K768" s="47"/>
      <c r="L768" s="47"/>
      <c r="M768" s="47"/>
      <c r="N768" s="31"/>
      <c r="O768" s="47"/>
      <c r="P768" s="31"/>
      <c r="Q768" s="31"/>
      <c r="R768" s="31"/>
      <c r="S768" s="31"/>
      <c r="T768" s="270">
        <f t="shared" si="88"/>
        <v>0</v>
      </c>
      <c r="U768" s="270">
        <f t="shared" si="89"/>
        <v>0</v>
      </c>
      <c r="V768" s="31"/>
      <c r="X768" s="240" t="str">
        <f t="shared" si="90"/>
        <v>OK</v>
      </c>
      <c r="Y768" s="240" t="str">
        <f t="shared" si="91"/>
        <v>OK</v>
      </c>
      <c r="Z768" s="240" t="str">
        <f t="shared" si="92"/>
        <v>OK</v>
      </c>
      <c r="AA768" s="240" t="str" cm="1">
        <f t="array" ref="AA768">IF(OR(AND(J768="Not accepted",N768:O768&lt;&gt;"",$S768=""),AND(J768="Accepted",S768="")),"ERROR","OK")</f>
        <v>OK</v>
      </c>
      <c r="AB768" s="240" t="str">
        <f t="shared" si="93"/>
        <v>OK</v>
      </c>
      <c r="AC768" s="240" t="str" cm="1">
        <f t="array" ref="AC768">IF(AND(F768:H768&lt;&gt;"",I768=""),"ERROR","OK")</f>
        <v>OK</v>
      </c>
      <c r="AD768" s="240" t="str">
        <f t="shared" si="94"/>
        <v>OK</v>
      </c>
      <c r="AE768" s="240" t="str">
        <f t="shared" si="95"/>
        <v>OK</v>
      </c>
      <c r="AF768" s="240" t="str" cm="1">
        <f t="array" aca="1" ref="AF768" ca="1" xml:space="preserve">
IF(AND($G768&lt;&gt;"",$F768=""),"ERROR",
IF(OR($F768:$G768="",AND($G768="",$F768&lt;&gt;"")),"OK",
IF(COUNTIF(INDIRECT(IFERROR(LEFT($F768,FIND(" ",$F768)-1),$F768)), $G768)&gt;0, "OK", "ERROR")))</f>
        <v>OK</v>
      </c>
    </row>
    <row r="769" spans="1:32" s="240" customFormat="1">
      <c r="A769" s="48"/>
      <c r="B769" s="31"/>
      <c r="C769" s="48"/>
      <c r="D769" s="47"/>
      <c r="E769" s="47"/>
      <c r="F769" s="31"/>
      <c r="G769" s="31"/>
      <c r="H769" s="31"/>
      <c r="I769" s="47"/>
      <c r="J769" s="31"/>
      <c r="K769" s="47"/>
      <c r="L769" s="47"/>
      <c r="M769" s="47"/>
      <c r="N769" s="31"/>
      <c r="O769" s="47"/>
      <c r="P769" s="31"/>
      <c r="Q769" s="31"/>
      <c r="R769" s="31"/>
      <c r="S769" s="31"/>
      <c r="T769" s="270">
        <f t="shared" si="88"/>
        <v>0</v>
      </c>
      <c r="U769" s="270">
        <f t="shared" si="89"/>
        <v>0</v>
      </c>
      <c r="V769" s="31"/>
      <c r="X769" s="240" t="str">
        <f t="shared" si="90"/>
        <v>OK</v>
      </c>
      <c r="Y769" s="240" t="str">
        <f t="shared" si="91"/>
        <v>OK</v>
      </c>
      <c r="Z769" s="240" t="str">
        <f t="shared" si="92"/>
        <v>OK</v>
      </c>
      <c r="AA769" s="240" t="str" cm="1">
        <f t="array" ref="AA769">IF(OR(AND(J769="Not accepted",N769:O769&lt;&gt;"",$S769=""),AND(J769="Accepted",S769="")),"ERROR","OK")</f>
        <v>OK</v>
      </c>
      <c r="AB769" s="240" t="str">
        <f t="shared" si="93"/>
        <v>OK</v>
      </c>
      <c r="AC769" s="240" t="str" cm="1">
        <f t="array" ref="AC769">IF(AND(F769:H769&lt;&gt;"",I769=""),"ERROR","OK")</f>
        <v>OK</v>
      </c>
      <c r="AD769" s="240" t="str">
        <f t="shared" si="94"/>
        <v>OK</v>
      </c>
      <c r="AE769" s="240" t="str">
        <f t="shared" si="95"/>
        <v>OK</v>
      </c>
      <c r="AF769" s="240" t="str" cm="1">
        <f t="array" aca="1" ref="AF769" ca="1" xml:space="preserve">
IF(AND($G769&lt;&gt;"",$F769=""),"ERROR",
IF(OR($F769:$G769="",AND($G769="",$F769&lt;&gt;"")),"OK",
IF(COUNTIF(INDIRECT(IFERROR(LEFT($F769,FIND(" ",$F769)-1),$F769)), $G769)&gt;0, "OK", "ERROR")))</f>
        <v>OK</v>
      </c>
    </row>
    <row r="770" spans="1:32" s="240" customFormat="1">
      <c r="A770" s="48"/>
      <c r="B770" s="31"/>
      <c r="C770" s="48"/>
      <c r="D770" s="47"/>
      <c r="E770" s="47"/>
      <c r="F770" s="31"/>
      <c r="G770" s="31"/>
      <c r="H770" s="31"/>
      <c r="I770" s="47"/>
      <c r="J770" s="31"/>
      <c r="K770" s="47"/>
      <c r="L770" s="47"/>
      <c r="M770" s="47"/>
      <c r="N770" s="31"/>
      <c r="O770" s="47"/>
      <c r="P770" s="31"/>
      <c r="Q770" s="31"/>
      <c r="R770" s="31"/>
      <c r="S770" s="31"/>
      <c r="T770" s="270">
        <f t="shared" si="88"/>
        <v>0</v>
      </c>
      <c r="U770" s="270">
        <f t="shared" si="89"/>
        <v>0</v>
      </c>
      <c r="V770" s="31"/>
      <c r="X770" s="240" t="str">
        <f t="shared" si="90"/>
        <v>OK</v>
      </c>
      <c r="Y770" s="240" t="str">
        <f t="shared" si="91"/>
        <v>OK</v>
      </c>
      <c r="Z770" s="240" t="str">
        <f t="shared" si="92"/>
        <v>OK</v>
      </c>
      <c r="AA770" s="240" t="str" cm="1">
        <f t="array" ref="AA770">IF(OR(AND(J770="Not accepted",N770:O770&lt;&gt;"",$S770=""),AND(J770="Accepted",S770="")),"ERROR","OK")</f>
        <v>OK</v>
      </c>
      <c r="AB770" s="240" t="str">
        <f t="shared" si="93"/>
        <v>OK</v>
      </c>
      <c r="AC770" s="240" t="str" cm="1">
        <f t="array" ref="AC770">IF(AND(F770:H770&lt;&gt;"",I770=""),"ERROR","OK")</f>
        <v>OK</v>
      </c>
      <c r="AD770" s="240" t="str">
        <f t="shared" si="94"/>
        <v>OK</v>
      </c>
      <c r="AE770" s="240" t="str">
        <f t="shared" si="95"/>
        <v>OK</v>
      </c>
      <c r="AF770" s="240" t="str" cm="1">
        <f t="array" aca="1" ref="AF770" ca="1" xml:space="preserve">
IF(AND($G770&lt;&gt;"",$F770=""),"ERROR",
IF(OR($F770:$G770="",AND($G770="",$F770&lt;&gt;"")),"OK",
IF(COUNTIF(INDIRECT(IFERROR(LEFT($F770,FIND(" ",$F770)-1),$F770)), $G770)&gt;0, "OK", "ERROR")))</f>
        <v>OK</v>
      </c>
    </row>
    <row r="771" spans="1:32" s="240" customFormat="1">
      <c r="A771" s="48"/>
      <c r="B771" s="31"/>
      <c r="C771" s="48"/>
      <c r="D771" s="47"/>
      <c r="E771" s="47"/>
      <c r="F771" s="31"/>
      <c r="G771" s="31"/>
      <c r="H771" s="31"/>
      <c r="I771" s="47"/>
      <c r="J771" s="31"/>
      <c r="K771" s="47"/>
      <c r="L771" s="47"/>
      <c r="M771" s="47"/>
      <c r="N771" s="31"/>
      <c r="O771" s="47"/>
      <c r="P771" s="31"/>
      <c r="Q771" s="31"/>
      <c r="R771" s="31"/>
      <c r="S771" s="31"/>
      <c r="T771" s="270">
        <f t="shared" si="88"/>
        <v>0</v>
      </c>
      <c r="U771" s="270">
        <f t="shared" si="89"/>
        <v>0</v>
      </c>
      <c r="V771" s="31"/>
      <c r="X771" s="240" t="str">
        <f t="shared" si="90"/>
        <v>OK</v>
      </c>
      <c r="Y771" s="240" t="str">
        <f t="shared" si="91"/>
        <v>OK</v>
      </c>
      <c r="Z771" s="240" t="str">
        <f t="shared" si="92"/>
        <v>OK</v>
      </c>
      <c r="AA771" s="240" t="str" cm="1">
        <f t="array" ref="AA771">IF(OR(AND(J771="Not accepted",N771:O771&lt;&gt;"",$S771=""),AND(J771="Accepted",S771="")),"ERROR","OK")</f>
        <v>OK</v>
      </c>
      <c r="AB771" s="240" t="str">
        <f t="shared" si="93"/>
        <v>OK</v>
      </c>
      <c r="AC771" s="240" t="str" cm="1">
        <f t="array" ref="AC771">IF(AND(F771:H771&lt;&gt;"",I771=""),"ERROR","OK")</f>
        <v>OK</v>
      </c>
      <c r="AD771" s="240" t="str">
        <f t="shared" si="94"/>
        <v>OK</v>
      </c>
      <c r="AE771" s="240" t="str">
        <f t="shared" si="95"/>
        <v>OK</v>
      </c>
      <c r="AF771" s="240" t="str" cm="1">
        <f t="array" aca="1" ref="AF771" ca="1" xml:space="preserve">
IF(AND($G771&lt;&gt;"",$F771=""),"ERROR",
IF(OR($F771:$G771="",AND($G771="",$F771&lt;&gt;"")),"OK",
IF(COUNTIF(INDIRECT(IFERROR(LEFT($F771,FIND(" ",$F771)-1),$F771)), $G771)&gt;0, "OK", "ERROR")))</f>
        <v>OK</v>
      </c>
    </row>
    <row r="772" spans="1:32" s="240" customFormat="1">
      <c r="A772" s="48"/>
      <c r="B772" s="31"/>
      <c r="C772" s="48"/>
      <c r="D772" s="47"/>
      <c r="E772" s="47"/>
      <c r="F772" s="31"/>
      <c r="G772" s="31"/>
      <c r="H772" s="31"/>
      <c r="I772" s="47"/>
      <c r="J772" s="31"/>
      <c r="K772" s="47"/>
      <c r="L772" s="47"/>
      <c r="M772" s="47"/>
      <c r="N772" s="31"/>
      <c r="O772" s="47"/>
      <c r="P772" s="31"/>
      <c r="Q772" s="31"/>
      <c r="R772" s="31"/>
      <c r="S772" s="31"/>
      <c r="T772" s="270">
        <f t="shared" si="88"/>
        <v>0</v>
      </c>
      <c r="U772" s="270">
        <f t="shared" si="89"/>
        <v>0</v>
      </c>
      <c r="V772" s="31"/>
      <c r="X772" s="240" t="str">
        <f t="shared" si="90"/>
        <v>OK</v>
      </c>
      <c r="Y772" s="240" t="str">
        <f t="shared" si="91"/>
        <v>OK</v>
      </c>
      <c r="Z772" s="240" t="str">
        <f t="shared" si="92"/>
        <v>OK</v>
      </c>
      <c r="AA772" s="240" t="str" cm="1">
        <f t="array" ref="AA772">IF(OR(AND(J772="Not accepted",N772:O772&lt;&gt;"",$S772=""),AND(J772="Accepted",S772="")),"ERROR","OK")</f>
        <v>OK</v>
      </c>
      <c r="AB772" s="240" t="str">
        <f t="shared" si="93"/>
        <v>OK</v>
      </c>
      <c r="AC772" s="240" t="str" cm="1">
        <f t="array" ref="AC772">IF(AND(F772:H772&lt;&gt;"",I772=""),"ERROR","OK")</f>
        <v>OK</v>
      </c>
      <c r="AD772" s="240" t="str">
        <f t="shared" si="94"/>
        <v>OK</v>
      </c>
      <c r="AE772" s="240" t="str">
        <f t="shared" si="95"/>
        <v>OK</v>
      </c>
      <c r="AF772" s="240" t="str" cm="1">
        <f t="array" aca="1" ref="AF772" ca="1" xml:space="preserve">
IF(AND($G772&lt;&gt;"",$F772=""),"ERROR",
IF(OR($F772:$G772="",AND($G772="",$F772&lt;&gt;"")),"OK",
IF(COUNTIF(INDIRECT(IFERROR(LEFT($F772,FIND(" ",$F772)-1),$F772)), $G772)&gt;0, "OK", "ERROR")))</f>
        <v>OK</v>
      </c>
    </row>
    <row r="773" spans="1:32" s="240" customFormat="1">
      <c r="A773" s="48"/>
      <c r="B773" s="31"/>
      <c r="C773" s="48"/>
      <c r="D773" s="47"/>
      <c r="E773" s="47"/>
      <c r="F773" s="31"/>
      <c r="G773" s="31"/>
      <c r="H773" s="31"/>
      <c r="I773" s="47"/>
      <c r="J773" s="31"/>
      <c r="K773" s="47"/>
      <c r="L773" s="47"/>
      <c r="M773" s="47"/>
      <c r="N773" s="31"/>
      <c r="O773" s="47"/>
      <c r="P773" s="31"/>
      <c r="Q773" s="31"/>
      <c r="R773" s="31"/>
      <c r="S773" s="31"/>
      <c r="T773" s="270">
        <f t="shared" ref="T773:T836" si="96">IF(OR($J773="Accepted",ISBLANK($J773)),IF(AND($G773="Legacy Data",$Q773="Legacy Data"),1,IF(OR($G773="Legacy Data",$Q773="Legacy Data"),1,0)),IF(OR($N773="Agree with original translator",ISBLANK($N773)),IF(AND($G773="Source Text Data",$Q773="Legacy Data"),1,IF(AND($G773="Legacy Data",$Q773="Legacy Data"),1,IF($Q773="Legacy Data",1,0))),IF(AND($G773="Legacy Data",$Q773="Legacy Data"),1,IF(OR($Q773="Legacy Data",ISBLANK($Q773)),IF($G773&lt;&gt;"Legacy Data",IF(AND($G773="Source Text Data",$Q773="Legacy Data"),1,0),1),0))))</f>
        <v>0</v>
      </c>
      <c r="U773" s="270">
        <f t="shared" ref="U773:U836" si="97">IF(OR($J773="Accepted",ISBLANK($J773)),IF(AND($G773="Source Text Data",$Q773="Source Text Data"),1,IF(OR($G773="Source Text Data",$Q773="Source Text Data"),1,0)),IF(OR($N773="Agree with original translator",ISBLANK($N773)),IF(AND($G773="Legacy Data",$Q773="Source Text Data"),1,IF(AND($G773="Source Text Data",$Q773="Source Text Data"),1,IF($Q773="Source Text Data",1,0))),IF(AND($G773="Source Text Data",$Q773="Source Text Data"),1,IF(OR($Q773="Source Text Data",ISBLANK($Q773)),IF($G773&lt;&gt;"Source Text Data",IF(AND($G773="Legacy Data",$Q773="Source Text Data"),1,0),1),0))))</f>
        <v>0</v>
      </c>
      <c r="V773" s="31"/>
      <c r="X773" s="240" t="str">
        <f t="shared" ref="X773:X836" si="98">IF(AND(COUNTBLANK($F773:$H773)&lt;&gt;COLUMNS($F773:$H773),COUNTA($F773:$H773)&lt;&gt;COLUMNS($F773:$H773)),"ERROR","OK")</f>
        <v>OK</v>
      </c>
      <c r="Y773" s="240" t="str">
        <f t="shared" ref="Y773:Y836" si="99">IF(AND($J773="Not accepted",$K773=""),"ERROR","OK")</f>
        <v>OK</v>
      </c>
      <c r="Z773" s="240" t="str">
        <f t="shared" ref="Z773:Z836" si="100">IF(AND($F773&lt;&gt;"",$J773=""),"ERROR","OK")</f>
        <v>OK</v>
      </c>
      <c r="AA773" s="240" t="str" cm="1">
        <f t="array" ref="AA773">IF(OR(AND(J773="Not accepted",N773:O773&lt;&gt;"",$S773=""),AND(J773="Accepted",S773="")),"ERROR","OK")</f>
        <v>OK</v>
      </c>
      <c r="AB773" s="240" t="str">
        <f t="shared" ref="AB773:AB836" si="101">IF(AND($S773="Not Implemented",$V773=""),"ERROR","OK")</f>
        <v>OK</v>
      </c>
      <c r="AC773" s="240" t="str" cm="1">
        <f t="array" ref="AC773">IF(AND(F773:H773&lt;&gt;"",I773=""),"ERROR","OK")</f>
        <v>OK</v>
      </c>
      <c r="AD773" s="240" t="str">
        <f t="shared" ref="AD773:AD836" si="102">IF(AND($N773="",$J773="Not accepted",$K773&lt;&gt;""),"ERROR","OK")</f>
        <v>OK</v>
      </c>
      <c r="AE773" s="240" t="str">
        <f t="shared" ref="AE773:AE836" si="103">IF(AND($O773="",$N773&lt;&gt;""),"ERROR","OK")</f>
        <v>OK</v>
      </c>
      <c r="AF773" s="240" t="str" cm="1">
        <f t="array" aca="1" ref="AF773" ca="1" xml:space="preserve">
IF(AND($G773&lt;&gt;"",$F773=""),"ERROR",
IF(OR($F773:$G773="",AND($G773="",$F773&lt;&gt;"")),"OK",
IF(COUNTIF(INDIRECT(IFERROR(LEFT($F773,FIND(" ",$F773)-1),$F773)), $G773)&gt;0, "OK", "ERROR")))</f>
        <v>OK</v>
      </c>
    </row>
    <row r="774" spans="1:32" s="240" customFormat="1">
      <c r="A774" s="48"/>
      <c r="B774" s="31"/>
      <c r="C774" s="48"/>
      <c r="D774" s="47"/>
      <c r="E774" s="47"/>
      <c r="F774" s="31"/>
      <c r="G774" s="31"/>
      <c r="H774" s="31"/>
      <c r="I774" s="47"/>
      <c r="J774" s="31"/>
      <c r="K774" s="47"/>
      <c r="L774" s="47"/>
      <c r="M774" s="47"/>
      <c r="N774" s="31"/>
      <c r="O774" s="47"/>
      <c r="P774" s="31"/>
      <c r="Q774" s="31"/>
      <c r="R774" s="31"/>
      <c r="S774" s="31"/>
      <c r="T774" s="270">
        <f t="shared" si="96"/>
        <v>0</v>
      </c>
      <c r="U774" s="270">
        <f t="shared" si="97"/>
        <v>0</v>
      </c>
      <c r="V774" s="31"/>
      <c r="X774" s="240" t="str">
        <f t="shared" si="98"/>
        <v>OK</v>
      </c>
      <c r="Y774" s="240" t="str">
        <f t="shared" si="99"/>
        <v>OK</v>
      </c>
      <c r="Z774" s="240" t="str">
        <f t="shared" si="100"/>
        <v>OK</v>
      </c>
      <c r="AA774" s="240" t="str" cm="1">
        <f t="array" ref="AA774">IF(OR(AND(J774="Not accepted",N774:O774&lt;&gt;"",$S774=""),AND(J774="Accepted",S774="")),"ERROR","OK")</f>
        <v>OK</v>
      </c>
      <c r="AB774" s="240" t="str">
        <f t="shared" si="101"/>
        <v>OK</v>
      </c>
      <c r="AC774" s="240" t="str" cm="1">
        <f t="array" ref="AC774">IF(AND(F774:H774&lt;&gt;"",I774=""),"ERROR","OK")</f>
        <v>OK</v>
      </c>
      <c r="AD774" s="240" t="str">
        <f t="shared" si="102"/>
        <v>OK</v>
      </c>
      <c r="AE774" s="240" t="str">
        <f t="shared" si="103"/>
        <v>OK</v>
      </c>
      <c r="AF774" s="240" t="str" cm="1">
        <f t="array" aca="1" ref="AF774" ca="1" xml:space="preserve">
IF(AND($G774&lt;&gt;"",$F774=""),"ERROR",
IF(OR($F774:$G774="",AND($G774="",$F774&lt;&gt;"")),"OK",
IF(COUNTIF(INDIRECT(IFERROR(LEFT($F774,FIND(" ",$F774)-1),$F774)), $G774)&gt;0, "OK", "ERROR")))</f>
        <v>OK</v>
      </c>
    </row>
    <row r="775" spans="1:32" s="240" customFormat="1">
      <c r="A775" s="48"/>
      <c r="B775" s="31"/>
      <c r="C775" s="48"/>
      <c r="D775" s="47"/>
      <c r="E775" s="47"/>
      <c r="F775" s="31"/>
      <c r="G775" s="31"/>
      <c r="H775" s="31"/>
      <c r="I775" s="47"/>
      <c r="J775" s="31"/>
      <c r="K775" s="47"/>
      <c r="L775" s="47"/>
      <c r="M775" s="47"/>
      <c r="N775" s="31"/>
      <c r="O775" s="47"/>
      <c r="P775" s="31"/>
      <c r="Q775" s="31"/>
      <c r="R775" s="31"/>
      <c r="S775" s="31"/>
      <c r="T775" s="270">
        <f t="shared" si="96"/>
        <v>0</v>
      </c>
      <c r="U775" s="270">
        <f t="shared" si="97"/>
        <v>0</v>
      </c>
      <c r="V775" s="31"/>
      <c r="X775" s="240" t="str">
        <f t="shared" si="98"/>
        <v>OK</v>
      </c>
      <c r="Y775" s="240" t="str">
        <f t="shared" si="99"/>
        <v>OK</v>
      </c>
      <c r="Z775" s="240" t="str">
        <f t="shared" si="100"/>
        <v>OK</v>
      </c>
      <c r="AA775" s="240" t="str" cm="1">
        <f t="array" ref="AA775">IF(OR(AND(J775="Not accepted",N775:O775&lt;&gt;"",$S775=""),AND(J775="Accepted",S775="")),"ERROR","OK")</f>
        <v>OK</v>
      </c>
      <c r="AB775" s="240" t="str">
        <f t="shared" si="101"/>
        <v>OK</v>
      </c>
      <c r="AC775" s="240" t="str" cm="1">
        <f t="array" ref="AC775">IF(AND(F775:H775&lt;&gt;"",I775=""),"ERROR","OK")</f>
        <v>OK</v>
      </c>
      <c r="AD775" s="240" t="str">
        <f t="shared" si="102"/>
        <v>OK</v>
      </c>
      <c r="AE775" s="240" t="str">
        <f t="shared" si="103"/>
        <v>OK</v>
      </c>
      <c r="AF775" s="240" t="str" cm="1">
        <f t="array" aca="1" ref="AF775" ca="1" xml:space="preserve">
IF(AND($G775&lt;&gt;"",$F775=""),"ERROR",
IF(OR($F775:$G775="",AND($G775="",$F775&lt;&gt;"")),"OK",
IF(COUNTIF(INDIRECT(IFERROR(LEFT($F775,FIND(" ",$F775)-1),$F775)), $G775)&gt;0, "OK", "ERROR")))</f>
        <v>OK</v>
      </c>
    </row>
    <row r="776" spans="1:32" s="240" customFormat="1">
      <c r="A776" s="48"/>
      <c r="B776" s="31"/>
      <c r="C776" s="48"/>
      <c r="D776" s="47"/>
      <c r="E776" s="47"/>
      <c r="F776" s="31"/>
      <c r="G776" s="31"/>
      <c r="H776" s="31"/>
      <c r="I776" s="47"/>
      <c r="J776" s="31"/>
      <c r="K776" s="47"/>
      <c r="L776" s="47"/>
      <c r="M776" s="47"/>
      <c r="N776" s="31"/>
      <c r="O776" s="47"/>
      <c r="P776" s="31"/>
      <c r="Q776" s="31"/>
      <c r="R776" s="31"/>
      <c r="S776" s="31"/>
      <c r="T776" s="270">
        <f t="shared" si="96"/>
        <v>0</v>
      </c>
      <c r="U776" s="270">
        <f t="shared" si="97"/>
        <v>0</v>
      </c>
      <c r="V776" s="31"/>
      <c r="X776" s="240" t="str">
        <f t="shared" si="98"/>
        <v>OK</v>
      </c>
      <c r="Y776" s="240" t="str">
        <f t="shared" si="99"/>
        <v>OK</v>
      </c>
      <c r="Z776" s="240" t="str">
        <f t="shared" si="100"/>
        <v>OK</v>
      </c>
      <c r="AA776" s="240" t="str" cm="1">
        <f t="array" ref="AA776">IF(OR(AND(J776="Not accepted",N776:O776&lt;&gt;"",$S776=""),AND(J776="Accepted",S776="")),"ERROR","OK")</f>
        <v>OK</v>
      </c>
      <c r="AB776" s="240" t="str">
        <f t="shared" si="101"/>
        <v>OK</v>
      </c>
      <c r="AC776" s="240" t="str" cm="1">
        <f t="array" ref="AC776">IF(AND(F776:H776&lt;&gt;"",I776=""),"ERROR","OK")</f>
        <v>OK</v>
      </c>
      <c r="AD776" s="240" t="str">
        <f t="shared" si="102"/>
        <v>OK</v>
      </c>
      <c r="AE776" s="240" t="str">
        <f t="shared" si="103"/>
        <v>OK</v>
      </c>
      <c r="AF776" s="240" t="str" cm="1">
        <f t="array" aca="1" ref="AF776" ca="1" xml:space="preserve">
IF(AND($G776&lt;&gt;"",$F776=""),"ERROR",
IF(OR($F776:$G776="",AND($G776="",$F776&lt;&gt;"")),"OK",
IF(COUNTIF(INDIRECT(IFERROR(LEFT($F776,FIND(" ",$F776)-1),$F776)), $G776)&gt;0, "OK", "ERROR")))</f>
        <v>OK</v>
      </c>
    </row>
    <row r="777" spans="1:32" s="240" customFormat="1">
      <c r="A777" s="48"/>
      <c r="B777" s="31"/>
      <c r="C777" s="48"/>
      <c r="D777" s="47"/>
      <c r="E777" s="47"/>
      <c r="F777" s="31"/>
      <c r="G777" s="31"/>
      <c r="H777" s="31"/>
      <c r="I777" s="47"/>
      <c r="J777" s="31"/>
      <c r="K777" s="47"/>
      <c r="L777" s="47"/>
      <c r="M777" s="47"/>
      <c r="N777" s="31"/>
      <c r="O777" s="47"/>
      <c r="P777" s="31"/>
      <c r="Q777" s="31"/>
      <c r="R777" s="31"/>
      <c r="S777" s="31"/>
      <c r="T777" s="270">
        <f t="shared" si="96"/>
        <v>0</v>
      </c>
      <c r="U777" s="270">
        <f t="shared" si="97"/>
        <v>0</v>
      </c>
      <c r="V777" s="31"/>
      <c r="X777" s="240" t="str">
        <f t="shared" si="98"/>
        <v>OK</v>
      </c>
      <c r="Y777" s="240" t="str">
        <f t="shared" si="99"/>
        <v>OK</v>
      </c>
      <c r="Z777" s="240" t="str">
        <f t="shared" si="100"/>
        <v>OK</v>
      </c>
      <c r="AA777" s="240" t="str" cm="1">
        <f t="array" ref="AA777">IF(OR(AND(J777="Not accepted",N777:O777&lt;&gt;"",$S777=""),AND(J777="Accepted",S777="")),"ERROR","OK")</f>
        <v>OK</v>
      </c>
      <c r="AB777" s="240" t="str">
        <f t="shared" si="101"/>
        <v>OK</v>
      </c>
      <c r="AC777" s="240" t="str" cm="1">
        <f t="array" ref="AC777">IF(AND(F777:H777&lt;&gt;"",I777=""),"ERROR","OK")</f>
        <v>OK</v>
      </c>
      <c r="AD777" s="240" t="str">
        <f t="shared" si="102"/>
        <v>OK</v>
      </c>
      <c r="AE777" s="240" t="str">
        <f t="shared" si="103"/>
        <v>OK</v>
      </c>
      <c r="AF777" s="240" t="str" cm="1">
        <f t="array" aca="1" ref="AF777" ca="1" xml:space="preserve">
IF(AND($G777&lt;&gt;"",$F777=""),"ERROR",
IF(OR($F777:$G777="",AND($G777="",$F777&lt;&gt;"")),"OK",
IF(COUNTIF(INDIRECT(IFERROR(LEFT($F777,FIND(" ",$F777)-1),$F777)), $G777)&gt;0, "OK", "ERROR")))</f>
        <v>OK</v>
      </c>
    </row>
    <row r="778" spans="1:32" s="240" customFormat="1">
      <c r="A778" s="48"/>
      <c r="B778" s="31"/>
      <c r="C778" s="48"/>
      <c r="D778" s="47"/>
      <c r="E778" s="47"/>
      <c r="F778" s="31"/>
      <c r="G778" s="31"/>
      <c r="H778" s="31"/>
      <c r="I778" s="47"/>
      <c r="J778" s="31"/>
      <c r="K778" s="47"/>
      <c r="L778" s="47"/>
      <c r="M778" s="47"/>
      <c r="N778" s="31"/>
      <c r="O778" s="47"/>
      <c r="P778" s="31"/>
      <c r="Q778" s="31"/>
      <c r="R778" s="31"/>
      <c r="S778" s="31"/>
      <c r="T778" s="270">
        <f t="shared" si="96"/>
        <v>0</v>
      </c>
      <c r="U778" s="270">
        <f t="shared" si="97"/>
        <v>0</v>
      </c>
      <c r="V778" s="31"/>
      <c r="X778" s="240" t="str">
        <f t="shared" si="98"/>
        <v>OK</v>
      </c>
      <c r="Y778" s="240" t="str">
        <f t="shared" si="99"/>
        <v>OK</v>
      </c>
      <c r="Z778" s="240" t="str">
        <f t="shared" si="100"/>
        <v>OK</v>
      </c>
      <c r="AA778" s="240" t="str" cm="1">
        <f t="array" ref="AA778">IF(OR(AND(J778="Not accepted",N778:O778&lt;&gt;"",$S778=""),AND(J778="Accepted",S778="")),"ERROR","OK")</f>
        <v>OK</v>
      </c>
      <c r="AB778" s="240" t="str">
        <f t="shared" si="101"/>
        <v>OK</v>
      </c>
      <c r="AC778" s="240" t="str" cm="1">
        <f t="array" ref="AC778">IF(AND(F778:H778&lt;&gt;"",I778=""),"ERROR","OK")</f>
        <v>OK</v>
      </c>
      <c r="AD778" s="240" t="str">
        <f t="shared" si="102"/>
        <v>OK</v>
      </c>
      <c r="AE778" s="240" t="str">
        <f t="shared" si="103"/>
        <v>OK</v>
      </c>
      <c r="AF778" s="240" t="str" cm="1">
        <f t="array" aca="1" ref="AF778" ca="1" xml:space="preserve">
IF(AND($G778&lt;&gt;"",$F778=""),"ERROR",
IF(OR($F778:$G778="",AND($G778="",$F778&lt;&gt;"")),"OK",
IF(COUNTIF(INDIRECT(IFERROR(LEFT($F778,FIND(" ",$F778)-1),$F778)), $G778)&gt;0, "OK", "ERROR")))</f>
        <v>OK</v>
      </c>
    </row>
    <row r="779" spans="1:32" s="240" customFormat="1">
      <c r="A779" s="48"/>
      <c r="B779" s="31"/>
      <c r="C779" s="48"/>
      <c r="D779" s="47"/>
      <c r="E779" s="47"/>
      <c r="F779" s="31"/>
      <c r="G779" s="31"/>
      <c r="H779" s="31"/>
      <c r="I779" s="47"/>
      <c r="J779" s="31"/>
      <c r="K779" s="47"/>
      <c r="L779" s="47"/>
      <c r="M779" s="47"/>
      <c r="N779" s="31"/>
      <c r="O779" s="47"/>
      <c r="P779" s="31"/>
      <c r="Q779" s="31"/>
      <c r="R779" s="31"/>
      <c r="S779" s="31"/>
      <c r="T779" s="270">
        <f t="shared" si="96"/>
        <v>0</v>
      </c>
      <c r="U779" s="270">
        <f t="shared" si="97"/>
        <v>0</v>
      </c>
      <c r="V779" s="31"/>
      <c r="X779" s="240" t="str">
        <f t="shared" si="98"/>
        <v>OK</v>
      </c>
      <c r="Y779" s="240" t="str">
        <f t="shared" si="99"/>
        <v>OK</v>
      </c>
      <c r="Z779" s="240" t="str">
        <f t="shared" si="100"/>
        <v>OK</v>
      </c>
      <c r="AA779" s="240" t="str" cm="1">
        <f t="array" ref="AA779">IF(OR(AND(J779="Not accepted",N779:O779&lt;&gt;"",$S779=""),AND(J779="Accepted",S779="")),"ERROR","OK")</f>
        <v>OK</v>
      </c>
      <c r="AB779" s="240" t="str">
        <f t="shared" si="101"/>
        <v>OK</v>
      </c>
      <c r="AC779" s="240" t="str" cm="1">
        <f t="array" ref="AC779">IF(AND(F779:H779&lt;&gt;"",I779=""),"ERROR","OK")</f>
        <v>OK</v>
      </c>
      <c r="AD779" s="240" t="str">
        <f t="shared" si="102"/>
        <v>OK</v>
      </c>
      <c r="AE779" s="240" t="str">
        <f t="shared" si="103"/>
        <v>OK</v>
      </c>
      <c r="AF779" s="240" t="str" cm="1">
        <f t="array" aca="1" ref="AF779" ca="1" xml:space="preserve">
IF(AND($G779&lt;&gt;"",$F779=""),"ERROR",
IF(OR($F779:$G779="",AND($G779="",$F779&lt;&gt;"")),"OK",
IF(COUNTIF(INDIRECT(IFERROR(LEFT($F779,FIND(" ",$F779)-1),$F779)), $G779)&gt;0, "OK", "ERROR")))</f>
        <v>OK</v>
      </c>
    </row>
    <row r="780" spans="1:32" s="240" customFormat="1">
      <c r="A780" s="48"/>
      <c r="B780" s="31"/>
      <c r="C780" s="48"/>
      <c r="D780" s="47"/>
      <c r="E780" s="47"/>
      <c r="F780" s="31"/>
      <c r="G780" s="31"/>
      <c r="H780" s="31"/>
      <c r="I780" s="47"/>
      <c r="J780" s="31"/>
      <c r="K780" s="47"/>
      <c r="L780" s="47"/>
      <c r="M780" s="47"/>
      <c r="N780" s="31"/>
      <c r="O780" s="47"/>
      <c r="P780" s="31"/>
      <c r="Q780" s="31"/>
      <c r="R780" s="31"/>
      <c r="S780" s="31"/>
      <c r="T780" s="270">
        <f t="shared" si="96"/>
        <v>0</v>
      </c>
      <c r="U780" s="270">
        <f t="shared" si="97"/>
        <v>0</v>
      </c>
      <c r="V780" s="31"/>
      <c r="X780" s="240" t="str">
        <f t="shared" si="98"/>
        <v>OK</v>
      </c>
      <c r="Y780" s="240" t="str">
        <f t="shared" si="99"/>
        <v>OK</v>
      </c>
      <c r="Z780" s="240" t="str">
        <f t="shared" si="100"/>
        <v>OK</v>
      </c>
      <c r="AA780" s="240" t="str" cm="1">
        <f t="array" ref="AA780">IF(OR(AND(J780="Not accepted",N780:O780&lt;&gt;"",$S780=""),AND(J780="Accepted",S780="")),"ERROR","OK")</f>
        <v>OK</v>
      </c>
      <c r="AB780" s="240" t="str">
        <f t="shared" si="101"/>
        <v>OK</v>
      </c>
      <c r="AC780" s="240" t="str" cm="1">
        <f t="array" ref="AC780">IF(AND(F780:H780&lt;&gt;"",I780=""),"ERROR","OK")</f>
        <v>OK</v>
      </c>
      <c r="AD780" s="240" t="str">
        <f t="shared" si="102"/>
        <v>OK</v>
      </c>
      <c r="AE780" s="240" t="str">
        <f t="shared" si="103"/>
        <v>OK</v>
      </c>
      <c r="AF780" s="240" t="str" cm="1">
        <f t="array" aca="1" ref="AF780" ca="1" xml:space="preserve">
IF(AND($G780&lt;&gt;"",$F780=""),"ERROR",
IF(OR($F780:$G780="",AND($G780="",$F780&lt;&gt;"")),"OK",
IF(COUNTIF(INDIRECT(IFERROR(LEFT($F780,FIND(" ",$F780)-1),$F780)), $G780)&gt;0, "OK", "ERROR")))</f>
        <v>OK</v>
      </c>
    </row>
    <row r="781" spans="1:32" s="240" customFormat="1">
      <c r="A781" s="48"/>
      <c r="B781" s="31"/>
      <c r="C781" s="48"/>
      <c r="D781" s="47"/>
      <c r="E781" s="47"/>
      <c r="F781" s="31"/>
      <c r="G781" s="31"/>
      <c r="H781" s="31"/>
      <c r="I781" s="47"/>
      <c r="J781" s="31"/>
      <c r="K781" s="47"/>
      <c r="L781" s="47"/>
      <c r="M781" s="47"/>
      <c r="N781" s="31"/>
      <c r="O781" s="47"/>
      <c r="P781" s="31"/>
      <c r="Q781" s="31"/>
      <c r="R781" s="31"/>
      <c r="S781" s="31"/>
      <c r="T781" s="270">
        <f t="shared" si="96"/>
        <v>0</v>
      </c>
      <c r="U781" s="270">
        <f t="shared" si="97"/>
        <v>0</v>
      </c>
      <c r="V781" s="31"/>
      <c r="X781" s="240" t="str">
        <f t="shared" si="98"/>
        <v>OK</v>
      </c>
      <c r="Y781" s="240" t="str">
        <f t="shared" si="99"/>
        <v>OK</v>
      </c>
      <c r="Z781" s="240" t="str">
        <f t="shared" si="100"/>
        <v>OK</v>
      </c>
      <c r="AA781" s="240" t="str" cm="1">
        <f t="array" ref="AA781">IF(OR(AND(J781="Not accepted",N781:O781&lt;&gt;"",$S781=""),AND(J781="Accepted",S781="")),"ERROR","OK")</f>
        <v>OK</v>
      </c>
      <c r="AB781" s="240" t="str">
        <f t="shared" si="101"/>
        <v>OK</v>
      </c>
      <c r="AC781" s="240" t="str" cm="1">
        <f t="array" ref="AC781">IF(AND(F781:H781&lt;&gt;"",I781=""),"ERROR","OK")</f>
        <v>OK</v>
      </c>
      <c r="AD781" s="240" t="str">
        <f t="shared" si="102"/>
        <v>OK</v>
      </c>
      <c r="AE781" s="240" t="str">
        <f t="shared" si="103"/>
        <v>OK</v>
      </c>
      <c r="AF781" s="240" t="str" cm="1">
        <f t="array" aca="1" ref="AF781" ca="1" xml:space="preserve">
IF(AND($G781&lt;&gt;"",$F781=""),"ERROR",
IF(OR($F781:$G781="",AND($G781="",$F781&lt;&gt;"")),"OK",
IF(COUNTIF(INDIRECT(IFERROR(LEFT($F781,FIND(" ",$F781)-1),$F781)), $G781)&gt;0, "OK", "ERROR")))</f>
        <v>OK</v>
      </c>
    </row>
    <row r="782" spans="1:32" s="240" customFormat="1">
      <c r="A782" s="48"/>
      <c r="B782" s="31"/>
      <c r="C782" s="48"/>
      <c r="D782" s="47"/>
      <c r="E782" s="47"/>
      <c r="F782" s="31"/>
      <c r="G782" s="31"/>
      <c r="H782" s="31"/>
      <c r="I782" s="47"/>
      <c r="J782" s="31"/>
      <c r="K782" s="47"/>
      <c r="L782" s="47"/>
      <c r="M782" s="47"/>
      <c r="N782" s="31"/>
      <c r="O782" s="47"/>
      <c r="P782" s="31"/>
      <c r="Q782" s="31"/>
      <c r="R782" s="31"/>
      <c r="S782" s="31"/>
      <c r="T782" s="270">
        <f t="shared" si="96"/>
        <v>0</v>
      </c>
      <c r="U782" s="270">
        <f t="shared" si="97"/>
        <v>0</v>
      </c>
      <c r="V782" s="31"/>
      <c r="X782" s="240" t="str">
        <f t="shared" si="98"/>
        <v>OK</v>
      </c>
      <c r="Y782" s="240" t="str">
        <f t="shared" si="99"/>
        <v>OK</v>
      </c>
      <c r="Z782" s="240" t="str">
        <f t="shared" si="100"/>
        <v>OK</v>
      </c>
      <c r="AA782" s="240" t="str" cm="1">
        <f t="array" ref="AA782">IF(OR(AND(J782="Not accepted",N782:O782&lt;&gt;"",$S782=""),AND(J782="Accepted",S782="")),"ERROR","OK")</f>
        <v>OK</v>
      </c>
      <c r="AB782" s="240" t="str">
        <f t="shared" si="101"/>
        <v>OK</v>
      </c>
      <c r="AC782" s="240" t="str" cm="1">
        <f t="array" ref="AC782">IF(AND(F782:H782&lt;&gt;"",I782=""),"ERROR","OK")</f>
        <v>OK</v>
      </c>
      <c r="AD782" s="240" t="str">
        <f t="shared" si="102"/>
        <v>OK</v>
      </c>
      <c r="AE782" s="240" t="str">
        <f t="shared" si="103"/>
        <v>OK</v>
      </c>
      <c r="AF782" s="240" t="str" cm="1">
        <f t="array" aca="1" ref="AF782" ca="1" xml:space="preserve">
IF(AND($G782&lt;&gt;"",$F782=""),"ERROR",
IF(OR($F782:$G782="",AND($G782="",$F782&lt;&gt;"")),"OK",
IF(COUNTIF(INDIRECT(IFERROR(LEFT($F782,FIND(" ",$F782)-1),$F782)), $G782)&gt;0, "OK", "ERROR")))</f>
        <v>OK</v>
      </c>
    </row>
    <row r="783" spans="1:32" s="240" customFormat="1">
      <c r="A783" s="48"/>
      <c r="B783" s="31"/>
      <c r="C783" s="48"/>
      <c r="D783" s="47"/>
      <c r="E783" s="47"/>
      <c r="F783" s="31"/>
      <c r="G783" s="31"/>
      <c r="H783" s="31"/>
      <c r="I783" s="47"/>
      <c r="J783" s="31"/>
      <c r="K783" s="47"/>
      <c r="L783" s="47"/>
      <c r="M783" s="47"/>
      <c r="N783" s="31"/>
      <c r="O783" s="47"/>
      <c r="P783" s="31"/>
      <c r="Q783" s="31"/>
      <c r="R783" s="31"/>
      <c r="S783" s="31"/>
      <c r="T783" s="270">
        <f t="shared" si="96"/>
        <v>0</v>
      </c>
      <c r="U783" s="270">
        <f t="shared" si="97"/>
        <v>0</v>
      </c>
      <c r="V783" s="31"/>
      <c r="X783" s="240" t="str">
        <f t="shared" si="98"/>
        <v>OK</v>
      </c>
      <c r="Y783" s="240" t="str">
        <f t="shared" si="99"/>
        <v>OK</v>
      </c>
      <c r="Z783" s="240" t="str">
        <f t="shared" si="100"/>
        <v>OK</v>
      </c>
      <c r="AA783" s="240" t="str" cm="1">
        <f t="array" ref="AA783">IF(OR(AND(J783="Not accepted",N783:O783&lt;&gt;"",$S783=""),AND(J783="Accepted",S783="")),"ERROR","OK")</f>
        <v>OK</v>
      </c>
      <c r="AB783" s="240" t="str">
        <f t="shared" si="101"/>
        <v>OK</v>
      </c>
      <c r="AC783" s="240" t="str" cm="1">
        <f t="array" ref="AC783">IF(AND(F783:H783&lt;&gt;"",I783=""),"ERROR","OK")</f>
        <v>OK</v>
      </c>
      <c r="AD783" s="240" t="str">
        <f t="shared" si="102"/>
        <v>OK</v>
      </c>
      <c r="AE783" s="240" t="str">
        <f t="shared" si="103"/>
        <v>OK</v>
      </c>
      <c r="AF783" s="240" t="str" cm="1">
        <f t="array" aca="1" ref="AF783" ca="1" xml:space="preserve">
IF(AND($G783&lt;&gt;"",$F783=""),"ERROR",
IF(OR($F783:$G783="",AND($G783="",$F783&lt;&gt;"")),"OK",
IF(COUNTIF(INDIRECT(IFERROR(LEFT($F783,FIND(" ",$F783)-1),$F783)), $G783)&gt;0, "OK", "ERROR")))</f>
        <v>OK</v>
      </c>
    </row>
    <row r="784" spans="1:32" s="240" customFormat="1">
      <c r="A784" s="48"/>
      <c r="B784" s="31"/>
      <c r="C784" s="48"/>
      <c r="D784" s="47"/>
      <c r="E784" s="47"/>
      <c r="F784" s="31"/>
      <c r="G784" s="31"/>
      <c r="H784" s="31"/>
      <c r="I784" s="47"/>
      <c r="J784" s="31"/>
      <c r="K784" s="47"/>
      <c r="L784" s="47"/>
      <c r="M784" s="47"/>
      <c r="N784" s="31"/>
      <c r="O784" s="47"/>
      <c r="P784" s="31"/>
      <c r="Q784" s="31"/>
      <c r="R784" s="31"/>
      <c r="S784" s="31"/>
      <c r="T784" s="270">
        <f t="shared" si="96"/>
        <v>0</v>
      </c>
      <c r="U784" s="270">
        <f t="shared" si="97"/>
        <v>0</v>
      </c>
      <c r="V784" s="31"/>
      <c r="X784" s="240" t="str">
        <f t="shared" si="98"/>
        <v>OK</v>
      </c>
      <c r="Y784" s="240" t="str">
        <f t="shared" si="99"/>
        <v>OK</v>
      </c>
      <c r="Z784" s="240" t="str">
        <f t="shared" si="100"/>
        <v>OK</v>
      </c>
      <c r="AA784" s="240" t="str" cm="1">
        <f t="array" ref="AA784">IF(OR(AND(J784="Not accepted",N784:O784&lt;&gt;"",$S784=""),AND(J784="Accepted",S784="")),"ERROR","OK")</f>
        <v>OK</v>
      </c>
      <c r="AB784" s="240" t="str">
        <f t="shared" si="101"/>
        <v>OK</v>
      </c>
      <c r="AC784" s="240" t="str" cm="1">
        <f t="array" ref="AC784">IF(AND(F784:H784&lt;&gt;"",I784=""),"ERROR","OK")</f>
        <v>OK</v>
      </c>
      <c r="AD784" s="240" t="str">
        <f t="shared" si="102"/>
        <v>OK</v>
      </c>
      <c r="AE784" s="240" t="str">
        <f t="shared" si="103"/>
        <v>OK</v>
      </c>
      <c r="AF784" s="240" t="str" cm="1">
        <f t="array" aca="1" ref="AF784" ca="1" xml:space="preserve">
IF(AND($G784&lt;&gt;"",$F784=""),"ERROR",
IF(OR($F784:$G784="",AND($G784="",$F784&lt;&gt;"")),"OK",
IF(COUNTIF(INDIRECT(IFERROR(LEFT($F784,FIND(" ",$F784)-1),$F784)), $G784)&gt;0, "OK", "ERROR")))</f>
        <v>OK</v>
      </c>
    </row>
    <row r="785" spans="1:32" s="240" customFormat="1">
      <c r="A785" s="48"/>
      <c r="B785" s="31"/>
      <c r="C785" s="48"/>
      <c r="D785" s="47"/>
      <c r="E785" s="47"/>
      <c r="F785" s="31"/>
      <c r="G785" s="31"/>
      <c r="H785" s="31"/>
      <c r="I785" s="47"/>
      <c r="J785" s="31"/>
      <c r="K785" s="47"/>
      <c r="L785" s="47"/>
      <c r="M785" s="47"/>
      <c r="N785" s="31"/>
      <c r="O785" s="47"/>
      <c r="P785" s="31"/>
      <c r="Q785" s="31"/>
      <c r="R785" s="31"/>
      <c r="S785" s="31"/>
      <c r="T785" s="270">
        <f t="shared" si="96"/>
        <v>0</v>
      </c>
      <c r="U785" s="270">
        <f t="shared" si="97"/>
        <v>0</v>
      </c>
      <c r="V785" s="31"/>
      <c r="X785" s="240" t="str">
        <f t="shared" si="98"/>
        <v>OK</v>
      </c>
      <c r="Y785" s="240" t="str">
        <f t="shared" si="99"/>
        <v>OK</v>
      </c>
      <c r="Z785" s="240" t="str">
        <f t="shared" si="100"/>
        <v>OK</v>
      </c>
      <c r="AA785" s="240" t="str" cm="1">
        <f t="array" ref="AA785">IF(OR(AND(J785="Not accepted",N785:O785&lt;&gt;"",$S785=""),AND(J785="Accepted",S785="")),"ERROR","OK")</f>
        <v>OK</v>
      </c>
      <c r="AB785" s="240" t="str">
        <f t="shared" si="101"/>
        <v>OK</v>
      </c>
      <c r="AC785" s="240" t="str" cm="1">
        <f t="array" ref="AC785">IF(AND(F785:H785&lt;&gt;"",I785=""),"ERROR","OK")</f>
        <v>OK</v>
      </c>
      <c r="AD785" s="240" t="str">
        <f t="shared" si="102"/>
        <v>OK</v>
      </c>
      <c r="AE785" s="240" t="str">
        <f t="shared" si="103"/>
        <v>OK</v>
      </c>
      <c r="AF785" s="240" t="str" cm="1">
        <f t="array" aca="1" ref="AF785" ca="1" xml:space="preserve">
IF(AND($G785&lt;&gt;"",$F785=""),"ERROR",
IF(OR($F785:$G785="",AND($G785="",$F785&lt;&gt;"")),"OK",
IF(COUNTIF(INDIRECT(IFERROR(LEFT($F785,FIND(" ",$F785)-1),$F785)), $G785)&gt;0, "OK", "ERROR")))</f>
        <v>OK</v>
      </c>
    </row>
    <row r="786" spans="1:32" s="240" customFormat="1">
      <c r="A786" s="48"/>
      <c r="B786" s="31"/>
      <c r="C786" s="48"/>
      <c r="D786" s="47"/>
      <c r="E786" s="47"/>
      <c r="F786" s="31"/>
      <c r="G786" s="31"/>
      <c r="H786" s="31"/>
      <c r="I786" s="47"/>
      <c r="J786" s="31"/>
      <c r="K786" s="47"/>
      <c r="L786" s="47"/>
      <c r="M786" s="47"/>
      <c r="N786" s="31"/>
      <c r="O786" s="47"/>
      <c r="P786" s="31"/>
      <c r="Q786" s="31"/>
      <c r="R786" s="31"/>
      <c r="S786" s="31"/>
      <c r="T786" s="270">
        <f t="shared" si="96"/>
        <v>0</v>
      </c>
      <c r="U786" s="270">
        <f t="shared" si="97"/>
        <v>0</v>
      </c>
      <c r="V786" s="31"/>
      <c r="X786" s="240" t="str">
        <f t="shared" si="98"/>
        <v>OK</v>
      </c>
      <c r="Y786" s="240" t="str">
        <f t="shared" si="99"/>
        <v>OK</v>
      </c>
      <c r="Z786" s="240" t="str">
        <f t="shared" si="100"/>
        <v>OK</v>
      </c>
      <c r="AA786" s="240" t="str" cm="1">
        <f t="array" ref="AA786">IF(OR(AND(J786="Not accepted",N786:O786&lt;&gt;"",$S786=""),AND(J786="Accepted",S786="")),"ERROR","OK")</f>
        <v>OK</v>
      </c>
      <c r="AB786" s="240" t="str">
        <f t="shared" si="101"/>
        <v>OK</v>
      </c>
      <c r="AC786" s="240" t="str" cm="1">
        <f t="array" ref="AC786">IF(AND(F786:H786&lt;&gt;"",I786=""),"ERROR","OK")</f>
        <v>OK</v>
      </c>
      <c r="AD786" s="240" t="str">
        <f t="shared" si="102"/>
        <v>OK</v>
      </c>
      <c r="AE786" s="240" t="str">
        <f t="shared" si="103"/>
        <v>OK</v>
      </c>
      <c r="AF786" s="240" t="str" cm="1">
        <f t="array" aca="1" ref="AF786" ca="1" xml:space="preserve">
IF(AND($G786&lt;&gt;"",$F786=""),"ERROR",
IF(OR($F786:$G786="",AND($G786="",$F786&lt;&gt;"")),"OK",
IF(COUNTIF(INDIRECT(IFERROR(LEFT($F786,FIND(" ",$F786)-1),$F786)), $G786)&gt;0, "OK", "ERROR")))</f>
        <v>OK</v>
      </c>
    </row>
    <row r="787" spans="1:32" s="240" customFormat="1">
      <c r="A787" s="48"/>
      <c r="B787" s="31"/>
      <c r="C787" s="48"/>
      <c r="D787" s="47"/>
      <c r="E787" s="47"/>
      <c r="F787" s="31"/>
      <c r="G787" s="31"/>
      <c r="H787" s="31"/>
      <c r="I787" s="47"/>
      <c r="J787" s="31"/>
      <c r="K787" s="47"/>
      <c r="L787" s="47"/>
      <c r="M787" s="47"/>
      <c r="N787" s="31"/>
      <c r="O787" s="47"/>
      <c r="P787" s="31"/>
      <c r="Q787" s="31"/>
      <c r="R787" s="31"/>
      <c r="S787" s="31"/>
      <c r="T787" s="270">
        <f t="shared" si="96"/>
        <v>0</v>
      </c>
      <c r="U787" s="270">
        <f t="shared" si="97"/>
        <v>0</v>
      </c>
      <c r="V787" s="31"/>
      <c r="X787" s="240" t="str">
        <f t="shared" si="98"/>
        <v>OK</v>
      </c>
      <c r="Y787" s="240" t="str">
        <f t="shared" si="99"/>
        <v>OK</v>
      </c>
      <c r="Z787" s="240" t="str">
        <f t="shared" si="100"/>
        <v>OK</v>
      </c>
      <c r="AA787" s="240" t="str" cm="1">
        <f t="array" ref="AA787">IF(OR(AND(J787="Not accepted",N787:O787&lt;&gt;"",$S787=""),AND(J787="Accepted",S787="")),"ERROR","OK")</f>
        <v>OK</v>
      </c>
      <c r="AB787" s="240" t="str">
        <f t="shared" si="101"/>
        <v>OK</v>
      </c>
      <c r="AC787" s="240" t="str" cm="1">
        <f t="array" ref="AC787">IF(AND(F787:H787&lt;&gt;"",I787=""),"ERROR","OK")</f>
        <v>OK</v>
      </c>
      <c r="AD787" s="240" t="str">
        <f t="shared" si="102"/>
        <v>OK</v>
      </c>
      <c r="AE787" s="240" t="str">
        <f t="shared" si="103"/>
        <v>OK</v>
      </c>
      <c r="AF787" s="240" t="str" cm="1">
        <f t="array" aca="1" ref="AF787" ca="1" xml:space="preserve">
IF(AND($G787&lt;&gt;"",$F787=""),"ERROR",
IF(OR($F787:$G787="",AND($G787="",$F787&lt;&gt;"")),"OK",
IF(COUNTIF(INDIRECT(IFERROR(LEFT($F787,FIND(" ",$F787)-1),$F787)), $G787)&gt;0, "OK", "ERROR")))</f>
        <v>OK</v>
      </c>
    </row>
    <row r="788" spans="1:32" s="240" customFormat="1">
      <c r="A788" s="48"/>
      <c r="B788" s="31"/>
      <c r="C788" s="48"/>
      <c r="D788" s="47"/>
      <c r="E788" s="47"/>
      <c r="F788" s="31"/>
      <c r="G788" s="31"/>
      <c r="H788" s="31"/>
      <c r="I788" s="47"/>
      <c r="J788" s="31"/>
      <c r="K788" s="47"/>
      <c r="L788" s="47"/>
      <c r="M788" s="47"/>
      <c r="N788" s="31"/>
      <c r="O788" s="47"/>
      <c r="P788" s="31"/>
      <c r="Q788" s="31"/>
      <c r="R788" s="31"/>
      <c r="S788" s="31"/>
      <c r="T788" s="270">
        <f t="shared" si="96"/>
        <v>0</v>
      </c>
      <c r="U788" s="270">
        <f t="shared" si="97"/>
        <v>0</v>
      </c>
      <c r="V788" s="31"/>
      <c r="X788" s="240" t="str">
        <f t="shared" si="98"/>
        <v>OK</v>
      </c>
      <c r="Y788" s="240" t="str">
        <f t="shared" si="99"/>
        <v>OK</v>
      </c>
      <c r="Z788" s="240" t="str">
        <f t="shared" si="100"/>
        <v>OK</v>
      </c>
      <c r="AA788" s="240" t="str" cm="1">
        <f t="array" ref="AA788">IF(OR(AND(J788="Not accepted",N788:O788&lt;&gt;"",$S788=""),AND(J788="Accepted",S788="")),"ERROR","OK")</f>
        <v>OK</v>
      </c>
      <c r="AB788" s="240" t="str">
        <f t="shared" si="101"/>
        <v>OK</v>
      </c>
      <c r="AC788" s="240" t="str" cm="1">
        <f t="array" ref="AC788">IF(AND(F788:H788&lt;&gt;"",I788=""),"ERROR","OK")</f>
        <v>OK</v>
      </c>
      <c r="AD788" s="240" t="str">
        <f t="shared" si="102"/>
        <v>OK</v>
      </c>
      <c r="AE788" s="240" t="str">
        <f t="shared" si="103"/>
        <v>OK</v>
      </c>
      <c r="AF788" s="240" t="str" cm="1">
        <f t="array" aca="1" ref="AF788" ca="1" xml:space="preserve">
IF(AND($G788&lt;&gt;"",$F788=""),"ERROR",
IF(OR($F788:$G788="",AND($G788="",$F788&lt;&gt;"")),"OK",
IF(COUNTIF(INDIRECT(IFERROR(LEFT($F788,FIND(" ",$F788)-1),$F788)), $G788)&gt;0, "OK", "ERROR")))</f>
        <v>OK</v>
      </c>
    </row>
    <row r="789" spans="1:32" s="240" customFormat="1">
      <c r="A789" s="48"/>
      <c r="B789" s="31"/>
      <c r="C789" s="48"/>
      <c r="D789" s="47"/>
      <c r="E789" s="47"/>
      <c r="F789" s="31"/>
      <c r="G789" s="31"/>
      <c r="H789" s="31"/>
      <c r="I789" s="47"/>
      <c r="J789" s="31"/>
      <c r="K789" s="47"/>
      <c r="L789" s="47"/>
      <c r="M789" s="47"/>
      <c r="N789" s="31"/>
      <c r="O789" s="47"/>
      <c r="P789" s="31"/>
      <c r="Q789" s="31"/>
      <c r="R789" s="31"/>
      <c r="S789" s="31"/>
      <c r="T789" s="270">
        <f t="shared" si="96"/>
        <v>0</v>
      </c>
      <c r="U789" s="270">
        <f t="shared" si="97"/>
        <v>0</v>
      </c>
      <c r="V789" s="31"/>
      <c r="X789" s="240" t="str">
        <f t="shared" si="98"/>
        <v>OK</v>
      </c>
      <c r="Y789" s="240" t="str">
        <f t="shared" si="99"/>
        <v>OK</v>
      </c>
      <c r="Z789" s="240" t="str">
        <f t="shared" si="100"/>
        <v>OK</v>
      </c>
      <c r="AA789" s="240" t="str" cm="1">
        <f t="array" ref="AA789">IF(OR(AND(J789="Not accepted",N789:O789&lt;&gt;"",$S789=""),AND(J789="Accepted",S789="")),"ERROR","OK")</f>
        <v>OK</v>
      </c>
      <c r="AB789" s="240" t="str">
        <f t="shared" si="101"/>
        <v>OK</v>
      </c>
      <c r="AC789" s="240" t="str" cm="1">
        <f t="array" ref="AC789">IF(AND(F789:H789&lt;&gt;"",I789=""),"ERROR","OK")</f>
        <v>OK</v>
      </c>
      <c r="AD789" s="240" t="str">
        <f t="shared" si="102"/>
        <v>OK</v>
      </c>
      <c r="AE789" s="240" t="str">
        <f t="shared" si="103"/>
        <v>OK</v>
      </c>
      <c r="AF789" s="240" t="str" cm="1">
        <f t="array" aca="1" ref="AF789" ca="1" xml:space="preserve">
IF(AND($G789&lt;&gt;"",$F789=""),"ERROR",
IF(OR($F789:$G789="",AND($G789="",$F789&lt;&gt;"")),"OK",
IF(COUNTIF(INDIRECT(IFERROR(LEFT($F789,FIND(" ",$F789)-1),$F789)), $G789)&gt;0, "OK", "ERROR")))</f>
        <v>OK</v>
      </c>
    </row>
    <row r="790" spans="1:32" s="240" customFormat="1">
      <c r="A790" s="48"/>
      <c r="B790" s="31"/>
      <c r="C790" s="48"/>
      <c r="D790" s="47"/>
      <c r="E790" s="47"/>
      <c r="F790" s="31"/>
      <c r="G790" s="31"/>
      <c r="H790" s="31"/>
      <c r="I790" s="47"/>
      <c r="J790" s="31"/>
      <c r="K790" s="47"/>
      <c r="L790" s="47"/>
      <c r="M790" s="47"/>
      <c r="N790" s="31"/>
      <c r="O790" s="47"/>
      <c r="P790" s="31"/>
      <c r="Q790" s="31"/>
      <c r="R790" s="31"/>
      <c r="S790" s="31"/>
      <c r="T790" s="270">
        <f t="shared" si="96"/>
        <v>0</v>
      </c>
      <c r="U790" s="270">
        <f t="shared" si="97"/>
        <v>0</v>
      </c>
      <c r="V790" s="31"/>
      <c r="X790" s="240" t="str">
        <f t="shared" si="98"/>
        <v>OK</v>
      </c>
      <c r="Y790" s="240" t="str">
        <f t="shared" si="99"/>
        <v>OK</v>
      </c>
      <c r="Z790" s="240" t="str">
        <f t="shared" si="100"/>
        <v>OK</v>
      </c>
      <c r="AA790" s="240" t="str" cm="1">
        <f t="array" ref="AA790">IF(OR(AND(J790="Not accepted",N790:O790&lt;&gt;"",$S790=""),AND(J790="Accepted",S790="")),"ERROR","OK")</f>
        <v>OK</v>
      </c>
      <c r="AB790" s="240" t="str">
        <f t="shared" si="101"/>
        <v>OK</v>
      </c>
      <c r="AC790" s="240" t="str" cm="1">
        <f t="array" ref="AC790">IF(AND(F790:H790&lt;&gt;"",I790=""),"ERROR","OK")</f>
        <v>OK</v>
      </c>
      <c r="AD790" s="240" t="str">
        <f t="shared" si="102"/>
        <v>OK</v>
      </c>
      <c r="AE790" s="240" t="str">
        <f t="shared" si="103"/>
        <v>OK</v>
      </c>
      <c r="AF790" s="240" t="str" cm="1">
        <f t="array" aca="1" ref="AF790" ca="1" xml:space="preserve">
IF(AND($G790&lt;&gt;"",$F790=""),"ERROR",
IF(OR($F790:$G790="",AND($G790="",$F790&lt;&gt;"")),"OK",
IF(COUNTIF(INDIRECT(IFERROR(LEFT($F790,FIND(" ",$F790)-1),$F790)), $G790)&gt;0, "OK", "ERROR")))</f>
        <v>OK</v>
      </c>
    </row>
    <row r="791" spans="1:32" s="240" customFormat="1">
      <c r="A791" s="48"/>
      <c r="B791" s="31"/>
      <c r="C791" s="48"/>
      <c r="D791" s="47"/>
      <c r="E791" s="47"/>
      <c r="F791" s="31"/>
      <c r="G791" s="31"/>
      <c r="H791" s="31"/>
      <c r="I791" s="47"/>
      <c r="J791" s="31"/>
      <c r="K791" s="47"/>
      <c r="L791" s="47"/>
      <c r="M791" s="47"/>
      <c r="N791" s="31"/>
      <c r="O791" s="47"/>
      <c r="P791" s="31"/>
      <c r="Q791" s="31"/>
      <c r="R791" s="31"/>
      <c r="S791" s="31"/>
      <c r="T791" s="270">
        <f t="shared" si="96"/>
        <v>0</v>
      </c>
      <c r="U791" s="270">
        <f t="shared" si="97"/>
        <v>0</v>
      </c>
      <c r="V791" s="31"/>
      <c r="X791" s="240" t="str">
        <f t="shared" si="98"/>
        <v>OK</v>
      </c>
      <c r="Y791" s="240" t="str">
        <f t="shared" si="99"/>
        <v>OK</v>
      </c>
      <c r="Z791" s="240" t="str">
        <f t="shared" si="100"/>
        <v>OK</v>
      </c>
      <c r="AA791" s="240" t="str" cm="1">
        <f t="array" ref="AA791">IF(OR(AND(J791="Not accepted",N791:O791&lt;&gt;"",$S791=""),AND(J791="Accepted",S791="")),"ERROR","OK")</f>
        <v>OK</v>
      </c>
      <c r="AB791" s="240" t="str">
        <f t="shared" si="101"/>
        <v>OK</v>
      </c>
      <c r="AC791" s="240" t="str" cm="1">
        <f t="array" ref="AC791">IF(AND(F791:H791&lt;&gt;"",I791=""),"ERROR","OK")</f>
        <v>OK</v>
      </c>
      <c r="AD791" s="240" t="str">
        <f t="shared" si="102"/>
        <v>OK</v>
      </c>
      <c r="AE791" s="240" t="str">
        <f t="shared" si="103"/>
        <v>OK</v>
      </c>
      <c r="AF791" s="240" t="str" cm="1">
        <f t="array" aca="1" ref="AF791" ca="1" xml:space="preserve">
IF(AND($G791&lt;&gt;"",$F791=""),"ERROR",
IF(OR($F791:$G791="",AND($G791="",$F791&lt;&gt;"")),"OK",
IF(COUNTIF(INDIRECT(IFERROR(LEFT($F791,FIND(" ",$F791)-1),$F791)), $G791)&gt;0, "OK", "ERROR")))</f>
        <v>OK</v>
      </c>
    </row>
    <row r="792" spans="1:32" s="240" customFormat="1">
      <c r="A792" s="48"/>
      <c r="B792" s="31"/>
      <c r="C792" s="48"/>
      <c r="D792" s="47"/>
      <c r="E792" s="47"/>
      <c r="F792" s="31"/>
      <c r="G792" s="31"/>
      <c r="H792" s="31"/>
      <c r="I792" s="47"/>
      <c r="J792" s="31"/>
      <c r="K792" s="47"/>
      <c r="L792" s="47"/>
      <c r="M792" s="47"/>
      <c r="N792" s="31"/>
      <c r="O792" s="47"/>
      <c r="P792" s="31"/>
      <c r="Q792" s="31"/>
      <c r="R792" s="31"/>
      <c r="S792" s="31"/>
      <c r="T792" s="270">
        <f t="shared" si="96"/>
        <v>0</v>
      </c>
      <c r="U792" s="270">
        <f t="shared" si="97"/>
        <v>0</v>
      </c>
      <c r="V792" s="31"/>
      <c r="X792" s="240" t="str">
        <f t="shared" si="98"/>
        <v>OK</v>
      </c>
      <c r="Y792" s="240" t="str">
        <f t="shared" si="99"/>
        <v>OK</v>
      </c>
      <c r="Z792" s="240" t="str">
        <f t="shared" si="100"/>
        <v>OK</v>
      </c>
      <c r="AA792" s="240" t="str" cm="1">
        <f t="array" ref="AA792">IF(OR(AND(J792="Not accepted",N792:O792&lt;&gt;"",$S792=""),AND(J792="Accepted",S792="")),"ERROR","OK")</f>
        <v>OK</v>
      </c>
      <c r="AB792" s="240" t="str">
        <f t="shared" si="101"/>
        <v>OK</v>
      </c>
      <c r="AC792" s="240" t="str" cm="1">
        <f t="array" ref="AC792">IF(AND(F792:H792&lt;&gt;"",I792=""),"ERROR","OK")</f>
        <v>OK</v>
      </c>
      <c r="AD792" s="240" t="str">
        <f t="shared" si="102"/>
        <v>OK</v>
      </c>
      <c r="AE792" s="240" t="str">
        <f t="shared" si="103"/>
        <v>OK</v>
      </c>
      <c r="AF792" s="240" t="str" cm="1">
        <f t="array" aca="1" ref="AF792" ca="1" xml:space="preserve">
IF(AND($G792&lt;&gt;"",$F792=""),"ERROR",
IF(OR($F792:$G792="",AND($G792="",$F792&lt;&gt;"")),"OK",
IF(COUNTIF(INDIRECT(IFERROR(LEFT($F792,FIND(" ",$F792)-1),$F792)), $G792)&gt;0, "OK", "ERROR")))</f>
        <v>OK</v>
      </c>
    </row>
    <row r="793" spans="1:32" s="240" customFormat="1">
      <c r="A793" s="48"/>
      <c r="B793" s="31"/>
      <c r="C793" s="48"/>
      <c r="D793" s="47"/>
      <c r="E793" s="47"/>
      <c r="F793" s="31"/>
      <c r="G793" s="31"/>
      <c r="H793" s="31"/>
      <c r="I793" s="47"/>
      <c r="J793" s="31"/>
      <c r="K793" s="47"/>
      <c r="L793" s="47"/>
      <c r="M793" s="47"/>
      <c r="N793" s="31"/>
      <c r="O793" s="47"/>
      <c r="P793" s="31"/>
      <c r="Q793" s="31"/>
      <c r="R793" s="31"/>
      <c r="S793" s="31"/>
      <c r="T793" s="270">
        <f t="shared" si="96"/>
        <v>0</v>
      </c>
      <c r="U793" s="270">
        <f t="shared" si="97"/>
        <v>0</v>
      </c>
      <c r="V793" s="31"/>
      <c r="X793" s="240" t="str">
        <f t="shared" si="98"/>
        <v>OK</v>
      </c>
      <c r="Y793" s="240" t="str">
        <f t="shared" si="99"/>
        <v>OK</v>
      </c>
      <c r="Z793" s="240" t="str">
        <f t="shared" si="100"/>
        <v>OK</v>
      </c>
      <c r="AA793" s="240" t="str" cm="1">
        <f t="array" ref="AA793">IF(OR(AND(J793="Not accepted",N793:O793&lt;&gt;"",$S793=""),AND(J793="Accepted",S793="")),"ERROR","OK")</f>
        <v>OK</v>
      </c>
      <c r="AB793" s="240" t="str">
        <f t="shared" si="101"/>
        <v>OK</v>
      </c>
      <c r="AC793" s="240" t="str" cm="1">
        <f t="array" ref="AC793">IF(AND(F793:H793&lt;&gt;"",I793=""),"ERROR","OK")</f>
        <v>OK</v>
      </c>
      <c r="AD793" s="240" t="str">
        <f t="shared" si="102"/>
        <v>OK</v>
      </c>
      <c r="AE793" s="240" t="str">
        <f t="shared" si="103"/>
        <v>OK</v>
      </c>
      <c r="AF793" s="240" t="str" cm="1">
        <f t="array" aca="1" ref="AF793" ca="1" xml:space="preserve">
IF(AND($G793&lt;&gt;"",$F793=""),"ERROR",
IF(OR($F793:$G793="",AND($G793="",$F793&lt;&gt;"")),"OK",
IF(COUNTIF(INDIRECT(IFERROR(LEFT($F793,FIND(" ",$F793)-1),$F793)), $G793)&gt;0, "OK", "ERROR")))</f>
        <v>OK</v>
      </c>
    </row>
    <row r="794" spans="1:32" s="240" customFormat="1">
      <c r="A794" s="48"/>
      <c r="B794" s="31"/>
      <c r="C794" s="48"/>
      <c r="D794" s="47"/>
      <c r="E794" s="47"/>
      <c r="F794" s="31"/>
      <c r="G794" s="31"/>
      <c r="H794" s="31"/>
      <c r="I794" s="47"/>
      <c r="J794" s="31"/>
      <c r="K794" s="47"/>
      <c r="L794" s="47"/>
      <c r="M794" s="47"/>
      <c r="N794" s="31"/>
      <c r="O794" s="47"/>
      <c r="P794" s="31"/>
      <c r="Q794" s="31"/>
      <c r="R794" s="31"/>
      <c r="S794" s="31"/>
      <c r="T794" s="270">
        <f t="shared" si="96"/>
        <v>0</v>
      </c>
      <c r="U794" s="270">
        <f t="shared" si="97"/>
        <v>0</v>
      </c>
      <c r="V794" s="31"/>
      <c r="X794" s="240" t="str">
        <f t="shared" si="98"/>
        <v>OK</v>
      </c>
      <c r="Y794" s="240" t="str">
        <f t="shared" si="99"/>
        <v>OK</v>
      </c>
      <c r="Z794" s="240" t="str">
        <f t="shared" si="100"/>
        <v>OK</v>
      </c>
      <c r="AA794" s="240" t="str" cm="1">
        <f t="array" ref="AA794">IF(OR(AND(J794="Not accepted",N794:O794&lt;&gt;"",$S794=""),AND(J794="Accepted",S794="")),"ERROR","OK")</f>
        <v>OK</v>
      </c>
      <c r="AB794" s="240" t="str">
        <f t="shared" si="101"/>
        <v>OK</v>
      </c>
      <c r="AC794" s="240" t="str" cm="1">
        <f t="array" ref="AC794">IF(AND(F794:H794&lt;&gt;"",I794=""),"ERROR","OK")</f>
        <v>OK</v>
      </c>
      <c r="AD794" s="240" t="str">
        <f t="shared" si="102"/>
        <v>OK</v>
      </c>
      <c r="AE794" s="240" t="str">
        <f t="shared" si="103"/>
        <v>OK</v>
      </c>
      <c r="AF794" s="240" t="str" cm="1">
        <f t="array" aca="1" ref="AF794" ca="1" xml:space="preserve">
IF(AND($G794&lt;&gt;"",$F794=""),"ERROR",
IF(OR($F794:$G794="",AND($G794="",$F794&lt;&gt;"")),"OK",
IF(COUNTIF(INDIRECT(IFERROR(LEFT($F794,FIND(" ",$F794)-1),$F794)), $G794)&gt;0, "OK", "ERROR")))</f>
        <v>OK</v>
      </c>
    </row>
    <row r="795" spans="1:32" s="240" customFormat="1">
      <c r="A795" s="48"/>
      <c r="B795" s="31"/>
      <c r="C795" s="48"/>
      <c r="D795" s="47"/>
      <c r="E795" s="47"/>
      <c r="F795" s="31"/>
      <c r="G795" s="31"/>
      <c r="H795" s="31"/>
      <c r="I795" s="47"/>
      <c r="J795" s="31"/>
      <c r="K795" s="47"/>
      <c r="L795" s="47"/>
      <c r="M795" s="47"/>
      <c r="N795" s="31"/>
      <c r="O795" s="47"/>
      <c r="P795" s="31"/>
      <c r="Q795" s="31"/>
      <c r="R795" s="31"/>
      <c r="S795" s="31"/>
      <c r="T795" s="270">
        <f t="shared" si="96"/>
        <v>0</v>
      </c>
      <c r="U795" s="270">
        <f t="shared" si="97"/>
        <v>0</v>
      </c>
      <c r="V795" s="31"/>
      <c r="X795" s="240" t="str">
        <f t="shared" si="98"/>
        <v>OK</v>
      </c>
      <c r="Y795" s="240" t="str">
        <f t="shared" si="99"/>
        <v>OK</v>
      </c>
      <c r="Z795" s="240" t="str">
        <f t="shared" si="100"/>
        <v>OK</v>
      </c>
      <c r="AA795" s="240" t="str" cm="1">
        <f t="array" ref="AA795">IF(OR(AND(J795="Not accepted",N795:O795&lt;&gt;"",$S795=""),AND(J795="Accepted",S795="")),"ERROR","OK")</f>
        <v>OK</v>
      </c>
      <c r="AB795" s="240" t="str">
        <f t="shared" si="101"/>
        <v>OK</v>
      </c>
      <c r="AC795" s="240" t="str" cm="1">
        <f t="array" ref="AC795">IF(AND(F795:H795&lt;&gt;"",I795=""),"ERROR","OK")</f>
        <v>OK</v>
      </c>
      <c r="AD795" s="240" t="str">
        <f t="shared" si="102"/>
        <v>OK</v>
      </c>
      <c r="AE795" s="240" t="str">
        <f t="shared" si="103"/>
        <v>OK</v>
      </c>
      <c r="AF795" s="240" t="str" cm="1">
        <f t="array" aca="1" ref="AF795" ca="1" xml:space="preserve">
IF(AND($G795&lt;&gt;"",$F795=""),"ERROR",
IF(OR($F795:$G795="",AND($G795="",$F795&lt;&gt;"")),"OK",
IF(COUNTIF(INDIRECT(IFERROR(LEFT($F795,FIND(" ",$F795)-1),$F795)), $G795)&gt;0, "OK", "ERROR")))</f>
        <v>OK</v>
      </c>
    </row>
    <row r="796" spans="1:32" s="240" customFormat="1">
      <c r="A796" s="48"/>
      <c r="B796" s="31"/>
      <c r="C796" s="48"/>
      <c r="D796" s="47"/>
      <c r="E796" s="47"/>
      <c r="F796" s="31"/>
      <c r="G796" s="31"/>
      <c r="H796" s="31"/>
      <c r="I796" s="47"/>
      <c r="J796" s="31"/>
      <c r="K796" s="47"/>
      <c r="L796" s="47"/>
      <c r="M796" s="47"/>
      <c r="N796" s="31"/>
      <c r="O796" s="47"/>
      <c r="P796" s="31"/>
      <c r="Q796" s="31"/>
      <c r="R796" s="31"/>
      <c r="S796" s="31"/>
      <c r="T796" s="270">
        <f t="shared" si="96"/>
        <v>0</v>
      </c>
      <c r="U796" s="270">
        <f t="shared" si="97"/>
        <v>0</v>
      </c>
      <c r="V796" s="31"/>
      <c r="X796" s="240" t="str">
        <f t="shared" si="98"/>
        <v>OK</v>
      </c>
      <c r="Y796" s="240" t="str">
        <f t="shared" si="99"/>
        <v>OK</v>
      </c>
      <c r="Z796" s="240" t="str">
        <f t="shared" si="100"/>
        <v>OK</v>
      </c>
      <c r="AA796" s="240" t="str" cm="1">
        <f t="array" ref="AA796">IF(OR(AND(J796="Not accepted",N796:O796&lt;&gt;"",$S796=""),AND(J796="Accepted",S796="")),"ERROR","OK")</f>
        <v>OK</v>
      </c>
      <c r="AB796" s="240" t="str">
        <f t="shared" si="101"/>
        <v>OK</v>
      </c>
      <c r="AC796" s="240" t="str" cm="1">
        <f t="array" ref="AC796">IF(AND(F796:H796&lt;&gt;"",I796=""),"ERROR","OK")</f>
        <v>OK</v>
      </c>
      <c r="AD796" s="240" t="str">
        <f t="shared" si="102"/>
        <v>OK</v>
      </c>
      <c r="AE796" s="240" t="str">
        <f t="shared" si="103"/>
        <v>OK</v>
      </c>
      <c r="AF796" s="240" t="str" cm="1">
        <f t="array" aca="1" ref="AF796" ca="1" xml:space="preserve">
IF(AND($G796&lt;&gt;"",$F796=""),"ERROR",
IF(OR($F796:$G796="",AND($G796="",$F796&lt;&gt;"")),"OK",
IF(COUNTIF(INDIRECT(IFERROR(LEFT($F796,FIND(" ",$F796)-1),$F796)), $G796)&gt;0, "OK", "ERROR")))</f>
        <v>OK</v>
      </c>
    </row>
    <row r="797" spans="1:32" s="240" customFormat="1">
      <c r="A797" s="48"/>
      <c r="B797" s="31"/>
      <c r="C797" s="48"/>
      <c r="D797" s="47"/>
      <c r="E797" s="47"/>
      <c r="F797" s="31"/>
      <c r="G797" s="31"/>
      <c r="H797" s="31"/>
      <c r="I797" s="47"/>
      <c r="J797" s="31"/>
      <c r="K797" s="47"/>
      <c r="L797" s="47"/>
      <c r="M797" s="47"/>
      <c r="N797" s="31"/>
      <c r="O797" s="47"/>
      <c r="P797" s="31"/>
      <c r="Q797" s="31"/>
      <c r="R797" s="31"/>
      <c r="S797" s="31"/>
      <c r="T797" s="270">
        <f t="shared" si="96"/>
        <v>0</v>
      </c>
      <c r="U797" s="270">
        <f t="shared" si="97"/>
        <v>0</v>
      </c>
      <c r="V797" s="31"/>
      <c r="X797" s="240" t="str">
        <f t="shared" si="98"/>
        <v>OK</v>
      </c>
      <c r="Y797" s="240" t="str">
        <f t="shared" si="99"/>
        <v>OK</v>
      </c>
      <c r="Z797" s="240" t="str">
        <f t="shared" si="100"/>
        <v>OK</v>
      </c>
      <c r="AA797" s="240" t="str" cm="1">
        <f t="array" ref="AA797">IF(OR(AND(J797="Not accepted",N797:O797&lt;&gt;"",$S797=""),AND(J797="Accepted",S797="")),"ERROR","OK")</f>
        <v>OK</v>
      </c>
      <c r="AB797" s="240" t="str">
        <f t="shared" si="101"/>
        <v>OK</v>
      </c>
      <c r="AC797" s="240" t="str" cm="1">
        <f t="array" ref="AC797">IF(AND(F797:H797&lt;&gt;"",I797=""),"ERROR","OK")</f>
        <v>OK</v>
      </c>
      <c r="AD797" s="240" t="str">
        <f t="shared" si="102"/>
        <v>OK</v>
      </c>
      <c r="AE797" s="240" t="str">
        <f t="shared" si="103"/>
        <v>OK</v>
      </c>
      <c r="AF797" s="240" t="str" cm="1">
        <f t="array" aca="1" ref="AF797" ca="1" xml:space="preserve">
IF(AND($G797&lt;&gt;"",$F797=""),"ERROR",
IF(OR($F797:$G797="",AND($G797="",$F797&lt;&gt;"")),"OK",
IF(COUNTIF(INDIRECT(IFERROR(LEFT($F797,FIND(" ",$F797)-1),$F797)), $G797)&gt;0, "OK", "ERROR")))</f>
        <v>OK</v>
      </c>
    </row>
    <row r="798" spans="1:32" s="240" customFormat="1">
      <c r="A798" s="48"/>
      <c r="B798" s="31"/>
      <c r="C798" s="48"/>
      <c r="D798" s="47"/>
      <c r="E798" s="47"/>
      <c r="F798" s="31"/>
      <c r="G798" s="31"/>
      <c r="H798" s="31"/>
      <c r="I798" s="47"/>
      <c r="J798" s="31"/>
      <c r="K798" s="47"/>
      <c r="L798" s="47"/>
      <c r="M798" s="47"/>
      <c r="N798" s="31"/>
      <c r="O798" s="47"/>
      <c r="P798" s="31"/>
      <c r="Q798" s="31"/>
      <c r="R798" s="31"/>
      <c r="S798" s="31"/>
      <c r="T798" s="270">
        <f t="shared" si="96"/>
        <v>0</v>
      </c>
      <c r="U798" s="270">
        <f t="shared" si="97"/>
        <v>0</v>
      </c>
      <c r="V798" s="31"/>
      <c r="X798" s="240" t="str">
        <f t="shared" si="98"/>
        <v>OK</v>
      </c>
      <c r="Y798" s="240" t="str">
        <f t="shared" si="99"/>
        <v>OK</v>
      </c>
      <c r="Z798" s="240" t="str">
        <f t="shared" si="100"/>
        <v>OK</v>
      </c>
      <c r="AA798" s="240" t="str" cm="1">
        <f t="array" ref="AA798">IF(OR(AND(J798="Not accepted",N798:O798&lt;&gt;"",$S798=""),AND(J798="Accepted",S798="")),"ERROR","OK")</f>
        <v>OK</v>
      </c>
      <c r="AB798" s="240" t="str">
        <f t="shared" si="101"/>
        <v>OK</v>
      </c>
      <c r="AC798" s="240" t="str" cm="1">
        <f t="array" ref="AC798">IF(AND(F798:H798&lt;&gt;"",I798=""),"ERROR","OK")</f>
        <v>OK</v>
      </c>
      <c r="AD798" s="240" t="str">
        <f t="shared" si="102"/>
        <v>OK</v>
      </c>
      <c r="AE798" s="240" t="str">
        <f t="shared" si="103"/>
        <v>OK</v>
      </c>
      <c r="AF798" s="240" t="str" cm="1">
        <f t="array" aca="1" ref="AF798" ca="1" xml:space="preserve">
IF(AND($G798&lt;&gt;"",$F798=""),"ERROR",
IF(OR($F798:$G798="",AND($G798="",$F798&lt;&gt;"")),"OK",
IF(COUNTIF(INDIRECT(IFERROR(LEFT($F798,FIND(" ",$F798)-1),$F798)), $G798)&gt;0, "OK", "ERROR")))</f>
        <v>OK</v>
      </c>
    </row>
    <row r="799" spans="1:32" s="240" customFormat="1">
      <c r="A799" s="48"/>
      <c r="B799" s="31"/>
      <c r="C799" s="48"/>
      <c r="D799" s="47"/>
      <c r="E799" s="47"/>
      <c r="F799" s="31"/>
      <c r="G799" s="31"/>
      <c r="H799" s="31"/>
      <c r="I799" s="47"/>
      <c r="J799" s="31"/>
      <c r="K799" s="47"/>
      <c r="L799" s="47"/>
      <c r="M799" s="47"/>
      <c r="N799" s="31"/>
      <c r="O799" s="47"/>
      <c r="P799" s="31"/>
      <c r="Q799" s="31"/>
      <c r="R799" s="31"/>
      <c r="S799" s="31"/>
      <c r="T799" s="270">
        <f t="shared" si="96"/>
        <v>0</v>
      </c>
      <c r="U799" s="270">
        <f t="shared" si="97"/>
        <v>0</v>
      </c>
      <c r="V799" s="31"/>
      <c r="X799" s="240" t="str">
        <f t="shared" si="98"/>
        <v>OK</v>
      </c>
      <c r="Y799" s="240" t="str">
        <f t="shared" si="99"/>
        <v>OK</v>
      </c>
      <c r="Z799" s="240" t="str">
        <f t="shared" si="100"/>
        <v>OK</v>
      </c>
      <c r="AA799" s="240" t="str" cm="1">
        <f t="array" ref="AA799">IF(OR(AND(J799="Not accepted",N799:O799&lt;&gt;"",$S799=""),AND(J799="Accepted",S799="")),"ERROR","OK")</f>
        <v>OK</v>
      </c>
      <c r="AB799" s="240" t="str">
        <f t="shared" si="101"/>
        <v>OK</v>
      </c>
      <c r="AC799" s="240" t="str" cm="1">
        <f t="array" ref="AC799">IF(AND(F799:H799&lt;&gt;"",I799=""),"ERROR","OK")</f>
        <v>OK</v>
      </c>
      <c r="AD799" s="240" t="str">
        <f t="shared" si="102"/>
        <v>OK</v>
      </c>
      <c r="AE799" s="240" t="str">
        <f t="shared" si="103"/>
        <v>OK</v>
      </c>
      <c r="AF799" s="240" t="str" cm="1">
        <f t="array" aca="1" ref="AF799" ca="1" xml:space="preserve">
IF(AND($G799&lt;&gt;"",$F799=""),"ERROR",
IF(OR($F799:$G799="",AND($G799="",$F799&lt;&gt;"")),"OK",
IF(COUNTIF(INDIRECT(IFERROR(LEFT($F799,FIND(" ",$F799)-1),$F799)), $G799)&gt;0, "OK", "ERROR")))</f>
        <v>OK</v>
      </c>
    </row>
    <row r="800" spans="1:32" s="240" customFormat="1">
      <c r="A800" s="48"/>
      <c r="B800" s="31"/>
      <c r="C800" s="48"/>
      <c r="D800" s="47"/>
      <c r="E800" s="47"/>
      <c r="F800" s="31"/>
      <c r="G800" s="31"/>
      <c r="H800" s="31"/>
      <c r="I800" s="47"/>
      <c r="J800" s="31"/>
      <c r="K800" s="47"/>
      <c r="L800" s="47"/>
      <c r="M800" s="47"/>
      <c r="N800" s="31"/>
      <c r="O800" s="47"/>
      <c r="P800" s="31"/>
      <c r="Q800" s="31"/>
      <c r="R800" s="31"/>
      <c r="S800" s="31"/>
      <c r="T800" s="270">
        <f t="shared" si="96"/>
        <v>0</v>
      </c>
      <c r="U800" s="270">
        <f t="shared" si="97"/>
        <v>0</v>
      </c>
      <c r="V800" s="31"/>
      <c r="X800" s="240" t="str">
        <f t="shared" si="98"/>
        <v>OK</v>
      </c>
      <c r="Y800" s="240" t="str">
        <f t="shared" si="99"/>
        <v>OK</v>
      </c>
      <c r="Z800" s="240" t="str">
        <f t="shared" si="100"/>
        <v>OK</v>
      </c>
      <c r="AA800" s="240" t="str" cm="1">
        <f t="array" ref="AA800">IF(OR(AND(J800="Not accepted",N800:O800&lt;&gt;"",$S800=""),AND(J800="Accepted",S800="")),"ERROR","OK")</f>
        <v>OK</v>
      </c>
      <c r="AB800" s="240" t="str">
        <f t="shared" si="101"/>
        <v>OK</v>
      </c>
      <c r="AC800" s="240" t="str" cm="1">
        <f t="array" ref="AC800">IF(AND(F800:H800&lt;&gt;"",I800=""),"ERROR","OK")</f>
        <v>OK</v>
      </c>
      <c r="AD800" s="240" t="str">
        <f t="shared" si="102"/>
        <v>OK</v>
      </c>
      <c r="AE800" s="240" t="str">
        <f t="shared" si="103"/>
        <v>OK</v>
      </c>
      <c r="AF800" s="240" t="str" cm="1">
        <f t="array" aca="1" ref="AF800" ca="1" xml:space="preserve">
IF(AND($G800&lt;&gt;"",$F800=""),"ERROR",
IF(OR($F800:$G800="",AND($G800="",$F800&lt;&gt;"")),"OK",
IF(COUNTIF(INDIRECT(IFERROR(LEFT($F800,FIND(" ",$F800)-1),$F800)), $G800)&gt;0, "OK", "ERROR")))</f>
        <v>OK</v>
      </c>
    </row>
    <row r="801" spans="1:32" s="240" customFormat="1">
      <c r="A801" s="48"/>
      <c r="B801" s="31"/>
      <c r="C801" s="48"/>
      <c r="D801" s="47"/>
      <c r="E801" s="47"/>
      <c r="F801" s="31"/>
      <c r="G801" s="31"/>
      <c r="H801" s="31"/>
      <c r="I801" s="47"/>
      <c r="J801" s="31"/>
      <c r="K801" s="47"/>
      <c r="L801" s="47"/>
      <c r="M801" s="47"/>
      <c r="N801" s="31"/>
      <c r="O801" s="47"/>
      <c r="P801" s="31"/>
      <c r="Q801" s="31"/>
      <c r="R801" s="31"/>
      <c r="S801" s="31"/>
      <c r="T801" s="270">
        <f t="shared" si="96"/>
        <v>0</v>
      </c>
      <c r="U801" s="270">
        <f t="shared" si="97"/>
        <v>0</v>
      </c>
      <c r="V801" s="31"/>
      <c r="X801" s="240" t="str">
        <f t="shared" si="98"/>
        <v>OK</v>
      </c>
      <c r="Y801" s="240" t="str">
        <f t="shared" si="99"/>
        <v>OK</v>
      </c>
      <c r="Z801" s="240" t="str">
        <f t="shared" si="100"/>
        <v>OK</v>
      </c>
      <c r="AA801" s="240" t="str" cm="1">
        <f t="array" ref="AA801">IF(OR(AND(J801="Not accepted",N801:O801&lt;&gt;"",$S801=""),AND(J801="Accepted",S801="")),"ERROR","OK")</f>
        <v>OK</v>
      </c>
      <c r="AB801" s="240" t="str">
        <f t="shared" si="101"/>
        <v>OK</v>
      </c>
      <c r="AC801" s="240" t="str" cm="1">
        <f t="array" ref="AC801">IF(AND(F801:H801&lt;&gt;"",I801=""),"ERROR","OK")</f>
        <v>OK</v>
      </c>
      <c r="AD801" s="240" t="str">
        <f t="shared" si="102"/>
        <v>OK</v>
      </c>
      <c r="AE801" s="240" t="str">
        <f t="shared" si="103"/>
        <v>OK</v>
      </c>
      <c r="AF801" s="240" t="str" cm="1">
        <f t="array" aca="1" ref="AF801" ca="1" xml:space="preserve">
IF(AND($G801&lt;&gt;"",$F801=""),"ERROR",
IF(OR($F801:$G801="",AND($G801="",$F801&lt;&gt;"")),"OK",
IF(COUNTIF(INDIRECT(IFERROR(LEFT($F801,FIND(" ",$F801)-1),$F801)), $G801)&gt;0, "OK", "ERROR")))</f>
        <v>OK</v>
      </c>
    </row>
    <row r="802" spans="1:32" s="240" customFormat="1">
      <c r="A802" s="48"/>
      <c r="B802" s="31"/>
      <c r="C802" s="48"/>
      <c r="D802" s="47"/>
      <c r="E802" s="47"/>
      <c r="F802" s="31"/>
      <c r="G802" s="31"/>
      <c r="H802" s="31"/>
      <c r="I802" s="47"/>
      <c r="J802" s="31"/>
      <c r="K802" s="47"/>
      <c r="L802" s="47"/>
      <c r="M802" s="47"/>
      <c r="N802" s="31"/>
      <c r="O802" s="47"/>
      <c r="P802" s="31"/>
      <c r="Q802" s="31"/>
      <c r="R802" s="31"/>
      <c r="S802" s="31"/>
      <c r="T802" s="270">
        <f t="shared" si="96"/>
        <v>0</v>
      </c>
      <c r="U802" s="270">
        <f t="shared" si="97"/>
        <v>0</v>
      </c>
      <c r="V802" s="31"/>
      <c r="X802" s="240" t="str">
        <f t="shared" si="98"/>
        <v>OK</v>
      </c>
      <c r="Y802" s="240" t="str">
        <f t="shared" si="99"/>
        <v>OK</v>
      </c>
      <c r="Z802" s="240" t="str">
        <f t="shared" si="100"/>
        <v>OK</v>
      </c>
      <c r="AA802" s="240" t="str" cm="1">
        <f t="array" ref="AA802">IF(OR(AND(J802="Not accepted",N802:O802&lt;&gt;"",$S802=""),AND(J802="Accepted",S802="")),"ERROR","OK")</f>
        <v>OK</v>
      </c>
      <c r="AB802" s="240" t="str">
        <f t="shared" si="101"/>
        <v>OK</v>
      </c>
      <c r="AC802" s="240" t="str" cm="1">
        <f t="array" ref="AC802">IF(AND(F802:H802&lt;&gt;"",I802=""),"ERROR","OK")</f>
        <v>OK</v>
      </c>
      <c r="AD802" s="240" t="str">
        <f t="shared" si="102"/>
        <v>OK</v>
      </c>
      <c r="AE802" s="240" t="str">
        <f t="shared" si="103"/>
        <v>OK</v>
      </c>
      <c r="AF802" s="240" t="str" cm="1">
        <f t="array" aca="1" ref="AF802" ca="1" xml:space="preserve">
IF(AND($G802&lt;&gt;"",$F802=""),"ERROR",
IF(OR($F802:$G802="",AND($G802="",$F802&lt;&gt;"")),"OK",
IF(COUNTIF(INDIRECT(IFERROR(LEFT($F802,FIND(" ",$F802)-1),$F802)), $G802)&gt;0, "OK", "ERROR")))</f>
        <v>OK</v>
      </c>
    </row>
    <row r="803" spans="1:32" s="240" customFormat="1">
      <c r="A803" s="48"/>
      <c r="B803" s="31"/>
      <c r="C803" s="48"/>
      <c r="D803" s="47"/>
      <c r="E803" s="47"/>
      <c r="F803" s="31"/>
      <c r="G803" s="31"/>
      <c r="H803" s="31"/>
      <c r="I803" s="47"/>
      <c r="J803" s="31"/>
      <c r="K803" s="47"/>
      <c r="L803" s="47"/>
      <c r="M803" s="47"/>
      <c r="N803" s="31"/>
      <c r="O803" s="47"/>
      <c r="P803" s="31"/>
      <c r="Q803" s="31"/>
      <c r="R803" s="31"/>
      <c r="S803" s="31"/>
      <c r="T803" s="270">
        <f t="shared" si="96"/>
        <v>0</v>
      </c>
      <c r="U803" s="270">
        <f t="shared" si="97"/>
        <v>0</v>
      </c>
      <c r="V803" s="31"/>
      <c r="X803" s="240" t="str">
        <f t="shared" si="98"/>
        <v>OK</v>
      </c>
      <c r="Y803" s="240" t="str">
        <f t="shared" si="99"/>
        <v>OK</v>
      </c>
      <c r="Z803" s="240" t="str">
        <f t="shared" si="100"/>
        <v>OK</v>
      </c>
      <c r="AA803" s="240" t="str" cm="1">
        <f t="array" ref="AA803">IF(OR(AND(J803="Not accepted",N803:O803&lt;&gt;"",$S803=""),AND(J803="Accepted",S803="")),"ERROR","OK")</f>
        <v>OK</v>
      </c>
      <c r="AB803" s="240" t="str">
        <f t="shared" si="101"/>
        <v>OK</v>
      </c>
      <c r="AC803" s="240" t="str" cm="1">
        <f t="array" ref="AC803">IF(AND(F803:H803&lt;&gt;"",I803=""),"ERROR","OK")</f>
        <v>OK</v>
      </c>
      <c r="AD803" s="240" t="str">
        <f t="shared" si="102"/>
        <v>OK</v>
      </c>
      <c r="AE803" s="240" t="str">
        <f t="shared" si="103"/>
        <v>OK</v>
      </c>
      <c r="AF803" s="240" t="str" cm="1">
        <f t="array" aca="1" ref="AF803" ca="1" xml:space="preserve">
IF(AND($G803&lt;&gt;"",$F803=""),"ERROR",
IF(OR($F803:$G803="",AND($G803="",$F803&lt;&gt;"")),"OK",
IF(COUNTIF(INDIRECT(IFERROR(LEFT($F803,FIND(" ",$F803)-1),$F803)), $G803)&gt;0, "OK", "ERROR")))</f>
        <v>OK</v>
      </c>
    </row>
    <row r="804" spans="1:32" s="240" customFormat="1">
      <c r="A804" s="48"/>
      <c r="B804" s="31"/>
      <c r="C804" s="48"/>
      <c r="D804" s="47"/>
      <c r="E804" s="47"/>
      <c r="F804" s="31"/>
      <c r="G804" s="31"/>
      <c r="H804" s="31"/>
      <c r="I804" s="47"/>
      <c r="J804" s="31"/>
      <c r="K804" s="47"/>
      <c r="L804" s="47"/>
      <c r="M804" s="47"/>
      <c r="N804" s="31"/>
      <c r="O804" s="47"/>
      <c r="P804" s="31"/>
      <c r="Q804" s="31"/>
      <c r="R804" s="31"/>
      <c r="S804" s="31"/>
      <c r="T804" s="270">
        <f t="shared" si="96"/>
        <v>0</v>
      </c>
      <c r="U804" s="270">
        <f t="shared" si="97"/>
        <v>0</v>
      </c>
      <c r="V804" s="31"/>
      <c r="X804" s="240" t="str">
        <f t="shared" si="98"/>
        <v>OK</v>
      </c>
      <c r="Y804" s="240" t="str">
        <f t="shared" si="99"/>
        <v>OK</v>
      </c>
      <c r="Z804" s="240" t="str">
        <f t="shared" si="100"/>
        <v>OK</v>
      </c>
      <c r="AA804" s="240" t="str" cm="1">
        <f t="array" ref="AA804">IF(OR(AND(J804="Not accepted",N804:O804&lt;&gt;"",$S804=""),AND(J804="Accepted",S804="")),"ERROR","OK")</f>
        <v>OK</v>
      </c>
      <c r="AB804" s="240" t="str">
        <f t="shared" si="101"/>
        <v>OK</v>
      </c>
      <c r="AC804" s="240" t="str" cm="1">
        <f t="array" ref="AC804">IF(AND(F804:H804&lt;&gt;"",I804=""),"ERROR","OK")</f>
        <v>OK</v>
      </c>
      <c r="AD804" s="240" t="str">
        <f t="shared" si="102"/>
        <v>OK</v>
      </c>
      <c r="AE804" s="240" t="str">
        <f t="shared" si="103"/>
        <v>OK</v>
      </c>
      <c r="AF804" s="240" t="str" cm="1">
        <f t="array" aca="1" ref="AF804" ca="1" xml:space="preserve">
IF(AND($G804&lt;&gt;"",$F804=""),"ERROR",
IF(OR($F804:$G804="",AND($G804="",$F804&lt;&gt;"")),"OK",
IF(COUNTIF(INDIRECT(IFERROR(LEFT($F804,FIND(" ",$F804)-1),$F804)), $G804)&gt;0, "OK", "ERROR")))</f>
        <v>OK</v>
      </c>
    </row>
    <row r="805" spans="1:32" s="240" customFormat="1">
      <c r="A805" s="48"/>
      <c r="B805" s="31"/>
      <c r="C805" s="48"/>
      <c r="D805" s="47"/>
      <c r="E805" s="47"/>
      <c r="F805" s="31"/>
      <c r="G805" s="31"/>
      <c r="H805" s="31"/>
      <c r="I805" s="47"/>
      <c r="J805" s="31"/>
      <c r="K805" s="47"/>
      <c r="L805" s="47"/>
      <c r="M805" s="47"/>
      <c r="N805" s="31"/>
      <c r="O805" s="47"/>
      <c r="P805" s="31"/>
      <c r="Q805" s="31"/>
      <c r="R805" s="31"/>
      <c r="S805" s="31"/>
      <c r="T805" s="270">
        <f t="shared" si="96"/>
        <v>0</v>
      </c>
      <c r="U805" s="270">
        <f t="shared" si="97"/>
        <v>0</v>
      </c>
      <c r="V805" s="31"/>
      <c r="X805" s="240" t="str">
        <f t="shared" si="98"/>
        <v>OK</v>
      </c>
      <c r="Y805" s="240" t="str">
        <f t="shared" si="99"/>
        <v>OK</v>
      </c>
      <c r="Z805" s="240" t="str">
        <f t="shared" si="100"/>
        <v>OK</v>
      </c>
      <c r="AA805" s="240" t="str" cm="1">
        <f t="array" ref="AA805">IF(OR(AND(J805="Not accepted",N805:O805&lt;&gt;"",$S805=""),AND(J805="Accepted",S805="")),"ERROR","OK")</f>
        <v>OK</v>
      </c>
      <c r="AB805" s="240" t="str">
        <f t="shared" si="101"/>
        <v>OK</v>
      </c>
      <c r="AC805" s="240" t="str" cm="1">
        <f t="array" ref="AC805">IF(AND(F805:H805&lt;&gt;"",I805=""),"ERROR","OK")</f>
        <v>OK</v>
      </c>
      <c r="AD805" s="240" t="str">
        <f t="shared" si="102"/>
        <v>OK</v>
      </c>
      <c r="AE805" s="240" t="str">
        <f t="shared" si="103"/>
        <v>OK</v>
      </c>
      <c r="AF805" s="240" t="str" cm="1">
        <f t="array" aca="1" ref="AF805" ca="1" xml:space="preserve">
IF(AND($G805&lt;&gt;"",$F805=""),"ERROR",
IF(OR($F805:$G805="",AND($G805="",$F805&lt;&gt;"")),"OK",
IF(COUNTIF(INDIRECT(IFERROR(LEFT($F805,FIND(" ",$F805)-1),$F805)), $G805)&gt;0, "OK", "ERROR")))</f>
        <v>OK</v>
      </c>
    </row>
    <row r="806" spans="1:32" s="240" customFormat="1">
      <c r="A806" s="48"/>
      <c r="B806" s="31"/>
      <c r="C806" s="48"/>
      <c r="D806" s="47"/>
      <c r="E806" s="47"/>
      <c r="F806" s="31"/>
      <c r="G806" s="31"/>
      <c r="H806" s="31"/>
      <c r="I806" s="47"/>
      <c r="J806" s="31"/>
      <c r="K806" s="47"/>
      <c r="L806" s="47"/>
      <c r="M806" s="47"/>
      <c r="N806" s="31"/>
      <c r="O806" s="47"/>
      <c r="P806" s="31"/>
      <c r="Q806" s="31"/>
      <c r="R806" s="31"/>
      <c r="S806" s="31"/>
      <c r="T806" s="270">
        <f t="shared" si="96"/>
        <v>0</v>
      </c>
      <c r="U806" s="270">
        <f t="shared" si="97"/>
        <v>0</v>
      </c>
      <c r="V806" s="31"/>
      <c r="X806" s="240" t="str">
        <f t="shared" si="98"/>
        <v>OK</v>
      </c>
      <c r="Y806" s="240" t="str">
        <f t="shared" si="99"/>
        <v>OK</v>
      </c>
      <c r="Z806" s="240" t="str">
        <f t="shared" si="100"/>
        <v>OK</v>
      </c>
      <c r="AA806" s="240" t="str" cm="1">
        <f t="array" ref="AA806">IF(OR(AND(J806="Not accepted",N806:O806&lt;&gt;"",$S806=""),AND(J806="Accepted",S806="")),"ERROR","OK")</f>
        <v>OK</v>
      </c>
      <c r="AB806" s="240" t="str">
        <f t="shared" si="101"/>
        <v>OK</v>
      </c>
      <c r="AC806" s="240" t="str" cm="1">
        <f t="array" ref="AC806">IF(AND(F806:H806&lt;&gt;"",I806=""),"ERROR","OK")</f>
        <v>OK</v>
      </c>
      <c r="AD806" s="240" t="str">
        <f t="shared" si="102"/>
        <v>OK</v>
      </c>
      <c r="AE806" s="240" t="str">
        <f t="shared" si="103"/>
        <v>OK</v>
      </c>
      <c r="AF806" s="240" t="str" cm="1">
        <f t="array" aca="1" ref="AF806" ca="1" xml:space="preserve">
IF(AND($G806&lt;&gt;"",$F806=""),"ERROR",
IF(OR($F806:$G806="",AND($G806="",$F806&lt;&gt;"")),"OK",
IF(COUNTIF(INDIRECT(IFERROR(LEFT($F806,FIND(" ",$F806)-1),$F806)), $G806)&gt;0, "OK", "ERROR")))</f>
        <v>OK</v>
      </c>
    </row>
    <row r="807" spans="1:32" s="240" customFormat="1">
      <c r="A807" s="48"/>
      <c r="B807" s="31"/>
      <c r="C807" s="48"/>
      <c r="D807" s="47"/>
      <c r="E807" s="47"/>
      <c r="F807" s="31"/>
      <c r="G807" s="31"/>
      <c r="H807" s="31"/>
      <c r="I807" s="47"/>
      <c r="J807" s="31"/>
      <c r="K807" s="47"/>
      <c r="L807" s="47"/>
      <c r="M807" s="47"/>
      <c r="N807" s="31"/>
      <c r="O807" s="47"/>
      <c r="P807" s="31"/>
      <c r="Q807" s="31"/>
      <c r="R807" s="31"/>
      <c r="S807" s="31"/>
      <c r="T807" s="270">
        <f t="shared" si="96"/>
        <v>0</v>
      </c>
      <c r="U807" s="270">
        <f t="shared" si="97"/>
        <v>0</v>
      </c>
      <c r="V807" s="31"/>
      <c r="X807" s="240" t="str">
        <f t="shared" si="98"/>
        <v>OK</v>
      </c>
      <c r="Y807" s="240" t="str">
        <f t="shared" si="99"/>
        <v>OK</v>
      </c>
      <c r="Z807" s="240" t="str">
        <f t="shared" si="100"/>
        <v>OK</v>
      </c>
      <c r="AA807" s="240" t="str" cm="1">
        <f t="array" ref="AA807">IF(OR(AND(J807="Not accepted",N807:O807&lt;&gt;"",$S807=""),AND(J807="Accepted",S807="")),"ERROR","OK")</f>
        <v>OK</v>
      </c>
      <c r="AB807" s="240" t="str">
        <f t="shared" si="101"/>
        <v>OK</v>
      </c>
      <c r="AC807" s="240" t="str" cm="1">
        <f t="array" ref="AC807">IF(AND(F807:H807&lt;&gt;"",I807=""),"ERROR","OK")</f>
        <v>OK</v>
      </c>
      <c r="AD807" s="240" t="str">
        <f t="shared" si="102"/>
        <v>OK</v>
      </c>
      <c r="AE807" s="240" t="str">
        <f t="shared" si="103"/>
        <v>OK</v>
      </c>
      <c r="AF807" s="240" t="str" cm="1">
        <f t="array" aca="1" ref="AF807" ca="1" xml:space="preserve">
IF(AND($G807&lt;&gt;"",$F807=""),"ERROR",
IF(OR($F807:$G807="",AND($G807="",$F807&lt;&gt;"")),"OK",
IF(COUNTIF(INDIRECT(IFERROR(LEFT($F807,FIND(" ",$F807)-1),$F807)), $G807)&gt;0, "OK", "ERROR")))</f>
        <v>OK</v>
      </c>
    </row>
    <row r="808" spans="1:32" s="240" customFormat="1">
      <c r="A808" s="48"/>
      <c r="B808" s="31"/>
      <c r="C808" s="48"/>
      <c r="D808" s="47"/>
      <c r="E808" s="47"/>
      <c r="F808" s="31"/>
      <c r="G808" s="31"/>
      <c r="H808" s="31"/>
      <c r="I808" s="47"/>
      <c r="J808" s="31"/>
      <c r="K808" s="47"/>
      <c r="L808" s="47"/>
      <c r="M808" s="47"/>
      <c r="N808" s="31"/>
      <c r="O808" s="47"/>
      <c r="P808" s="31"/>
      <c r="Q808" s="31"/>
      <c r="R808" s="31"/>
      <c r="S808" s="31"/>
      <c r="T808" s="270">
        <f t="shared" si="96"/>
        <v>0</v>
      </c>
      <c r="U808" s="270">
        <f t="shared" si="97"/>
        <v>0</v>
      </c>
      <c r="V808" s="31"/>
      <c r="X808" s="240" t="str">
        <f t="shared" si="98"/>
        <v>OK</v>
      </c>
      <c r="Y808" s="240" t="str">
        <f t="shared" si="99"/>
        <v>OK</v>
      </c>
      <c r="Z808" s="240" t="str">
        <f t="shared" si="100"/>
        <v>OK</v>
      </c>
      <c r="AA808" s="240" t="str" cm="1">
        <f t="array" ref="AA808">IF(OR(AND(J808="Not accepted",N808:O808&lt;&gt;"",$S808=""),AND(J808="Accepted",S808="")),"ERROR","OK")</f>
        <v>OK</v>
      </c>
      <c r="AB808" s="240" t="str">
        <f t="shared" si="101"/>
        <v>OK</v>
      </c>
      <c r="AC808" s="240" t="str" cm="1">
        <f t="array" ref="AC808">IF(AND(F808:H808&lt;&gt;"",I808=""),"ERROR","OK")</f>
        <v>OK</v>
      </c>
      <c r="AD808" s="240" t="str">
        <f t="shared" si="102"/>
        <v>OK</v>
      </c>
      <c r="AE808" s="240" t="str">
        <f t="shared" si="103"/>
        <v>OK</v>
      </c>
      <c r="AF808" s="240" t="str" cm="1">
        <f t="array" aca="1" ref="AF808" ca="1" xml:space="preserve">
IF(AND($G808&lt;&gt;"",$F808=""),"ERROR",
IF(OR($F808:$G808="",AND($G808="",$F808&lt;&gt;"")),"OK",
IF(COUNTIF(INDIRECT(IFERROR(LEFT($F808,FIND(" ",$F808)-1),$F808)), $G808)&gt;0, "OK", "ERROR")))</f>
        <v>OK</v>
      </c>
    </row>
    <row r="809" spans="1:32" s="240" customFormat="1">
      <c r="A809" s="48"/>
      <c r="B809" s="31"/>
      <c r="C809" s="48"/>
      <c r="D809" s="47"/>
      <c r="E809" s="47"/>
      <c r="F809" s="31"/>
      <c r="G809" s="31"/>
      <c r="H809" s="31"/>
      <c r="I809" s="47"/>
      <c r="J809" s="31"/>
      <c r="K809" s="47"/>
      <c r="L809" s="47"/>
      <c r="M809" s="47"/>
      <c r="N809" s="31"/>
      <c r="O809" s="47"/>
      <c r="P809" s="31"/>
      <c r="Q809" s="31"/>
      <c r="R809" s="31"/>
      <c r="S809" s="31"/>
      <c r="T809" s="270">
        <f t="shared" si="96"/>
        <v>0</v>
      </c>
      <c r="U809" s="270">
        <f t="shared" si="97"/>
        <v>0</v>
      </c>
      <c r="V809" s="31"/>
      <c r="X809" s="240" t="str">
        <f t="shared" si="98"/>
        <v>OK</v>
      </c>
      <c r="Y809" s="240" t="str">
        <f t="shared" si="99"/>
        <v>OK</v>
      </c>
      <c r="Z809" s="240" t="str">
        <f t="shared" si="100"/>
        <v>OK</v>
      </c>
      <c r="AA809" s="240" t="str" cm="1">
        <f t="array" ref="AA809">IF(OR(AND(J809="Not accepted",N809:O809&lt;&gt;"",$S809=""),AND(J809="Accepted",S809="")),"ERROR","OK")</f>
        <v>OK</v>
      </c>
      <c r="AB809" s="240" t="str">
        <f t="shared" si="101"/>
        <v>OK</v>
      </c>
      <c r="AC809" s="240" t="str" cm="1">
        <f t="array" ref="AC809">IF(AND(F809:H809&lt;&gt;"",I809=""),"ERROR","OK")</f>
        <v>OK</v>
      </c>
      <c r="AD809" s="240" t="str">
        <f t="shared" si="102"/>
        <v>OK</v>
      </c>
      <c r="AE809" s="240" t="str">
        <f t="shared" si="103"/>
        <v>OK</v>
      </c>
      <c r="AF809" s="240" t="str" cm="1">
        <f t="array" aca="1" ref="AF809" ca="1" xml:space="preserve">
IF(AND($G809&lt;&gt;"",$F809=""),"ERROR",
IF(OR($F809:$G809="",AND($G809="",$F809&lt;&gt;"")),"OK",
IF(COUNTIF(INDIRECT(IFERROR(LEFT($F809,FIND(" ",$F809)-1),$F809)), $G809)&gt;0, "OK", "ERROR")))</f>
        <v>OK</v>
      </c>
    </row>
    <row r="810" spans="1:32" s="240" customFormat="1">
      <c r="A810" s="48"/>
      <c r="B810" s="31"/>
      <c r="C810" s="48"/>
      <c r="D810" s="47"/>
      <c r="E810" s="47"/>
      <c r="F810" s="31"/>
      <c r="G810" s="31"/>
      <c r="H810" s="31"/>
      <c r="I810" s="47"/>
      <c r="J810" s="31"/>
      <c r="K810" s="47"/>
      <c r="L810" s="47"/>
      <c r="M810" s="47"/>
      <c r="N810" s="31"/>
      <c r="O810" s="47"/>
      <c r="P810" s="31"/>
      <c r="Q810" s="31"/>
      <c r="R810" s="31"/>
      <c r="S810" s="31"/>
      <c r="T810" s="270">
        <f t="shared" si="96"/>
        <v>0</v>
      </c>
      <c r="U810" s="270">
        <f t="shared" si="97"/>
        <v>0</v>
      </c>
      <c r="V810" s="31"/>
      <c r="X810" s="240" t="str">
        <f t="shared" si="98"/>
        <v>OK</v>
      </c>
      <c r="Y810" s="240" t="str">
        <f t="shared" si="99"/>
        <v>OK</v>
      </c>
      <c r="Z810" s="240" t="str">
        <f t="shared" si="100"/>
        <v>OK</v>
      </c>
      <c r="AA810" s="240" t="str" cm="1">
        <f t="array" ref="AA810">IF(OR(AND(J810="Not accepted",N810:O810&lt;&gt;"",$S810=""),AND(J810="Accepted",S810="")),"ERROR","OK")</f>
        <v>OK</v>
      </c>
      <c r="AB810" s="240" t="str">
        <f t="shared" si="101"/>
        <v>OK</v>
      </c>
      <c r="AC810" s="240" t="str" cm="1">
        <f t="array" ref="AC810">IF(AND(F810:H810&lt;&gt;"",I810=""),"ERROR","OK")</f>
        <v>OK</v>
      </c>
      <c r="AD810" s="240" t="str">
        <f t="shared" si="102"/>
        <v>OK</v>
      </c>
      <c r="AE810" s="240" t="str">
        <f t="shared" si="103"/>
        <v>OK</v>
      </c>
      <c r="AF810" s="240" t="str" cm="1">
        <f t="array" aca="1" ref="AF810" ca="1" xml:space="preserve">
IF(AND($G810&lt;&gt;"",$F810=""),"ERROR",
IF(OR($F810:$G810="",AND($G810="",$F810&lt;&gt;"")),"OK",
IF(COUNTIF(INDIRECT(IFERROR(LEFT($F810,FIND(" ",$F810)-1),$F810)), $G810)&gt;0, "OK", "ERROR")))</f>
        <v>OK</v>
      </c>
    </row>
    <row r="811" spans="1:32" s="240" customFormat="1">
      <c r="A811" s="48"/>
      <c r="B811" s="31"/>
      <c r="C811" s="48"/>
      <c r="D811" s="47"/>
      <c r="E811" s="47"/>
      <c r="F811" s="31"/>
      <c r="G811" s="31"/>
      <c r="H811" s="31"/>
      <c r="I811" s="47"/>
      <c r="J811" s="31"/>
      <c r="K811" s="47"/>
      <c r="L811" s="47"/>
      <c r="M811" s="47"/>
      <c r="N811" s="31"/>
      <c r="O811" s="47"/>
      <c r="P811" s="31"/>
      <c r="Q811" s="31"/>
      <c r="R811" s="31"/>
      <c r="S811" s="31"/>
      <c r="T811" s="270">
        <f t="shared" si="96"/>
        <v>0</v>
      </c>
      <c r="U811" s="270">
        <f t="shared" si="97"/>
        <v>0</v>
      </c>
      <c r="V811" s="31"/>
      <c r="X811" s="240" t="str">
        <f t="shared" si="98"/>
        <v>OK</v>
      </c>
      <c r="Y811" s="240" t="str">
        <f t="shared" si="99"/>
        <v>OK</v>
      </c>
      <c r="Z811" s="240" t="str">
        <f t="shared" si="100"/>
        <v>OK</v>
      </c>
      <c r="AA811" s="240" t="str" cm="1">
        <f t="array" ref="AA811">IF(OR(AND(J811="Not accepted",N811:O811&lt;&gt;"",$S811=""),AND(J811="Accepted",S811="")),"ERROR","OK")</f>
        <v>OK</v>
      </c>
      <c r="AB811" s="240" t="str">
        <f t="shared" si="101"/>
        <v>OK</v>
      </c>
      <c r="AC811" s="240" t="str" cm="1">
        <f t="array" ref="AC811">IF(AND(F811:H811&lt;&gt;"",I811=""),"ERROR","OK")</f>
        <v>OK</v>
      </c>
      <c r="AD811" s="240" t="str">
        <f t="shared" si="102"/>
        <v>OK</v>
      </c>
      <c r="AE811" s="240" t="str">
        <f t="shared" si="103"/>
        <v>OK</v>
      </c>
      <c r="AF811" s="240" t="str" cm="1">
        <f t="array" aca="1" ref="AF811" ca="1" xml:space="preserve">
IF(AND($G811&lt;&gt;"",$F811=""),"ERROR",
IF(OR($F811:$G811="",AND($G811="",$F811&lt;&gt;"")),"OK",
IF(COUNTIF(INDIRECT(IFERROR(LEFT($F811,FIND(" ",$F811)-1),$F811)), $G811)&gt;0, "OK", "ERROR")))</f>
        <v>OK</v>
      </c>
    </row>
    <row r="812" spans="1:32" s="240" customFormat="1">
      <c r="A812" s="48"/>
      <c r="B812" s="31"/>
      <c r="C812" s="48"/>
      <c r="D812" s="47"/>
      <c r="E812" s="47"/>
      <c r="F812" s="31"/>
      <c r="G812" s="31"/>
      <c r="H812" s="31"/>
      <c r="I812" s="47"/>
      <c r="J812" s="31"/>
      <c r="K812" s="47"/>
      <c r="L812" s="47"/>
      <c r="M812" s="47"/>
      <c r="N812" s="31"/>
      <c r="O812" s="47"/>
      <c r="P812" s="31"/>
      <c r="Q812" s="31"/>
      <c r="R812" s="31"/>
      <c r="S812" s="31"/>
      <c r="T812" s="270">
        <f t="shared" si="96"/>
        <v>0</v>
      </c>
      <c r="U812" s="270">
        <f t="shared" si="97"/>
        <v>0</v>
      </c>
      <c r="V812" s="31"/>
      <c r="X812" s="240" t="str">
        <f t="shared" si="98"/>
        <v>OK</v>
      </c>
      <c r="Y812" s="240" t="str">
        <f t="shared" si="99"/>
        <v>OK</v>
      </c>
      <c r="Z812" s="240" t="str">
        <f t="shared" si="100"/>
        <v>OK</v>
      </c>
      <c r="AA812" s="240" t="str" cm="1">
        <f t="array" ref="AA812">IF(OR(AND(J812="Not accepted",N812:O812&lt;&gt;"",$S812=""),AND(J812="Accepted",S812="")),"ERROR","OK")</f>
        <v>OK</v>
      </c>
      <c r="AB812" s="240" t="str">
        <f t="shared" si="101"/>
        <v>OK</v>
      </c>
      <c r="AC812" s="240" t="str" cm="1">
        <f t="array" ref="AC812">IF(AND(F812:H812&lt;&gt;"",I812=""),"ERROR","OK")</f>
        <v>OK</v>
      </c>
      <c r="AD812" s="240" t="str">
        <f t="shared" si="102"/>
        <v>OK</v>
      </c>
      <c r="AE812" s="240" t="str">
        <f t="shared" si="103"/>
        <v>OK</v>
      </c>
      <c r="AF812" s="240" t="str" cm="1">
        <f t="array" aca="1" ref="AF812" ca="1" xml:space="preserve">
IF(AND($G812&lt;&gt;"",$F812=""),"ERROR",
IF(OR($F812:$G812="",AND($G812="",$F812&lt;&gt;"")),"OK",
IF(COUNTIF(INDIRECT(IFERROR(LEFT($F812,FIND(" ",$F812)-1),$F812)), $G812)&gt;0, "OK", "ERROR")))</f>
        <v>OK</v>
      </c>
    </row>
    <row r="813" spans="1:32" s="240" customFormat="1">
      <c r="A813" s="48"/>
      <c r="B813" s="31"/>
      <c r="C813" s="48"/>
      <c r="D813" s="47"/>
      <c r="E813" s="47"/>
      <c r="F813" s="31"/>
      <c r="G813" s="31"/>
      <c r="H813" s="31"/>
      <c r="I813" s="47"/>
      <c r="J813" s="31"/>
      <c r="K813" s="47"/>
      <c r="L813" s="47"/>
      <c r="M813" s="47"/>
      <c r="N813" s="31"/>
      <c r="O813" s="47"/>
      <c r="P813" s="31"/>
      <c r="Q813" s="31"/>
      <c r="R813" s="31"/>
      <c r="S813" s="31"/>
      <c r="T813" s="270">
        <f t="shared" si="96"/>
        <v>0</v>
      </c>
      <c r="U813" s="270">
        <f t="shared" si="97"/>
        <v>0</v>
      </c>
      <c r="V813" s="31"/>
      <c r="X813" s="240" t="str">
        <f t="shared" si="98"/>
        <v>OK</v>
      </c>
      <c r="Y813" s="240" t="str">
        <f t="shared" si="99"/>
        <v>OK</v>
      </c>
      <c r="Z813" s="240" t="str">
        <f t="shared" si="100"/>
        <v>OK</v>
      </c>
      <c r="AA813" s="240" t="str" cm="1">
        <f t="array" ref="AA813">IF(OR(AND(J813="Not accepted",N813:O813&lt;&gt;"",$S813=""),AND(J813="Accepted",S813="")),"ERROR","OK")</f>
        <v>OK</v>
      </c>
      <c r="AB813" s="240" t="str">
        <f t="shared" si="101"/>
        <v>OK</v>
      </c>
      <c r="AC813" s="240" t="str" cm="1">
        <f t="array" ref="AC813">IF(AND(F813:H813&lt;&gt;"",I813=""),"ERROR","OK")</f>
        <v>OK</v>
      </c>
      <c r="AD813" s="240" t="str">
        <f t="shared" si="102"/>
        <v>OK</v>
      </c>
      <c r="AE813" s="240" t="str">
        <f t="shared" si="103"/>
        <v>OK</v>
      </c>
      <c r="AF813" s="240" t="str" cm="1">
        <f t="array" aca="1" ref="AF813" ca="1" xml:space="preserve">
IF(AND($G813&lt;&gt;"",$F813=""),"ERROR",
IF(OR($F813:$G813="",AND($G813="",$F813&lt;&gt;"")),"OK",
IF(COUNTIF(INDIRECT(IFERROR(LEFT($F813,FIND(" ",$F813)-1),$F813)), $G813)&gt;0, "OK", "ERROR")))</f>
        <v>OK</v>
      </c>
    </row>
    <row r="814" spans="1:32" s="240" customFormat="1">
      <c r="A814" s="48"/>
      <c r="B814" s="31"/>
      <c r="C814" s="48"/>
      <c r="D814" s="47"/>
      <c r="E814" s="47"/>
      <c r="F814" s="31"/>
      <c r="G814" s="31"/>
      <c r="H814" s="31"/>
      <c r="I814" s="47"/>
      <c r="J814" s="31"/>
      <c r="K814" s="47"/>
      <c r="L814" s="47"/>
      <c r="M814" s="47"/>
      <c r="N814" s="31"/>
      <c r="O814" s="47"/>
      <c r="P814" s="31"/>
      <c r="Q814" s="31"/>
      <c r="R814" s="31"/>
      <c r="S814" s="31"/>
      <c r="T814" s="270">
        <f t="shared" si="96"/>
        <v>0</v>
      </c>
      <c r="U814" s="270">
        <f t="shared" si="97"/>
        <v>0</v>
      </c>
      <c r="V814" s="31"/>
      <c r="X814" s="240" t="str">
        <f t="shared" si="98"/>
        <v>OK</v>
      </c>
      <c r="Y814" s="240" t="str">
        <f t="shared" si="99"/>
        <v>OK</v>
      </c>
      <c r="Z814" s="240" t="str">
        <f t="shared" si="100"/>
        <v>OK</v>
      </c>
      <c r="AA814" s="240" t="str" cm="1">
        <f t="array" ref="AA814">IF(OR(AND(J814="Not accepted",N814:O814&lt;&gt;"",$S814=""),AND(J814="Accepted",S814="")),"ERROR","OK")</f>
        <v>OK</v>
      </c>
      <c r="AB814" s="240" t="str">
        <f t="shared" si="101"/>
        <v>OK</v>
      </c>
      <c r="AC814" s="240" t="str" cm="1">
        <f t="array" ref="AC814">IF(AND(F814:H814&lt;&gt;"",I814=""),"ERROR","OK")</f>
        <v>OK</v>
      </c>
      <c r="AD814" s="240" t="str">
        <f t="shared" si="102"/>
        <v>OK</v>
      </c>
      <c r="AE814" s="240" t="str">
        <f t="shared" si="103"/>
        <v>OK</v>
      </c>
      <c r="AF814" s="240" t="str" cm="1">
        <f t="array" aca="1" ref="AF814" ca="1" xml:space="preserve">
IF(AND($G814&lt;&gt;"",$F814=""),"ERROR",
IF(OR($F814:$G814="",AND($G814="",$F814&lt;&gt;"")),"OK",
IF(COUNTIF(INDIRECT(IFERROR(LEFT($F814,FIND(" ",$F814)-1),$F814)), $G814)&gt;0, "OK", "ERROR")))</f>
        <v>OK</v>
      </c>
    </row>
    <row r="815" spans="1:32" s="240" customFormat="1">
      <c r="A815" s="48"/>
      <c r="B815" s="31"/>
      <c r="C815" s="48"/>
      <c r="D815" s="47"/>
      <c r="E815" s="47"/>
      <c r="F815" s="31"/>
      <c r="G815" s="31"/>
      <c r="H815" s="31"/>
      <c r="I815" s="47"/>
      <c r="J815" s="31"/>
      <c r="K815" s="47"/>
      <c r="L815" s="47"/>
      <c r="M815" s="47"/>
      <c r="N815" s="31"/>
      <c r="O815" s="47"/>
      <c r="P815" s="31"/>
      <c r="Q815" s="31"/>
      <c r="R815" s="31"/>
      <c r="S815" s="31"/>
      <c r="T815" s="270">
        <f t="shared" si="96"/>
        <v>0</v>
      </c>
      <c r="U815" s="270">
        <f t="shared" si="97"/>
        <v>0</v>
      </c>
      <c r="V815" s="31"/>
      <c r="X815" s="240" t="str">
        <f t="shared" si="98"/>
        <v>OK</v>
      </c>
      <c r="Y815" s="240" t="str">
        <f t="shared" si="99"/>
        <v>OK</v>
      </c>
      <c r="Z815" s="240" t="str">
        <f t="shared" si="100"/>
        <v>OK</v>
      </c>
      <c r="AA815" s="240" t="str" cm="1">
        <f t="array" ref="AA815">IF(OR(AND(J815="Not accepted",N815:O815&lt;&gt;"",$S815=""),AND(J815="Accepted",S815="")),"ERROR","OK")</f>
        <v>OK</v>
      </c>
      <c r="AB815" s="240" t="str">
        <f t="shared" si="101"/>
        <v>OK</v>
      </c>
      <c r="AC815" s="240" t="str" cm="1">
        <f t="array" ref="AC815">IF(AND(F815:H815&lt;&gt;"",I815=""),"ERROR","OK")</f>
        <v>OK</v>
      </c>
      <c r="AD815" s="240" t="str">
        <f t="shared" si="102"/>
        <v>OK</v>
      </c>
      <c r="AE815" s="240" t="str">
        <f t="shared" si="103"/>
        <v>OK</v>
      </c>
      <c r="AF815" s="240" t="str" cm="1">
        <f t="array" aca="1" ref="AF815" ca="1" xml:space="preserve">
IF(AND($G815&lt;&gt;"",$F815=""),"ERROR",
IF(OR($F815:$G815="",AND($G815="",$F815&lt;&gt;"")),"OK",
IF(COUNTIF(INDIRECT(IFERROR(LEFT($F815,FIND(" ",$F815)-1),$F815)), $G815)&gt;0, "OK", "ERROR")))</f>
        <v>OK</v>
      </c>
    </row>
    <row r="816" spans="1:32" s="240" customFormat="1">
      <c r="A816" s="48"/>
      <c r="B816" s="31"/>
      <c r="C816" s="48"/>
      <c r="D816" s="47"/>
      <c r="E816" s="47"/>
      <c r="F816" s="31"/>
      <c r="G816" s="31"/>
      <c r="H816" s="31"/>
      <c r="I816" s="47"/>
      <c r="J816" s="31"/>
      <c r="K816" s="47"/>
      <c r="L816" s="47"/>
      <c r="M816" s="47"/>
      <c r="N816" s="31"/>
      <c r="O816" s="47"/>
      <c r="P816" s="31"/>
      <c r="Q816" s="31"/>
      <c r="R816" s="31"/>
      <c r="S816" s="31"/>
      <c r="T816" s="270">
        <f t="shared" si="96"/>
        <v>0</v>
      </c>
      <c r="U816" s="270">
        <f t="shared" si="97"/>
        <v>0</v>
      </c>
      <c r="V816" s="31"/>
      <c r="X816" s="240" t="str">
        <f t="shared" si="98"/>
        <v>OK</v>
      </c>
      <c r="Y816" s="240" t="str">
        <f t="shared" si="99"/>
        <v>OK</v>
      </c>
      <c r="Z816" s="240" t="str">
        <f t="shared" si="100"/>
        <v>OK</v>
      </c>
      <c r="AA816" s="240" t="str" cm="1">
        <f t="array" ref="AA816">IF(OR(AND(J816="Not accepted",N816:O816&lt;&gt;"",$S816=""),AND(J816="Accepted",S816="")),"ERROR","OK")</f>
        <v>OK</v>
      </c>
      <c r="AB816" s="240" t="str">
        <f t="shared" si="101"/>
        <v>OK</v>
      </c>
      <c r="AC816" s="240" t="str" cm="1">
        <f t="array" ref="AC816">IF(AND(F816:H816&lt;&gt;"",I816=""),"ERROR","OK")</f>
        <v>OK</v>
      </c>
      <c r="AD816" s="240" t="str">
        <f t="shared" si="102"/>
        <v>OK</v>
      </c>
      <c r="AE816" s="240" t="str">
        <f t="shared" si="103"/>
        <v>OK</v>
      </c>
      <c r="AF816" s="240" t="str" cm="1">
        <f t="array" aca="1" ref="AF816" ca="1" xml:space="preserve">
IF(AND($G816&lt;&gt;"",$F816=""),"ERROR",
IF(OR($F816:$G816="",AND($G816="",$F816&lt;&gt;"")),"OK",
IF(COUNTIF(INDIRECT(IFERROR(LEFT($F816,FIND(" ",$F816)-1),$F816)), $G816)&gt;0, "OK", "ERROR")))</f>
        <v>OK</v>
      </c>
    </row>
    <row r="817" spans="1:32" s="240" customFormat="1">
      <c r="A817" s="48"/>
      <c r="B817" s="31"/>
      <c r="C817" s="48"/>
      <c r="D817" s="47"/>
      <c r="E817" s="47"/>
      <c r="F817" s="31"/>
      <c r="G817" s="31"/>
      <c r="H817" s="31"/>
      <c r="I817" s="47"/>
      <c r="J817" s="31"/>
      <c r="K817" s="47"/>
      <c r="L817" s="47"/>
      <c r="M817" s="47"/>
      <c r="N817" s="31"/>
      <c r="O817" s="47"/>
      <c r="P817" s="31"/>
      <c r="Q817" s="31"/>
      <c r="R817" s="31"/>
      <c r="S817" s="31"/>
      <c r="T817" s="270">
        <f t="shared" si="96"/>
        <v>0</v>
      </c>
      <c r="U817" s="270">
        <f t="shared" si="97"/>
        <v>0</v>
      </c>
      <c r="V817" s="31"/>
      <c r="X817" s="240" t="str">
        <f t="shared" si="98"/>
        <v>OK</v>
      </c>
      <c r="Y817" s="240" t="str">
        <f t="shared" si="99"/>
        <v>OK</v>
      </c>
      <c r="Z817" s="240" t="str">
        <f t="shared" si="100"/>
        <v>OK</v>
      </c>
      <c r="AA817" s="240" t="str" cm="1">
        <f t="array" ref="AA817">IF(OR(AND(J817="Not accepted",N817:O817&lt;&gt;"",$S817=""),AND(J817="Accepted",S817="")),"ERROR","OK")</f>
        <v>OK</v>
      </c>
      <c r="AB817" s="240" t="str">
        <f t="shared" si="101"/>
        <v>OK</v>
      </c>
      <c r="AC817" s="240" t="str" cm="1">
        <f t="array" ref="AC817">IF(AND(F817:H817&lt;&gt;"",I817=""),"ERROR","OK")</f>
        <v>OK</v>
      </c>
      <c r="AD817" s="240" t="str">
        <f t="shared" si="102"/>
        <v>OK</v>
      </c>
      <c r="AE817" s="240" t="str">
        <f t="shared" si="103"/>
        <v>OK</v>
      </c>
      <c r="AF817" s="240" t="str" cm="1">
        <f t="array" aca="1" ref="AF817" ca="1" xml:space="preserve">
IF(AND($G817&lt;&gt;"",$F817=""),"ERROR",
IF(OR($F817:$G817="",AND($G817="",$F817&lt;&gt;"")),"OK",
IF(COUNTIF(INDIRECT(IFERROR(LEFT($F817,FIND(" ",$F817)-1),$F817)), $G817)&gt;0, "OK", "ERROR")))</f>
        <v>OK</v>
      </c>
    </row>
    <row r="818" spans="1:32" s="240" customFormat="1">
      <c r="A818" s="48"/>
      <c r="B818" s="31"/>
      <c r="C818" s="48"/>
      <c r="D818" s="47"/>
      <c r="E818" s="47"/>
      <c r="F818" s="31"/>
      <c r="G818" s="31"/>
      <c r="H818" s="31"/>
      <c r="I818" s="47"/>
      <c r="J818" s="31"/>
      <c r="K818" s="47"/>
      <c r="L818" s="47"/>
      <c r="M818" s="47"/>
      <c r="N818" s="31"/>
      <c r="O818" s="47"/>
      <c r="P818" s="31"/>
      <c r="Q818" s="31"/>
      <c r="R818" s="31"/>
      <c r="S818" s="31"/>
      <c r="T818" s="270">
        <f t="shared" si="96"/>
        <v>0</v>
      </c>
      <c r="U818" s="270">
        <f t="shared" si="97"/>
        <v>0</v>
      </c>
      <c r="V818" s="31"/>
      <c r="X818" s="240" t="str">
        <f t="shared" si="98"/>
        <v>OK</v>
      </c>
      <c r="Y818" s="240" t="str">
        <f t="shared" si="99"/>
        <v>OK</v>
      </c>
      <c r="Z818" s="240" t="str">
        <f t="shared" si="100"/>
        <v>OK</v>
      </c>
      <c r="AA818" s="240" t="str" cm="1">
        <f t="array" ref="AA818">IF(OR(AND(J818="Not accepted",N818:O818&lt;&gt;"",$S818=""),AND(J818="Accepted",S818="")),"ERROR","OK")</f>
        <v>OK</v>
      </c>
      <c r="AB818" s="240" t="str">
        <f t="shared" si="101"/>
        <v>OK</v>
      </c>
      <c r="AC818" s="240" t="str" cm="1">
        <f t="array" ref="AC818">IF(AND(F818:H818&lt;&gt;"",I818=""),"ERROR","OK")</f>
        <v>OK</v>
      </c>
      <c r="AD818" s="240" t="str">
        <f t="shared" si="102"/>
        <v>OK</v>
      </c>
      <c r="AE818" s="240" t="str">
        <f t="shared" si="103"/>
        <v>OK</v>
      </c>
      <c r="AF818" s="240" t="str" cm="1">
        <f t="array" aca="1" ref="AF818" ca="1" xml:space="preserve">
IF(AND($G818&lt;&gt;"",$F818=""),"ERROR",
IF(OR($F818:$G818="",AND($G818="",$F818&lt;&gt;"")),"OK",
IF(COUNTIF(INDIRECT(IFERROR(LEFT($F818,FIND(" ",$F818)-1),$F818)), $G818)&gt;0, "OK", "ERROR")))</f>
        <v>OK</v>
      </c>
    </row>
    <row r="819" spans="1:32" s="240" customFormat="1">
      <c r="A819" s="48"/>
      <c r="B819" s="31"/>
      <c r="C819" s="48"/>
      <c r="D819" s="47"/>
      <c r="E819" s="47"/>
      <c r="F819" s="31"/>
      <c r="G819" s="31"/>
      <c r="H819" s="31"/>
      <c r="I819" s="47"/>
      <c r="J819" s="31"/>
      <c r="K819" s="47"/>
      <c r="L819" s="47"/>
      <c r="M819" s="47"/>
      <c r="N819" s="31"/>
      <c r="O819" s="47"/>
      <c r="P819" s="31"/>
      <c r="Q819" s="31"/>
      <c r="R819" s="31"/>
      <c r="S819" s="31"/>
      <c r="T819" s="270">
        <f t="shared" si="96"/>
        <v>0</v>
      </c>
      <c r="U819" s="270">
        <f t="shared" si="97"/>
        <v>0</v>
      </c>
      <c r="V819" s="31"/>
      <c r="X819" s="240" t="str">
        <f t="shared" si="98"/>
        <v>OK</v>
      </c>
      <c r="Y819" s="240" t="str">
        <f t="shared" si="99"/>
        <v>OK</v>
      </c>
      <c r="Z819" s="240" t="str">
        <f t="shared" si="100"/>
        <v>OK</v>
      </c>
      <c r="AA819" s="240" t="str" cm="1">
        <f t="array" ref="AA819">IF(OR(AND(J819="Not accepted",N819:O819&lt;&gt;"",$S819=""),AND(J819="Accepted",S819="")),"ERROR","OK")</f>
        <v>OK</v>
      </c>
      <c r="AB819" s="240" t="str">
        <f t="shared" si="101"/>
        <v>OK</v>
      </c>
      <c r="AC819" s="240" t="str" cm="1">
        <f t="array" ref="AC819">IF(AND(F819:H819&lt;&gt;"",I819=""),"ERROR","OK")</f>
        <v>OK</v>
      </c>
      <c r="AD819" s="240" t="str">
        <f t="shared" si="102"/>
        <v>OK</v>
      </c>
      <c r="AE819" s="240" t="str">
        <f t="shared" si="103"/>
        <v>OK</v>
      </c>
      <c r="AF819" s="240" t="str" cm="1">
        <f t="array" aca="1" ref="AF819" ca="1" xml:space="preserve">
IF(AND($G819&lt;&gt;"",$F819=""),"ERROR",
IF(OR($F819:$G819="",AND($G819="",$F819&lt;&gt;"")),"OK",
IF(COUNTIF(INDIRECT(IFERROR(LEFT($F819,FIND(" ",$F819)-1),$F819)), $G819)&gt;0, "OK", "ERROR")))</f>
        <v>OK</v>
      </c>
    </row>
    <row r="820" spans="1:32" s="240" customFormat="1">
      <c r="A820" s="48"/>
      <c r="B820" s="31"/>
      <c r="C820" s="48"/>
      <c r="D820" s="47"/>
      <c r="E820" s="47"/>
      <c r="F820" s="31"/>
      <c r="G820" s="31"/>
      <c r="H820" s="31"/>
      <c r="I820" s="47"/>
      <c r="J820" s="31"/>
      <c r="K820" s="47"/>
      <c r="L820" s="47"/>
      <c r="M820" s="47"/>
      <c r="N820" s="31"/>
      <c r="O820" s="47"/>
      <c r="P820" s="31"/>
      <c r="Q820" s="31"/>
      <c r="R820" s="31"/>
      <c r="S820" s="31"/>
      <c r="T820" s="270">
        <f t="shared" si="96"/>
        <v>0</v>
      </c>
      <c r="U820" s="270">
        <f t="shared" si="97"/>
        <v>0</v>
      </c>
      <c r="V820" s="31"/>
      <c r="X820" s="240" t="str">
        <f t="shared" si="98"/>
        <v>OK</v>
      </c>
      <c r="Y820" s="240" t="str">
        <f t="shared" si="99"/>
        <v>OK</v>
      </c>
      <c r="Z820" s="240" t="str">
        <f t="shared" si="100"/>
        <v>OK</v>
      </c>
      <c r="AA820" s="240" t="str" cm="1">
        <f t="array" ref="AA820">IF(OR(AND(J820="Not accepted",N820:O820&lt;&gt;"",$S820=""),AND(J820="Accepted",S820="")),"ERROR","OK")</f>
        <v>OK</v>
      </c>
      <c r="AB820" s="240" t="str">
        <f t="shared" si="101"/>
        <v>OK</v>
      </c>
      <c r="AC820" s="240" t="str" cm="1">
        <f t="array" ref="AC820">IF(AND(F820:H820&lt;&gt;"",I820=""),"ERROR","OK")</f>
        <v>OK</v>
      </c>
      <c r="AD820" s="240" t="str">
        <f t="shared" si="102"/>
        <v>OK</v>
      </c>
      <c r="AE820" s="240" t="str">
        <f t="shared" si="103"/>
        <v>OK</v>
      </c>
      <c r="AF820" s="240" t="str" cm="1">
        <f t="array" aca="1" ref="AF820" ca="1" xml:space="preserve">
IF(AND($G820&lt;&gt;"",$F820=""),"ERROR",
IF(OR($F820:$G820="",AND($G820="",$F820&lt;&gt;"")),"OK",
IF(COUNTIF(INDIRECT(IFERROR(LEFT($F820,FIND(" ",$F820)-1),$F820)), $G820)&gt;0, "OK", "ERROR")))</f>
        <v>OK</v>
      </c>
    </row>
    <row r="821" spans="1:32" s="240" customFormat="1">
      <c r="A821" s="48"/>
      <c r="B821" s="31"/>
      <c r="C821" s="48"/>
      <c r="D821" s="47"/>
      <c r="E821" s="47"/>
      <c r="F821" s="31"/>
      <c r="G821" s="31"/>
      <c r="H821" s="31"/>
      <c r="I821" s="47"/>
      <c r="J821" s="31"/>
      <c r="K821" s="47"/>
      <c r="L821" s="47"/>
      <c r="M821" s="47"/>
      <c r="N821" s="31"/>
      <c r="O821" s="47"/>
      <c r="P821" s="31"/>
      <c r="Q821" s="31"/>
      <c r="R821" s="31"/>
      <c r="S821" s="31"/>
      <c r="T821" s="270">
        <f t="shared" si="96"/>
        <v>0</v>
      </c>
      <c r="U821" s="270">
        <f t="shared" si="97"/>
        <v>0</v>
      </c>
      <c r="V821" s="31"/>
      <c r="X821" s="240" t="str">
        <f t="shared" si="98"/>
        <v>OK</v>
      </c>
      <c r="Y821" s="240" t="str">
        <f t="shared" si="99"/>
        <v>OK</v>
      </c>
      <c r="Z821" s="240" t="str">
        <f t="shared" si="100"/>
        <v>OK</v>
      </c>
      <c r="AA821" s="240" t="str" cm="1">
        <f t="array" ref="AA821">IF(OR(AND(J821="Not accepted",N821:O821&lt;&gt;"",$S821=""),AND(J821="Accepted",S821="")),"ERROR","OK")</f>
        <v>OK</v>
      </c>
      <c r="AB821" s="240" t="str">
        <f t="shared" si="101"/>
        <v>OK</v>
      </c>
      <c r="AC821" s="240" t="str" cm="1">
        <f t="array" ref="AC821">IF(AND(F821:H821&lt;&gt;"",I821=""),"ERROR","OK")</f>
        <v>OK</v>
      </c>
      <c r="AD821" s="240" t="str">
        <f t="shared" si="102"/>
        <v>OK</v>
      </c>
      <c r="AE821" s="240" t="str">
        <f t="shared" si="103"/>
        <v>OK</v>
      </c>
      <c r="AF821" s="240" t="str" cm="1">
        <f t="array" aca="1" ref="AF821" ca="1" xml:space="preserve">
IF(AND($G821&lt;&gt;"",$F821=""),"ERROR",
IF(OR($F821:$G821="",AND($G821="",$F821&lt;&gt;"")),"OK",
IF(COUNTIF(INDIRECT(IFERROR(LEFT($F821,FIND(" ",$F821)-1),$F821)), $G821)&gt;0, "OK", "ERROR")))</f>
        <v>OK</v>
      </c>
    </row>
    <row r="822" spans="1:32" s="240" customFormat="1">
      <c r="A822" s="48"/>
      <c r="B822" s="31"/>
      <c r="C822" s="48"/>
      <c r="D822" s="47"/>
      <c r="E822" s="47"/>
      <c r="F822" s="31"/>
      <c r="G822" s="31"/>
      <c r="H822" s="31"/>
      <c r="I822" s="47"/>
      <c r="J822" s="31"/>
      <c r="K822" s="47"/>
      <c r="L822" s="47"/>
      <c r="M822" s="47"/>
      <c r="N822" s="31"/>
      <c r="O822" s="47"/>
      <c r="P822" s="31"/>
      <c r="Q822" s="31"/>
      <c r="R822" s="31"/>
      <c r="S822" s="31"/>
      <c r="T822" s="270">
        <f t="shared" si="96"/>
        <v>0</v>
      </c>
      <c r="U822" s="270">
        <f t="shared" si="97"/>
        <v>0</v>
      </c>
      <c r="V822" s="31"/>
      <c r="X822" s="240" t="str">
        <f t="shared" si="98"/>
        <v>OK</v>
      </c>
      <c r="Y822" s="240" t="str">
        <f t="shared" si="99"/>
        <v>OK</v>
      </c>
      <c r="Z822" s="240" t="str">
        <f t="shared" si="100"/>
        <v>OK</v>
      </c>
      <c r="AA822" s="240" t="str" cm="1">
        <f t="array" ref="AA822">IF(OR(AND(J822="Not accepted",N822:O822&lt;&gt;"",$S822=""),AND(J822="Accepted",S822="")),"ERROR","OK")</f>
        <v>OK</v>
      </c>
      <c r="AB822" s="240" t="str">
        <f t="shared" si="101"/>
        <v>OK</v>
      </c>
      <c r="AC822" s="240" t="str" cm="1">
        <f t="array" ref="AC822">IF(AND(F822:H822&lt;&gt;"",I822=""),"ERROR","OK")</f>
        <v>OK</v>
      </c>
      <c r="AD822" s="240" t="str">
        <f t="shared" si="102"/>
        <v>OK</v>
      </c>
      <c r="AE822" s="240" t="str">
        <f t="shared" si="103"/>
        <v>OK</v>
      </c>
      <c r="AF822" s="240" t="str" cm="1">
        <f t="array" aca="1" ref="AF822" ca="1" xml:space="preserve">
IF(AND($G822&lt;&gt;"",$F822=""),"ERROR",
IF(OR($F822:$G822="",AND($G822="",$F822&lt;&gt;"")),"OK",
IF(COUNTIF(INDIRECT(IFERROR(LEFT($F822,FIND(" ",$F822)-1),$F822)), $G822)&gt;0, "OK", "ERROR")))</f>
        <v>OK</v>
      </c>
    </row>
    <row r="823" spans="1:32" s="240" customFormat="1">
      <c r="A823" s="48"/>
      <c r="B823" s="31"/>
      <c r="C823" s="48"/>
      <c r="D823" s="47"/>
      <c r="E823" s="47"/>
      <c r="F823" s="31"/>
      <c r="G823" s="31"/>
      <c r="H823" s="31"/>
      <c r="I823" s="47"/>
      <c r="J823" s="31"/>
      <c r="K823" s="47"/>
      <c r="L823" s="47"/>
      <c r="M823" s="47"/>
      <c r="N823" s="31"/>
      <c r="O823" s="47"/>
      <c r="P823" s="31"/>
      <c r="Q823" s="31"/>
      <c r="R823" s="31"/>
      <c r="S823" s="31"/>
      <c r="T823" s="270">
        <f t="shared" si="96"/>
        <v>0</v>
      </c>
      <c r="U823" s="270">
        <f t="shared" si="97"/>
        <v>0</v>
      </c>
      <c r="V823" s="31"/>
      <c r="X823" s="240" t="str">
        <f t="shared" si="98"/>
        <v>OK</v>
      </c>
      <c r="Y823" s="240" t="str">
        <f t="shared" si="99"/>
        <v>OK</v>
      </c>
      <c r="Z823" s="240" t="str">
        <f t="shared" si="100"/>
        <v>OK</v>
      </c>
      <c r="AA823" s="240" t="str" cm="1">
        <f t="array" ref="AA823">IF(OR(AND(J823="Not accepted",N823:O823&lt;&gt;"",$S823=""),AND(J823="Accepted",S823="")),"ERROR","OK")</f>
        <v>OK</v>
      </c>
      <c r="AB823" s="240" t="str">
        <f t="shared" si="101"/>
        <v>OK</v>
      </c>
      <c r="AC823" s="240" t="str" cm="1">
        <f t="array" ref="AC823">IF(AND(F823:H823&lt;&gt;"",I823=""),"ERROR","OK")</f>
        <v>OK</v>
      </c>
      <c r="AD823" s="240" t="str">
        <f t="shared" si="102"/>
        <v>OK</v>
      </c>
      <c r="AE823" s="240" t="str">
        <f t="shared" si="103"/>
        <v>OK</v>
      </c>
      <c r="AF823" s="240" t="str" cm="1">
        <f t="array" aca="1" ref="AF823" ca="1" xml:space="preserve">
IF(AND($G823&lt;&gt;"",$F823=""),"ERROR",
IF(OR($F823:$G823="",AND($G823="",$F823&lt;&gt;"")),"OK",
IF(COUNTIF(INDIRECT(IFERROR(LEFT($F823,FIND(" ",$F823)-1),$F823)), $G823)&gt;0, "OK", "ERROR")))</f>
        <v>OK</v>
      </c>
    </row>
    <row r="824" spans="1:32" s="240" customFormat="1">
      <c r="A824" s="48"/>
      <c r="B824" s="31"/>
      <c r="C824" s="48"/>
      <c r="D824" s="47"/>
      <c r="E824" s="47"/>
      <c r="F824" s="31"/>
      <c r="G824" s="31"/>
      <c r="H824" s="31"/>
      <c r="I824" s="47"/>
      <c r="J824" s="31"/>
      <c r="K824" s="47"/>
      <c r="L824" s="47"/>
      <c r="M824" s="47"/>
      <c r="N824" s="31"/>
      <c r="O824" s="47"/>
      <c r="P824" s="31"/>
      <c r="Q824" s="31"/>
      <c r="R824" s="31"/>
      <c r="S824" s="31"/>
      <c r="T824" s="270">
        <f t="shared" si="96"/>
        <v>0</v>
      </c>
      <c r="U824" s="270">
        <f t="shared" si="97"/>
        <v>0</v>
      </c>
      <c r="V824" s="31"/>
      <c r="X824" s="240" t="str">
        <f t="shared" si="98"/>
        <v>OK</v>
      </c>
      <c r="Y824" s="240" t="str">
        <f t="shared" si="99"/>
        <v>OK</v>
      </c>
      <c r="Z824" s="240" t="str">
        <f t="shared" si="100"/>
        <v>OK</v>
      </c>
      <c r="AA824" s="240" t="str" cm="1">
        <f t="array" ref="AA824">IF(OR(AND(J824="Not accepted",N824:O824&lt;&gt;"",$S824=""),AND(J824="Accepted",S824="")),"ERROR","OK")</f>
        <v>OK</v>
      </c>
      <c r="AB824" s="240" t="str">
        <f t="shared" si="101"/>
        <v>OK</v>
      </c>
      <c r="AC824" s="240" t="str" cm="1">
        <f t="array" ref="AC824">IF(AND(F824:H824&lt;&gt;"",I824=""),"ERROR","OK")</f>
        <v>OK</v>
      </c>
      <c r="AD824" s="240" t="str">
        <f t="shared" si="102"/>
        <v>OK</v>
      </c>
      <c r="AE824" s="240" t="str">
        <f t="shared" si="103"/>
        <v>OK</v>
      </c>
      <c r="AF824" s="240" t="str" cm="1">
        <f t="array" aca="1" ref="AF824" ca="1" xml:space="preserve">
IF(AND($G824&lt;&gt;"",$F824=""),"ERROR",
IF(OR($F824:$G824="",AND($G824="",$F824&lt;&gt;"")),"OK",
IF(COUNTIF(INDIRECT(IFERROR(LEFT($F824,FIND(" ",$F824)-1),$F824)), $G824)&gt;0, "OK", "ERROR")))</f>
        <v>OK</v>
      </c>
    </row>
    <row r="825" spans="1:32" s="240" customFormat="1">
      <c r="A825" s="48"/>
      <c r="B825" s="31"/>
      <c r="C825" s="48"/>
      <c r="D825" s="47"/>
      <c r="E825" s="47"/>
      <c r="F825" s="31"/>
      <c r="G825" s="31"/>
      <c r="H825" s="31"/>
      <c r="I825" s="47"/>
      <c r="J825" s="31"/>
      <c r="K825" s="47"/>
      <c r="L825" s="47"/>
      <c r="M825" s="47"/>
      <c r="N825" s="31"/>
      <c r="O825" s="47"/>
      <c r="P825" s="31"/>
      <c r="Q825" s="31"/>
      <c r="R825" s="31"/>
      <c r="S825" s="31"/>
      <c r="T825" s="270">
        <f t="shared" si="96"/>
        <v>0</v>
      </c>
      <c r="U825" s="270">
        <f t="shared" si="97"/>
        <v>0</v>
      </c>
      <c r="V825" s="31"/>
      <c r="X825" s="240" t="str">
        <f t="shared" si="98"/>
        <v>OK</v>
      </c>
      <c r="Y825" s="240" t="str">
        <f t="shared" si="99"/>
        <v>OK</v>
      </c>
      <c r="Z825" s="240" t="str">
        <f t="shared" si="100"/>
        <v>OK</v>
      </c>
      <c r="AA825" s="240" t="str" cm="1">
        <f t="array" ref="AA825">IF(OR(AND(J825="Not accepted",N825:O825&lt;&gt;"",$S825=""),AND(J825="Accepted",S825="")),"ERROR","OK")</f>
        <v>OK</v>
      </c>
      <c r="AB825" s="240" t="str">
        <f t="shared" si="101"/>
        <v>OK</v>
      </c>
      <c r="AC825" s="240" t="str" cm="1">
        <f t="array" ref="AC825">IF(AND(F825:H825&lt;&gt;"",I825=""),"ERROR","OK")</f>
        <v>OK</v>
      </c>
      <c r="AD825" s="240" t="str">
        <f t="shared" si="102"/>
        <v>OK</v>
      </c>
      <c r="AE825" s="240" t="str">
        <f t="shared" si="103"/>
        <v>OK</v>
      </c>
      <c r="AF825" s="240" t="str" cm="1">
        <f t="array" aca="1" ref="AF825" ca="1" xml:space="preserve">
IF(AND($G825&lt;&gt;"",$F825=""),"ERROR",
IF(OR($F825:$G825="",AND($G825="",$F825&lt;&gt;"")),"OK",
IF(COUNTIF(INDIRECT(IFERROR(LEFT($F825,FIND(" ",$F825)-1),$F825)), $G825)&gt;0, "OK", "ERROR")))</f>
        <v>OK</v>
      </c>
    </row>
    <row r="826" spans="1:32" s="240" customFormat="1">
      <c r="A826" s="48"/>
      <c r="B826" s="31"/>
      <c r="C826" s="48"/>
      <c r="D826" s="47"/>
      <c r="E826" s="47"/>
      <c r="F826" s="31"/>
      <c r="G826" s="31"/>
      <c r="H826" s="31"/>
      <c r="I826" s="47"/>
      <c r="J826" s="31"/>
      <c r="K826" s="47"/>
      <c r="L826" s="47"/>
      <c r="M826" s="47"/>
      <c r="N826" s="31"/>
      <c r="O826" s="47"/>
      <c r="P826" s="31"/>
      <c r="Q826" s="31"/>
      <c r="R826" s="31"/>
      <c r="S826" s="31"/>
      <c r="T826" s="270">
        <f t="shared" si="96"/>
        <v>0</v>
      </c>
      <c r="U826" s="270">
        <f t="shared" si="97"/>
        <v>0</v>
      </c>
      <c r="V826" s="31"/>
      <c r="X826" s="240" t="str">
        <f t="shared" si="98"/>
        <v>OK</v>
      </c>
      <c r="Y826" s="240" t="str">
        <f t="shared" si="99"/>
        <v>OK</v>
      </c>
      <c r="Z826" s="240" t="str">
        <f t="shared" si="100"/>
        <v>OK</v>
      </c>
      <c r="AA826" s="240" t="str" cm="1">
        <f t="array" ref="AA826">IF(OR(AND(J826="Not accepted",N826:O826&lt;&gt;"",$S826=""),AND(J826="Accepted",S826="")),"ERROR","OK")</f>
        <v>OK</v>
      </c>
      <c r="AB826" s="240" t="str">
        <f t="shared" si="101"/>
        <v>OK</v>
      </c>
      <c r="AC826" s="240" t="str" cm="1">
        <f t="array" ref="AC826">IF(AND(F826:H826&lt;&gt;"",I826=""),"ERROR","OK")</f>
        <v>OK</v>
      </c>
      <c r="AD826" s="240" t="str">
        <f t="shared" si="102"/>
        <v>OK</v>
      </c>
      <c r="AE826" s="240" t="str">
        <f t="shared" si="103"/>
        <v>OK</v>
      </c>
      <c r="AF826" s="240" t="str" cm="1">
        <f t="array" aca="1" ref="AF826" ca="1" xml:space="preserve">
IF(AND($G826&lt;&gt;"",$F826=""),"ERROR",
IF(OR($F826:$G826="",AND($G826="",$F826&lt;&gt;"")),"OK",
IF(COUNTIF(INDIRECT(IFERROR(LEFT($F826,FIND(" ",$F826)-1),$F826)), $G826)&gt;0, "OK", "ERROR")))</f>
        <v>OK</v>
      </c>
    </row>
    <row r="827" spans="1:32" s="240" customFormat="1">
      <c r="A827" s="48"/>
      <c r="B827" s="31"/>
      <c r="C827" s="48"/>
      <c r="D827" s="47"/>
      <c r="E827" s="47"/>
      <c r="F827" s="31"/>
      <c r="G827" s="31"/>
      <c r="H827" s="31"/>
      <c r="I827" s="47"/>
      <c r="J827" s="31"/>
      <c r="K827" s="47"/>
      <c r="L827" s="47"/>
      <c r="M827" s="47"/>
      <c r="N827" s="31"/>
      <c r="O827" s="47"/>
      <c r="P827" s="31"/>
      <c r="Q827" s="31"/>
      <c r="R827" s="31"/>
      <c r="S827" s="31"/>
      <c r="T827" s="270">
        <f t="shared" si="96"/>
        <v>0</v>
      </c>
      <c r="U827" s="270">
        <f t="shared" si="97"/>
        <v>0</v>
      </c>
      <c r="V827" s="31"/>
      <c r="X827" s="240" t="str">
        <f t="shared" si="98"/>
        <v>OK</v>
      </c>
      <c r="Y827" s="240" t="str">
        <f t="shared" si="99"/>
        <v>OK</v>
      </c>
      <c r="Z827" s="240" t="str">
        <f t="shared" si="100"/>
        <v>OK</v>
      </c>
      <c r="AA827" s="240" t="str" cm="1">
        <f t="array" ref="AA827">IF(OR(AND(J827="Not accepted",N827:O827&lt;&gt;"",$S827=""),AND(J827="Accepted",S827="")),"ERROR","OK")</f>
        <v>OK</v>
      </c>
      <c r="AB827" s="240" t="str">
        <f t="shared" si="101"/>
        <v>OK</v>
      </c>
      <c r="AC827" s="240" t="str" cm="1">
        <f t="array" ref="AC827">IF(AND(F827:H827&lt;&gt;"",I827=""),"ERROR","OK")</f>
        <v>OK</v>
      </c>
      <c r="AD827" s="240" t="str">
        <f t="shared" si="102"/>
        <v>OK</v>
      </c>
      <c r="AE827" s="240" t="str">
        <f t="shared" si="103"/>
        <v>OK</v>
      </c>
      <c r="AF827" s="240" t="str" cm="1">
        <f t="array" aca="1" ref="AF827" ca="1" xml:space="preserve">
IF(AND($G827&lt;&gt;"",$F827=""),"ERROR",
IF(OR($F827:$G827="",AND($G827="",$F827&lt;&gt;"")),"OK",
IF(COUNTIF(INDIRECT(IFERROR(LEFT($F827,FIND(" ",$F827)-1),$F827)), $G827)&gt;0, "OK", "ERROR")))</f>
        <v>OK</v>
      </c>
    </row>
    <row r="828" spans="1:32" s="240" customFormat="1">
      <c r="A828" s="48"/>
      <c r="B828" s="31"/>
      <c r="C828" s="48"/>
      <c r="D828" s="47"/>
      <c r="E828" s="47"/>
      <c r="F828" s="31"/>
      <c r="G828" s="31"/>
      <c r="H828" s="31"/>
      <c r="I828" s="47"/>
      <c r="J828" s="31"/>
      <c r="K828" s="47"/>
      <c r="L828" s="47"/>
      <c r="M828" s="47"/>
      <c r="N828" s="31"/>
      <c r="O828" s="47"/>
      <c r="P828" s="31"/>
      <c r="Q828" s="31"/>
      <c r="R828" s="31"/>
      <c r="S828" s="31"/>
      <c r="T828" s="270">
        <f t="shared" si="96"/>
        <v>0</v>
      </c>
      <c r="U828" s="270">
        <f t="shared" si="97"/>
        <v>0</v>
      </c>
      <c r="V828" s="31"/>
      <c r="X828" s="240" t="str">
        <f t="shared" si="98"/>
        <v>OK</v>
      </c>
      <c r="Y828" s="240" t="str">
        <f t="shared" si="99"/>
        <v>OK</v>
      </c>
      <c r="Z828" s="240" t="str">
        <f t="shared" si="100"/>
        <v>OK</v>
      </c>
      <c r="AA828" s="240" t="str" cm="1">
        <f t="array" ref="AA828">IF(OR(AND(J828="Not accepted",N828:O828&lt;&gt;"",$S828=""),AND(J828="Accepted",S828="")),"ERROR","OK")</f>
        <v>OK</v>
      </c>
      <c r="AB828" s="240" t="str">
        <f t="shared" si="101"/>
        <v>OK</v>
      </c>
      <c r="AC828" s="240" t="str" cm="1">
        <f t="array" ref="AC828">IF(AND(F828:H828&lt;&gt;"",I828=""),"ERROR","OK")</f>
        <v>OK</v>
      </c>
      <c r="AD828" s="240" t="str">
        <f t="shared" si="102"/>
        <v>OK</v>
      </c>
      <c r="AE828" s="240" t="str">
        <f t="shared" si="103"/>
        <v>OK</v>
      </c>
      <c r="AF828" s="240" t="str" cm="1">
        <f t="array" aca="1" ref="AF828" ca="1" xml:space="preserve">
IF(AND($G828&lt;&gt;"",$F828=""),"ERROR",
IF(OR($F828:$G828="",AND($G828="",$F828&lt;&gt;"")),"OK",
IF(COUNTIF(INDIRECT(IFERROR(LEFT($F828,FIND(" ",$F828)-1),$F828)), $G828)&gt;0, "OK", "ERROR")))</f>
        <v>OK</v>
      </c>
    </row>
    <row r="829" spans="1:32" s="240" customFormat="1">
      <c r="A829" s="48"/>
      <c r="B829" s="31"/>
      <c r="C829" s="48"/>
      <c r="D829" s="47"/>
      <c r="E829" s="47"/>
      <c r="F829" s="31"/>
      <c r="G829" s="31"/>
      <c r="H829" s="31"/>
      <c r="I829" s="47"/>
      <c r="J829" s="31"/>
      <c r="K829" s="47"/>
      <c r="L829" s="47"/>
      <c r="M829" s="47"/>
      <c r="N829" s="31"/>
      <c r="O829" s="47"/>
      <c r="P829" s="31"/>
      <c r="Q829" s="31"/>
      <c r="R829" s="31"/>
      <c r="S829" s="31"/>
      <c r="T829" s="270">
        <f t="shared" si="96"/>
        <v>0</v>
      </c>
      <c r="U829" s="270">
        <f t="shared" si="97"/>
        <v>0</v>
      </c>
      <c r="V829" s="31"/>
      <c r="X829" s="240" t="str">
        <f t="shared" si="98"/>
        <v>OK</v>
      </c>
      <c r="Y829" s="240" t="str">
        <f t="shared" si="99"/>
        <v>OK</v>
      </c>
      <c r="Z829" s="240" t="str">
        <f t="shared" si="100"/>
        <v>OK</v>
      </c>
      <c r="AA829" s="240" t="str" cm="1">
        <f t="array" ref="AA829">IF(OR(AND(J829="Not accepted",N829:O829&lt;&gt;"",$S829=""),AND(J829="Accepted",S829="")),"ERROR","OK")</f>
        <v>OK</v>
      </c>
      <c r="AB829" s="240" t="str">
        <f t="shared" si="101"/>
        <v>OK</v>
      </c>
      <c r="AC829" s="240" t="str" cm="1">
        <f t="array" ref="AC829">IF(AND(F829:H829&lt;&gt;"",I829=""),"ERROR","OK")</f>
        <v>OK</v>
      </c>
      <c r="AD829" s="240" t="str">
        <f t="shared" si="102"/>
        <v>OK</v>
      </c>
      <c r="AE829" s="240" t="str">
        <f t="shared" si="103"/>
        <v>OK</v>
      </c>
      <c r="AF829" s="240" t="str" cm="1">
        <f t="array" aca="1" ref="AF829" ca="1" xml:space="preserve">
IF(AND($G829&lt;&gt;"",$F829=""),"ERROR",
IF(OR($F829:$G829="",AND($G829="",$F829&lt;&gt;"")),"OK",
IF(COUNTIF(INDIRECT(IFERROR(LEFT($F829,FIND(" ",$F829)-1),$F829)), $G829)&gt;0, "OK", "ERROR")))</f>
        <v>OK</v>
      </c>
    </row>
    <row r="830" spans="1:32" s="240" customFormat="1">
      <c r="A830" s="48"/>
      <c r="B830" s="31"/>
      <c r="C830" s="48"/>
      <c r="D830" s="47"/>
      <c r="E830" s="47"/>
      <c r="F830" s="31"/>
      <c r="G830" s="31"/>
      <c r="H830" s="31"/>
      <c r="I830" s="47"/>
      <c r="J830" s="31"/>
      <c r="K830" s="47"/>
      <c r="L830" s="47"/>
      <c r="M830" s="47"/>
      <c r="N830" s="31"/>
      <c r="O830" s="47"/>
      <c r="P830" s="31"/>
      <c r="Q830" s="31"/>
      <c r="R830" s="31"/>
      <c r="S830" s="31"/>
      <c r="T830" s="270">
        <f t="shared" si="96"/>
        <v>0</v>
      </c>
      <c r="U830" s="270">
        <f t="shared" si="97"/>
        <v>0</v>
      </c>
      <c r="V830" s="31"/>
      <c r="X830" s="240" t="str">
        <f t="shared" si="98"/>
        <v>OK</v>
      </c>
      <c r="Y830" s="240" t="str">
        <f t="shared" si="99"/>
        <v>OK</v>
      </c>
      <c r="Z830" s="240" t="str">
        <f t="shared" si="100"/>
        <v>OK</v>
      </c>
      <c r="AA830" s="240" t="str" cm="1">
        <f t="array" ref="AA830">IF(OR(AND(J830="Not accepted",N830:O830&lt;&gt;"",$S830=""),AND(J830="Accepted",S830="")),"ERROR","OK")</f>
        <v>OK</v>
      </c>
      <c r="AB830" s="240" t="str">
        <f t="shared" si="101"/>
        <v>OK</v>
      </c>
      <c r="AC830" s="240" t="str" cm="1">
        <f t="array" ref="AC830">IF(AND(F830:H830&lt;&gt;"",I830=""),"ERROR","OK")</f>
        <v>OK</v>
      </c>
      <c r="AD830" s="240" t="str">
        <f t="shared" si="102"/>
        <v>OK</v>
      </c>
      <c r="AE830" s="240" t="str">
        <f t="shared" si="103"/>
        <v>OK</v>
      </c>
      <c r="AF830" s="240" t="str" cm="1">
        <f t="array" aca="1" ref="AF830" ca="1" xml:space="preserve">
IF(AND($G830&lt;&gt;"",$F830=""),"ERROR",
IF(OR($F830:$G830="",AND($G830="",$F830&lt;&gt;"")),"OK",
IF(COUNTIF(INDIRECT(IFERROR(LEFT($F830,FIND(" ",$F830)-1),$F830)), $G830)&gt;0, "OK", "ERROR")))</f>
        <v>OK</v>
      </c>
    </row>
    <row r="831" spans="1:32" s="240" customFormat="1">
      <c r="A831" s="48"/>
      <c r="B831" s="31"/>
      <c r="C831" s="48"/>
      <c r="D831" s="47"/>
      <c r="E831" s="47"/>
      <c r="F831" s="31"/>
      <c r="G831" s="31"/>
      <c r="H831" s="31"/>
      <c r="I831" s="47"/>
      <c r="J831" s="31"/>
      <c r="K831" s="47"/>
      <c r="L831" s="47"/>
      <c r="M831" s="47"/>
      <c r="N831" s="31"/>
      <c r="O831" s="47"/>
      <c r="P831" s="31"/>
      <c r="Q831" s="31"/>
      <c r="R831" s="31"/>
      <c r="S831" s="31"/>
      <c r="T831" s="270">
        <f t="shared" si="96"/>
        <v>0</v>
      </c>
      <c r="U831" s="270">
        <f t="shared" si="97"/>
        <v>0</v>
      </c>
      <c r="V831" s="31"/>
      <c r="X831" s="240" t="str">
        <f t="shared" si="98"/>
        <v>OK</v>
      </c>
      <c r="Y831" s="240" t="str">
        <f t="shared" si="99"/>
        <v>OK</v>
      </c>
      <c r="Z831" s="240" t="str">
        <f t="shared" si="100"/>
        <v>OK</v>
      </c>
      <c r="AA831" s="240" t="str" cm="1">
        <f t="array" ref="AA831">IF(OR(AND(J831="Not accepted",N831:O831&lt;&gt;"",$S831=""),AND(J831="Accepted",S831="")),"ERROR","OK")</f>
        <v>OK</v>
      </c>
      <c r="AB831" s="240" t="str">
        <f t="shared" si="101"/>
        <v>OK</v>
      </c>
      <c r="AC831" s="240" t="str" cm="1">
        <f t="array" ref="AC831">IF(AND(F831:H831&lt;&gt;"",I831=""),"ERROR","OK")</f>
        <v>OK</v>
      </c>
      <c r="AD831" s="240" t="str">
        <f t="shared" si="102"/>
        <v>OK</v>
      </c>
      <c r="AE831" s="240" t="str">
        <f t="shared" si="103"/>
        <v>OK</v>
      </c>
      <c r="AF831" s="240" t="str" cm="1">
        <f t="array" aca="1" ref="AF831" ca="1" xml:space="preserve">
IF(AND($G831&lt;&gt;"",$F831=""),"ERROR",
IF(OR($F831:$G831="",AND($G831="",$F831&lt;&gt;"")),"OK",
IF(COUNTIF(INDIRECT(IFERROR(LEFT($F831,FIND(" ",$F831)-1),$F831)), $G831)&gt;0, "OK", "ERROR")))</f>
        <v>OK</v>
      </c>
    </row>
    <row r="832" spans="1:32" s="240" customFormat="1">
      <c r="A832" s="48"/>
      <c r="B832" s="31"/>
      <c r="C832" s="48"/>
      <c r="D832" s="47"/>
      <c r="E832" s="47"/>
      <c r="F832" s="31"/>
      <c r="G832" s="31"/>
      <c r="H832" s="31"/>
      <c r="I832" s="47"/>
      <c r="J832" s="31"/>
      <c r="K832" s="47"/>
      <c r="L832" s="47"/>
      <c r="M832" s="47"/>
      <c r="N832" s="31"/>
      <c r="O832" s="47"/>
      <c r="P832" s="31"/>
      <c r="Q832" s="31"/>
      <c r="R832" s="31"/>
      <c r="S832" s="31"/>
      <c r="T832" s="270">
        <f t="shared" si="96"/>
        <v>0</v>
      </c>
      <c r="U832" s="270">
        <f t="shared" si="97"/>
        <v>0</v>
      </c>
      <c r="V832" s="31"/>
      <c r="X832" s="240" t="str">
        <f t="shared" si="98"/>
        <v>OK</v>
      </c>
      <c r="Y832" s="240" t="str">
        <f t="shared" si="99"/>
        <v>OK</v>
      </c>
      <c r="Z832" s="240" t="str">
        <f t="shared" si="100"/>
        <v>OK</v>
      </c>
      <c r="AA832" s="240" t="str" cm="1">
        <f t="array" ref="AA832">IF(OR(AND(J832="Not accepted",N832:O832&lt;&gt;"",$S832=""),AND(J832="Accepted",S832="")),"ERROR","OK")</f>
        <v>OK</v>
      </c>
      <c r="AB832" s="240" t="str">
        <f t="shared" si="101"/>
        <v>OK</v>
      </c>
      <c r="AC832" s="240" t="str" cm="1">
        <f t="array" ref="AC832">IF(AND(F832:H832&lt;&gt;"",I832=""),"ERROR","OK")</f>
        <v>OK</v>
      </c>
      <c r="AD832" s="240" t="str">
        <f t="shared" si="102"/>
        <v>OK</v>
      </c>
      <c r="AE832" s="240" t="str">
        <f t="shared" si="103"/>
        <v>OK</v>
      </c>
      <c r="AF832" s="240" t="str" cm="1">
        <f t="array" aca="1" ref="AF832" ca="1" xml:space="preserve">
IF(AND($G832&lt;&gt;"",$F832=""),"ERROR",
IF(OR($F832:$G832="",AND($G832="",$F832&lt;&gt;"")),"OK",
IF(COUNTIF(INDIRECT(IFERROR(LEFT($F832,FIND(" ",$F832)-1),$F832)), $G832)&gt;0, "OK", "ERROR")))</f>
        <v>OK</v>
      </c>
    </row>
    <row r="833" spans="1:32" s="240" customFormat="1">
      <c r="A833" s="48"/>
      <c r="B833" s="31"/>
      <c r="C833" s="48"/>
      <c r="D833" s="47"/>
      <c r="E833" s="47"/>
      <c r="F833" s="31"/>
      <c r="G833" s="31"/>
      <c r="H833" s="31"/>
      <c r="I833" s="47"/>
      <c r="J833" s="31"/>
      <c r="K833" s="47"/>
      <c r="L833" s="47"/>
      <c r="M833" s="47"/>
      <c r="N833" s="31"/>
      <c r="O833" s="47"/>
      <c r="P833" s="31"/>
      <c r="Q833" s="31"/>
      <c r="R833" s="31"/>
      <c r="S833" s="31"/>
      <c r="T833" s="270">
        <f t="shared" si="96"/>
        <v>0</v>
      </c>
      <c r="U833" s="270">
        <f t="shared" si="97"/>
        <v>0</v>
      </c>
      <c r="V833" s="31"/>
      <c r="X833" s="240" t="str">
        <f t="shared" si="98"/>
        <v>OK</v>
      </c>
      <c r="Y833" s="240" t="str">
        <f t="shared" si="99"/>
        <v>OK</v>
      </c>
      <c r="Z833" s="240" t="str">
        <f t="shared" si="100"/>
        <v>OK</v>
      </c>
      <c r="AA833" s="240" t="str" cm="1">
        <f t="array" ref="AA833">IF(OR(AND(J833="Not accepted",N833:O833&lt;&gt;"",$S833=""),AND(J833="Accepted",S833="")),"ERROR","OK")</f>
        <v>OK</v>
      </c>
      <c r="AB833" s="240" t="str">
        <f t="shared" si="101"/>
        <v>OK</v>
      </c>
      <c r="AC833" s="240" t="str" cm="1">
        <f t="array" ref="AC833">IF(AND(F833:H833&lt;&gt;"",I833=""),"ERROR","OK")</f>
        <v>OK</v>
      </c>
      <c r="AD833" s="240" t="str">
        <f t="shared" si="102"/>
        <v>OK</v>
      </c>
      <c r="AE833" s="240" t="str">
        <f t="shared" si="103"/>
        <v>OK</v>
      </c>
      <c r="AF833" s="240" t="str" cm="1">
        <f t="array" aca="1" ref="AF833" ca="1" xml:space="preserve">
IF(AND($G833&lt;&gt;"",$F833=""),"ERROR",
IF(OR($F833:$G833="",AND($G833="",$F833&lt;&gt;"")),"OK",
IF(COUNTIF(INDIRECT(IFERROR(LEFT($F833,FIND(" ",$F833)-1),$F833)), $G833)&gt;0, "OK", "ERROR")))</f>
        <v>OK</v>
      </c>
    </row>
    <row r="834" spans="1:32" s="240" customFormat="1">
      <c r="A834" s="48"/>
      <c r="B834" s="31"/>
      <c r="C834" s="48"/>
      <c r="D834" s="47"/>
      <c r="E834" s="47"/>
      <c r="F834" s="31"/>
      <c r="G834" s="31"/>
      <c r="H834" s="31"/>
      <c r="I834" s="47"/>
      <c r="J834" s="31"/>
      <c r="K834" s="47"/>
      <c r="L834" s="47"/>
      <c r="M834" s="47"/>
      <c r="N834" s="31"/>
      <c r="O834" s="47"/>
      <c r="P834" s="31"/>
      <c r="Q834" s="31"/>
      <c r="R834" s="31"/>
      <c r="S834" s="31"/>
      <c r="T834" s="270">
        <f t="shared" si="96"/>
        <v>0</v>
      </c>
      <c r="U834" s="270">
        <f t="shared" si="97"/>
        <v>0</v>
      </c>
      <c r="V834" s="31"/>
      <c r="X834" s="240" t="str">
        <f t="shared" si="98"/>
        <v>OK</v>
      </c>
      <c r="Y834" s="240" t="str">
        <f t="shared" si="99"/>
        <v>OK</v>
      </c>
      <c r="Z834" s="240" t="str">
        <f t="shared" si="100"/>
        <v>OK</v>
      </c>
      <c r="AA834" s="240" t="str" cm="1">
        <f t="array" ref="AA834">IF(OR(AND(J834="Not accepted",N834:O834&lt;&gt;"",$S834=""),AND(J834="Accepted",S834="")),"ERROR","OK")</f>
        <v>OK</v>
      </c>
      <c r="AB834" s="240" t="str">
        <f t="shared" si="101"/>
        <v>OK</v>
      </c>
      <c r="AC834" s="240" t="str" cm="1">
        <f t="array" ref="AC834">IF(AND(F834:H834&lt;&gt;"",I834=""),"ERROR","OK")</f>
        <v>OK</v>
      </c>
      <c r="AD834" s="240" t="str">
        <f t="shared" si="102"/>
        <v>OK</v>
      </c>
      <c r="AE834" s="240" t="str">
        <f t="shared" si="103"/>
        <v>OK</v>
      </c>
      <c r="AF834" s="240" t="str" cm="1">
        <f t="array" aca="1" ref="AF834" ca="1" xml:space="preserve">
IF(AND($G834&lt;&gt;"",$F834=""),"ERROR",
IF(OR($F834:$G834="",AND($G834="",$F834&lt;&gt;"")),"OK",
IF(COUNTIF(INDIRECT(IFERROR(LEFT($F834,FIND(" ",$F834)-1),$F834)), $G834)&gt;0, "OK", "ERROR")))</f>
        <v>OK</v>
      </c>
    </row>
    <row r="835" spans="1:32" s="240" customFormat="1">
      <c r="A835" s="48"/>
      <c r="B835" s="31"/>
      <c r="C835" s="48"/>
      <c r="D835" s="47"/>
      <c r="E835" s="47"/>
      <c r="F835" s="31"/>
      <c r="G835" s="31"/>
      <c r="H835" s="31"/>
      <c r="I835" s="47"/>
      <c r="J835" s="31"/>
      <c r="K835" s="47"/>
      <c r="L835" s="47"/>
      <c r="M835" s="47"/>
      <c r="N835" s="31"/>
      <c r="O835" s="47"/>
      <c r="P835" s="31"/>
      <c r="Q835" s="31"/>
      <c r="R835" s="31"/>
      <c r="S835" s="31"/>
      <c r="T835" s="270">
        <f t="shared" si="96"/>
        <v>0</v>
      </c>
      <c r="U835" s="270">
        <f t="shared" si="97"/>
        <v>0</v>
      </c>
      <c r="V835" s="31"/>
      <c r="X835" s="240" t="str">
        <f t="shared" si="98"/>
        <v>OK</v>
      </c>
      <c r="Y835" s="240" t="str">
        <f t="shared" si="99"/>
        <v>OK</v>
      </c>
      <c r="Z835" s="240" t="str">
        <f t="shared" si="100"/>
        <v>OK</v>
      </c>
      <c r="AA835" s="240" t="str" cm="1">
        <f t="array" ref="AA835">IF(OR(AND(J835="Not accepted",N835:O835&lt;&gt;"",$S835=""),AND(J835="Accepted",S835="")),"ERROR","OK")</f>
        <v>OK</v>
      </c>
      <c r="AB835" s="240" t="str">
        <f t="shared" si="101"/>
        <v>OK</v>
      </c>
      <c r="AC835" s="240" t="str" cm="1">
        <f t="array" ref="AC835">IF(AND(F835:H835&lt;&gt;"",I835=""),"ERROR","OK")</f>
        <v>OK</v>
      </c>
      <c r="AD835" s="240" t="str">
        <f t="shared" si="102"/>
        <v>OK</v>
      </c>
      <c r="AE835" s="240" t="str">
        <f t="shared" si="103"/>
        <v>OK</v>
      </c>
      <c r="AF835" s="240" t="str" cm="1">
        <f t="array" aca="1" ref="AF835" ca="1" xml:space="preserve">
IF(AND($G835&lt;&gt;"",$F835=""),"ERROR",
IF(OR($F835:$G835="",AND($G835="",$F835&lt;&gt;"")),"OK",
IF(COUNTIF(INDIRECT(IFERROR(LEFT($F835,FIND(" ",$F835)-1),$F835)), $G835)&gt;0, "OK", "ERROR")))</f>
        <v>OK</v>
      </c>
    </row>
    <row r="836" spans="1:32" s="240" customFormat="1">
      <c r="A836" s="48"/>
      <c r="B836" s="31"/>
      <c r="C836" s="48"/>
      <c r="D836" s="47"/>
      <c r="E836" s="47"/>
      <c r="F836" s="31"/>
      <c r="G836" s="31"/>
      <c r="H836" s="31"/>
      <c r="I836" s="47"/>
      <c r="J836" s="31"/>
      <c r="K836" s="47"/>
      <c r="L836" s="47"/>
      <c r="M836" s="47"/>
      <c r="N836" s="31"/>
      <c r="O836" s="47"/>
      <c r="P836" s="31"/>
      <c r="Q836" s="31"/>
      <c r="R836" s="31"/>
      <c r="S836" s="31"/>
      <c r="T836" s="270">
        <f t="shared" si="96"/>
        <v>0</v>
      </c>
      <c r="U836" s="270">
        <f t="shared" si="97"/>
        <v>0</v>
      </c>
      <c r="V836" s="31"/>
      <c r="X836" s="240" t="str">
        <f t="shared" si="98"/>
        <v>OK</v>
      </c>
      <c r="Y836" s="240" t="str">
        <f t="shared" si="99"/>
        <v>OK</v>
      </c>
      <c r="Z836" s="240" t="str">
        <f t="shared" si="100"/>
        <v>OK</v>
      </c>
      <c r="AA836" s="240" t="str" cm="1">
        <f t="array" ref="AA836">IF(OR(AND(J836="Not accepted",N836:O836&lt;&gt;"",$S836=""),AND(J836="Accepted",S836="")),"ERROR","OK")</f>
        <v>OK</v>
      </c>
      <c r="AB836" s="240" t="str">
        <f t="shared" si="101"/>
        <v>OK</v>
      </c>
      <c r="AC836" s="240" t="str" cm="1">
        <f t="array" ref="AC836">IF(AND(F836:H836&lt;&gt;"",I836=""),"ERROR","OK")</f>
        <v>OK</v>
      </c>
      <c r="AD836" s="240" t="str">
        <f t="shared" si="102"/>
        <v>OK</v>
      </c>
      <c r="AE836" s="240" t="str">
        <f t="shared" si="103"/>
        <v>OK</v>
      </c>
      <c r="AF836" s="240" t="str" cm="1">
        <f t="array" aca="1" ref="AF836" ca="1" xml:space="preserve">
IF(AND($G836&lt;&gt;"",$F836=""),"ERROR",
IF(OR($F836:$G836="",AND($G836="",$F836&lt;&gt;"")),"OK",
IF(COUNTIF(INDIRECT(IFERROR(LEFT($F836,FIND(" ",$F836)-1),$F836)), $G836)&gt;0, "OK", "ERROR")))</f>
        <v>OK</v>
      </c>
    </row>
    <row r="837" spans="1:32" s="240" customFormat="1">
      <c r="A837" s="48"/>
      <c r="B837" s="31"/>
      <c r="C837" s="48"/>
      <c r="D837" s="47"/>
      <c r="E837" s="47"/>
      <c r="F837" s="31"/>
      <c r="G837" s="31"/>
      <c r="H837" s="31"/>
      <c r="I837" s="47"/>
      <c r="J837" s="31"/>
      <c r="K837" s="47"/>
      <c r="L837" s="47"/>
      <c r="M837" s="47"/>
      <c r="N837" s="31"/>
      <c r="O837" s="47"/>
      <c r="P837" s="31"/>
      <c r="Q837" s="31"/>
      <c r="R837" s="31"/>
      <c r="S837" s="31"/>
      <c r="T837" s="270">
        <f t="shared" ref="T837:T900" si="104">IF(OR($J837="Accepted",ISBLANK($J837)),IF(AND($G837="Legacy Data",$Q837="Legacy Data"),1,IF(OR($G837="Legacy Data",$Q837="Legacy Data"),1,0)),IF(OR($N837="Agree with original translator",ISBLANK($N837)),IF(AND($G837="Source Text Data",$Q837="Legacy Data"),1,IF(AND($G837="Legacy Data",$Q837="Legacy Data"),1,IF($Q837="Legacy Data",1,0))),IF(AND($G837="Legacy Data",$Q837="Legacy Data"),1,IF(OR($Q837="Legacy Data",ISBLANK($Q837)),IF($G837&lt;&gt;"Legacy Data",IF(AND($G837="Source Text Data",$Q837="Legacy Data"),1,0),1),0))))</f>
        <v>0</v>
      </c>
      <c r="U837" s="270">
        <f t="shared" ref="U837:U900" si="105">IF(OR($J837="Accepted",ISBLANK($J837)),IF(AND($G837="Source Text Data",$Q837="Source Text Data"),1,IF(OR($G837="Source Text Data",$Q837="Source Text Data"),1,0)),IF(OR($N837="Agree with original translator",ISBLANK($N837)),IF(AND($G837="Legacy Data",$Q837="Source Text Data"),1,IF(AND($G837="Source Text Data",$Q837="Source Text Data"),1,IF($Q837="Source Text Data",1,0))),IF(AND($G837="Source Text Data",$Q837="Source Text Data"),1,IF(OR($Q837="Source Text Data",ISBLANK($Q837)),IF($G837&lt;&gt;"Source Text Data",IF(AND($G837="Legacy Data",$Q837="Source Text Data"),1,0),1),0))))</f>
        <v>0</v>
      </c>
      <c r="V837" s="31"/>
      <c r="X837" s="240" t="str">
        <f t="shared" ref="X837:X900" si="106">IF(AND(COUNTBLANK($F837:$H837)&lt;&gt;COLUMNS($F837:$H837),COUNTA($F837:$H837)&lt;&gt;COLUMNS($F837:$H837)),"ERROR","OK")</f>
        <v>OK</v>
      </c>
      <c r="Y837" s="240" t="str">
        <f t="shared" ref="Y837:Y900" si="107">IF(AND($J837="Not accepted",$K837=""),"ERROR","OK")</f>
        <v>OK</v>
      </c>
      <c r="Z837" s="240" t="str">
        <f t="shared" ref="Z837:Z900" si="108">IF(AND($F837&lt;&gt;"",$J837=""),"ERROR","OK")</f>
        <v>OK</v>
      </c>
      <c r="AA837" s="240" t="str" cm="1">
        <f t="array" ref="AA837">IF(OR(AND(J837="Not accepted",N837:O837&lt;&gt;"",$S837=""),AND(J837="Accepted",S837="")),"ERROR","OK")</f>
        <v>OK</v>
      </c>
      <c r="AB837" s="240" t="str">
        <f t="shared" ref="AB837:AB900" si="109">IF(AND($S837="Not Implemented",$V837=""),"ERROR","OK")</f>
        <v>OK</v>
      </c>
      <c r="AC837" s="240" t="str" cm="1">
        <f t="array" ref="AC837">IF(AND(F837:H837&lt;&gt;"",I837=""),"ERROR","OK")</f>
        <v>OK</v>
      </c>
      <c r="AD837" s="240" t="str">
        <f t="shared" ref="AD837:AD900" si="110">IF(AND($N837="",$J837="Not accepted",$K837&lt;&gt;""),"ERROR","OK")</f>
        <v>OK</v>
      </c>
      <c r="AE837" s="240" t="str">
        <f t="shared" ref="AE837:AE900" si="111">IF(AND($O837="",$N837&lt;&gt;""),"ERROR","OK")</f>
        <v>OK</v>
      </c>
      <c r="AF837" s="240" t="str" cm="1">
        <f t="array" aca="1" ref="AF837" ca="1" xml:space="preserve">
IF(AND($G837&lt;&gt;"",$F837=""),"ERROR",
IF(OR($F837:$G837="",AND($G837="",$F837&lt;&gt;"")),"OK",
IF(COUNTIF(INDIRECT(IFERROR(LEFT($F837,FIND(" ",$F837)-1),$F837)), $G837)&gt;0, "OK", "ERROR")))</f>
        <v>OK</v>
      </c>
    </row>
    <row r="838" spans="1:32" s="240" customFormat="1">
      <c r="A838" s="48"/>
      <c r="B838" s="31"/>
      <c r="C838" s="48"/>
      <c r="D838" s="47"/>
      <c r="E838" s="47"/>
      <c r="F838" s="31"/>
      <c r="G838" s="31"/>
      <c r="H838" s="31"/>
      <c r="I838" s="47"/>
      <c r="J838" s="31"/>
      <c r="K838" s="47"/>
      <c r="L838" s="47"/>
      <c r="M838" s="47"/>
      <c r="N838" s="31"/>
      <c r="O838" s="47"/>
      <c r="P838" s="31"/>
      <c r="Q838" s="31"/>
      <c r="R838" s="31"/>
      <c r="S838" s="31"/>
      <c r="T838" s="270">
        <f t="shared" si="104"/>
        <v>0</v>
      </c>
      <c r="U838" s="270">
        <f t="shared" si="105"/>
        <v>0</v>
      </c>
      <c r="V838" s="31"/>
      <c r="X838" s="240" t="str">
        <f t="shared" si="106"/>
        <v>OK</v>
      </c>
      <c r="Y838" s="240" t="str">
        <f t="shared" si="107"/>
        <v>OK</v>
      </c>
      <c r="Z838" s="240" t="str">
        <f t="shared" si="108"/>
        <v>OK</v>
      </c>
      <c r="AA838" s="240" t="str" cm="1">
        <f t="array" ref="AA838">IF(OR(AND(J838="Not accepted",N838:O838&lt;&gt;"",$S838=""),AND(J838="Accepted",S838="")),"ERROR","OK")</f>
        <v>OK</v>
      </c>
      <c r="AB838" s="240" t="str">
        <f t="shared" si="109"/>
        <v>OK</v>
      </c>
      <c r="AC838" s="240" t="str" cm="1">
        <f t="array" ref="AC838">IF(AND(F838:H838&lt;&gt;"",I838=""),"ERROR","OK")</f>
        <v>OK</v>
      </c>
      <c r="AD838" s="240" t="str">
        <f t="shared" si="110"/>
        <v>OK</v>
      </c>
      <c r="AE838" s="240" t="str">
        <f t="shared" si="111"/>
        <v>OK</v>
      </c>
      <c r="AF838" s="240" t="str" cm="1">
        <f t="array" aca="1" ref="AF838" ca="1" xml:space="preserve">
IF(AND($G838&lt;&gt;"",$F838=""),"ERROR",
IF(OR($F838:$G838="",AND($G838="",$F838&lt;&gt;"")),"OK",
IF(COUNTIF(INDIRECT(IFERROR(LEFT($F838,FIND(" ",$F838)-1),$F838)), $G838)&gt;0, "OK", "ERROR")))</f>
        <v>OK</v>
      </c>
    </row>
    <row r="839" spans="1:32" s="240" customFormat="1">
      <c r="A839" s="48"/>
      <c r="B839" s="31"/>
      <c r="C839" s="48"/>
      <c r="D839" s="47"/>
      <c r="E839" s="47"/>
      <c r="F839" s="31"/>
      <c r="G839" s="31"/>
      <c r="H839" s="31"/>
      <c r="I839" s="47"/>
      <c r="J839" s="31"/>
      <c r="K839" s="47"/>
      <c r="L839" s="47"/>
      <c r="M839" s="47"/>
      <c r="N839" s="31"/>
      <c r="O839" s="47"/>
      <c r="P839" s="31"/>
      <c r="Q839" s="31"/>
      <c r="R839" s="31"/>
      <c r="S839" s="31"/>
      <c r="T839" s="270">
        <f t="shared" si="104"/>
        <v>0</v>
      </c>
      <c r="U839" s="270">
        <f t="shared" si="105"/>
        <v>0</v>
      </c>
      <c r="V839" s="31"/>
      <c r="X839" s="240" t="str">
        <f t="shared" si="106"/>
        <v>OK</v>
      </c>
      <c r="Y839" s="240" t="str">
        <f t="shared" si="107"/>
        <v>OK</v>
      </c>
      <c r="Z839" s="240" t="str">
        <f t="shared" si="108"/>
        <v>OK</v>
      </c>
      <c r="AA839" s="240" t="str" cm="1">
        <f t="array" ref="AA839">IF(OR(AND(J839="Not accepted",N839:O839&lt;&gt;"",$S839=""),AND(J839="Accepted",S839="")),"ERROR","OK")</f>
        <v>OK</v>
      </c>
      <c r="AB839" s="240" t="str">
        <f t="shared" si="109"/>
        <v>OK</v>
      </c>
      <c r="AC839" s="240" t="str" cm="1">
        <f t="array" ref="AC839">IF(AND(F839:H839&lt;&gt;"",I839=""),"ERROR","OK")</f>
        <v>OK</v>
      </c>
      <c r="AD839" s="240" t="str">
        <f t="shared" si="110"/>
        <v>OK</v>
      </c>
      <c r="AE839" s="240" t="str">
        <f t="shared" si="111"/>
        <v>OK</v>
      </c>
      <c r="AF839" s="240" t="str" cm="1">
        <f t="array" aca="1" ref="AF839" ca="1" xml:space="preserve">
IF(AND($G839&lt;&gt;"",$F839=""),"ERROR",
IF(OR($F839:$G839="",AND($G839="",$F839&lt;&gt;"")),"OK",
IF(COUNTIF(INDIRECT(IFERROR(LEFT($F839,FIND(" ",$F839)-1),$F839)), $G839)&gt;0, "OK", "ERROR")))</f>
        <v>OK</v>
      </c>
    </row>
    <row r="840" spans="1:32" s="240" customFormat="1">
      <c r="A840" s="48"/>
      <c r="B840" s="31"/>
      <c r="C840" s="48"/>
      <c r="D840" s="47"/>
      <c r="E840" s="47"/>
      <c r="F840" s="31"/>
      <c r="G840" s="31"/>
      <c r="H840" s="31"/>
      <c r="I840" s="47"/>
      <c r="J840" s="31"/>
      <c r="K840" s="47"/>
      <c r="L840" s="47"/>
      <c r="M840" s="47"/>
      <c r="N840" s="31"/>
      <c r="O840" s="47"/>
      <c r="P840" s="31"/>
      <c r="Q840" s="31"/>
      <c r="R840" s="31"/>
      <c r="S840" s="31"/>
      <c r="T840" s="270">
        <f t="shared" si="104"/>
        <v>0</v>
      </c>
      <c r="U840" s="270">
        <f t="shared" si="105"/>
        <v>0</v>
      </c>
      <c r="V840" s="31"/>
      <c r="X840" s="240" t="str">
        <f t="shared" si="106"/>
        <v>OK</v>
      </c>
      <c r="Y840" s="240" t="str">
        <f t="shared" si="107"/>
        <v>OK</v>
      </c>
      <c r="Z840" s="240" t="str">
        <f t="shared" si="108"/>
        <v>OK</v>
      </c>
      <c r="AA840" s="240" t="str" cm="1">
        <f t="array" ref="AA840">IF(OR(AND(J840="Not accepted",N840:O840&lt;&gt;"",$S840=""),AND(J840="Accepted",S840="")),"ERROR","OK")</f>
        <v>OK</v>
      </c>
      <c r="AB840" s="240" t="str">
        <f t="shared" si="109"/>
        <v>OK</v>
      </c>
      <c r="AC840" s="240" t="str" cm="1">
        <f t="array" ref="AC840">IF(AND(F840:H840&lt;&gt;"",I840=""),"ERROR","OK")</f>
        <v>OK</v>
      </c>
      <c r="AD840" s="240" t="str">
        <f t="shared" si="110"/>
        <v>OK</v>
      </c>
      <c r="AE840" s="240" t="str">
        <f t="shared" si="111"/>
        <v>OK</v>
      </c>
      <c r="AF840" s="240" t="str" cm="1">
        <f t="array" aca="1" ref="AF840" ca="1" xml:space="preserve">
IF(AND($G840&lt;&gt;"",$F840=""),"ERROR",
IF(OR($F840:$G840="",AND($G840="",$F840&lt;&gt;"")),"OK",
IF(COUNTIF(INDIRECT(IFERROR(LEFT($F840,FIND(" ",$F840)-1),$F840)), $G840)&gt;0, "OK", "ERROR")))</f>
        <v>OK</v>
      </c>
    </row>
    <row r="841" spans="1:32" s="240" customFormat="1">
      <c r="A841" s="48"/>
      <c r="B841" s="31"/>
      <c r="C841" s="48"/>
      <c r="D841" s="47"/>
      <c r="E841" s="47"/>
      <c r="F841" s="31"/>
      <c r="G841" s="31"/>
      <c r="H841" s="31"/>
      <c r="I841" s="47"/>
      <c r="J841" s="31"/>
      <c r="K841" s="47"/>
      <c r="L841" s="47"/>
      <c r="M841" s="47"/>
      <c r="N841" s="31"/>
      <c r="O841" s="47"/>
      <c r="P841" s="31"/>
      <c r="Q841" s="31"/>
      <c r="R841" s="31"/>
      <c r="S841" s="31"/>
      <c r="T841" s="270">
        <f t="shared" si="104"/>
        <v>0</v>
      </c>
      <c r="U841" s="270">
        <f t="shared" si="105"/>
        <v>0</v>
      </c>
      <c r="V841" s="31"/>
      <c r="X841" s="240" t="str">
        <f t="shared" si="106"/>
        <v>OK</v>
      </c>
      <c r="Y841" s="240" t="str">
        <f t="shared" si="107"/>
        <v>OK</v>
      </c>
      <c r="Z841" s="240" t="str">
        <f t="shared" si="108"/>
        <v>OK</v>
      </c>
      <c r="AA841" s="240" t="str" cm="1">
        <f t="array" ref="AA841">IF(OR(AND(J841="Not accepted",N841:O841&lt;&gt;"",$S841=""),AND(J841="Accepted",S841="")),"ERROR","OK")</f>
        <v>OK</v>
      </c>
      <c r="AB841" s="240" t="str">
        <f t="shared" si="109"/>
        <v>OK</v>
      </c>
      <c r="AC841" s="240" t="str" cm="1">
        <f t="array" ref="AC841">IF(AND(F841:H841&lt;&gt;"",I841=""),"ERROR","OK")</f>
        <v>OK</v>
      </c>
      <c r="AD841" s="240" t="str">
        <f t="shared" si="110"/>
        <v>OK</v>
      </c>
      <c r="AE841" s="240" t="str">
        <f t="shared" si="111"/>
        <v>OK</v>
      </c>
      <c r="AF841" s="240" t="str" cm="1">
        <f t="array" aca="1" ref="AF841" ca="1" xml:space="preserve">
IF(AND($G841&lt;&gt;"",$F841=""),"ERROR",
IF(OR($F841:$G841="",AND($G841="",$F841&lt;&gt;"")),"OK",
IF(COUNTIF(INDIRECT(IFERROR(LEFT($F841,FIND(" ",$F841)-1),$F841)), $G841)&gt;0, "OK", "ERROR")))</f>
        <v>OK</v>
      </c>
    </row>
    <row r="842" spans="1:32" s="240" customFormat="1">
      <c r="A842" s="48"/>
      <c r="B842" s="31"/>
      <c r="C842" s="48"/>
      <c r="D842" s="47"/>
      <c r="E842" s="47"/>
      <c r="F842" s="31"/>
      <c r="G842" s="31"/>
      <c r="H842" s="31"/>
      <c r="I842" s="47"/>
      <c r="J842" s="31"/>
      <c r="K842" s="47"/>
      <c r="L842" s="47"/>
      <c r="M842" s="47"/>
      <c r="N842" s="31"/>
      <c r="O842" s="47"/>
      <c r="P842" s="31"/>
      <c r="Q842" s="31"/>
      <c r="R842" s="31"/>
      <c r="S842" s="31"/>
      <c r="T842" s="270">
        <f t="shared" si="104"/>
        <v>0</v>
      </c>
      <c r="U842" s="270">
        <f t="shared" si="105"/>
        <v>0</v>
      </c>
      <c r="V842" s="31"/>
      <c r="X842" s="240" t="str">
        <f t="shared" si="106"/>
        <v>OK</v>
      </c>
      <c r="Y842" s="240" t="str">
        <f t="shared" si="107"/>
        <v>OK</v>
      </c>
      <c r="Z842" s="240" t="str">
        <f t="shared" si="108"/>
        <v>OK</v>
      </c>
      <c r="AA842" s="240" t="str" cm="1">
        <f t="array" ref="AA842">IF(OR(AND(J842="Not accepted",N842:O842&lt;&gt;"",$S842=""),AND(J842="Accepted",S842="")),"ERROR","OK")</f>
        <v>OK</v>
      </c>
      <c r="AB842" s="240" t="str">
        <f t="shared" si="109"/>
        <v>OK</v>
      </c>
      <c r="AC842" s="240" t="str" cm="1">
        <f t="array" ref="AC842">IF(AND(F842:H842&lt;&gt;"",I842=""),"ERROR","OK")</f>
        <v>OK</v>
      </c>
      <c r="AD842" s="240" t="str">
        <f t="shared" si="110"/>
        <v>OK</v>
      </c>
      <c r="AE842" s="240" t="str">
        <f t="shared" si="111"/>
        <v>OK</v>
      </c>
      <c r="AF842" s="240" t="str" cm="1">
        <f t="array" aca="1" ref="AF842" ca="1" xml:space="preserve">
IF(AND($G842&lt;&gt;"",$F842=""),"ERROR",
IF(OR($F842:$G842="",AND($G842="",$F842&lt;&gt;"")),"OK",
IF(COUNTIF(INDIRECT(IFERROR(LEFT($F842,FIND(" ",$F842)-1),$F842)), $G842)&gt;0, "OK", "ERROR")))</f>
        <v>OK</v>
      </c>
    </row>
    <row r="843" spans="1:32" s="240" customFormat="1">
      <c r="A843" s="48"/>
      <c r="B843" s="31"/>
      <c r="C843" s="48"/>
      <c r="D843" s="47"/>
      <c r="E843" s="47"/>
      <c r="F843" s="31"/>
      <c r="G843" s="31"/>
      <c r="H843" s="31"/>
      <c r="I843" s="47"/>
      <c r="J843" s="31"/>
      <c r="K843" s="47"/>
      <c r="L843" s="47"/>
      <c r="M843" s="47"/>
      <c r="N843" s="31"/>
      <c r="O843" s="47"/>
      <c r="P843" s="31"/>
      <c r="Q843" s="31"/>
      <c r="R843" s="31"/>
      <c r="S843" s="31"/>
      <c r="T843" s="270">
        <f t="shared" si="104"/>
        <v>0</v>
      </c>
      <c r="U843" s="270">
        <f t="shared" si="105"/>
        <v>0</v>
      </c>
      <c r="V843" s="31"/>
      <c r="X843" s="240" t="str">
        <f t="shared" si="106"/>
        <v>OK</v>
      </c>
      <c r="Y843" s="240" t="str">
        <f t="shared" si="107"/>
        <v>OK</v>
      </c>
      <c r="Z843" s="240" t="str">
        <f t="shared" si="108"/>
        <v>OK</v>
      </c>
      <c r="AA843" s="240" t="str" cm="1">
        <f t="array" ref="AA843">IF(OR(AND(J843="Not accepted",N843:O843&lt;&gt;"",$S843=""),AND(J843="Accepted",S843="")),"ERROR","OK")</f>
        <v>OK</v>
      </c>
      <c r="AB843" s="240" t="str">
        <f t="shared" si="109"/>
        <v>OK</v>
      </c>
      <c r="AC843" s="240" t="str" cm="1">
        <f t="array" ref="AC843">IF(AND(F843:H843&lt;&gt;"",I843=""),"ERROR","OK")</f>
        <v>OK</v>
      </c>
      <c r="AD843" s="240" t="str">
        <f t="shared" si="110"/>
        <v>OK</v>
      </c>
      <c r="AE843" s="240" t="str">
        <f t="shared" si="111"/>
        <v>OK</v>
      </c>
      <c r="AF843" s="240" t="str" cm="1">
        <f t="array" aca="1" ref="AF843" ca="1" xml:space="preserve">
IF(AND($G843&lt;&gt;"",$F843=""),"ERROR",
IF(OR($F843:$G843="",AND($G843="",$F843&lt;&gt;"")),"OK",
IF(COUNTIF(INDIRECT(IFERROR(LEFT($F843,FIND(" ",$F843)-1),$F843)), $G843)&gt;0, "OK", "ERROR")))</f>
        <v>OK</v>
      </c>
    </row>
    <row r="844" spans="1:32" s="240" customFormat="1">
      <c r="A844" s="48"/>
      <c r="B844" s="31"/>
      <c r="C844" s="48"/>
      <c r="D844" s="47"/>
      <c r="E844" s="47"/>
      <c r="F844" s="31"/>
      <c r="G844" s="31"/>
      <c r="H844" s="31"/>
      <c r="I844" s="47"/>
      <c r="J844" s="31"/>
      <c r="K844" s="47"/>
      <c r="L844" s="47"/>
      <c r="M844" s="47"/>
      <c r="N844" s="31"/>
      <c r="O844" s="47"/>
      <c r="P844" s="31"/>
      <c r="Q844" s="31"/>
      <c r="R844" s="31"/>
      <c r="S844" s="31"/>
      <c r="T844" s="270">
        <f t="shared" si="104"/>
        <v>0</v>
      </c>
      <c r="U844" s="270">
        <f t="shared" si="105"/>
        <v>0</v>
      </c>
      <c r="V844" s="31"/>
      <c r="X844" s="240" t="str">
        <f t="shared" si="106"/>
        <v>OK</v>
      </c>
      <c r="Y844" s="240" t="str">
        <f t="shared" si="107"/>
        <v>OK</v>
      </c>
      <c r="Z844" s="240" t="str">
        <f t="shared" si="108"/>
        <v>OK</v>
      </c>
      <c r="AA844" s="240" t="str" cm="1">
        <f t="array" ref="AA844">IF(OR(AND(J844="Not accepted",N844:O844&lt;&gt;"",$S844=""),AND(J844="Accepted",S844="")),"ERROR","OK")</f>
        <v>OK</v>
      </c>
      <c r="AB844" s="240" t="str">
        <f t="shared" si="109"/>
        <v>OK</v>
      </c>
      <c r="AC844" s="240" t="str" cm="1">
        <f t="array" ref="AC844">IF(AND(F844:H844&lt;&gt;"",I844=""),"ERROR","OK")</f>
        <v>OK</v>
      </c>
      <c r="AD844" s="240" t="str">
        <f t="shared" si="110"/>
        <v>OK</v>
      </c>
      <c r="AE844" s="240" t="str">
        <f t="shared" si="111"/>
        <v>OK</v>
      </c>
      <c r="AF844" s="240" t="str" cm="1">
        <f t="array" aca="1" ref="AF844" ca="1" xml:space="preserve">
IF(AND($G844&lt;&gt;"",$F844=""),"ERROR",
IF(OR($F844:$G844="",AND($G844="",$F844&lt;&gt;"")),"OK",
IF(COUNTIF(INDIRECT(IFERROR(LEFT($F844,FIND(" ",$F844)-1),$F844)), $G844)&gt;0, "OK", "ERROR")))</f>
        <v>OK</v>
      </c>
    </row>
    <row r="845" spans="1:32" s="240" customFormat="1">
      <c r="A845" s="48"/>
      <c r="B845" s="31"/>
      <c r="C845" s="48"/>
      <c r="D845" s="47"/>
      <c r="E845" s="47"/>
      <c r="F845" s="31"/>
      <c r="G845" s="31"/>
      <c r="H845" s="31"/>
      <c r="I845" s="47"/>
      <c r="J845" s="31"/>
      <c r="K845" s="47"/>
      <c r="L845" s="47"/>
      <c r="M845" s="47"/>
      <c r="N845" s="31"/>
      <c r="O845" s="47"/>
      <c r="P845" s="31"/>
      <c r="Q845" s="31"/>
      <c r="R845" s="31"/>
      <c r="S845" s="31"/>
      <c r="T845" s="270">
        <f t="shared" si="104"/>
        <v>0</v>
      </c>
      <c r="U845" s="270">
        <f t="shared" si="105"/>
        <v>0</v>
      </c>
      <c r="V845" s="31"/>
      <c r="X845" s="240" t="str">
        <f t="shared" si="106"/>
        <v>OK</v>
      </c>
      <c r="Y845" s="240" t="str">
        <f t="shared" si="107"/>
        <v>OK</v>
      </c>
      <c r="Z845" s="240" t="str">
        <f t="shared" si="108"/>
        <v>OK</v>
      </c>
      <c r="AA845" s="240" t="str" cm="1">
        <f t="array" ref="AA845">IF(OR(AND(J845="Not accepted",N845:O845&lt;&gt;"",$S845=""),AND(J845="Accepted",S845="")),"ERROR","OK")</f>
        <v>OK</v>
      </c>
      <c r="AB845" s="240" t="str">
        <f t="shared" si="109"/>
        <v>OK</v>
      </c>
      <c r="AC845" s="240" t="str" cm="1">
        <f t="array" ref="AC845">IF(AND(F845:H845&lt;&gt;"",I845=""),"ERROR","OK")</f>
        <v>OK</v>
      </c>
      <c r="AD845" s="240" t="str">
        <f t="shared" si="110"/>
        <v>OK</v>
      </c>
      <c r="AE845" s="240" t="str">
        <f t="shared" si="111"/>
        <v>OK</v>
      </c>
      <c r="AF845" s="240" t="str" cm="1">
        <f t="array" aca="1" ref="AF845" ca="1" xml:space="preserve">
IF(AND($G845&lt;&gt;"",$F845=""),"ERROR",
IF(OR($F845:$G845="",AND($G845="",$F845&lt;&gt;"")),"OK",
IF(COUNTIF(INDIRECT(IFERROR(LEFT($F845,FIND(" ",$F845)-1),$F845)), $G845)&gt;0, "OK", "ERROR")))</f>
        <v>OK</v>
      </c>
    </row>
    <row r="846" spans="1:32" s="240" customFormat="1">
      <c r="A846" s="48"/>
      <c r="B846" s="31"/>
      <c r="C846" s="48"/>
      <c r="D846" s="47"/>
      <c r="E846" s="47"/>
      <c r="F846" s="31"/>
      <c r="G846" s="31"/>
      <c r="H846" s="31"/>
      <c r="I846" s="47"/>
      <c r="J846" s="31"/>
      <c r="K846" s="47"/>
      <c r="L846" s="47"/>
      <c r="M846" s="47"/>
      <c r="N846" s="31"/>
      <c r="O846" s="47"/>
      <c r="P846" s="31"/>
      <c r="Q846" s="31"/>
      <c r="R846" s="31"/>
      <c r="S846" s="31"/>
      <c r="T846" s="270">
        <f t="shared" si="104"/>
        <v>0</v>
      </c>
      <c r="U846" s="270">
        <f t="shared" si="105"/>
        <v>0</v>
      </c>
      <c r="V846" s="31"/>
      <c r="X846" s="240" t="str">
        <f t="shared" si="106"/>
        <v>OK</v>
      </c>
      <c r="Y846" s="240" t="str">
        <f t="shared" si="107"/>
        <v>OK</v>
      </c>
      <c r="Z846" s="240" t="str">
        <f t="shared" si="108"/>
        <v>OK</v>
      </c>
      <c r="AA846" s="240" t="str" cm="1">
        <f t="array" ref="AA846">IF(OR(AND(J846="Not accepted",N846:O846&lt;&gt;"",$S846=""),AND(J846="Accepted",S846="")),"ERROR","OK")</f>
        <v>OK</v>
      </c>
      <c r="AB846" s="240" t="str">
        <f t="shared" si="109"/>
        <v>OK</v>
      </c>
      <c r="AC846" s="240" t="str" cm="1">
        <f t="array" ref="AC846">IF(AND(F846:H846&lt;&gt;"",I846=""),"ERROR","OK")</f>
        <v>OK</v>
      </c>
      <c r="AD846" s="240" t="str">
        <f t="shared" si="110"/>
        <v>OK</v>
      </c>
      <c r="AE846" s="240" t="str">
        <f t="shared" si="111"/>
        <v>OK</v>
      </c>
      <c r="AF846" s="240" t="str" cm="1">
        <f t="array" aca="1" ref="AF846" ca="1" xml:space="preserve">
IF(AND($G846&lt;&gt;"",$F846=""),"ERROR",
IF(OR($F846:$G846="",AND($G846="",$F846&lt;&gt;"")),"OK",
IF(COUNTIF(INDIRECT(IFERROR(LEFT($F846,FIND(" ",$F846)-1),$F846)), $G846)&gt;0, "OK", "ERROR")))</f>
        <v>OK</v>
      </c>
    </row>
    <row r="847" spans="1:32" s="240" customFormat="1">
      <c r="A847" s="48"/>
      <c r="B847" s="31"/>
      <c r="C847" s="48"/>
      <c r="D847" s="47"/>
      <c r="E847" s="47"/>
      <c r="F847" s="31"/>
      <c r="G847" s="31"/>
      <c r="H847" s="31"/>
      <c r="I847" s="47"/>
      <c r="J847" s="31"/>
      <c r="K847" s="47"/>
      <c r="L847" s="47"/>
      <c r="M847" s="47"/>
      <c r="N847" s="31"/>
      <c r="O847" s="47"/>
      <c r="P847" s="31"/>
      <c r="Q847" s="31"/>
      <c r="R847" s="31"/>
      <c r="S847" s="31"/>
      <c r="T847" s="270">
        <f t="shared" si="104"/>
        <v>0</v>
      </c>
      <c r="U847" s="270">
        <f t="shared" si="105"/>
        <v>0</v>
      </c>
      <c r="V847" s="31"/>
      <c r="X847" s="240" t="str">
        <f t="shared" si="106"/>
        <v>OK</v>
      </c>
      <c r="Y847" s="240" t="str">
        <f t="shared" si="107"/>
        <v>OK</v>
      </c>
      <c r="Z847" s="240" t="str">
        <f t="shared" si="108"/>
        <v>OK</v>
      </c>
      <c r="AA847" s="240" t="str" cm="1">
        <f t="array" ref="AA847">IF(OR(AND(J847="Not accepted",N847:O847&lt;&gt;"",$S847=""),AND(J847="Accepted",S847="")),"ERROR","OK")</f>
        <v>OK</v>
      </c>
      <c r="AB847" s="240" t="str">
        <f t="shared" si="109"/>
        <v>OK</v>
      </c>
      <c r="AC847" s="240" t="str" cm="1">
        <f t="array" ref="AC847">IF(AND(F847:H847&lt;&gt;"",I847=""),"ERROR","OK")</f>
        <v>OK</v>
      </c>
      <c r="AD847" s="240" t="str">
        <f t="shared" si="110"/>
        <v>OK</v>
      </c>
      <c r="AE847" s="240" t="str">
        <f t="shared" si="111"/>
        <v>OK</v>
      </c>
      <c r="AF847" s="240" t="str" cm="1">
        <f t="array" aca="1" ref="AF847" ca="1" xml:space="preserve">
IF(AND($G847&lt;&gt;"",$F847=""),"ERROR",
IF(OR($F847:$G847="",AND($G847="",$F847&lt;&gt;"")),"OK",
IF(COUNTIF(INDIRECT(IFERROR(LEFT($F847,FIND(" ",$F847)-1),$F847)), $G847)&gt;0, "OK", "ERROR")))</f>
        <v>OK</v>
      </c>
    </row>
    <row r="848" spans="1:32" s="240" customFormat="1">
      <c r="A848" s="48"/>
      <c r="B848" s="31"/>
      <c r="C848" s="48"/>
      <c r="D848" s="47"/>
      <c r="E848" s="47"/>
      <c r="F848" s="31"/>
      <c r="G848" s="31"/>
      <c r="H848" s="31"/>
      <c r="I848" s="47"/>
      <c r="J848" s="31"/>
      <c r="K848" s="47"/>
      <c r="L848" s="47"/>
      <c r="M848" s="47"/>
      <c r="N848" s="31"/>
      <c r="O848" s="47"/>
      <c r="P848" s="31"/>
      <c r="Q848" s="31"/>
      <c r="R848" s="31"/>
      <c r="S848" s="31"/>
      <c r="T848" s="270">
        <f t="shared" si="104"/>
        <v>0</v>
      </c>
      <c r="U848" s="270">
        <f t="shared" si="105"/>
        <v>0</v>
      </c>
      <c r="V848" s="31"/>
      <c r="X848" s="240" t="str">
        <f t="shared" si="106"/>
        <v>OK</v>
      </c>
      <c r="Y848" s="240" t="str">
        <f t="shared" si="107"/>
        <v>OK</v>
      </c>
      <c r="Z848" s="240" t="str">
        <f t="shared" si="108"/>
        <v>OK</v>
      </c>
      <c r="AA848" s="240" t="str" cm="1">
        <f t="array" ref="AA848">IF(OR(AND(J848="Not accepted",N848:O848&lt;&gt;"",$S848=""),AND(J848="Accepted",S848="")),"ERROR","OK")</f>
        <v>OK</v>
      </c>
      <c r="AB848" s="240" t="str">
        <f t="shared" si="109"/>
        <v>OK</v>
      </c>
      <c r="AC848" s="240" t="str" cm="1">
        <f t="array" ref="AC848">IF(AND(F848:H848&lt;&gt;"",I848=""),"ERROR","OK")</f>
        <v>OK</v>
      </c>
      <c r="AD848" s="240" t="str">
        <f t="shared" si="110"/>
        <v>OK</v>
      </c>
      <c r="AE848" s="240" t="str">
        <f t="shared" si="111"/>
        <v>OK</v>
      </c>
      <c r="AF848" s="240" t="str" cm="1">
        <f t="array" aca="1" ref="AF848" ca="1" xml:space="preserve">
IF(AND($G848&lt;&gt;"",$F848=""),"ERROR",
IF(OR($F848:$G848="",AND($G848="",$F848&lt;&gt;"")),"OK",
IF(COUNTIF(INDIRECT(IFERROR(LEFT($F848,FIND(" ",$F848)-1),$F848)), $G848)&gt;0, "OK", "ERROR")))</f>
        <v>OK</v>
      </c>
    </row>
    <row r="849" spans="1:32" s="240" customFormat="1">
      <c r="A849" s="48"/>
      <c r="B849" s="31"/>
      <c r="C849" s="48"/>
      <c r="D849" s="47"/>
      <c r="E849" s="47"/>
      <c r="F849" s="31"/>
      <c r="G849" s="31"/>
      <c r="H849" s="31"/>
      <c r="I849" s="47"/>
      <c r="J849" s="31"/>
      <c r="K849" s="47"/>
      <c r="L849" s="47"/>
      <c r="M849" s="47"/>
      <c r="N849" s="31"/>
      <c r="O849" s="47"/>
      <c r="P849" s="31"/>
      <c r="Q849" s="31"/>
      <c r="R849" s="31"/>
      <c r="S849" s="31"/>
      <c r="T849" s="270">
        <f t="shared" si="104"/>
        <v>0</v>
      </c>
      <c r="U849" s="270">
        <f t="shared" si="105"/>
        <v>0</v>
      </c>
      <c r="V849" s="31"/>
      <c r="X849" s="240" t="str">
        <f t="shared" si="106"/>
        <v>OK</v>
      </c>
      <c r="Y849" s="240" t="str">
        <f t="shared" si="107"/>
        <v>OK</v>
      </c>
      <c r="Z849" s="240" t="str">
        <f t="shared" si="108"/>
        <v>OK</v>
      </c>
      <c r="AA849" s="240" t="str" cm="1">
        <f t="array" ref="AA849">IF(OR(AND(J849="Not accepted",N849:O849&lt;&gt;"",$S849=""),AND(J849="Accepted",S849="")),"ERROR","OK")</f>
        <v>OK</v>
      </c>
      <c r="AB849" s="240" t="str">
        <f t="shared" si="109"/>
        <v>OK</v>
      </c>
      <c r="AC849" s="240" t="str" cm="1">
        <f t="array" ref="AC849">IF(AND(F849:H849&lt;&gt;"",I849=""),"ERROR","OK")</f>
        <v>OK</v>
      </c>
      <c r="AD849" s="240" t="str">
        <f t="shared" si="110"/>
        <v>OK</v>
      </c>
      <c r="AE849" s="240" t="str">
        <f t="shared" si="111"/>
        <v>OK</v>
      </c>
      <c r="AF849" s="240" t="str" cm="1">
        <f t="array" aca="1" ref="AF849" ca="1" xml:space="preserve">
IF(AND($G849&lt;&gt;"",$F849=""),"ERROR",
IF(OR($F849:$G849="",AND($G849="",$F849&lt;&gt;"")),"OK",
IF(COUNTIF(INDIRECT(IFERROR(LEFT($F849,FIND(" ",$F849)-1),$F849)), $G849)&gt;0, "OK", "ERROR")))</f>
        <v>OK</v>
      </c>
    </row>
    <row r="850" spans="1:32" s="240" customFormat="1">
      <c r="A850" s="48"/>
      <c r="B850" s="31"/>
      <c r="C850" s="48"/>
      <c r="D850" s="47"/>
      <c r="E850" s="47"/>
      <c r="F850" s="31"/>
      <c r="G850" s="31"/>
      <c r="H850" s="31"/>
      <c r="I850" s="47"/>
      <c r="J850" s="31"/>
      <c r="K850" s="47"/>
      <c r="L850" s="47"/>
      <c r="M850" s="47"/>
      <c r="N850" s="31"/>
      <c r="O850" s="47"/>
      <c r="P850" s="31"/>
      <c r="Q850" s="31"/>
      <c r="R850" s="31"/>
      <c r="S850" s="31"/>
      <c r="T850" s="270">
        <f t="shared" si="104"/>
        <v>0</v>
      </c>
      <c r="U850" s="270">
        <f t="shared" si="105"/>
        <v>0</v>
      </c>
      <c r="V850" s="31"/>
      <c r="X850" s="240" t="str">
        <f t="shared" si="106"/>
        <v>OK</v>
      </c>
      <c r="Y850" s="240" t="str">
        <f t="shared" si="107"/>
        <v>OK</v>
      </c>
      <c r="Z850" s="240" t="str">
        <f t="shared" si="108"/>
        <v>OK</v>
      </c>
      <c r="AA850" s="240" t="str" cm="1">
        <f t="array" ref="AA850">IF(OR(AND(J850="Not accepted",N850:O850&lt;&gt;"",$S850=""),AND(J850="Accepted",S850="")),"ERROR","OK")</f>
        <v>OK</v>
      </c>
      <c r="AB850" s="240" t="str">
        <f t="shared" si="109"/>
        <v>OK</v>
      </c>
      <c r="AC850" s="240" t="str" cm="1">
        <f t="array" ref="AC850">IF(AND(F850:H850&lt;&gt;"",I850=""),"ERROR","OK")</f>
        <v>OK</v>
      </c>
      <c r="AD850" s="240" t="str">
        <f t="shared" si="110"/>
        <v>OK</v>
      </c>
      <c r="AE850" s="240" t="str">
        <f t="shared" si="111"/>
        <v>OK</v>
      </c>
      <c r="AF850" s="240" t="str" cm="1">
        <f t="array" aca="1" ref="AF850" ca="1" xml:space="preserve">
IF(AND($G850&lt;&gt;"",$F850=""),"ERROR",
IF(OR($F850:$G850="",AND($G850="",$F850&lt;&gt;"")),"OK",
IF(COUNTIF(INDIRECT(IFERROR(LEFT($F850,FIND(" ",$F850)-1),$F850)), $G850)&gt;0, "OK", "ERROR")))</f>
        <v>OK</v>
      </c>
    </row>
    <row r="851" spans="1:32" s="240" customFormat="1">
      <c r="A851" s="48"/>
      <c r="B851" s="31"/>
      <c r="C851" s="48"/>
      <c r="D851" s="47"/>
      <c r="E851" s="47"/>
      <c r="F851" s="31"/>
      <c r="G851" s="31"/>
      <c r="H851" s="31"/>
      <c r="I851" s="47"/>
      <c r="J851" s="31"/>
      <c r="K851" s="47"/>
      <c r="L851" s="47"/>
      <c r="M851" s="47"/>
      <c r="N851" s="31"/>
      <c r="O851" s="47"/>
      <c r="P851" s="31"/>
      <c r="Q851" s="31"/>
      <c r="R851" s="31"/>
      <c r="S851" s="31"/>
      <c r="T851" s="270">
        <f t="shared" si="104"/>
        <v>0</v>
      </c>
      <c r="U851" s="270">
        <f t="shared" si="105"/>
        <v>0</v>
      </c>
      <c r="V851" s="31"/>
      <c r="X851" s="240" t="str">
        <f t="shared" si="106"/>
        <v>OK</v>
      </c>
      <c r="Y851" s="240" t="str">
        <f t="shared" si="107"/>
        <v>OK</v>
      </c>
      <c r="Z851" s="240" t="str">
        <f t="shared" si="108"/>
        <v>OK</v>
      </c>
      <c r="AA851" s="240" t="str" cm="1">
        <f t="array" ref="AA851">IF(OR(AND(J851="Not accepted",N851:O851&lt;&gt;"",$S851=""),AND(J851="Accepted",S851="")),"ERROR","OK")</f>
        <v>OK</v>
      </c>
      <c r="AB851" s="240" t="str">
        <f t="shared" si="109"/>
        <v>OK</v>
      </c>
      <c r="AC851" s="240" t="str" cm="1">
        <f t="array" ref="AC851">IF(AND(F851:H851&lt;&gt;"",I851=""),"ERROR","OK")</f>
        <v>OK</v>
      </c>
      <c r="AD851" s="240" t="str">
        <f t="shared" si="110"/>
        <v>OK</v>
      </c>
      <c r="AE851" s="240" t="str">
        <f t="shared" si="111"/>
        <v>OK</v>
      </c>
      <c r="AF851" s="240" t="str" cm="1">
        <f t="array" aca="1" ref="AF851" ca="1" xml:space="preserve">
IF(AND($G851&lt;&gt;"",$F851=""),"ERROR",
IF(OR($F851:$G851="",AND($G851="",$F851&lt;&gt;"")),"OK",
IF(COUNTIF(INDIRECT(IFERROR(LEFT($F851,FIND(" ",$F851)-1),$F851)), $G851)&gt;0, "OK", "ERROR")))</f>
        <v>OK</v>
      </c>
    </row>
    <row r="852" spans="1:32" s="240" customFormat="1">
      <c r="A852" s="48"/>
      <c r="B852" s="31"/>
      <c r="C852" s="48"/>
      <c r="D852" s="47"/>
      <c r="E852" s="47"/>
      <c r="F852" s="31"/>
      <c r="G852" s="31"/>
      <c r="H852" s="31"/>
      <c r="I852" s="47"/>
      <c r="J852" s="31"/>
      <c r="K852" s="47"/>
      <c r="L852" s="47"/>
      <c r="M852" s="47"/>
      <c r="N852" s="31"/>
      <c r="O852" s="47"/>
      <c r="P852" s="31"/>
      <c r="Q852" s="31"/>
      <c r="R852" s="31"/>
      <c r="S852" s="31"/>
      <c r="T852" s="270">
        <f t="shared" si="104"/>
        <v>0</v>
      </c>
      <c r="U852" s="270">
        <f t="shared" si="105"/>
        <v>0</v>
      </c>
      <c r="V852" s="31"/>
      <c r="X852" s="240" t="str">
        <f t="shared" si="106"/>
        <v>OK</v>
      </c>
      <c r="Y852" s="240" t="str">
        <f t="shared" si="107"/>
        <v>OK</v>
      </c>
      <c r="Z852" s="240" t="str">
        <f t="shared" si="108"/>
        <v>OK</v>
      </c>
      <c r="AA852" s="240" t="str" cm="1">
        <f t="array" ref="AA852">IF(OR(AND(J852="Not accepted",N852:O852&lt;&gt;"",$S852=""),AND(J852="Accepted",S852="")),"ERROR","OK")</f>
        <v>OK</v>
      </c>
      <c r="AB852" s="240" t="str">
        <f t="shared" si="109"/>
        <v>OK</v>
      </c>
      <c r="AC852" s="240" t="str" cm="1">
        <f t="array" ref="AC852">IF(AND(F852:H852&lt;&gt;"",I852=""),"ERROR","OK")</f>
        <v>OK</v>
      </c>
      <c r="AD852" s="240" t="str">
        <f t="shared" si="110"/>
        <v>OK</v>
      </c>
      <c r="AE852" s="240" t="str">
        <f t="shared" si="111"/>
        <v>OK</v>
      </c>
      <c r="AF852" s="240" t="str" cm="1">
        <f t="array" aca="1" ref="AF852" ca="1" xml:space="preserve">
IF(AND($G852&lt;&gt;"",$F852=""),"ERROR",
IF(OR($F852:$G852="",AND($G852="",$F852&lt;&gt;"")),"OK",
IF(COUNTIF(INDIRECT(IFERROR(LEFT($F852,FIND(" ",$F852)-1),$F852)), $G852)&gt;0, "OK", "ERROR")))</f>
        <v>OK</v>
      </c>
    </row>
    <row r="853" spans="1:32" s="240" customFormat="1">
      <c r="A853" s="48"/>
      <c r="B853" s="31"/>
      <c r="C853" s="48"/>
      <c r="D853" s="47"/>
      <c r="E853" s="47"/>
      <c r="F853" s="31"/>
      <c r="G853" s="31"/>
      <c r="H853" s="31"/>
      <c r="I853" s="47"/>
      <c r="J853" s="31"/>
      <c r="K853" s="47"/>
      <c r="L853" s="47"/>
      <c r="M853" s="47"/>
      <c r="N853" s="31"/>
      <c r="O853" s="47"/>
      <c r="P853" s="31"/>
      <c r="Q853" s="31"/>
      <c r="R853" s="31"/>
      <c r="S853" s="31"/>
      <c r="T853" s="270">
        <f t="shared" si="104"/>
        <v>0</v>
      </c>
      <c r="U853" s="270">
        <f t="shared" si="105"/>
        <v>0</v>
      </c>
      <c r="V853" s="31"/>
      <c r="X853" s="240" t="str">
        <f t="shared" si="106"/>
        <v>OK</v>
      </c>
      <c r="Y853" s="240" t="str">
        <f t="shared" si="107"/>
        <v>OK</v>
      </c>
      <c r="Z853" s="240" t="str">
        <f t="shared" si="108"/>
        <v>OK</v>
      </c>
      <c r="AA853" s="240" t="str" cm="1">
        <f t="array" ref="AA853">IF(OR(AND(J853="Not accepted",N853:O853&lt;&gt;"",$S853=""),AND(J853="Accepted",S853="")),"ERROR","OK")</f>
        <v>OK</v>
      </c>
      <c r="AB853" s="240" t="str">
        <f t="shared" si="109"/>
        <v>OK</v>
      </c>
      <c r="AC853" s="240" t="str" cm="1">
        <f t="array" ref="AC853">IF(AND(F853:H853&lt;&gt;"",I853=""),"ERROR","OK")</f>
        <v>OK</v>
      </c>
      <c r="AD853" s="240" t="str">
        <f t="shared" si="110"/>
        <v>OK</v>
      </c>
      <c r="AE853" s="240" t="str">
        <f t="shared" si="111"/>
        <v>OK</v>
      </c>
      <c r="AF853" s="240" t="str" cm="1">
        <f t="array" aca="1" ref="AF853" ca="1" xml:space="preserve">
IF(AND($G853&lt;&gt;"",$F853=""),"ERROR",
IF(OR($F853:$G853="",AND($G853="",$F853&lt;&gt;"")),"OK",
IF(COUNTIF(INDIRECT(IFERROR(LEFT($F853,FIND(" ",$F853)-1),$F853)), $G853)&gt;0, "OK", "ERROR")))</f>
        <v>OK</v>
      </c>
    </row>
    <row r="854" spans="1:32" s="240" customFormat="1">
      <c r="A854" s="48"/>
      <c r="B854" s="31"/>
      <c r="C854" s="48"/>
      <c r="D854" s="47"/>
      <c r="E854" s="47"/>
      <c r="F854" s="31"/>
      <c r="G854" s="31"/>
      <c r="H854" s="31"/>
      <c r="I854" s="47"/>
      <c r="J854" s="31"/>
      <c r="K854" s="47"/>
      <c r="L854" s="47"/>
      <c r="M854" s="47"/>
      <c r="N854" s="31"/>
      <c r="O854" s="47"/>
      <c r="P854" s="31"/>
      <c r="Q854" s="31"/>
      <c r="R854" s="31"/>
      <c r="S854" s="31"/>
      <c r="T854" s="270">
        <f t="shared" si="104"/>
        <v>0</v>
      </c>
      <c r="U854" s="270">
        <f t="shared" si="105"/>
        <v>0</v>
      </c>
      <c r="V854" s="31"/>
      <c r="X854" s="240" t="str">
        <f t="shared" si="106"/>
        <v>OK</v>
      </c>
      <c r="Y854" s="240" t="str">
        <f t="shared" si="107"/>
        <v>OK</v>
      </c>
      <c r="Z854" s="240" t="str">
        <f t="shared" si="108"/>
        <v>OK</v>
      </c>
      <c r="AA854" s="240" t="str" cm="1">
        <f t="array" ref="AA854">IF(OR(AND(J854="Not accepted",N854:O854&lt;&gt;"",$S854=""),AND(J854="Accepted",S854="")),"ERROR","OK")</f>
        <v>OK</v>
      </c>
      <c r="AB854" s="240" t="str">
        <f t="shared" si="109"/>
        <v>OK</v>
      </c>
      <c r="AC854" s="240" t="str" cm="1">
        <f t="array" ref="AC854">IF(AND(F854:H854&lt;&gt;"",I854=""),"ERROR","OK")</f>
        <v>OK</v>
      </c>
      <c r="AD854" s="240" t="str">
        <f t="shared" si="110"/>
        <v>OK</v>
      </c>
      <c r="AE854" s="240" t="str">
        <f t="shared" si="111"/>
        <v>OK</v>
      </c>
      <c r="AF854" s="240" t="str" cm="1">
        <f t="array" aca="1" ref="AF854" ca="1" xml:space="preserve">
IF(AND($G854&lt;&gt;"",$F854=""),"ERROR",
IF(OR($F854:$G854="",AND($G854="",$F854&lt;&gt;"")),"OK",
IF(COUNTIF(INDIRECT(IFERROR(LEFT($F854,FIND(" ",$F854)-1),$F854)), $G854)&gt;0, "OK", "ERROR")))</f>
        <v>OK</v>
      </c>
    </row>
    <row r="855" spans="1:32" s="240" customFormat="1">
      <c r="A855" s="48"/>
      <c r="B855" s="31"/>
      <c r="C855" s="48"/>
      <c r="D855" s="47"/>
      <c r="E855" s="47"/>
      <c r="F855" s="31"/>
      <c r="G855" s="31"/>
      <c r="H855" s="31"/>
      <c r="I855" s="47"/>
      <c r="J855" s="31"/>
      <c r="K855" s="47"/>
      <c r="L855" s="47"/>
      <c r="M855" s="47"/>
      <c r="N855" s="31"/>
      <c r="O855" s="47"/>
      <c r="P855" s="31"/>
      <c r="Q855" s="31"/>
      <c r="R855" s="31"/>
      <c r="S855" s="31"/>
      <c r="T855" s="270">
        <f t="shared" si="104"/>
        <v>0</v>
      </c>
      <c r="U855" s="270">
        <f t="shared" si="105"/>
        <v>0</v>
      </c>
      <c r="V855" s="31"/>
      <c r="X855" s="240" t="str">
        <f t="shared" si="106"/>
        <v>OK</v>
      </c>
      <c r="Y855" s="240" t="str">
        <f t="shared" si="107"/>
        <v>OK</v>
      </c>
      <c r="Z855" s="240" t="str">
        <f t="shared" si="108"/>
        <v>OK</v>
      </c>
      <c r="AA855" s="240" t="str" cm="1">
        <f t="array" ref="AA855">IF(OR(AND(J855="Not accepted",N855:O855&lt;&gt;"",$S855=""),AND(J855="Accepted",S855="")),"ERROR","OK")</f>
        <v>OK</v>
      </c>
      <c r="AB855" s="240" t="str">
        <f t="shared" si="109"/>
        <v>OK</v>
      </c>
      <c r="AC855" s="240" t="str" cm="1">
        <f t="array" ref="AC855">IF(AND(F855:H855&lt;&gt;"",I855=""),"ERROR","OK")</f>
        <v>OK</v>
      </c>
      <c r="AD855" s="240" t="str">
        <f t="shared" si="110"/>
        <v>OK</v>
      </c>
      <c r="AE855" s="240" t="str">
        <f t="shared" si="111"/>
        <v>OK</v>
      </c>
      <c r="AF855" s="240" t="str" cm="1">
        <f t="array" aca="1" ref="AF855" ca="1" xml:space="preserve">
IF(AND($G855&lt;&gt;"",$F855=""),"ERROR",
IF(OR($F855:$G855="",AND($G855="",$F855&lt;&gt;"")),"OK",
IF(COUNTIF(INDIRECT(IFERROR(LEFT($F855,FIND(" ",$F855)-1),$F855)), $G855)&gt;0, "OK", "ERROR")))</f>
        <v>OK</v>
      </c>
    </row>
    <row r="856" spans="1:32" s="240" customFormat="1">
      <c r="A856" s="48"/>
      <c r="B856" s="31"/>
      <c r="C856" s="48"/>
      <c r="D856" s="47"/>
      <c r="E856" s="47"/>
      <c r="F856" s="31"/>
      <c r="G856" s="31"/>
      <c r="H856" s="31"/>
      <c r="I856" s="47"/>
      <c r="J856" s="31"/>
      <c r="K856" s="47"/>
      <c r="L856" s="47"/>
      <c r="M856" s="47"/>
      <c r="N856" s="31"/>
      <c r="O856" s="47"/>
      <c r="P856" s="31"/>
      <c r="Q856" s="31"/>
      <c r="R856" s="31"/>
      <c r="S856" s="31"/>
      <c r="T856" s="270">
        <f t="shared" si="104"/>
        <v>0</v>
      </c>
      <c r="U856" s="270">
        <f t="shared" si="105"/>
        <v>0</v>
      </c>
      <c r="V856" s="31"/>
      <c r="X856" s="240" t="str">
        <f t="shared" si="106"/>
        <v>OK</v>
      </c>
      <c r="Y856" s="240" t="str">
        <f t="shared" si="107"/>
        <v>OK</v>
      </c>
      <c r="Z856" s="240" t="str">
        <f t="shared" si="108"/>
        <v>OK</v>
      </c>
      <c r="AA856" s="240" t="str" cm="1">
        <f t="array" ref="AA856">IF(OR(AND(J856="Not accepted",N856:O856&lt;&gt;"",$S856=""),AND(J856="Accepted",S856="")),"ERROR","OK")</f>
        <v>OK</v>
      </c>
      <c r="AB856" s="240" t="str">
        <f t="shared" si="109"/>
        <v>OK</v>
      </c>
      <c r="AC856" s="240" t="str" cm="1">
        <f t="array" ref="AC856">IF(AND(F856:H856&lt;&gt;"",I856=""),"ERROR","OK")</f>
        <v>OK</v>
      </c>
      <c r="AD856" s="240" t="str">
        <f t="shared" si="110"/>
        <v>OK</v>
      </c>
      <c r="AE856" s="240" t="str">
        <f t="shared" si="111"/>
        <v>OK</v>
      </c>
      <c r="AF856" s="240" t="str" cm="1">
        <f t="array" aca="1" ref="AF856" ca="1" xml:space="preserve">
IF(AND($G856&lt;&gt;"",$F856=""),"ERROR",
IF(OR($F856:$G856="",AND($G856="",$F856&lt;&gt;"")),"OK",
IF(COUNTIF(INDIRECT(IFERROR(LEFT($F856,FIND(" ",$F856)-1),$F856)), $G856)&gt;0, "OK", "ERROR")))</f>
        <v>OK</v>
      </c>
    </row>
    <row r="857" spans="1:32" s="240" customFormat="1">
      <c r="A857" s="48"/>
      <c r="B857" s="31"/>
      <c r="C857" s="48"/>
      <c r="D857" s="47"/>
      <c r="E857" s="47"/>
      <c r="F857" s="31"/>
      <c r="G857" s="31"/>
      <c r="H857" s="31"/>
      <c r="I857" s="47"/>
      <c r="J857" s="31"/>
      <c r="K857" s="47"/>
      <c r="L857" s="47"/>
      <c r="M857" s="47"/>
      <c r="N857" s="31"/>
      <c r="O857" s="47"/>
      <c r="P857" s="31"/>
      <c r="Q857" s="31"/>
      <c r="R857" s="31"/>
      <c r="S857" s="31"/>
      <c r="T857" s="270">
        <f t="shared" si="104"/>
        <v>0</v>
      </c>
      <c r="U857" s="270">
        <f t="shared" si="105"/>
        <v>0</v>
      </c>
      <c r="V857" s="31"/>
      <c r="X857" s="240" t="str">
        <f t="shared" si="106"/>
        <v>OK</v>
      </c>
      <c r="Y857" s="240" t="str">
        <f t="shared" si="107"/>
        <v>OK</v>
      </c>
      <c r="Z857" s="240" t="str">
        <f t="shared" si="108"/>
        <v>OK</v>
      </c>
      <c r="AA857" s="240" t="str" cm="1">
        <f t="array" ref="AA857">IF(OR(AND(J857="Not accepted",N857:O857&lt;&gt;"",$S857=""),AND(J857="Accepted",S857="")),"ERROR","OK")</f>
        <v>OK</v>
      </c>
      <c r="AB857" s="240" t="str">
        <f t="shared" si="109"/>
        <v>OK</v>
      </c>
      <c r="AC857" s="240" t="str" cm="1">
        <f t="array" ref="AC857">IF(AND(F857:H857&lt;&gt;"",I857=""),"ERROR","OK")</f>
        <v>OK</v>
      </c>
      <c r="AD857" s="240" t="str">
        <f t="shared" si="110"/>
        <v>OK</v>
      </c>
      <c r="AE857" s="240" t="str">
        <f t="shared" si="111"/>
        <v>OK</v>
      </c>
      <c r="AF857" s="240" t="str" cm="1">
        <f t="array" aca="1" ref="AF857" ca="1" xml:space="preserve">
IF(AND($G857&lt;&gt;"",$F857=""),"ERROR",
IF(OR($F857:$G857="",AND($G857="",$F857&lt;&gt;"")),"OK",
IF(COUNTIF(INDIRECT(IFERROR(LEFT($F857,FIND(" ",$F857)-1),$F857)), $G857)&gt;0, "OK", "ERROR")))</f>
        <v>OK</v>
      </c>
    </row>
    <row r="858" spans="1:32" s="240" customFormat="1">
      <c r="A858" s="48"/>
      <c r="B858" s="31"/>
      <c r="C858" s="48"/>
      <c r="D858" s="47"/>
      <c r="E858" s="47"/>
      <c r="F858" s="31"/>
      <c r="G858" s="31"/>
      <c r="H858" s="31"/>
      <c r="I858" s="47"/>
      <c r="J858" s="31"/>
      <c r="K858" s="47"/>
      <c r="L858" s="47"/>
      <c r="M858" s="47"/>
      <c r="N858" s="31"/>
      <c r="O858" s="47"/>
      <c r="P858" s="31"/>
      <c r="Q858" s="31"/>
      <c r="R858" s="31"/>
      <c r="S858" s="31"/>
      <c r="T858" s="270">
        <f t="shared" si="104"/>
        <v>0</v>
      </c>
      <c r="U858" s="270">
        <f t="shared" si="105"/>
        <v>0</v>
      </c>
      <c r="V858" s="31"/>
      <c r="X858" s="240" t="str">
        <f t="shared" si="106"/>
        <v>OK</v>
      </c>
      <c r="Y858" s="240" t="str">
        <f t="shared" si="107"/>
        <v>OK</v>
      </c>
      <c r="Z858" s="240" t="str">
        <f t="shared" si="108"/>
        <v>OK</v>
      </c>
      <c r="AA858" s="240" t="str" cm="1">
        <f t="array" ref="AA858">IF(OR(AND(J858="Not accepted",N858:O858&lt;&gt;"",$S858=""),AND(J858="Accepted",S858="")),"ERROR","OK")</f>
        <v>OK</v>
      </c>
      <c r="AB858" s="240" t="str">
        <f t="shared" si="109"/>
        <v>OK</v>
      </c>
      <c r="AC858" s="240" t="str" cm="1">
        <f t="array" ref="AC858">IF(AND(F858:H858&lt;&gt;"",I858=""),"ERROR","OK")</f>
        <v>OK</v>
      </c>
      <c r="AD858" s="240" t="str">
        <f t="shared" si="110"/>
        <v>OK</v>
      </c>
      <c r="AE858" s="240" t="str">
        <f t="shared" si="111"/>
        <v>OK</v>
      </c>
      <c r="AF858" s="240" t="str" cm="1">
        <f t="array" aca="1" ref="AF858" ca="1" xml:space="preserve">
IF(AND($G858&lt;&gt;"",$F858=""),"ERROR",
IF(OR($F858:$G858="",AND($G858="",$F858&lt;&gt;"")),"OK",
IF(COUNTIF(INDIRECT(IFERROR(LEFT($F858,FIND(" ",$F858)-1),$F858)), $G858)&gt;0, "OK", "ERROR")))</f>
        <v>OK</v>
      </c>
    </row>
    <row r="859" spans="1:32" s="240" customFormat="1">
      <c r="A859" s="48"/>
      <c r="B859" s="31"/>
      <c r="C859" s="48"/>
      <c r="D859" s="47"/>
      <c r="E859" s="47"/>
      <c r="F859" s="31"/>
      <c r="G859" s="31"/>
      <c r="H859" s="31"/>
      <c r="I859" s="47"/>
      <c r="J859" s="31"/>
      <c r="K859" s="47"/>
      <c r="L859" s="47"/>
      <c r="M859" s="47"/>
      <c r="N859" s="31"/>
      <c r="O859" s="47"/>
      <c r="P859" s="31"/>
      <c r="Q859" s="31"/>
      <c r="R859" s="31"/>
      <c r="S859" s="31"/>
      <c r="T859" s="270">
        <f t="shared" si="104"/>
        <v>0</v>
      </c>
      <c r="U859" s="270">
        <f t="shared" si="105"/>
        <v>0</v>
      </c>
      <c r="V859" s="31"/>
      <c r="X859" s="240" t="str">
        <f t="shared" si="106"/>
        <v>OK</v>
      </c>
      <c r="Y859" s="240" t="str">
        <f t="shared" si="107"/>
        <v>OK</v>
      </c>
      <c r="Z859" s="240" t="str">
        <f t="shared" si="108"/>
        <v>OK</v>
      </c>
      <c r="AA859" s="240" t="str" cm="1">
        <f t="array" ref="AA859">IF(OR(AND(J859="Not accepted",N859:O859&lt;&gt;"",$S859=""),AND(J859="Accepted",S859="")),"ERROR","OK")</f>
        <v>OK</v>
      </c>
      <c r="AB859" s="240" t="str">
        <f t="shared" si="109"/>
        <v>OK</v>
      </c>
      <c r="AC859" s="240" t="str" cm="1">
        <f t="array" ref="AC859">IF(AND(F859:H859&lt;&gt;"",I859=""),"ERROR","OK")</f>
        <v>OK</v>
      </c>
      <c r="AD859" s="240" t="str">
        <f t="shared" si="110"/>
        <v>OK</v>
      </c>
      <c r="AE859" s="240" t="str">
        <f t="shared" si="111"/>
        <v>OK</v>
      </c>
      <c r="AF859" s="240" t="str" cm="1">
        <f t="array" aca="1" ref="AF859" ca="1" xml:space="preserve">
IF(AND($G859&lt;&gt;"",$F859=""),"ERROR",
IF(OR($F859:$G859="",AND($G859="",$F859&lt;&gt;"")),"OK",
IF(COUNTIF(INDIRECT(IFERROR(LEFT($F859,FIND(" ",$F859)-1),$F859)), $G859)&gt;0, "OK", "ERROR")))</f>
        <v>OK</v>
      </c>
    </row>
    <row r="860" spans="1:32" s="240" customFormat="1">
      <c r="A860" s="48"/>
      <c r="B860" s="31"/>
      <c r="C860" s="48"/>
      <c r="D860" s="47"/>
      <c r="E860" s="47"/>
      <c r="F860" s="31"/>
      <c r="G860" s="31"/>
      <c r="H860" s="31"/>
      <c r="I860" s="47"/>
      <c r="J860" s="31"/>
      <c r="K860" s="47"/>
      <c r="L860" s="47"/>
      <c r="M860" s="47"/>
      <c r="N860" s="31"/>
      <c r="O860" s="47"/>
      <c r="P860" s="31"/>
      <c r="Q860" s="31"/>
      <c r="R860" s="31"/>
      <c r="S860" s="31"/>
      <c r="T860" s="270">
        <f t="shared" si="104"/>
        <v>0</v>
      </c>
      <c r="U860" s="270">
        <f t="shared" si="105"/>
        <v>0</v>
      </c>
      <c r="V860" s="31"/>
      <c r="X860" s="240" t="str">
        <f t="shared" si="106"/>
        <v>OK</v>
      </c>
      <c r="Y860" s="240" t="str">
        <f t="shared" si="107"/>
        <v>OK</v>
      </c>
      <c r="Z860" s="240" t="str">
        <f t="shared" si="108"/>
        <v>OK</v>
      </c>
      <c r="AA860" s="240" t="str" cm="1">
        <f t="array" ref="AA860">IF(OR(AND(J860="Not accepted",N860:O860&lt;&gt;"",$S860=""),AND(J860="Accepted",S860="")),"ERROR","OK")</f>
        <v>OK</v>
      </c>
      <c r="AB860" s="240" t="str">
        <f t="shared" si="109"/>
        <v>OK</v>
      </c>
      <c r="AC860" s="240" t="str" cm="1">
        <f t="array" ref="AC860">IF(AND(F860:H860&lt;&gt;"",I860=""),"ERROR","OK")</f>
        <v>OK</v>
      </c>
      <c r="AD860" s="240" t="str">
        <f t="shared" si="110"/>
        <v>OK</v>
      </c>
      <c r="AE860" s="240" t="str">
        <f t="shared" si="111"/>
        <v>OK</v>
      </c>
      <c r="AF860" s="240" t="str" cm="1">
        <f t="array" aca="1" ref="AF860" ca="1" xml:space="preserve">
IF(AND($G860&lt;&gt;"",$F860=""),"ERROR",
IF(OR($F860:$G860="",AND($G860="",$F860&lt;&gt;"")),"OK",
IF(COUNTIF(INDIRECT(IFERROR(LEFT($F860,FIND(" ",$F860)-1),$F860)), $G860)&gt;0, "OK", "ERROR")))</f>
        <v>OK</v>
      </c>
    </row>
    <row r="861" spans="1:32" s="240" customFormat="1">
      <c r="A861" s="48"/>
      <c r="B861" s="31"/>
      <c r="C861" s="48"/>
      <c r="D861" s="47"/>
      <c r="E861" s="47"/>
      <c r="F861" s="31"/>
      <c r="G861" s="31"/>
      <c r="H861" s="31"/>
      <c r="I861" s="47"/>
      <c r="J861" s="31"/>
      <c r="K861" s="47"/>
      <c r="L861" s="47"/>
      <c r="M861" s="47"/>
      <c r="N861" s="31"/>
      <c r="O861" s="47"/>
      <c r="P861" s="31"/>
      <c r="Q861" s="31"/>
      <c r="R861" s="31"/>
      <c r="S861" s="31"/>
      <c r="T861" s="270">
        <f t="shared" si="104"/>
        <v>0</v>
      </c>
      <c r="U861" s="270">
        <f t="shared" si="105"/>
        <v>0</v>
      </c>
      <c r="V861" s="31"/>
      <c r="X861" s="240" t="str">
        <f t="shared" si="106"/>
        <v>OK</v>
      </c>
      <c r="Y861" s="240" t="str">
        <f t="shared" si="107"/>
        <v>OK</v>
      </c>
      <c r="Z861" s="240" t="str">
        <f t="shared" si="108"/>
        <v>OK</v>
      </c>
      <c r="AA861" s="240" t="str" cm="1">
        <f t="array" ref="AA861">IF(OR(AND(J861="Not accepted",N861:O861&lt;&gt;"",$S861=""),AND(J861="Accepted",S861="")),"ERROR","OK")</f>
        <v>OK</v>
      </c>
      <c r="AB861" s="240" t="str">
        <f t="shared" si="109"/>
        <v>OK</v>
      </c>
      <c r="AC861" s="240" t="str" cm="1">
        <f t="array" ref="AC861">IF(AND(F861:H861&lt;&gt;"",I861=""),"ERROR","OK")</f>
        <v>OK</v>
      </c>
      <c r="AD861" s="240" t="str">
        <f t="shared" si="110"/>
        <v>OK</v>
      </c>
      <c r="AE861" s="240" t="str">
        <f t="shared" si="111"/>
        <v>OK</v>
      </c>
      <c r="AF861" s="240" t="str" cm="1">
        <f t="array" aca="1" ref="AF861" ca="1" xml:space="preserve">
IF(AND($G861&lt;&gt;"",$F861=""),"ERROR",
IF(OR($F861:$G861="",AND($G861="",$F861&lt;&gt;"")),"OK",
IF(COUNTIF(INDIRECT(IFERROR(LEFT($F861,FIND(" ",$F861)-1),$F861)), $G861)&gt;0, "OK", "ERROR")))</f>
        <v>OK</v>
      </c>
    </row>
    <row r="862" spans="1:32" s="240" customFormat="1">
      <c r="A862" s="48"/>
      <c r="B862" s="31"/>
      <c r="C862" s="48"/>
      <c r="D862" s="47"/>
      <c r="E862" s="47"/>
      <c r="F862" s="31"/>
      <c r="G862" s="31"/>
      <c r="H862" s="31"/>
      <c r="I862" s="47"/>
      <c r="J862" s="31"/>
      <c r="K862" s="47"/>
      <c r="L862" s="47"/>
      <c r="M862" s="47"/>
      <c r="N862" s="31"/>
      <c r="O862" s="47"/>
      <c r="P862" s="31"/>
      <c r="Q862" s="31"/>
      <c r="R862" s="31"/>
      <c r="S862" s="31"/>
      <c r="T862" s="270">
        <f t="shared" si="104"/>
        <v>0</v>
      </c>
      <c r="U862" s="270">
        <f t="shared" si="105"/>
        <v>0</v>
      </c>
      <c r="V862" s="31"/>
      <c r="X862" s="240" t="str">
        <f t="shared" si="106"/>
        <v>OK</v>
      </c>
      <c r="Y862" s="240" t="str">
        <f t="shared" si="107"/>
        <v>OK</v>
      </c>
      <c r="Z862" s="240" t="str">
        <f t="shared" si="108"/>
        <v>OK</v>
      </c>
      <c r="AA862" s="240" t="str" cm="1">
        <f t="array" ref="AA862">IF(OR(AND(J862="Not accepted",N862:O862&lt;&gt;"",$S862=""),AND(J862="Accepted",S862="")),"ERROR","OK")</f>
        <v>OK</v>
      </c>
      <c r="AB862" s="240" t="str">
        <f t="shared" si="109"/>
        <v>OK</v>
      </c>
      <c r="AC862" s="240" t="str" cm="1">
        <f t="array" ref="AC862">IF(AND(F862:H862&lt;&gt;"",I862=""),"ERROR","OK")</f>
        <v>OK</v>
      </c>
      <c r="AD862" s="240" t="str">
        <f t="shared" si="110"/>
        <v>OK</v>
      </c>
      <c r="AE862" s="240" t="str">
        <f t="shared" si="111"/>
        <v>OK</v>
      </c>
      <c r="AF862" s="240" t="str" cm="1">
        <f t="array" aca="1" ref="AF862" ca="1" xml:space="preserve">
IF(AND($G862&lt;&gt;"",$F862=""),"ERROR",
IF(OR($F862:$G862="",AND($G862="",$F862&lt;&gt;"")),"OK",
IF(COUNTIF(INDIRECT(IFERROR(LEFT($F862,FIND(" ",$F862)-1),$F862)), $G862)&gt;0, "OK", "ERROR")))</f>
        <v>OK</v>
      </c>
    </row>
    <row r="863" spans="1:32" s="240" customFormat="1">
      <c r="A863" s="48"/>
      <c r="B863" s="31"/>
      <c r="C863" s="48"/>
      <c r="D863" s="47"/>
      <c r="E863" s="47"/>
      <c r="F863" s="31"/>
      <c r="G863" s="31"/>
      <c r="H863" s="31"/>
      <c r="I863" s="47"/>
      <c r="J863" s="31"/>
      <c r="K863" s="47"/>
      <c r="L863" s="47"/>
      <c r="M863" s="47"/>
      <c r="N863" s="31"/>
      <c r="O863" s="47"/>
      <c r="P863" s="31"/>
      <c r="Q863" s="31"/>
      <c r="R863" s="31"/>
      <c r="S863" s="31"/>
      <c r="T863" s="270">
        <f t="shared" si="104"/>
        <v>0</v>
      </c>
      <c r="U863" s="270">
        <f t="shared" si="105"/>
        <v>0</v>
      </c>
      <c r="V863" s="31"/>
      <c r="X863" s="240" t="str">
        <f t="shared" si="106"/>
        <v>OK</v>
      </c>
      <c r="Y863" s="240" t="str">
        <f t="shared" si="107"/>
        <v>OK</v>
      </c>
      <c r="Z863" s="240" t="str">
        <f t="shared" si="108"/>
        <v>OK</v>
      </c>
      <c r="AA863" s="240" t="str" cm="1">
        <f t="array" ref="AA863">IF(OR(AND(J863="Not accepted",N863:O863&lt;&gt;"",$S863=""),AND(J863="Accepted",S863="")),"ERROR","OK")</f>
        <v>OK</v>
      </c>
      <c r="AB863" s="240" t="str">
        <f t="shared" si="109"/>
        <v>OK</v>
      </c>
      <c r="AC863" s="240" t="str" cm="1">
        <f t="array" ref="AC863">IF(AND(F863:H863&lt;&gt;"",I863=""),"ERROR","OK")</f>
        <v>OK</v>
      </c>
      <c r="AD863" s="240" t="str">
        <f t="shared" si="110"/>
        <v>OK</v>
      </c>
      <c r="AE863" s="240" t="str">
        <f t="shared" si="111"/>
        <v>OK</v>
      </c>
      <c r="AF863" s="240" t="str" cm="1">
        <f t="array" aca="1" ref="AF863" ca="1" xml:space="preserve">
IF(AND($G863&lt;&gt;"",$F863=""),"ERROR",
IF(OR($F863:$G863="",AND($G863="",$F863&lt;&gt;"")),"OK",
IF(COUNTIF(INDIRECT(IFERROR(LEFT($F863,FIND(" ",$F863)-1),$F863)), $G863)&gt;0, "OK", "ERROR")))</f>
        <v>OK</v>
      </c>
    </row>
    <row r="864" spans="1:32" s="240" customFormat="1">
      <c r="A864" s="48"/>
      <c r="B864" s="31"/>
      <c r="C864" s="48"/>
      <c r="D864" s="47"/>
      <c r="E864" s="47"/>
      <c r="F864" s="31"/>
      <c r="G864" s="31"/>
      <c r="H864" s="31"/>
      <c r="I864" s="47"/>
      <c r="J864" s="31"/>
      <c r="K864" s="47"/>
      <c r="L864" s="47"/>
      <c r="M864" s="47"/>
      <c r="N864" s="31"/>
      <c r="O864" s="47"/>
      <c r="P864" s="31"/>
      <c r="Q864" s="31"/>
      <c r="R864" s="31"/>
      <c r="S864" s="31"/>
      <c r="T864" s="270">
        <f t="shared" si="104"/>
        <v>0</v>
      </c>
      <c r="U864" s="270">
        <f t="shared" si="105"/>
        <v>0</v>
      </c>
      <c r="V864" s="31"/>
      <c r="X864" s="240" t="str">
        <f t="shared" si="106"/>
        <v>OK</v>
      </c>
      <c r="Y864" s="240" t="str">
        <f t="shared" si="107"/>
        <v>OK</v>
      </c>
      <c r="Z864" s="240" t="str">
        <f t="shared" si="108"/>
        <v>OK</v>
      </c>
      <c r="AA864" s="240" t="str" cm="1">
        <f t="array" ref="AA864">IF(OR(AND(J864="Not accepted",N864:O864&lt;&gt;"",$S864=""),AND(J864="Accepted",S864="")),"ERROR","OK")</f>
        <v>OK</v>
      </c>
      <c r="AB864" s="240" t="str">
        <f t="shared" si="109"/>
        <v>OK</v>
      </c>
      <c r="AC864" s="240" t="str" cm="1">
        <f t="array" ref="AC864">IF(AND(F864:H864&lt;&gt;"",I864=""),"ERROR","OK")</f>
        <v>OK</v>
      </c>
      <c r="AD864" s="240" t="str">
        <f t="shared" si="110"/>
        <v>OK</v>
      </c>
      <c r="AE864" s="240" t="str">
        <f t="shared" si="111"/>
        <v>OK</v>
      </c>
      <c r="AF864" s="240" t="str" cm="1">
        <f t="array" aca="1" ref="AF864" ca="1" xml:space="preserve">
IF(AND($G864&lt;&gt;"",$F864=""),"ERROR",
IF(OR($F864:$G864="",AND($G864="",$F864&lt;&gt;"")),"OK",
IF(COUNTIF(INDIRECT(IFERROR(LEFT($F864,FIND(" ",$F864)-1),$F864)), $G864)&gt;0, "OK", "ERROR")))</f>
        <v>OK</v>
      </c>
    </row>
    <row r="865" spans="1:32" s="240" customFormat="1">
      <c r="A865" s="48"/>
      <c r="B865" s="31"/>
      <c r="C865" s="48"/>
      <c r="D865" s="47"/>
      <c r="E865" s="47"/>
      <c r="F865" s="31"/>
      <c r="G865" s="31"/>
      <c r="H865" s="31"/>
      <c r="I865" s="47"/>
      <c r="J865" s="31"/>
      <c r="K865" s="47"/>
      <c r="L865" s="47"/>
      <c r="M865" s="47"/>
      <c r="N865" s="31"/>
      <c r="O865" s="47"/>
      <c r="P865" s="31"/>
      <c r="Q865" s="31"/>
      <c r="R865" s="31"/>
      <c r="S865" s="31"/>
      <c r="T865" s="270">
        <f t="shared" si="104"/>
        <v>0</v>
      </c>
      <c r="U865" s="270">
        <f t="shared" si="105"/>
        <v>0</v>
      </c>
      <c r="V865" s="31"/>
      <c r="X865" s="240" t="str">
        <f t="shared" si="106"/>
        <v>OK</v>
      </c>
      <c r="Y865" s="240" t="str">
        <f t="shared" si="107"/>
        <v>OK</v>
      </c>
      <c r="Z865" s="240" t="str">
        <f t="shared" si="108"/>
        <v>OK</v>
      </c>
      <c r="AA865" s="240" t="str" cm="1">
        <f t="array" ref="AA865">IF(OR(AND(J865="Not accepted",N865:O865&lt;&gt;"",$S865=""),AND(J865="Accepted",S865="")),"ERROR","OK")</f>
        <v>OK</v>
      </c>
      <c r="AB865" s="240" t="str">
        <f t="shared" si="109"/>
        <v>OK</v>
      </c>
      <c r="AC865" s="240" t="str" cm="1">
        <f t="array" ref="AC865">IF(AND(F865:H865&lt;&gt;"",I865=""),"ERROR","OK")</f>
        <v>OK</v>
      </c>
      <c r="AD865" s="240" t="str">
        <f t="shared" si="110"/>
        <v>OK</v>
      </c>
      <c r="AE865" s="240" t="str">
        <f t="shared" si="111"/>
        <v>OK</v>
      </c>
      <c r="AF865" s="240" t="str" cm="1">
        <f t="array" aca="1" ref="AF865" ca="1" xml:space="preserve">
IF(AND($G865&lt;&gt;"",$F865=""),"ERROR",
IF(OR($F865:$G865="",AND($G865="",$F865&lt;&gt;"")),"OK",
IF(COUNTIF(INDIRECT(IFERROR(LEFT($F865,FIND(" ",$F865)-1),$F865)), $G865)&gt;0, "OK", "ERROR")))</f>
        <v>OK</v>
      </c>
    </row>
    <row r="866" spans="1:32" s="240" customFormat="1">
      <c r="A866" s="48"/>
      <c r="B866" s="31"/>
      <c r="C866" s="48"/>
      <c r="D866" s="47"/>
      <c r="E866" s="47"/>
      <c r="F866" s="31"/>
      <c r="G866" s="31"/>
      <c r="H866" s="31"/>
      <c r="I866" s="47"/>
      <c r="J866" s="31"/>
      <c r="K866" s="47"/>
      <c r="L866" s="47"/>
      <c r="M866" s="47"/>
      <c r="N866" s="31"/>
      <c r="O866" s="47"/>
      <c r="P866" s="31"/>
      <c r="Q866" s="31"/>
      <c r="R866" s="31"/>
      <c r="S866" s="31"/>
      <c r="T866" s="270">
        <f t="shared" si="104"/>
        <v>0</v>
      </c>
      <c r="U866" s="270">
        <f t="shared" si="105"/>
        <v>0</v>
      </c>
      <c r="V866" s="31"/>
      <c r="X866" s="240" t="str">
        <f t="shared" si="106"/>
        <v>OK</v>
      </c>
      <c r="Y866" s="240" t="str">
        <f t="shared" si="107"/>
        <v>OK</v>
      </c>
      <c r="Z866" s="240" t="str">
        <f t="shared" si="108"/>
        <v>OK</v>
      </c>
      <c r="AA866" s="240" t="str" cm="1">
        <f t="array" ref="AA866">IF(OR(AND(J866="Not accepted",N866:O866&lt;&gt;"",$S866=""),AND(J866="Accepted",S866="")),"ERROR","OK")</f>
        <v>OK</v>
      </c>
      <c r="AB866" s="240" t="str">
        <f t="shared" si="109"/>
        <v>OK</v>
      </c>
      <c r="AC866" s="240" t="str" cm="1">
        <f t="array" ref="AC866">IF(AND(F866:H866&lt;&gt;"",I866=""),"ERROR","OK")</f>
        <v>OK</v>
      </c>
      <c r="AD866" s="240" t="str">
        <f t="shared" si="110"/>
        <v>OK</v>
      </c>
      <c r="AE866" s="240" t="str">
        <f t="shared" si="111"/>
        <v>OK</v>
      </c>
      <c r="AF866" s="240" t="str" cm="1">
        <f t="array" aca="1" ref="AF866" ca="1" xml:space="preserve">
IF(AND($G866&lt;&gt;"",$F866=""),"ERROR",
IF(OR($F866:$G866="",AND($G866="",$F866&lt;&gt;"")),"OK",
IF(COUNTIF(INDIRECT(IFERROR(LEFT($F866,FIND(" ",$F866)-1),$F866)), $G866)&gt;0, "OK", "ERROR")))</f>
        <v>OK</v>
      </c>
    </row>
    <row r="867" spans="1:32" s="240" customFormat="1">
      <c r="A867" s="48"/>
      <c r="B867" s="31"/>
      <c r="C867" s="48"/>
      <c r="D867" s="47"/>
      <c r="E867" s="47"/>
      <c r="F867" s="31"/>
      <c r="G867" s="31"/>
      <c r="H867" s="31"/>
      <c r="I867" s="47"/>
      <c r="J867" s="31"/>
      <c r="K867" s="47"/>
      <c r="L867" s="47"/>
      <c r="M867" s="47"/>
      <c r="N867" s="31"/>
      <c r="O867" s="47"/>
      <c r="P867" s="31"/>
      <c r="Q867" s="31"/>
      <c r="R867" s="31"/>
      <c r="S867" s="31"/>
      <c r="T867" s="270">
        <f t="shared" si="104"/>
        <v>0</v>
      </c>
      <c r="U867" s="270">
        <f t="shared" si="105"/>
        <v>0</v>
      </c>
      <c r="V867" s="31"/>
      <c r="X867" s="240" t="str">
        <f t="shared" si="106"/>
        <v>OK</v>
      </c>
      <c r="Y867" s="240" t="str">
        <f t="shared" si="107"/>
        <v>OK</v>
      </c>
      <c r="Z867" s="240" t="str">
        <f t="shared" si="108"/>
        <v>OK</v>
      </c>
      <c r="AA867" s="240" t="str" cm="1">
        <f t="array" ref="AA867">IF(OR(AND(J867="Not accepted",N867:O867&lt;&gt;"",$S867=""),AND(J867="Accepted",S867="")),"ERROR","OK")</f>
        <v>OK</v>
      </c>
      <c r="AB867" s="240" t="str">
        <f t="shared" si="109"/>
        <v>OK</v>
      </c>
      <c r="AC867" s="240" t="str" cm="1">
        <f t="array" ref="AC867">IF(AND(F867:H867&lt;&gt;"",I867=""),"ERROR","OK")</f>
        <v>OK</v>
      </c>
      <c r="AD867" s="240" t="str">
        <f t="shared" si="110"/>
        <v>OK</v>
      </c>
      <c r="AE867" s="240" t="str">
        <f t="shared" si="111"/>
        <v>OK</v>
      </c>
      <c r="AF867" s="240" t="str" cm="1">
        <f t="array" aca="1" ref="AF867" ca="1" xml:space="preserve">
IF(AND($G867&lt;&gt;"",$F867=""),"ERROR",
IF(OR($F867:$G867="",AND($G867="",$F867&lt;&gt;"")),"OK",
IF(COUNTIF(INDIRECT(IFERROR(LEFT($F867,FIND(" ",$F867)-1),$F867)), $G867)&gt;0, "OK", "ERROR")))</f>
        <v>OK</v>
      </c>
    </row>
    <row r="868" spans="1:32" s="240" customFormat="1">
      <c r="A868" s="48"/>
      <c r="B868" s="31"/>
      <c r="C868" s="48"/>
      <c r="D868" s="47"/>
      <c r="E868" s="47"/>
      <c r="F868" s="31"/>
      <c r="G868" s="31"/>
      <c r="H868" s="31"/>
      <c r="I868" s="47"/>
      <c r="J868" s="31"/>
      <c r="K868" s="47"/>
      <c r="L868" s="47"/>
      <c r="M868" s="47"/>
      <c r="N868" s="31"/>
      <c r="O868" s="47"/>
      <c r="P868" s="31"/>
      <c r="Q868" s="31"/>
      <c r="R868" s="31"/>
      <c r="S868" s="31"/>
      <c r="T868" s="270">
        <f t="shared" si="104"/>
        <v>0</v>
      </c>
      <c r="U868" s="270">
        <f t="shared" si="105"/>
        <v>0</v>
      </c>
      <c r="V868" s="31"/>
      <c r="X868" s="240" t="str">
        <f t="shared" si="106"/>
        <v>OK</v>
      </c>
      <c r="Y868" s="240" t="str">
        <f t="shared" si="107"/>
        <v>OK</v>
      </c>
      <c r="Z868" s="240" t="str">
        <f t="shared" si="108"/>
        <v>OK</v>
      </c>
      <c r="AA868" s="240" t="str" cm="1">
        <f t="array" ref="AA868">IF(OR(AND(J868="Not accepted",N868:O868&lt;&gt;"",$S868=""),AND(J868="Accepted",S868="")),"ERROR","OK")</f>
        <v>OK</v>
      </c>
      <c r="AB868" s="240" t="str">
        <f t="shared" si="109"/>
        <v>OK</v>
      </c>
      <c r="AC868" s="240" t="str" cm="1">
        <f t="array" ref="AC868">IF(AND(F868:H868&lt;&gt;"",I868=""),"ERROR","OK")</f>
        <v>OK</v>
      </c>
      <c r="AD868" s="240" t="str">
        <f t="shared" si="110"/>
        <v>OK</v>
      </c>
      <c r="AE868" s="240" t="str">
        <f t="shared" si="111"/>
        <v>OK</v>
      </c>
      <c r="AF868" s="240" t="str" cm="1">
        <f t="array" aca="1" ref="AF868" ca="1" xml:space="preserve">
IF(AND($G868&lt;&gt;"",$F868=""),"ERROR",
IF(OR($F868:$G868="",AND($G868="",$F868&lt;&gt;"")),"OK",
IF(COUNTIF(INDIRECT(IFERROR(LEFT($F868,FIND(" ",$F868)-1),$F868)), $G868)&gt;0, "OK", "ERROR")))</f>
        <v>OK</v>
      </c>
    </row>
    <row r="869" spans="1:32" s="240" customFormat="1">
      <c r="A869" s="48"/>
      <c r="B869" s="31"/>
      <c r="C869" s="48"/>
      <c r="D869" s="47"/>
      <c r="E869" s="47"/>
      <c r="F869" s="31"/>
      <c r="G869" s="31"/>
      <c r="H869" s="31"/>
      <c r="I869" s="47"/>
      <c r="J869" s="31"/>
      <c r="K869" s="47"/>
      <c r="L869" s="47"/>
      <c r="M869" s="47"/>
      <c r="N869" s="31"/>
      <c r="O869" s="47"/>
      <c r="P869" s="31"/>
      <c r="Q869" s="31"/>
      <c r="R869" s="31"/>
      <c r="S869" s="31"/>
      <c r="T869" s="270">
        <f t="shared" si="104"/>
        <v>0</v>
      </c>
      <c r="U869" s="270">
        <f t="shared" si="105"/>
        <v>0</v>
      </c>
      <c r="V869" s="31"/>
      <c r="X869" s="240" t="str">
        <f t="shared" si="106"/>
        <v>OK</v>
      </c>
      <c r="Y869" s="240" t="str">
        <f t="shared" si="107"/>
        <v>OK</v>
      </c>
      <c r="Z869" s="240" t="str">
        <f t="shared" si="108"/>
        <v>OK</v>
      </c>
      <c r="AA869" s="240" t="str" cm="1">
        <f t="array" ref="AA869">IF(OR(AND(J869="Not accepted",N869:O869&lt;&gt;"",$S869=""),AND(J869="Accepted",S869="")),"ERROR","OK")</f>
        <v>OK</v>
      </c>
      <c r="AB869" s="240" t="str">
        <f t="shared" si="109"/>
        <v>OK</v>
      </c>
      <c r="AC869" s="240" t="str" cm="1">
        <f t="array" ref="AC869">IF(AND(F869:H869&lt;&gt;"",I869=""),"ERROR","OK")</f>
        <v>OK</v>
      </c>
      <c r="AD869" s="240" t="str">
        <f t="shared" si="110"/>
        <v>OK</v>
      </c>
      <c r="AE869" s="240" t="str">
        <f t="shared" si="111"/>
        <v>OK</v>
      </c>
      <c r="AF869" s="240" t="str" cm="1">
        <f t="array" aca="1" ref="AF869" ca="1" xml:space="preserve">
IF(AND($G869&lt;&gt;"",$F869=""),"ERROR",
IF(OR($F869:$G869="",AND($G869="",$F869&lt;&gt;"")),"OK",
IF(COUNTIF(INDIRECT(IFERROR(LEFT($F869,FIND(" ",$F869)-1),$F869)), $G869)&gt;0, "OK", "ERROR")))</f>
        <v>OK</v>
      </c>
    </row>
    <row r="870" spans="1:32" s="240" customFormat="1">
      <c r="A870" s="48"/>
      <c r="B870" s="31"/>
      <c r="C870" s="48"/>
      <c r="D870" s="47"/>
      <c r="E870" s="47"/>
      <c r="F870" s="31"/>
      <c r="G870" s="31"/>
      <c r="H870" s="31"/>
      <c r="I870" s="47"/>
      <c r="J870" s="31"/>
      <c r="K870" s="47"/>
      <c r="L870" s="47"/>
      <c r="M870" s="47"/>
      <c r="N870" s="31"/>
      <c r="O870" s="47"/>
      <c r="P870" s="31"/>
      <c r="Q870" s="31"/>
      <c r="R870" s="31"/>
      <c r="S870" s="31"/>
      <c r="T870" s="270">
        <f t="shared" si="104"/>
        <v>0</v>
      </c>
      <c r="U870" s="270">
        <f t="shared" si="105"/>
        <v>0</v>
      </c>
      <c r="V870" s="31"/>
      <c r="X870" s="240" t="str">
        <f t="shared" si="106"/>
        <v>OK</v>
      </c>
      <c r="Y870" s="240" t="str">
        <f t="shared" si="107"/>
        <v>OK</v>
      </c>
      <c r="Z870" s="240" t="str">
        <f t="shared" si="108"/>
        <v>OK</v>
      </c>
      <c r="AA870" s="240" t="str" cm="1">
        <f t="array" ref="AA870">IF(OR(AND(J870="Not accepted",N870:O870&lt;&gt;"",$S870=""),AND(J870="Accepted",S870="")),"ERROR","OK")</f>
        <v>OK</v>
      </c>
      <c r="AB870" s="240" t="str">
        <f t="shared" si="109"/>
        <v>OK</v>
      </c>
      <c r="AC870" s="240" t="str" cm="1">
        <f t="array" ref="AC870">IF(AND(F870:H870&lt;&gt;"",I870=""),"ERROR","OK")</f>
        <v>OK</v>
      </c>
      <c r="AD870" s="240" t="str">
        <f t="shared" si="110"/>
        <v>OK</v>
      </c>
      <c r="AE870" s="240" t="str">
        <f t="shared" si="111"/>
        <v>OK</v>
      </c>
      <c r="AF870" s="240" t="str" cm="1">
        <f t="array" aca="1" ref="AF870" ca="1" xml:space="preserve">
IF(AND($G870&lt;&gt;"",$F870=""),"ERROR",
IF(OR($F870:$G870="",AND($G870="",$F870&lt;&gt;"")),"OK",
IF(COUNTIF(INDIRECT(IFERROR(LEFT($F870,FIND(" ",$F870)-1),$F870)), $G870)&gt;0, "OK", "ERROR")))</f>
        <v>OK</v>
      </c>
    </row>
    <row r="871" spans="1:32" s="240" customFormat="1">
      <c r="A871" s="48"/>
      <c r="B871" s="31"/>
      <c r="C871" s="48"/>
      <c r="D871" s="47"/>
      <c r="E871" s="47"/>
      <c r="F871" s="31"/>
      <c r="G871" s="31"/>
      <c r="H871" s="31"/>
      <c r="I871" s="47"/>
      <c r="J871" s="31"/>
      <c r="K871" s="47"/>
      <c r="L871" s="47"/>
      <c r="M871" s="47"/>
      <c r="N871" s="31"/>
      <c r="O871" s="47"/>
      <c r="P871" s="31"/>
      <c r="Q871" s="31"/>
      <c r="R871" s="31"/>
      <c r="S871" s="31"/>
      <c r="T871" s="270">
        <f t="shared" si="104"/>
        <v>0</v>
      </c>
      <c r="U871" s="270">
        <f t="shared" si="105"/>
        <v>0</v>
      </c>
      <c r="V871" s="31"/>
      <c r="X871" s="240" t="str">
        <f t="shared" si="106"/>
        <v>OK</v>
      </c>
      <c r="Y871" s="240" t="str">
        <f t="shared" si="107"/>
        <v>OK</v>
      </c>
      <c r="Z871" s="240" t="str">
        <f t="shared" si="108"/>
        <v>OK</v>
      </c>
      <c r="AA871" s="240" t="str" cm="1">
        <f t="array" ref="AA871">IF(OR(AND(J871="Not accepted",N871:O871&lt;&gt;"",$S871=""),AND(J871="Accepted",S871="")),"ERROR","OK")</f>
        <v>OK</v>
      </c>
      <c r="AB871" s="240" t="str">
        <f t="shared" si="109"/>
        <v>OK</v>
      </c>
      <c r="AC871" s="240" t="str" cm="1">
        <f t="array" ref="AC871">IF(AND(F871:H871&lt;&gt;"",I871=""),"ERROR","OK")</f>
        <v>OK</v>
      </c>
      <c r="AD871" s="240" t="str">
        <f t="shared" si="110"/>
        <v>OK</v>
      </c>
      <c r="AE871" s="240" t="str">
        <f t="shared" si="111"/>
        <v>OK</v>
      </c>
      <c r="AF871" s="240" t="str" cm="1">
        <f t="array" aca="1" ref="AF871" ca="1" xml:space="preserve">
IF(AND($G871&lt;&gt;"",$F871=""),"ERROR",
IF(OR($F871:$G871="",AND($G871="",$F871&lt;&gt;"")),"OK",
IF(COUNTIF(INDIRECT(IFERROR(LEFT($F871,FIND(" ",$F871)-1),$F871)), $G871)&gt;0, "OK", "ERROR")))</f>
        <v>OK</v>
      </c>
    </row>
    <row r="872" spans="1:32" s="240" customFormat="1">
      <c r="A872" s="48"/>
      <c r="B872" s="31"/>
      <c r="C872" s="48"/>
      <c r="D872" s="47"/>
      <c r="E872" s="47"/>
      <c r="F872" s="31"/>
      <c r="G872" s="31"/>
      <c r="H872" s="31"/>
      <c r="I872" s="47"/>
      <c r="J872" s="31"/>
      <c r="K872" s="47"/>
      <c r="L872" s="47"/>
      <c r="M872" s="47"/>
      <c r="N872" s="31"/>
      <c r="O872" s="47"/>
      <c r="P872" s="31"/>
      <c r="Q872" s="31"/>
      <c r="R872" s="31"/>
      <c r="S872" s="31"/>
      <c r="T872" s="270">
        <f t="shared" si="104"/>
        <v>0</v>
      </c>
      <c r="U872" s="270">
        <f t="shared" si="105"/>
        <v>0</v>
      </c>
      <c r="V872" s="31"/>
      <c r="X872" s="240" t="str">
        <f t="shared" si="106"/>
        <v>OK</v>
      </c>
      <c r="Y872" s="240" t="str">
        <f t="shared" si="107"/>
        <v>OK</v>
      </c>
      <c r="Z872" s="240" t="str">
        <f t="shared" si="108"/>
        <v>OK</v>
      </c>
      <c r="AA872" s="240" t="str" cm="1">
        <f t="array" ref="AA872">IF(OR(AND(J872="Not accepted",N872:O872&lt;&gt;"",$S872=""),AND(J872="Accepted",S872="")),"ERROR","OK")</f>
        <v>OK</v>
      </c>
      <c r="AB872" s="240" t="str">
        <f t="shared" si="109"/>
        <v>OK</v>
      </c>
      <c r="AC872" s="240" t="str" cm="1">
        <f t="array" ref="AC872">IF(AND(F872:H872&lt;&gt;"",I872=""),"ERROR","OK")</f>
        <v>OK</v>
      </c>
      <c r="AD872" s="240" t="str">
        <f t="shared" si="110"/>
        <v>OK</v>
      </c>
      <c r="AE872" s="240" t="str">
        <f t="shared" si="111"/>
        <v>OK</v>
      </c>
      <c r="AF872" s="240" t="str" cm="1">
        <f t="array" aca="1" ref="AF872" ca="1" xml:space="preserve">
IF(AND($G872&lt;&gt;"",$F872=""),"ERROR",
IF(OR($F872:$G872="",AND($G872="",$F872&lt;&gt;"")),"OK",
IF(COUNTIF(INDIRECT(IFERROR(LEFT($F872,FIND(" ",$F872)-1),$F872)), $G872)&gt;0, "OK", "ERROR")))</f>
        <v>OK</v>
      </c>
    </row>
    <row r="873" spans="1:32" s="240" customFormat="1">
      <c r="A873" s="48"/>
      <c r="B873" s="31"/>
      <c r="C873" s="48"/>
      <c r="D873" s="47"/>
      <c r="E873" s="47"/>
      <c r="F873" s="31"/>
      <c r="G873" s="31"/>
      <c r="H873" s="31"/>
      <c r="I873" s="47"/>
      <c r="J873" s="31"/>
      <c r="K873" s="47"/>
      <c r="L873" s="47"/>
      <c r="M873" s="47"/>
      <c r="N873" s="31"/>
      <c r="O873" s="47"/>
      <c r="P873" s="31"/>
      <c r="Q873" s="31"/>
      <c r="R873" s="31"/>
      <c r="S873" s="31"/>
      <c r="T873" s="270">
        <f t="shared" si="104"/>
        <v>0</v>
      </c>
      <c r="U873" s="270">
        <f t="shared" si="105"/>
        <v>0</v>
      </c>
      <c r="V873" s="31"/>
      <c r="X873" s="240" t="str">
        <f t="shared" si="106"/>
        <v>OK</v>
      </c>
      <c r="Y873" s="240" t="str">
        <f t="shared" si="107"/>
        <v>OK</v>
      </c>
      <c r="Z873" s="240" t="str">
        <f t="shared" si="108"/>
        <v>OK</v>
      </c>
      <c r="AA873" s="240" t="str" cm="1">
        <f t="array" ref="AA873">IF(OR(AND(J873="Not accepted",N873:O873&lt;&gt;"",$S873=""),AND(J873="Accepted",S873="")),"ERROR","OK")</f>
        <v>OK</v>
      </c>
      <c r="AB873" s="240" t="str">
        <f t="shared" si="109"/>
        <v>OK</v>
      </c>
      <c r="AC873" s="240" t="str" cm="1">
        <f t="array" ref="AC873">IF(AND(F873:H873&lt;&gt;"",I873=""),"ERROR","OK")</f>
        <v>OK</v>
      </c>
      <c r="AD873" s="240" t="str">
        <f t="shared" si="110"/>
        <v>OK</v>
      </c>
      <c r="AE873" s="240" t="str">
        <f t="shared" si="111"/>
        <v>OK</v>
      </c>
      <c r="AF873" s="240" t="str" cm="1">
        <f t="array" aca="1" ref="AF873" ca="1" xml:space="preserve">
IF(AND($G873&lt;&gt;"",$F873=""),"ERROR",
IF(OR($F873:$G873="",AND($G873="",$F873&lt;&gt;"")),"OK",
IF(COUNTIF(INDIRECT(IFERROR(LEFT($F873,FIND(" ",$F873)-1),$F873)), $G873)&gt;0, "OK", "ERROR")))</f>
        <v>OK</v>
      </c>
    </row>
    <row r="874" spans="1:32" s="240" customFormat="1">
      <c r="A874" s="48"/>
      <c r="B874" s="31"/>
      <c r="C874" s="48"/>
      <c r="D874" s="47"/>
      <c r="E874" s="47"/>
      <c r="F874" s="31"/>
      <c r="G874" s="31"/>
      <c r="H874" s="31"/>
      <c r="I874" s="47"/>
      <c r="J874" s="31"/>
      <c r="K874" s="47"/>
      <c r="L874" s="47"/>
      <c r="M874" s="47"/>
      <c r="N874" s="31"/>
      <c r="O874" s="47"/>
      <c r="P874" s="31"/>
      <c r="Q874" s="31"/>
      <c r="R874" s="31"/>
      <c r="S874" s="31"/>
      <c r="T874" s="270">
        <f t="shared" si="104"/>
        <v>0</v>
      </c>
      <c r="U874" s="270">
        <f t="shared" si="105"/>
        <v>0</v>
      </c>
      <c r="V874" s="31"/>
      <c r="X874" s="240" t="str">
        <f t="shared" si="106"/>
        <v>OK</v>
      </c>
      <c r="Y874" s="240" t="str">
        <f t="shared" si="107"/>
        <v>OK</v>
      </c>
      <c r="Z874" s="240" t="str">
        <f t="shared" si="108"/>
        <v>OK</v>
      </c>
      <c r="AA874" s="240" t="str" cm="1">
        <f t="array" ref="AA874">IF(OR(AND(J874="Not accepted",N874:O874&lt;&gt;"",$S874=""),AND(J874="Accepted",S874="")),"ERROR","OK")</f>
        <v>OK</v>
      </c>
      <c r="AB874" s="240" t="str">
        <f t="shared" si="109"/>
        <v>OK</v>
      </c>
      <c r="AC874" s="240" t="str" cm="1">
        <f t="array" ref="AC874">IF(AND(F874:H874&lt;&gt;"",I874=""),"ERROR","OK")</f>
        <v>OK</v>
      </c>
      <c r="AD874" s="240" t="str">
        <f t="shared" si="110"/>
        <v>OK</v>
      </c>
      <c r="AE874" s="240" t="str">
        <f t="shared" si="111"/>
        <v>OK</v>
      </c>
      <c r="AF874" s="240" t="str" cm="1">
        <f t="array" aca="1" ref="AF874" ca="1" xml:space="preserve">
IF(AND($G874&lt;&gt;"",$F874=""),"ERROR",
IF(OR($F874:$G874="",AND($G874="",$F874&lt;&gt;"")),"OK",
IF(COUNTIF(INDIRECT(IFERROR(LEFT($F874,FIND(" ",$F874)-1),$F874)), $G874)&gt;0, "OK", "ERROR")))</f>
        <v>OK</v>
      </c>
    </row>
    <row r="875" spans="1:32" s="240" customFormat="1">
      <c r="A875" s="48"/>
      <c r="B875" s="31"/>
      <c r="C875" s="48"/>
      <c r="D875" s="47"/>
      <c r="E875" s="47"/>
      <c r="F875" s="31"/>
      <c r="G875" s="31"/>
      <c r="H875" s="31"/>
      <c r="I875" s="47"/>
      <c r="J875" s="31"/>
      <c r="K875" s="47"/>
      <c r="L875" s="47"/>
      <c r="M875" s="47"/>
      <c r="N875" s="31"/>
      <c r="O875" s="47"/>
      <c r="P875" s="31"/>
      <c r="Q875" s="31"/>
      <c r="R875" s="31"/>
      <c r="S875" s="31"/>
      <c r="T875" s="270">
        <f t="shared" si="104"/>
        <v>0</v>
      </c>
      <c r="U875" s="270">
        <f t="shared" si="105"/>
        <v>0</v>
      </c>
      <c r="V875" s="31"/>
      <c r="X875" s="240" t="str">
        <f t="shared" si="106"/>
        <v>OK</v>
      </c>
      <c r="Y875" s="240" t="str">
        <f t="shared" si="107"/>
        <v>OK</v>
      </c>
      <c r="Z875" s="240" t="str">
        <f t="shared" si="108"/>
        <v>OK</v>
      </c>
      <c r="AA875" s="240" t="str" cm="1">
        <f t="array" ref="AA875">IF(OR(AND(J875="Not accepted",N875:O875&lt;&gt;"",$S875=""),AND(J875="Accepted",S875="")),"ERROR","OK")</f>
        <v>OK</v>
      </c>
      <c r="AB875" s="240" t="str">
        <f t="shared" si="109"/>
        <v>OK</v>
      </c>
      <c r="AC875" s="240" t="str" cm="1">
        <f t="array" ref="AC875">IF(AND(F875:H875&lt;&gt;"",I875=""),"ERROR","OK")</f>
        <v>OK</v>
      </c>
      <c r="AD875" s="240" t="str">
        <f t="shared" si="110"/>
        <v>OK</v>
      </c>
      <c r="AE875" s="240" t="str">
        <f t="shared" si="111"/>
        <v>OK</v>
      </c>
      <c r="AF875" s="240" t="str" cm="1">
        <f t="array" aca="1" ref="AF875" ca="1" xml:space="preserve">
IF(AND($G875&lt;&gt;"",$F875=""),"ERROR",
IF(OR($F875:$G875="",AND($G875="",$F875&lt;&gt;"")),"OK",
IF(COUNTIF(INDIRECT(IFERROR(LEFT($F875,FIND(" ",$F875)-1),$F875)), $G875)&gt;0, "OK", "ERROR")))</f>
        <v>OK</v>
      </c>
    </row>
    <row r="876" spans="1:32" s="240" customFormat="1">
      <c r="A876" s="48"/>
      <c r="B876" s="31"/>
      <c r="C876" s="48"/>
      <c r="D876" s="47"/>
      <c r="E876" s="47"/>
      <c r="F876" s="31"/>
      <c r="G876" s="31"/>
      <c r="H876" s="31"/>
      <c r="I876" s="47"/>
      <c r="J876" s="31"/>
      <c r="K876" s="47"/>
      <c r="L876" s="47"/>
      <c r="M876" s="47"/>
      <c r="N876" s="31"/>
      <c r="O876" s="47"/>
      <c r="P876" s="31"/>
      <c r="Q876" s="31"/>
      <c r="R876" s="31"/>
      <c r="S876" s="31"/>
      <c r="T876" s="270">
        <f t="shared" si="104"/>
        <v>0</v>
      </c>
      <c r="U876" s="270">
        <f t="shared" si="105"/>
        <v>0</v>
      </c>
      <c r="V876" s="31"/>
      <c r="X876" s="240" t="str">
        <f t="shared" si="106"/>
        <v>OK</v>
      </c>
      <c r="Y876" s="240" t="str">
        <f t="shared" si="107"/>
        <v>OK</v>
      </c>
      <c r="Z876" s="240" t="str">
        <f t="shared" si="108"/>
        <v>OK</v>
      </c>
      <c r="AA876" s="240" t="str" cm="1">
        <f t="array" ref="AA876">IF(OR(AND(J876="Not accepted",N876:O876&lt;&gt;"",$S876=""),AND(J876="Accepted",S876="")),"ERROR","OK")</f>
        <v>OK</v>
      </c>
      <c r="AB876" s="240" t="str">
        <f t="shared" si="109"/>
        <v>OK</v>
      </c>
      <c r="AC876" s="240" t="str" cm="1">
        <f t="array" ref="AC876">IF(AND(F876:H876&lt;&gt;"",I876=""),"ERROR","OK")</f>
        <v>OK</v>
      </c>
      <c r="AD876" s="240" t="str">
        <f t="shared" si="110"/>
        <v>OK</v>
      </c>
      <c r="AE876" s="240" t="str">
        <f t="shared" si="111"/>
        <v>OK</v>
      </c>
      <c r="AF876" s="240" t="str" cm="1">
        <f t="array" aca="1" ref="AF876" ca="1" xml:space="preserve">
IF(AND($G876&lt;&gt;"",$F876=""),"ERROR",
IF(OR($F876:$G876="",AND($G876="",$F876&lt;&gt;"")),"OK",
IF(COUNTIF(INDIRECT(IFERROR(LEFT($F876,FIND(" ",$F876)-1),$F876)), $G876)&gt;0, "OK", "ERROR")))</f>
        <v>OK</v>
      </c>
    </row>
    <row r="877" spans="1:32" s="240" customFormat="1">
      <c r="A877" s="48"/>
      <c r="B877" s="31"/>
      <c r="C877" s="48"/>
      <c r="D877" s="47"/>
      <c r="E877" s="47"/>
      <c r="F877" s="31"/>
      <c r="G877" s="31"/>
      <c r="H877" s="31"/>
      <c r="I877" s="47"/>
      <c r="J877" s="31"/>
      <c r="K877" s="47"/>
      <c r="L877" s="47"/>
      <c r="M877" s="47"/>
      <c r="N877" s="31"/>
      <c r="O877" s="47"/>
      <c r="P877" s="31"/>
      <c r="Q877" s="31"/>
      <c r="R877" s="31"/>
      <c r="S877" s="31"/>
      <c r="T877" s="270">
        <f t="shared" si="104"/>
        <v>0</v>
      </c>
      <c r="U877" s="270">
        <f t="shared" si="105"/>
        <v>0</v>
      </c>
      <c r="V877" s="31"/>
      <c r="X877" s="240" t="str">
        <f t="shared" si="106"/>
        <v>OK</v>
      </c>
      <c r="Y877" s="240" t="str">
        <f t="shared" si="107"/>
        <v>OK</v>
      </c>
      <c r="Z877" s="240" t="str">
        <f t="shared" si="108"/>
        <v>OK</v>
      </c>
      <c r="AA877" s="240" t="str" cm="1">
        <f t="array" ref="AA877">IF(OR(AND(J877="Not accepted",N877:O877&lt;&gt;"",$S877=""),AND(J877="Accepted",S877="")),"ERROR","OK")</f>
        <v>OK</v>
      </c>
      <c r="AB877" s="240" t="str">
        <f t="shared" si="109"/>
        <v>OK</v>
      </c>
      <c r="AC877" s="240" t="str" cm="1">
        <f t="array" ref="AC877">IF(AND(F877:H877&lt;&gt;"",I877=""),"ERROR","OK")</f>
        <v>OK</v>
      </c>
      <c r="AD877" s="240" t="str">
        <f t="shared" si="110"/>
        <v>OK</v>
      </c>
      <c r="AE877" s="240" t="str">
        <f t="shared" si="111"/>
        <v>OK</v>
      </c>
      <c r="AF877" s="240" t="str" cm="1">
        <f t="array" aca="1" ref="AF877" ca="1" xml:space="preserve">
IF(AND($G877&lt;&gt;"",$F877=""),"ERROR",
IF(OR($F877:$G877="",AND($G877="",$F877&lt;&gt;"")),"OK",
IF(COUNTIF(INDIRECT(IFERROR(LEFT($F877,FIND(" ",$F877)-1),$F877)), $G877)&gt;0, "OK", "ERROR")))</f>
        <v>OK</v>
      </c>
    </row>
    <row r="878" spans="1:32" s="240" customFormat="1">
      <c r="A878" s="48"/>
      <c r="B878" s="31"/>
      <c r="C878" s="48"/>
      <c r="D878" s="47"/>
      <c r="E878" s="47"/>
      <c r="F878" s="31"/>
      <c r="G878" s="31"/>
      <c r="H878" s="31"/>
      <c r="I878" s="47"/>
      <c r="J878" s="31"/>
      <c r="K878" s="47"/>
      <c r="L878" s="47"/>
      <c r="M878" s="47"/>
      <c r="N878" s="31"/>
      <c r="O878" s="47"/>
      <c r="P878" s="31"/>
      <c r="Q878" s="31"/>
      <c r="R878" s="31"/>
      <c r="S878" s="31"/>
      <c r="T878" s="270">
        <f t="shared" si="104"/>
        <v>0</v>
      </c>
      <c r="U878" s="270">
        <f t="shared" si="105"/>
        <v>0</v>
      </c>
      <c r="V878" s="31"/>
      <c r="X878" s="240" t="str">
        <f t="shared" si="106"/>
        <v>OK</v>
      </c>
      <c r="Y878" s="240" t="str">
        <f t="shared" si="107"/>
        <v>OK</v>
      </c>
      <c r="Z878" s="240" t="str">
        <f t="shared" si="108"/>
        <v>OK</v>
      </c>
      <c r="AA878" s="240" t="str" cm="1">
        <f t="array" ref="AA878">IF(OR(AND(J878="Not accepted",N878:O878&lt;&gt;"",$S878=""),AND(J878="Accepted",S878="")),"ERROR","OK")</f>
        <v>OK</v>
      </c>
      <c r="AB878" s="240" t="str">
        <f t="shared" si="109"/>
        <v>OK</v>
      </c>
      <c r="AC878" s="240" t="str" cm="1">
        <f t="array" ref="AC878">IF(AND(F878:H878&lt;&gt;"",I878=""),"ERROR","OK")</f>
        <v>OK</v>
      </c>
      <c r="AD878" s="240" t="str">
        <f t="shared" si="110"/>
        <v>OK</v>
      </c>
      <c r="AE878" s="240" t="str">
        <f t="shared" si="111"/>
        <v>OK</v>
      </c>
      <c r="AF878" s="240" t="str" cm="1">
        <f t="array" aca="1" ref="AF878" ca="1" xml:space="preserve">
IF(AND($G878&lt;&gt;"",$F878=""),"ERROR",
IF(OR($F878:$G878="",AND($G878="",$F878&lt;&gt;"")),"OK",
IF(COUNTIF(INDIRECT(IFERROR(LEFT($F878,FIND(" ",$F878)-1),$F878)), $G878)&gt;0, "OK", "ERROR")))</f>
        <v>OK</v>
      </c>
    </row>
    <row r="879" spans="1:32" s="240" customFormat="1">
      <c r="A879" s="48"/>
      <c r="B879" s="31"/>
      <c r="C879" s="48"/>
      <c r="D879" s="47"/>
      <c r="E879" s="47"/>
      <c r="F879" s="31"/>
      <c r="G879" s="31"/>
      <c r="H879" s="31"/>
      <c r="I879" s="47"/>
      <c r="J879" s="31"/>
      <c r="K879" s="47"/>
      <c r="L879" s="47"/>
      <c r="M879" s="47"/>
      <c r="N879" s="31"/>
      <c r="O879" s="47"/>
      <c r="P879" s="31"/>
      <c r="Q879" s="31"/>
      <c r="R879" s="31"/>
      <c r="S879" s="31"/>
      <c r="T879" s="270">
        <f t="shared" si="104"/>
        <v>0</v>
      </c>
      <c r="U879" s="270">
        <f t="shared" si="105"/>
        <v>0</v>
      </c>
      <c r="V879" s="31"/>
      <c r="X879" s="240" t="str">
        <f t="shared" si="106"/>
        <v>OK</v>
      </c>
      <c r="Y879" s="240" t="str">
        <f t="shared" si="107"/>
        <v>OK</v>
      </c>
      <c r="Z879" s="240" t="str">
        <f t="shared" si="108"/>
        <v>OK</v>
      </c>
      <c r="AA879" s="240" t="str" cm="1">
        <f t="array" ref="AA879">IF(OR(AND(J879="Not accepted",N879:O879&lt;&gt;"",$S879=""),AND(J879="Accepted",S879="")),"ERROR","OK")</f>
        <v>OK</v>
      </c>
      <c r="AB879" s="240" t="str">
        <f t="shared" si="109"/>
        <v>OK</v>
      </c>
      <c r="AC879" s="240" t="str" cm="1">
        <f t="array" ref="AC879">IF(AND(F879:H879&lt;&gt;"",I879=""),"ERROR","OK")</f>
        <v>OK</v>
      </c>
      <c r="AD879" s="240" t="str">
        <f t="shared" si="110"/>
        <v>OK</v>
      </c>
      <c r="AE879" s="240" t="str">
        <f t="shared" si="111"/>
        <v>OK</v>
      </c>
      <c r="AF879" s="240" t="str" cm="1">
        <f t="array" aca="1" ref="AF879" ca="1" xml:space="preserve">
IF(AND($G879&lt;&gt;"",$F879=""),"ERROR",
IF(OR($F879:$G879="",AND($G879="",$F879&lt;&gt;"")),"OK",
IF(COUNTIF(INDIRECT(IFERROR(LEFT($F879,FIND(" ",$F879)-1),$F879)), $G879)&gt;0, "OK", "ERROR")))</f>
        <v>OK</v>
      </c>
    </row>
    <row r="880" spans="1:32" s="240" customFormat="1">
      <c r="A880" s="48"/>
      <c r="B880" s="31"/>
      <c r="C880" s="48"/>
      <c r="D880" s="47"/>
      <c r="E880" s="47"/>
      <c r="F880" s="31"/>
      <c r="G880" s="31"/>
      <c r="H880" s="31"/>
      <c r="I880" s="47"/>
      <c r="J880" s="31"/>
      <c r="K880" s="47"/>
      <c r="L880" s="47"/>
      <c r="M880" s="47"/>
      <c r="N880" s="31"/>
      <c r="O880" s="47"/>
      <c r="P880" s="31"/>
      <c r="Q880" s="31"/>
      <c r="R880" s="31"/>
      <c r="S880" s="31"/>
      <c r="T880" s="270">
        <f t="shared" si="104"/>
        <v>0</v>
      </c>
      <c r="U880" s="270">
        <f t="shared" si="105"/>
        <v>0</v>
      </c>
      <c r="V880" s="31"/>
      <c r="X880" s="240" t="str">
        <f t="shared" si="106"/>
        <v>OK</v>
      </c>
      <c r="Y880" s="240" t="str">
        <f t="shared" si="107"/>
        <v>OK</v>
      </c>
      <c r="Z880" s="240" t="str">
        <f t="shared" si="108"/>
        <v>OK</v>
      </c>
      <c r="AA880" s="240" t="str" cm="1">
        <f t="array" ref="AA880">IF(OR(AND(J880="Not accepted",N880:O880&lt;&gt;"",$S880=""),AND(J880="Accepted",S880="")),"ERROR","OK")</f>
        <v>OK</v>
      </c>
      <c r="AB880" s="240" t="str">
        <f t="shared" si="109"/>
        <v>OK</v>
      </c>
      <c r="AC880" s="240" t="str" cm="1">
        <f t="array" ref="AC880">IF(AND(F880:H880&lt;&gt;"",I880=""),"ERROR","OK")</f>
        <v>OK</v>
      </c>
      <c r="AD880" s="240" t="str">
        <f t="shared" si="110"/>
        <v>OK</v>
      </c>
      <c r="AE880" s="240" t="str">
        <f t="shared" si="111"/>
        <v>OK</v>
      </c>
      <c r="AF880" s="240" t="str" cm="1">
        <f t="array" aca="1" ref="AF880" ca="1" xml:space="preserve">
IF(AND($G880&lt;&gt;"",$F880=""),"ERROR",
IF(OR($F880:$G880="",AND($G880="",$F880&lt;&gt;"")),"OK",
IF(COUNTIF(INDIRECT(IFERROR(LEFT($F880,FIND(" ",$F880)-1),$F880)), $G880)&gt;0, "OK", "ERROR")))</f>
        <v>OK</v>
      </c>
    </row>
    <row r="881" spans="1:32" s="240" customFormat="1">
      <c r="A881" s="48"/>
      <c r="B881" s="31"/>
      <c r="C881" s="48"/>
      <c r="D881" s="47"/>
      <c r="E881" s="47"/>
      <c r="F881" s="31"/>
      <c r="G881" s="31"/>
      <c r="H881" s="31"/>
      <c r="I881" s="47"/>
      <c r="J881" s="31"/>
      <c r="K881" s="47"/>
      <c r="L881" s="47"/>
      <c r="M881" s="47"/>
      <c r="N881" s="31"/>
      <c r="O881" s="47"/>
      <c r="P881" s="31"/>
      <c r="Q881" s="31"/>
      <c r="R881" s="31"/>
      <c r="S881" s="31"/>
      <c r="T881" s="270">
        <f t="shared" si="104"/>
        <v>0</v>
      </c>
      <c r="U881" s="270">
        <f t="shared" si="105"/>
        <v>0</v>
      </c>
      <c r="V881" s="31"/>
      <c r="X881" s="240" t="str">
        <f t="shared" si="106"/>
        <v>OK</v>
      </c>
      <c r="Y881" s="240" t="str">
        <f t="shared" si="107"/>
        <v>OK</v>
      </c>
      <c r="Z881" s="240" t="str">
        <f t="shared" si="108"/>
        <v>OK</v>
      </c>
      <c r="AA881" s="240" t="str" cm="1">
        <f t="array" ref="AA881">IF(OR(AND(J881="Not accepted",N881:O881&lt;&gt;"",$S881=""),AND(J881="Accepted",S881="")),"ERROR","OK")</f>
        <v>OK</v>
      </c>
      <c r="AB881" s="240" t="str">
        <f t="shared" si="109"/>
        <v>OK</v>
      </c>
      <c r="AC881" s="240" t="str" cm="1">
        <f t="array" ref="AC881">IF(AND(F881:H881&lt;&gt;"",I881=""),"ERROR","OK")</f>
        <v>OK</v>
      </c>
      <c r="AD881" s="240" t="str">
        <f t="shared" si="110"/>
        <v>OK</v>
      </c>
      <c r="AE881" s="240" t="str">
        <f t="shared" si="111"/>
        <v>OK</v>
      </c>
      <c r="AF881" s="240" t="str" cm="1">
        <f t="array" aca="1" ref="AF881" ca="1" xml:space="preserve">
IF(AND($G881&lt;&gt;"",$F881=""),"ERROR",
IF(OR($F881:$G881="",AND($G881="",$F881&lt;&gt;"")),"OK",
IF(COUNTIF(INDIRECT(IFERROR(LEFT($F881,FIND(" ",$F881)-1),$F881)), $G881)&gt;0, "OK", "ERROR")))</f>
        <v>OK</v>
      </c>
    </row>
    <row r="882" spans="1:32" s="240" customFormat="1">
      <c r="A882" s="48"/>
      <c r="B882" s="31"/>
      <c r="C882" s="48"/>
      <c r="D882" s="47"/>
      <c r="E882" s="47"/>
      <c r="F882" s="31"/>
      <c r="G882" s="31"/>
      <c r="H882" s="31"/>
      <c r="I882" s="47"/>
      <c r="J882" s="31"/>
      <c r="K882" s="47"/>
      <c r="L882" s="47"/>
      <c r="M882" s="47"/>
      <c r="N882" s="31"/>
      <c r="O882" s="47"/>
      <c r="P882" s="31"/>
      <c r="Q882" s="31"/>
      <c r="R882" s="31"/>
      <c r="S882" s="31"/>
      <c r="T882" s="270">
        <f t="shared" si="104"/>
        <v>0</v>
      </c>
      <c r="U882" s="270">
        <f t="shared" si="105"/>
        <v>0</v>
      </c>
      <c r="V882" s="31"/>
      <c r="X882" s="240" t="str">
        <f t="shared" si="106"/>
        <v>OK</v>
      </c>
      <c r="Y882" s="240" t="str">
        <f t="shared" si="107"/>
        <v>OK</v>
      </c>
      <c r="Z882" s="240" t="str">
        <f t="shared" si="108"/>
        <v>OK</v>
      </c>
      <c r="AA882" s="240" t="str" cm="1">
        <f t="array" ref="AA882">IF(OR(AND(J882="Not accepted",N882:O882&lt;&gt;"",$S882=""),AND(J882="Accepted",S882="")),"ERROR","OK")</f>
        <v>OK</v>
      </c>
      <c r="AB882" s="240" t="str">
        <f t="shared" si="109"/>
        <v>OK</v>
      </c>
      <c r="AC882" s="240" t="str" cm="1">
        <f t="array" ref="AC882">IF(AND(F882:H882&lt;&gt;"",I882=""),"ERROR","OK")</f>
        <v>OK</v>
      </c>
      <c r="AD882" s="240" t="str">
        <f t="shared" si="110"/>
        <v>OK</v>
      </c>
      <c r="AE882" s="240" t="str">
        <f t="shared" si="111"/>
        <v>OK</v>
      </c>
      <c r="AF882" s="240" t="str" cm="1">
        <f t="array" aca="1" ref="AF882" ca="1" xml:space="preserve">
IF(AND($G882&lt;&gt;"",$F882=""),"ERROR",
IF(OR($F882:$G882="",AND($G882="",$F882&lt;&gt;"")),"OK",
IF(COUNTIF(INDIRECT(IFERROR(LEFT($F882,FIND(" ",$F882)-1),$F882)), $G882)&gt;0, "OK", "ERROR")))</f>
        <v>OK</v>
      </c>
    </row>
    <row r="883" spans="1:32" s="240" customFormat="1">
      <c r="A883" s="48"/>
      <c r="B883" s="31"/>
      <c r="C883" s="48"/>
      <c r="D883" s="47"/>
      <c r="E883" s="47"/>
      <c r="F883" s="31"/>
      <c r="G883" s="31"/>
      <c r="H883" s="31"/>
      <c r="I883" s="47"/>
      <c r="J883" s="31"/>
      <c r="K883" s="47"/>
      <c r="L883" s="47"/>
      <c r="M883" s="47"/>
      <c r="N883" s="31"/>
      <c r="O883" s="47"/>
      <c r="P883" s="31"/>
      <c r="Q883" s="31"/>
      <c r="R883" s="31"/>
      <c r="S883" s="31"/>
      <c r="T883" s="270">
        <f t="shared" si="104"/>
        <v>0</v>
      </c>
      <c r="U883" s="270">
        <f t="shared" si="105"/>
        <v>0</v>
      </c>
      <c r="V883" s="31"/>
      <c r="X883" s="240" t="str">
        <f t="shared" si="106"/>
        <v>OK</v>
      </c>
      <c r="Y883" s="240" t="str">
        <f t="shared" si="107"/>
        <v>OK</v>
      </c>
      <c r="Z883" s="240" t="str">
        <f t="shared" si="108"/>
        <v>OK</v>
      </c>
      <c r="AA883" s="240" t="str" cm="1">
        <f t="array" ref="AA883">IF(OR(AND(J883="Not accepted",N883:O883&lt;&gt;"",$S883=""),AND(J883="Accepted",S883="")),"ERROR","OK")</f>
        <v>OK</v>
      </c>
      <c r="AB883" s="240" t="str">
        <f t="shared" si="109"/>
        <v>OK</v>
      </c>
      <c r="AC883" s="240" t="str" cm="1">
        <f t="array" ref="AC883">IF(AND(F883:H883&lt;&gt;"",I883=""),"ERROR","OK")</f>
        <v>OK</v>
      </c>
      <c r="AD883" s="240" t="str">
        <f t="shared" si="110"/>
        <v>OK</v>
      </c>
      <c r="AE883" s="240" t="str">
        <f t="shared" si="111"/>
        <v>OK</v>
      </c>
      <c r="AF883" s="240" t="str" cm="1">
        <f t="array" aca="1" ref="AF883" ca="1" xml:space="preserve">
IF(AND($G883&lt;&gt;"",$F883=""),"ERROR",
IF(OR($F883:$G883="",AND($G883="",$F883&lt;&gt;"")),"OK",
IF(COUNTIF(INDIRECT(IFERROR(LEFT($F883,FIND(" ",$F883)-1),$F883)), $G883)&gt;0, "OK", "ERROR")))</f>
        <v>OK</v>
      </c>
    </row>
    <row r="884" spans="1:32" s="240" customFormat="1">
      <c r="A884" s="48"/>
      <c r="B884" s="31"/>
      <c r="C884" s="48"/>
      <c r="D884" s="47"/>
      <c r="E884" s="47"/>
      <c r="F884" s="31"/>
      <c r="G884" s="31"/>
      <c r="H884" s="31"/>
      <c r="I884" s="47"/>
      <c r="J884" s="31"/>
      <c r="K884" s="47"/>
      <c r="L884" s="47"/>
      <c r="M884" s="47"/>
      <c r="N884" s="31"/>
      <c r="O884" s="47"/>
      <c r="P884" s="31"/>
      <c r="Q884" s="31"/>
      <c r="R884" s="31"/>
      <c r="S884" s="31"/>
      <c r="T884" s="270">
        <f t="shared" si="104"/>
        <v>0</v>
      </c>
      <c r="U884" s="270">
        <f t="shared" si="105"/>
        <v>0</v>
      </c>
      <c r="V884" s="31"/>
      <c r="X884" s="240" t="str">
        <f t="shared" si="106"/>
        <v>OK</v>
      </c>
      <c r="Y884" s="240" t="str">
        <f t="shared" si="107"/>
        <v>OK</v>
      </c>
      <c r="Z884" s="240" t="str">
        <f t="shared" si="108"/>
        <v>OK</v>
      </c>
      <c r="AA884" s="240" t="str" cm="1">
        <f t="array" ref="AA884">IF(OR(AND(J884="Not accepted",N884:O884&lt;&gt;"",$S884=""),AND(J884="Accepted",S884="")),"ERROR","OK")</f>
        <v>OK</v>
      </c>
      <c r="AB884" s="240" t="str">
        <f t="shared" si="109"/>
        <v>OK</v>
      </c>
      <c r="AC884" s="240" t="str" cm="1">
        <f t="array" ref="AC884">IF(AND(F884:H884&lt;&gt;"",I884=""),"ERROR","OK")</f>
        <v>OK</v>
      </c>
      <c r="AD884" s="240" t="str">
        <f t="shared" si="110"/>
        <v>OK</v>
      </c>
      <c r="AE884" s="240" t="str">
        <f t="shared" si="111"/>
        <v>OK</v>
      </c>
      <c r="AF884" s="240" t="str" cm="1">
        <f t="array" aca="1" ref="AF884" ca="1" xml:space="preserve">
IF(AND($G884&lt;&gt;"",$F884=""),"ERROR",
IF(OR($F884:$G884="",AND($G884="",$F884&lt;&gt;"")),"OK",
IF(COUNTIF(INDIRECT(IFERROR(LEFT($F884,FIND(" ",$F884)-1),$F884)), $G884)&gt;0, "OK", "ERROR")))</f>
        <v>OK</v>
      </c>
    </row>
    <row r="885" spans="1:32" s="240" customFormat="1">
      <c r="A885" s="48"/>
      <c r="B885" s="31"/>
      <c r="C885" s="48"/>
      <c r="D885" s="47"/>
      <c r="E885" s="47"/>
      <c r="F885" s="31"/>
      <c r="G885" s="31"/>
      <c r="H885" s="31"/>
      <c r="I885" s="47"/>
      <c r="J885" s="31"/>
      <c r="K885" s="47"/>
      <c r="L885" s="47"/>
      <c r="M885" s="47"/>
      <c r="N885" s="31"/>
      <c r="O885" s="47"/>
      <c r="P885" s="31"/>
      <c r="Q885" s="31"/>
      <c r="R885" s="31"/>
      <c r="S885" s="31"/>
      <c r="T885" s="270">
        <f t="shared" si="104"/>
        <v>0</v>
      </c>
      <c r="U885" s="270">
        <f t="shared" si="105"/>
        <v>0</v>
      </c>
      <c r="V885" s="31"/>
      <c r="X885" s="240" t="str">
        <f t="shared" si="106"/>
        <v>OK</v>
      </c>
      <c r="Y885" s="240" t="str">
        <f t="shared" si="107"/>
        <v>OK</v>
      </c>
      <c r="Z885" s="240" t="str">
        <f t="shared" si="108"/>
        <v>OK</v>
      </c>
      <c r="AA885" s="240" t="str" cm="1">
        <f t="array" ref="AA885">IF(OR(AND(J885="Not accepted",N885:O885&lt;&gt;"",$S885=""),AND(J885="Accepted",S885="")),"ERROR","OK")</f>
        <v>OK</v>
      </c>
      <c r="AB885" s="240" t="str">
        <f t="shared" si="109"/>
        <v>OK</v>
      </c>
      <c r="AC885" s="240" t="str" cm="1">
        <f t="array" ref="AC885">IF(AND(F885:H885&lt;&gt;"",I885=""),"ERROR","OK")</f>
        <v>OK</v>
      </c>
      <c r="AD885" s="240" t="str">
        <f t="shared" si="110"/>
        <v>OK</v>
      </c>
      <c r="AE885" s="240" t="str">
        <f t="shared" si="111"/>
        <v>OK</v>
      </c>
      <c r="AF885" s="240" t="str" cm="1">
        <f t="array" aca="1" ref="AF885" ca="1" xml:space="preserve">
IF(AND($G885&lt;&gt;"",$F885=""),"ERROR",
IF(OR($F885:$G885="",AND($G885="",$F885&lt;&gt;"")),"OK",
IF(COUNTIF(INDIRECT(IFERROR(LEFT($F885,FIND(" ",$F885)-1),$F885)), $G885)&gt;0, "OK", "ERROR")))</f>
        <v>OK</v>
      </c>
    </row>
    <row r="886" spans="1:32" s="240" customFormat="1">
      <c r="A886" s="48"/>
      <c r="B886" s="31"/>
      <c r="C886" s="48"/>
      <c r="D886" s="47"/>
      <c r="E886" s="47"/>
      <c r="F886" s="31"/>
      <c r="G886" s="31"/>
      <c r="H886" s="31"/>
      <c r="I886" s="47"/>
      <c r="J886" s="31"/>
      <c r="K886" s="47"/>
      <c r="L886" s="47"/>
      <c r="M886" s="47"/>
      <c r="N886" s="31"/>
      <c r="O886" s="47"/>
      <c r="P886" s="31"/>
      <c r="Q886" s="31"/>
      <c r="R886" s="31"/>
      <c r="S886" s="31"/>
      <c r="T886" s="270">
        <f t="shared" si="104"/>
        <v>0</v>
      </c>
      <c r="U886" s="270">
        <f t="shared" si="105"/>
        <v>0</v>
      </c>
      <c r="V886" s="31"/>
      <c r="X886" s="240" t="str">
        <f t="shared" si="106"/>
        <v>OK</v>
      </c>
      <c r="Y886" s="240" t="str">
        <f t="shared" si="107"/>
        <v>OK</v>
      </c>
      <c r="Z886" s="240" t="str">
        <f t="shared" si="108"/>
        <v>OK</v>
      </c>
      <c r="AA886" s="240" t="str" cm="1">
        <f t="array" ref="AA886">IF(OR(AND(J886="Not accepted",N886:O886&lt;&gt;"",$S886=""),AND(J886="Accepted",S886="")),"ERROR","OK")</f>
        <v>OK</v>
      </c>
      <c r="AB886" s="240" t="str">
        <f t="shared" si="109"/>
        <v>OK</v>
      </c>
      <c r="AC886" s="240" t="str" cm="1">
        <f t="array" ref="AC886">IF(AND(F886:H886&lt;&gt;"",I886=""),"ERROR","OK")</f>
        <v>OK</v>
      </c>
      <c r="AD886" s="240" t="str">
        <f t="shared" si="110"/>
        <v>OK</v>
      </c>
      <c r="AE886" s="240" t="str">
        <f t="shared" si="111"/>
        <v>OK</v>
      </c>
      <c r="AF886" s="240" t="str" cm="1">
        <f t="array" aca="1" ref="AF886" ca="1" xml:space="preserve">
IF(AND($G886&lt;&gt;"",$F886=""),"ERROR",
IF(OR($F886:$G886="",AND($G886="",$F886&lt;&gt;"")),"OK",
IF(COUNTIF(INDIRECT(IFERROR(LEFT($F886,FIND(" ",$F886)-1),$F886)), $G886)&gt;0, "OK", "ERROR")))</f>
        <v>OK</v>
      </c>
    </row>
    <row r="887" spans="1:32" s="240" customFormat="1">
      <c r="A887" s="48"/>
      <c r="B887" s="31"/>
      <c r="C887" s="48"/>
      <c r="D887" s="47"/>
      <c r="E887" s="47"/>
      <c r="F887" s="31"/>
      <c r="G887" s="31"/>
      <c r="H887" s="31"/>
      <c r="I887" s="47"/>
      <c r="J887" s="31"/>
      <c r="K887" s="47"/>
      <c r="L887" s="47"/>
      <c r="M887" s="47"/>
      <c r="N887" s="31"/>
      <c r="O887" s="47"/>
      <c r="P887" s="31"/>
      <c r="Q887" s="31"/>
      <c r="R887" s="31"/>
      <c r="S887" s="31"/>
      <c r="T887" s="270">
        <f t="shared" si="104"/>
        <v>0</v>
      </c>
      <c r="U887" s="270">
        <f t="shared" si="105"/>
        <v>0</v>
      </c>
      <c r="V887" s="31"/>
      <c r="X887" s="240" t="str">
        <f t="shared" si="106"/>
        <v>OK</v>
      </c>
      <c r="Y887" s="240" t="str">
        <f t="shared" si="107"/>
        <v>OK</v>
      </c>
      <c r="Z887" s="240" t="str">
        <f t="shared" si="108"/>
        <v>OK</v>
      </c>
      <c r="AA887" s="240" t="str" cm="1">
        <f t="array" ref="AA887">IF(OR(AND(J887="Not accepted",N887:O887&lt;&gt;"",$S887=""),AND(J887="Accepted",S887="")),"ERROR","OK")</f>
        <v>OK</v>
      </c>
      <c r="AB887" s="240" t="str">
        <f t="shared" si="109"/>
        <v>OK</v>
      </c>
      <c r="AC887" s="240" t="str" cm="1">
        <f t="array" ref="AC887">IF(AND(F887:H887&lt;&gt;"",I887=""),"ERROR","OK")</f>
        <v>OK</v>
      </c>
      <c r="AD887" s="240" t="str">
        <f t="shared" si="110"/>
        <v>OK</v>
      </c>
      <c r="AE887" s="240" t="str">
        <f t="shared" si="111"/>
        <v>OK</v>
      </c>
      <c r="AF887" s="240" t="str" cm="1">
        <f t="array" aca="1" ref="AF887" ca="1" xml:space="preserve">
IF(AND($G887&lt;&gt;"",$F887=""),"ERROR",
IF(OR($F887:$G887="",AND($G887="",$F887&lt;&gt;"")),"OK",
IF(COUNTIF(INDIRECT(IFERROR(LEFT($F887,FIND(" ",$F887)-1),$F887)), $G887)&gt;0, "OK", "ERROR")))</f>
        <v>OK</v>
      </c>
    </row>
    <row r="888" spans="1:32" s="240" customFormat="1">
      <c r="A888" s="48"/>
      <c r="B888" s="31"/>
      <c r="C888" s="48"/>
      <c r="D888" s="47"/>
      <c r="E888" s="47"/>
      <c r="F888" s="31"/>
      <c r="G888" s="31"/>
      <c r="H888" s="31"/>
      <c r="I888" s="47"/>
      <c r="J888" s="31"/>
      <c r="K888" s="47"/>
      <c r="L888" s="47"/>
      <c r="M888" s="47"/>
      <c r="N888" s="31"/>
      <c r="O888" s="47"/>
      <c r="P888" s="31"/>
      <c r="Q888" s="31"/>
      <c r="R888" s="31"/>
      <c r="S888" s="31"/>
      <c r="T888" s="270">
        <f t="shared" si="104"/>
        <v>0</v>
      </c>
      <c r="U888" s="270">
        <f t="shared" si="105"/>
        <v>0</v>
      </c>
      <c r="V888" s="31"/>
      <c r="X888" s="240" t="str">
        <f t="shared" si="106"/>
        <v>OK</v>
      </c>
      <c r="Y888" s="240" t="str">
        <f t="shared" si="107"/>
        <v>OK</v>
      </c>
      <c r="Z888" s="240" t="str">
        <f t="shared" si="108"/>
        <v>OK</v>
      </c>
      <c r="AA888" s="240" t="str" cm="1">
        <f t="array" ref="AA888">IF(OR(AND(J888="Not accepted",N888:O888&lt;&gt;"",$S888=""),AND(J888="Accepted",S888="")),"ERROR","OK")</f>
        <v>OK</v>
      </c>
      <c r="AB888" s="240" t="str">
        <f t="shared" si="109"/>
        <v>OK</v>
      </c>
      <c r="AC888" s="240" t="str" cm="1">
        <f t="array" ref="AC888">IF(AND(F888:H888&lt;&gt;"",I888=""),"ERROR","OK")</f>
        <v>OK</v>
      </c>
      <c r="AD888" s="240" t="str">
        <f t="shared" si="110"/>
        <v>OK</v>
      </c>
      <c r="AE888" s="240" t="str">
        <f t="shared" si="111"/>
        <v>OK</v>
      </c>
      <c r="AF888" s="240" t="str" cm="1">
        <f t="array" aca="1" ref="AF888" ca="1" xml:space="preserve">
IF(AND($G888&lt;&gt;"",$F888=""),"ERROR",
IF(OR($F888:$G888="",AND($G888="",$F888&lt;&gt;"")),"OK",
IF(COUNTIF(INDIRECT(IFERROR(LEFT($F888,FIND(" ",$F888)-1),$F888)), $G888)&gt;0, "OK", "ERROR")))</f>
        <v>OK</v>
      </c>
    </row>
    <row r="889" spans="1:32" s="240" customFormat="1">
      <c r="A889" s="48"/>
      <c r="B889" s="31"/>
      <c r="C889" s="48"/>
      <c r="D889" s="47"/>
      <c r="E889" s="47"/>
      <c r="F889" s="31"/>
      <c r="G889" s="31"/>
      <c r="H889" s="31"/>
      <c r="I889" s="47"/>
      <c r="J889" s="31"/>
      <c r="K889" s="47"/>
      <c r="L889" s="47"/>
      <c r="M889" s="47"/>
      <c r="N889" s="31"/>
      <c r="O889" s="47"/>
      <c r="P889" s="31"/>
      <c r="Q889" s="31"/>
      <c r="R889" s="31"/>
      <c r="S889" s="31"/>
      <c r="T889" s="270">
        <f t="shared" si="104"/>
        <v>0</v>
      </c>
      <c r="U889" s="270">
        <f t="shared" si="105"/>
        <v>0</v>
      </c>
      <c r="V889" s="31"/>
      <c r="X889" s="240" t="str">
        <f t="shared" si="106"/>
        <v>OK</v>
      </c>
      <c r="Y889" s="240" t="str">
        <f t="shared" si="107"/>
        <v>OK</v>
      </c>
      <c r="Z889" s="240" t="str">
        <f t="shared" si="108"/>
        <v>OK</v>
      </c>
      <c r="AA889" s="240" t="str" cm="1">
        <f t="array" ref="AA889">IF(OR(AND(J889="Not accepted",N889:O889&lt;&gt;"",$S889=""),AND(J889="Accepted",S889="")),"ERROR","OK")</f>
        <v>OK</v>
      </c>
      <c r="AB889" s="240" t="str">
        <f t="shared" si="109"/>
        <v>OK</v>
      </c>
      <c r="AC889" s="240" t="str" cm="1">
        <f t="array" ref="AC889">IF(AND(F889:H889&lt;&gt;"",I889=""),"ERROR","OK")</f>
        <v>OK</v>
      </c>
      <c r="AD889" s="240" t="str">
        <f t="shared" si="110"/>
        <v>OK</v>
      </c>
      <c r="AE889" s="240" t="str">
        <f t="shared" si="111"/>
        <v>OK</v>
      </c>
      <c r="AF889" s="240" t="str" cm="1">
        <f t="array" aca="1" ref="AF889" ca="1" xml:space="preserve">
IF(AND($G889&lt;&gt;"",$F889=""),"ERROR",
IF(OR($F889:$G889="",AND($G889="",$F889&lt;&gt;"")),"OK",
IF(COUNTIF(INDIRECT(IFERROR(LEFT($F889,FIND(" ",$F889)-1),$F889)), $G889)&gt;0, "OK", "ERROR")))</f>
        <v>OK</v>
      </c>
    </row>
    <row r="890" spans="1:32" s="240" customFormat="1">
      <c r="A890" s="48"/>
      <c r="B890" s="31"/>
      <c r="C890" s="48"/>
      <c r="D890" s="47"/>
      <c r="E890" s="47"/>
      <c r="F890" s="31"/>
      <c r="G890" s="31"/>
      <c r="H890" s="31"/>
      <c r="I890" s="47"/>
      <c r="J890" s="31"/>
      <c r="K890" s="47"/>
      <c r="L890" s="47"/>
      <c r="M890" s="47"/>
      <c r="N890" s="31"/>
      <c r="O890" s="47"/>
      <c r="P890" s="31"/>
      <c r="Q890" s="31"/>
      <c r="R890" s="31"/>
      <c r="S890" s="31"/>
      <c r="T890" s="270">
        <f t="shared" si="104"/>
        <v>0</v>
      </c>
      <c r="U890" s="270">
        <f t="shared" si="105"/>
        <v>0</v>
      </c>
      <c r="V890" s="31"/>
      <c r="X890" s="240" t="str">
        <f t="shared" si="106"/>
        <v>OK</v>
      </c>
      <c r="Y890" s="240" t="str">
        <f t="shared" si="107"/>
        <v>OK</v>
      </c>
      <c r="Z890" s="240" t="str">
        <f t="shared" si="108"/>
        <v>OK</v>
      </c>
      <c r="AA890" s="240" t="str" cm="1">
        <f t="array" ref="AA890">IF(OR(AND(J890="Not accepted",N890:O890&lt;&gt;"",$S890=""),AND(J890="Accepted",S890="")),"ERROR","OK")</f>
        <v>OK</v>
      </c>
      <c r="AB890" s="240" t="str">
        <f t="shared" si="109"/>
        <v>OK</v>
      </c>
      <c r="AC890" s="240" t="str" cm="1">
        <f t="array" ref="AC890">IF(AND(F890:H890&lt;&gt;"",I890=""),"ERROR","OK")</f>
        <v>OK</v>
      </c>
      <c r="AD890" s="240" t="str">
        <f t="shared" si="110"/>
        <v>OK</v>
      </c>
      <c r="AE890" s="240" t="str">
        <f t="shared" si="111"/>
        <v>OK</v>
      </c>
      <c r="AF890" s="240" t="str" cm="1">
        <f t="array" aca="1" ref="AF890" ca="1" xml:space="preserve">
IF(AND($G890&lt;&gt;"",$F890=""),"ERROR",
IF(OR($F890:$G890="",AND($G890="",$F890&lt;&gt;"")),"OK",
IF(COUNTIF(INDIRECT(IFERROR(LEFT($F890,FIND(" ",$F890)-1),$F890)), $G890)&gt;0, "OK", "ERROR")))</f>
        <v>OK</v>
      </c>
    </row>
    <row r="891" spans="1:32" s="240" customFormat="1">
      <c r="A891" s="48"/>
      <c r="B891" s="31"/>
      <c r="C891" s="48"/>
      <c r="D891" s="47"/>
      <c r="E891" s="47"/>
      <c r="F891" s="31"/>
      <c r="G891" s="31"/>
      <c r="H891" s="31"/>
      <c r="I891" s="47"/>
      <c r="J891" s="31"/>
      <c r="K891" s="47"/>
      <c r="L891" s="47"/>
      <c r="M891" s="47"/>
      <c r="N891" s="31"/>
      <c r="O891" s="47"/>
      <c r="P891" s="31"/>
      <c r="Q891" s="31"/>
      <c r="R891" s="31"/>
      <c r="S891" s="31"/>
      <c r="T891" s="270">
        <f t="shared" si="104"/>
        <v>0</v>
      </c>
      <c r="U891" s="270">
        <f t="shared" si="105"/>
        <v>0</v>
      </c>
      <c r="V891" s="31"/>
      <c r="X891" s="240" t="str">
        <f t="shared" si="106"/>
        <v>OK</v>
      </c>
      <c r="Y891" s="240" t="str">
        <f t="shared" si="107"/>
        <v>OK</v>
      </c>
      <c r="Z891" s="240" t="str">
        <f t="shared" si="108"/>
        <v>OK</v>
      </c>
      <c r="AA891" s="240" t="str" cm="1">
        <f t="array" ref="AA891">IF(OR(AND(J891="Not accepted",N891:O891&lt;&gt;"",$S891=""),AND(J891="Accepted",S891="")),"ERROR","OK")</f>
        <v>OK</v>
      </c>
      <c r="AB891" s="240" t="str">
        <f t="shared" si="109"/>
        <v>OK</v>
      </c>
      <c r="AC891" s="240" t="str" cm="1">
        <f t="array" ref="AC891">IF(AND(F891:H891&lt;&gt;"",I891=""),"ERROR","OK")</f>
        <v>OK</v>
      </c>
      <c r="AD891" s="240" t="str">
        <f t="shared" si="110"/>
        <v>OK</v>
      </c>
      <c r="AE891" s="240" t="str">
        <f t="shared" si="111"/>
        <v>OK</v>
      </c>
      <c r="AF891" s="240" t="str" cm="1">
        <f t="array" aca="1" ref="AF891" ca="1" xml:space="preserve">
IF(AND($G891&lt;&gt;"",$F891=""),"ERROR",
IF(OR($F891:$G891="",AND($G891="",$F891&lt;&gt;"")),"OK",
IF(COUNTIF(INDIRECT(IFERROR(LEFT($F891,FIND(" ",$F891)-1),$F891)), $G891)&gt;0, "OK", "ERROR")))</f>
        <v>OK</v>
      </c>
    </row>
    <row r="892" spans="1:32" s="240" customFormat="1">
      <c r="A892" s="48"/>
      <c r="B892" s="31"/>
      <c r="C892" s="48"/>
      <c r="D892" s="47"/>
      <c r="E892" s="47"/>
      <c r="F892" s="31"/>
      <c r="G892" s="31"/>
      <c r="H892" s="31"/>
      <c r="I892" s="47"/>
      <c r="J892" s="31"/>
      <c r="K892" s="47"/>
      <c r="L892" s="47"/>
      <c r="M892" s="47"/>
      <c r="N892" s="31"/>
      <c r="O892" s="47"/>
      <c r="P892" s="31"/>
      <c r="Q892" s="31"/>
      <c r="R892" s="31"/>
      <c r="S892" s="31"/>
      <c r="T892" s="270">
        <f t="shared" si="104"/>
        <v>0</v>
      </c>
      <c r="U892" s="270">
        <f t="shared" si="105"/>
        <v>0</v>
      </c>
      <c r="V892" s="31"/>
      <c r="X892" s="240" t="str">
        <f t="shared" si="106"/>
        <v>OK</v>
      </c>
      <c r="Y892" s="240" t="str">
        <f t="shared" si="107"/>
        <v>OK</v>
      </c>
      <c r="Z892" s="240" t="str">
        <f t="shared" si="108"/>
        <v>OK</v>
      </c>
      <c r="AA892" s="240" t="str" cm="1">
        <f t="array" ref="AA892">IF(OR(AND(J892="Not accepted",N892:O892&lt;&gt;"",$S892=""),AND(J892="Accepted",S892="")),"ERROR","OK")</f>
        <v>OK</v>
      </c>
      <c r="AB892" s="240" t="str">
        <f t="shared" si="109"/>
        <v>OK</v>
      </c>
      <c r="AC892" s="240" t="str" cm="1">
        <f t="array" ref="AC892">IF(AND(F892:H892&lt;&gt;"",I892=""),"ERROR","OK")</f>
        <v>OK</v>
      </c>
      <c r="AD892" s="240" t="str">
        <f t="shared" si="110"/>
        <v>OK</v>
      </c>
      <c r="AE892" s="240" t="str">
        <f t="shared" si="111"/>
        <v>OK</v>
      </c>
      <c r="AF892" s="240" t="str" cm="1">
        <f t="array" aca="1" ref="AF892" ca="1" xml:space="preserve">
IF(AND($G892&lt;&gt;"",$F892=""),"ERROR",
IF(OR($F892:$G892="",AND($G892="",$F892&lt;&gt;"")),"OK",
IF(COUNTIF(INDIRECT(IFERROR(LEFT($F892,FIND(" ",$F892)-1),$F892)), $G892)&gt;0, "OK", "ERROR")))</f>
        <v>OK</v>
      </c>
    </row>
    <row r="893" spans="1:32" s="240" customFormat="1">
      <c r="A893" s="48"/>
      <c r="B893" s="31"/>
      <c r="C893" s="48"/>
      <c r="D893" s="47"/>
      <c r="E893" s="47"/>
      <c r="F893" s="31"/>
      <c r="G893" s="31"/>
      <c r="H893" s="31"/>
      <c r="I893" s="47"/>
      <c r="J893" s="31"/>
      <c r="K893" s="47"/>
      <c r="L893" s="47"/>
      <c r="M893" s="47"/>
      <c r="N893" s="31"/>
      <c r="O893" s="47"/>
      <c r="P893" s="31"/>
      <c r="Q893" s="31"/>
      <c r="R893" s="31"/>
      <c r="S893" s="31"/>
      <c r="T893" s="270">
        <f t="shared" si="104"/>
        <v>0</v>
      </c>
      <c r="U893" s="270">
        <f t="shared" si="105"/>
        <v>0</v>
      </c>
      <c r="V893" s="31"/>
      <c r="X893" s="240" t="str">
        <f t="shared" si="106"/>
        <v>OK</v>
      </c>
      <c r="Y893" s="240" t="str">
        <f t="shared" si="107"/>
        <v>OK</v>
      </c>
      <c r="Z893" s="240" t="str">
        <f t="shared" si="108"/>
        <v>OK</v>
      </c>
      <c r="AA893" s="240" t="str" cm="1">
        <f t="array" ref="AA893">IF(OR(AND(J893="Not accepted",N893:O893&lt;&gt;"",$S893=""),AND(J893="Accepted",S893="")),"ERROR","OK")</f>
        <v>OK</v>
      </c>
      <c r="AB893" s="240" t="str">
        <f t="shared" si="109"/>
        <v>OK</v>
      </c>
      <c r="AC893" s="240" t="str" cm="1">
        <f t="array" ref="AC893">IF(AND(F893:H893&lt;&gt;"",I893=""),"ERROR","OK")</f>
        <v>OK</v>
      </c>
      <c r="AD893" s="240" t="str">
        <f t="shared" si="110"/>
        <v>OK</v>
      </c>
      <c r="AE893" s="240" t="str">
        <f t="shared" si="111"/>
        <v>OK</v>
      </c>
      <c r="AF893" s="240" t="str" cm="1">
        <f t="array" aca="1" ref="AF893" ca="1" xml:space="preserve">
IF(AND($G893&lt;&gt;"",$F893=""),"ERROR",
IF(OR($F893:$G893="",AND($G893="",$F893&lt;&gt;"")),"OK",
IF(COUNTIF(INDIRECT(IFERROR(LEFT($F893,FIND(" ",$F893)-1),$F893)), $G893)&gt;0, "OK", "ERROR")))</f>
        <v>OK</v>
      </c>
    </row>
    <row r="894" spans="1:32" s="240" customFormat="1">
      <c r="A894" s="48"/>
      <c r="B894" s="31"/>
      <c r="C894" s="48"/>
      <c r="D894" s="47"/>
      <c r="E894" s="47"/>
      <c r="F894" s="31"/>
      <c r="G894" s="31"/>
      <c r="H894" s="31"/>
      <c r="I894" s="47"/>
      <c r="J894" s="31"/>
      <c r="K894" s="47"/>
      <c r="L894" s="47"/>
      <c r="M894" s="47"/>
      <c r="N894" s="31"/>
      <c r="O894" s="47"/>
      <c r="P894" s="31"/>
      <c r="Q894" s="31"/>
      <c r="R894" s="31"/>
      <c r="S894" s="31"/>
      <c r="T894" s="270">
        <f t="shared" si="104"/>
        <v>0</v>
      </c>
      <c r="U894" s="270">
        <f t="shared" si="105"/>
        <v>0</v>
      </c>
      <c r="V894" s="31"/>
      <c r="X894" s="240" t="str">
        <f t="shared" si="106"/>
        <v>OK</v>
      </c>
      <c r="Y894" s="240" t="str">
        <f t="shared" si="107"/>
        <v>OK</v>
      </c>
      <c r="Z894" s="240" t="str">
        <f t="shared" si="108"/>
        <v>OK</v>
      </c>
      <c r="AA894" s="240" t="str" cm="1">
        <f t="array" ref="AA894">IF(OR(AND(J894="Not accepted",N894:O894&lt;&gt;"",$S894=""),AND(J894="Accepted",S894="")),"ERROR","OK")</f>
        <v>OK</v>
      </c>
      <c r="AB894" s="240" t="str">
        <f t="shared" si="109"/>
        <v>OK</v>
      </c>
      <c r="AC894" s="240" t="str" cm="1">
        <f t="array" ref="AC894">IF(AND(F894:H894&lt;&gt;"",I894=""),"ERROR","OK")</f>
        <v>OK</v>
      </c>
      <c r="AD894" s="240" t="str">
        <f t="shared" si="110"/>
        <v>OK</v>
      </c>
      <c r="AE894" s="240" t="str">
        <f t="shared" si="111"/>
        <v>OK</v>
      </c>
      <c r="AF894" s="240" t="str" cm="1">
        <f t="array" aca="1" ref="AF894" ca="1" xml:space="preserve">
IF(AND($G894&lt;&gt;"",$F894=""),"ERROR",
IF(OR($F894:$G894="",AND($G894="",$F894&lt;&gt;"")),"OK",
IF(COUNTIF(INDIRECT(IFERROR(LEFT($F894,FIND(" ",$F894)-1),$F894)), $G894)&gt;0, "OK", "ERROR")))</f>
        <v>OK</v>
      </c>
    </row>
    <row r="895" spans="1:32" s="240" customFormat="1">
      <c r="A895" s="48"/>
      <c r="B895" s="31"/>
      <c r="C895" s="48"/>
      <c r="D895" s="47"/>
      <c r="E895" s="47"/>
      <c r="F895" s="31"/>
      <c r="G895" s="31"/>
      <c r="H895" s="31"/>
      <c r="I895" s="47"/>
      <c r="J895" s="31"/>
      <c r="K895" s="47"/>
      <c r="L895" s="47"/>
      <c r="M895" s="47"/>
      <c r="N895" s="31"/>
      <c r="O895" s="47"/>
      <c r="P895" s="31"/>
      <c r="Q895" s="31"/>
      <c r="R895" s="31"/>
      <c r="S895" s="31"/>
      <c r="T895" s="270">
        <f t="shared" si="104"/>
        <v>0</v>
      </c>
      <c r="U895" s="270">
        <f t="shared" si="105"/>
        <v>0</v>
      </c>
      <c r="V895" s="31"/>
      <c r="X895" s="240" t="str">
        <f t="shared" si="106"/>
        <v>OK</v>
      </c>
      <c r="Y895" s="240" t="str">
        <f t="shared" si="107"/>
        <v>OK</v>
      </c>
      <c r="Z895" s="240" t="str">
        <f t="shared" si="108"/>
        <v>OK</v>
      </c>
      <c r="AA895" s="240" t="str" cm="1">
        <f t="array" ref="AA895">IF(OR(AND(J895="Not accepted",N895:O895&lt;&gt;"",$S895=""),AND(J895="Accepted",S895="")),"ERROR","OK")</f>
        <v>OK</v>
      </c>
      <c r="AB895" s="240" t="str">
        <f t="shared" si="109"/>
        <v>OK</v>
      </c>
      <c r="AC895" s="240" t="str" cm="1">
        <f t="array" ref="AC895">IF(AND(F895:H895&lt;&gt;"",I895=""),"ERROR","OK")</f>
        <v>OK</v>
      </c>
      <c r="AD895" s="240" t="str">
        <f t="shared" si="110"/>
        <v>OK</v>
      </c>
      <c r="AE895" s="240" t="str">
        <f t="shared" si="111"/>
        <v>OK</v>
      </c>
      <c r="AF895" s="240" t="str" cm="1">
        <f t="array" aca="1" ref="AF895" ca="1" xml:space="preserve">
IF(AND($G895&lt;&gt;"",$F895=""),"ERROR",
IF(OR($F895:$G895="",AND($G895="",$F895&lt;&gt;"")),"OK",
IF(COUNTIF(INDIRECT(IFERROR(LEFT($F895,FIND(" ",$F895)-1),$F895)), $G895)&gt;0, "OK", "ERROR")))</f>
        <v>OK</v>
      </c>
    </row>
    <row r="896" spans="1:32" s="240" customFormat="1">
      <c r="A896" s="48"/>
      <c r="B896" s="31"/>
      <c r="C896" s="48"/>
      <c r="D896" s="47"/>
      <c r="E896" s="47"/>
      <c r="F896" s="31"/>
      <c r="G896" s="31"/>
      <c r="H896" s="31"/>
      <c r="I896" s="47"/>
      <c r="J896" s="31"/>
      <c r="K896" s="47"/>
      <c r="L896" s="47"/>
      <c r="M896" s="47"/>
      <c r="N896" s="31"/>
      <c r="O896" s="47"/>
      <c r="P896" s="31"/>
      <c r="Q896" s="31"/>
      <c r="R896" s="31"/>
      <c r="S896" s="31"/>
      <c r="T896" s="270">
        <f t="shared" si="104"/>
        <v>0</v>
      </c>
      <c r="U896" s="270">
        <f t="shared" si="105"/>
        <v>0</v>
      </c>
      <c r="V896" s="31"/>
      <c r="X896" s="240" t="str">
        <f t="shared" si="106"/>
        <v>OK</v>
      </c>
      <c r="Y896" s="240" t="str">
        <f t="shared" si="107"/>
        <v>OK</v>
      </c>
      <c r="Z896" s="240" t="str">
        <f t="shared" si="108"/>
        <v>OK</v>
      </c>
      <c r="AA896" s="240" t="str" cm="1">
        <f t="array" ref="AA896">IF(OR(AND(J896="Not accepted",N896:O896&lt;&gt;"",$S896=""),AND(J896="Accepted",S896="")),"ERROR","OK")</f>
        <v>OK</v>
      </c>
      <c r="AB896" s="240" t="str">
        <f t="shared" si="109"/>
        <v>OK</v>
      </c>
      <c r="AC896" s="240" t="str" cm="1">
        <f t="array" ref="AC896">IF(AND(F896:H896&lt;&gt;"",I896=""),"ERROR","OK")</f>
        <v>OK</v>
      </c>
      <c r="AD896" s="240" t="str">
        <f t="shared" si="110"/>
        <v>OK</v>
      </c>
      <c r="AE896" s="240" t="str">
        <f t="shared" si="111"/>
        <v>OK</v>
      </c>
      <c r="AF896" s="240" t="str" cm="1">
        <f t="array" aca="1" ref="AF896" ca="1" xml:space="preserve">
IF(AND($G896&lt;&gt;"",$F896=""),"ERROR",
IF(OR($F896:$G896="",AND($G896="",$F896&lt;&gt;"")),"OK",
IF(COUNTIF(INDIRECT(IFERROR(LEFT($F896,FIND(" ",$F896)-1),$F896)), $G896)&gt;0, "OK", "ERROR")))</f>
        <v>OK</v>
      </c>
    </row>
    <row r="897" spans="1:32" s="240" customFormat="1">
      <c r="A897" s="48"/>
      <c r="B897" s="31"/>
      <c r="C897" s="48"/>
      <c r="D897" s="47"/>
      <c r="E897" s="47"/>
      <c r="F897" s="31"/>
      <c r="G897" s="31"/>
      <c r="H897" s="31"/>
      <c r="I897" s="47"/>
      <c r="J897" s="31"/>
      <c r="K897" s="47"/>
      <c r="L897" s="47"/>
      <c r="M897" s="47"/>
      <c r="N897" s="31"/>
      <c r="O897" s="47"/>
      <c r="P897" s="31"/>
      <c r="Q897" s="31"/>
      <c r="R897" s="31"/>
      <c r="S897" s="31"/>
      <c r="T897" s="270">
        <f t="shared" si="104"/>
        <v>0</v>
      </c>
      <c r="U897" s="270">
        <f t="shared" si="105"/>
        <v>0</v>
      </c>
      <c r="V897" s="31"/>
      <c r="X897" s="240" t="str">
        <f t="shared" si="106"/>
        <v>OK</v>
      </c>
      <c r="Y897" s="240" t="str">
        <f t="shared" si="107"/>
        <v>OK</v>
      </c>
      <c r="Z897" s="240" t="str">
        <f t="shared" si="108"/>
        <v>OK</v>
      </c>
      <c r="AA897" s="240" t="str" cm="1">
        <f t="array" ref="AA897">IF(OR(AND(J897="Not accepted",N897:O897&lt;&gt;"",$S897=""),AND(J897="Accepted",S897="")),"ERROR","OK")</f>
        <v>OK</v>
      </c>
      <c r="AB897" s="240" t="str">
        <f t="shared" si="109"/>
        <v>OK</v>
      </c>
      <c r="AC897" s="240" t="str" cm="1">
        <f t="array" ref="AC897">IF(AND(F897:H897&lt;&gt;"",I897=""),"ERROR","OK")</f>
        <v>OK</v>
      </c>
      <c r="AD897" s="240" t="str">
        <f t="shared" si="110"/>
        <v>OK</v>
      </c>
      <c r="AE897" s="240" t="str">
        <f t="shared" si="111"/>
        <v>OK</v>
      </c>
      <c r="AF897" s="240" t="str" cm="1">
        <f t="array" aca="1" ref="AF897" ca="1" xml:space="preserve">
IF(AND($G897&lt;&gt;"",$F897=""),"ERROR",
IF(OR($F897:$G897="",AND($G897="",$F897&lt;&gt;"")),"OK",
IF(COUNTIF(INDIRECT(IFERROR(LEFT($F897,FIND(" ",$F897)-1),$F897)), $G897)&gt;0, "OK", "ERROR")))</f>
        <v>OK</v>
      </c>
    </row>
    <row r="898" spans="1:32" s="240" customFormat="1">
      <c r="A898" s="48"/>
      <c r="B898" s="31"/>
      <c r="C898" s="48"/>
      <c r="D898" s="47"/>
      <c r="E898" s="47"/>
      <c r="F898" s="31"/>
      <c r="G898" s="31"/>
      <c r="H898" s="31"/>
      <c r="I898" s="47"/>
      <c r="J898" s="31"/>
      <c r="K898" s="47"/>
      <c r="L898" s="47"/>
      <c r="M898" s="47"/>
      <c r="N898" s="31"/>
      <c r="O898" s="47"/>
      <c r="P898" s="31"/>
      <c r="Q898" s="31"/>
      <c r="R898" s="31"/>
      <c r="S898" s="31"/>
      <c r="T898" s="270">
        <f t="shared" si="104"/>
        <v>0</v>
      </c>
      <c r="U898" s="270">
        <f t="shared" si="105"/>
        <v>0</v>
      </c>
      <c r="V898" s="31"/>
      <c r="X898" s="240" t="str">
        <f t="shared" si="106"/>
        <v>OK</v>
      </c>
      <c r="Y898" s="240" t="str">
        <f t="shared" si="107"/>
        <v>OK</v>
      </c>
      <c r="Z898" s="240" t="str">
        <f t="shared" si="108"/>
        <v>OK</v>
      </c>
      <c r="AA898" s="240" t="str" cm="1">
        <f t="array" ref="AA898">IF(OR(AND(J898="Not accepted",N898:O898&lt;&gt;"",$S898=""),AND(J898="Accepted",S898="")),"ERROR","OK")</f>
        <v>OK</v>
      </c>
      <c r="AB898" s="240" t="str">
        <f t="shared" si="109"/>
        <v>OK</v>
      </c>
      <c r="AC898" s="240" t="str" cm="1">
        <f t="array" ref="AC898">IF(AND(F898:H898&lt;&gt;"",I898=""),"ERROR","OK")</f>
        <v>OK</v>
      </c>
      <c r="AD898" s="240" t="str">
        <f t="shared" si="110"/>
        <v>OK</v>
      </c>
      <c r="AE898" s="240" t="str">
        <f t="shared" si="111"/>
        <v>OK</v>
      </c>
      <c r="AF898" s="240" t="str" cm="1">
        <f t="array" aca="1" ref="AF898" ca="1" xml:space="preserve">
IF(AND($G898&lt;&gt;"",$F898=""),"ERROR",
IF(OR($F898:$G898="",AND($G898="",$F898&lt;&gt;"")),"OK",
IF(COUNTIF(INDIRECT(IFERROR(LEFT($F898,FIND(" ",$F898)-1),$F898)), $G898)&gt;0, "OK", "ERROR")))</f>
        <v>OK</v>
      </c>
    </row>
    <row r="899" spans="1:32" s="240" customFormat="1">
      <c r="A899" s="48"/>
      <c r="B899" s="31"/>
      <c r="C899" s="48"/>
      <c r="D899" s="47"/>
      <c r="E899" s="47"/>
      <c r="F899" s="31"/>
      <c r="G899" s="31"/>
      <c r="H899" s="31"/>
      <c r="I899" s="47"/>
      <c r="J899" s="31"/>
      <c r="K899" s="47"/>
      <c r="L899" s="47"/>
      <c r="M899" s="47"/>
      <c r="N899" s="31"/>
      <c r="O899" s="47"/>
      <c r="P899" s="31"/>
      <c r="Q899" s="31"/>
      <c r="R899" s="31"/>
      <c r="S899" s="31"/>
      <c r="T899" s="270">
        <f t="shared" si="104"/>
        <v>0</v>
      </c>
      <c r="U899" s="270">
        <f t="shared" si="105"/>
        <v>0</v>
      </c>
      <c r="V899" s="31"/>
      <c r="X899" s="240" t="str">
        <f t="shared" si="106"/>
        <v>OK</v>
      </c>
      <c r="Y899" s="240" t="str">
        <f t="shared" si="107"/>
        <v>OK</v>
      </c>
      <c r="Z899" s="240" t="str">
        <f t="shared" si="108"/>
        <v>OK</v>
      </c>
      <c r="AA899" s="240" t="str" cm="1">
        <f t="array" ref="AA899">IF(OR(AND(J899="Not accepted",N899:O899&lt;&gt;"",$S899=""),AND(J899="Accepted",S899="")),"ERROR","OK")</f>
        <v>OK</v>
      </c>
      <c r="AB899" s="240" t="str">
        <f t="shared" si="109"/>
        <v>OK</v>
      </c>
      <c r="AC899" s="240" t="str" cm="1">
        <f t="array" ref="AC899">IF(AND(F899:H899&lt;&gt;"",I899=""),"ERROR","OK")</f>
        <v>OK</v>
      </c>
      <c r="AD899" s="240" t="str">
        <f t="shared" si="110"/>
        <v>OK</v>
      </c>
      <c r="AE899" s="240" t="str">
        <f t="shared" si="111"/>
        <v>OK</v>
      </c>
      <c r="AF899" s="240" t="str" cm="1">
        <f t="array" aca="1" ref="AF899" ca="1" xml:space="preserve">
IF(AND($G899&lt;&gt;"",$F899=""),"ERROR",
IF(OR($F899:$G899="",AND($G899="",$F899&lt;&gt;"")),"OK",
IF(COUNTIF(INDIRECT(IFERROR(LEFT($F899,FIND(" ",$F899)-1),$F899)), $G899)&gt;0, "OK", "ERROR")))</f>
        <v>OK</v>
      </c>
    </row>
    <row r="900" spans="1:32" s="240" customFormat="1">
      <c r="A900" s="48"/>
      <c r="B900" s="31"/>
      <c r="C900" s="48"/>
      <c r="D900" s="47"/>
      <c r="E900" s="47"/>
      <c r="F900" s="31"/>
      <c r="G900" s="31"/>
      <c r="H900" s="31"/>
      <c r="I900" s="47"/>
      <c r="J900" s="31"/>
      <c r="K900" s="47"/>
      <c r="L900" s="47"/>
      <c r="M900" s="47"/>
      <c r="N900" s="31"/>
      <c r="O900" s="47"/>
      <c r="P900" s="31"/>
      <c r="Q900" s="31"/>
      <c r="R900" s="31"/>
      <c r="S900" s="31"/>
      <c r="T900" s="270">
        <f t="shared" si="104"/>
        <v>0</v>
      </c>
      <c r="U900" s="270">
        <f t="shared" si="105"/>
        <v>0</v>
      </c>
      <c r="V900" s="31"/>
      <c r="X900" s="240" t="str">
        <f t="shared" si="106"/>
        <v>OK</v>
      </c>
      <c r="Y900" s="240" t="str">
        <f t="shared" si="107"/>
        <v>OK</v>
      </c>
      <c r="Z900" s="240" t="str">
        <f t="shared" si="108"/>
        <v>OK</v>
      </c>
      <c r="AA900" s="240" t="str" cm="1">
        <f t="array" ref="AA900">IF(OR(AND(J900="Not accepted",N900:O900&lt;&gt;"",$S900=""),AND(J900="Accepted",S900="")),"ERROR","OK")</f>
        <v>OK</v>
      </c>
      <c r="AB900" s="240" t="str">
        <f t="shared" si="109"/>
        <v>OK</v>
      </c>
      <c r="AC900" s="240" t="str" cm="1">
        <f t="array" ref="AC900">IF(AND(F900:H900&lt;&gt;"",I900=""),"ERROR","OK")</f>
        <v>OK</v>
      </c>
      <c r="AD900" s="240" t="str">
        <f t="shared" si="110"/>
        <v>OK</v>
      </c>
      <c r="AE900" s="240" t="str">
        <f t="shared" si="111"/>
        <v>OK</v>
      </c>
      <c r="AF900" s="240" t="str" cm="1">
        <f t="array" aca="1" ref="AF900" ca="1" xml:space="preserve">
IF(AND($G900&lt;&gt;"",$F900=""),"ERROR",
IF(OR($F900:$G900="",AND($G900="",$F900&lt;&gt;"")),"OK",
IF(COUNTIF(INDIRECT(IFERROR(LEFT($F900,FIND(" ",$F900)-1),$F900)), $G900)&gt;0, "OK", "ERROR")))</f>
        <v>OK</v>
      </c>
    </row>
    <row r="901" spans="1:32" s="240" customFormat="1">
      <c r="A901" s="48"/>
      <c r="B901" s="31"/>
      <c r="C901" s="48"/>
      <c r="D901" s="47"/>
      <c r="E901" s="47"/>
      <c r="F901" s="31"/>
      <c r="G901" s="31"/>
      <c r="H901" s="31"/>
      <c r="I901" s="47"/>
      <c r="J901" s="31"/>
      <c r="K901" s="47"/>
      <c r="L901" s="47"/>
      <c r="M901" s="47"/>
      <c r="N901" s="31"/>
      <c r="O901" s="47"/>
      <c r="P901" s="31"/>
      <c r="Q901" s="31"/>
      <c r="R901" s="31"/>
      <c r="S901" s="31"/>
      <c r="T901" s="270">
        <f t="shared" ref="T901:T964" si="112">IF(OR($J901="Accepted",ISBLANK($J901)),IF(AND($G901="Legacy Data",$Q901="Legacy Data"),1,IF(OR($G901="Legacy Data",$Q901="Legacy Data"),1,0)),IF(OR($N901="Agree with original translator",ISBLANK($N901)),IF(AND($G901="Source Text Data",$Q901="Legacy Data"),1,IF(AND($G901="Legacy Data",$Q901="Legacy Data"),1,IF($Q901="Legacy Data",1,0))),IF(AND($G901="Legacy Data",$Q901="Legacy Data"),1,IF(OR($Q901="Legacy Data",ISBLANK($Q901)),IF($G901&lt;&gt;"Legacy Data",IF(AND($G901="Source Text Data",$Q901="Legacy Data"),1,0),1),0))))</f>
        <v>0</v>
      </c>
      <c r="U901" s="270">
        <f t="shared" ref="U901:U964" si="113">IF(OR($J901="Accepted",ISBLANK($J901)),IF(AND($G901="Source Text Data",$Q901="Source Text Data"),1,IF(OR($G901="Source Text Data",$Q901="Source Text Data"),1,0)),IF(OR($N901="Agree with original translator",ISBLANK($N901)),IF(AND($G901="Legacy Data",$Q901="Source Text Data"),1,IF(AND($G901="Source Text Data",$Q901="Source Text Data"),1,IF($Q901="Source Text Data",1,0))),IF(AND($G901="Source Text Data",$Q901="Source Text Data"),1,IF(OR($Q901="Source Text Data",ISBLANK($Q901)),IF($G901&lt;&gt;"Source Text Data",IF(AND($G901="Legacy Data",$Q901="Source Text Data"),1,0),1),0))))</f>
        <v>0</v>
      </c>
      <c r="V901" s="31"/>
      <c r="X901" s="240" t="str">
        <f t="shared" ref="X901:X964" si="114">IF(AND(COUNTBLANK($F901:$H901)&lt;&gt;COLUMNS($F901:$H901),COUNTA($F901:$H901)&lt;&gt;COLUMNS($F901:$H901)),"ERROR","OK")</f>
        <v>OK</v>
      </c>
      <c r="Y901" s="240" t="str">
        <f t="shared" ref="Y901:Y964" si="115">IF(AND($J901="Not accepted",$K901=""),"ERROR","OK")</f>
        <v>OK</v>
      </c>
      <c r="Z901" s="240" t="str">
        <f t="shared" ref="Z901:Z964" si="116">IF(AND($F901&lt;&gt;"",$J901=""),"ERROR","OK")</f>
        <v>OK</v>
      </c>
      <c r="AA901" s="240" t="str" cm="1">
        <f t="array" ref="AA901">IF(OR(AND(J901="Not accepted",N901:O901&lt;&gt;"",$S901=""),AND(J901="Accepted",S901="")),"ERROR","OK")</f>
        <v>OK</v>
      </c>
      <c r="AB901" s="240" t="str">
        <f t="shared" ref="AB901:AB964" si="117">IF(AND($S901="Not Implemented",$V901=""),"ERROR","OK")</f>
        <v>OK</v>
      </c>
      <c r="AC901" s="240" t="str" cm="1">
        <f t="array" ref="AC901">IF(AND(F901:H901&lt;&gt;"",I901=""),"ERROR","OK")</f>
        <v>OK</v>
      </c>
      <c r="AD901" s="240" t="str">
        <f t="shared" ref="AD901:AD964" si="118">IF(AND($N901="",$J901="Not accepted",$K901&lt;&gt;""),"ERROR","OK")</f>
        <v>OK</v>
      </c>
      <c r="AE901" s="240" t="str">
        <f t="shared" ref="AE901:AE964" si="119">IF(AND($O901="",$N901&lt;&gt;""),"ERROR","OK")</f>
        <v>OK</v>
      </c>
      <c r="AF901" s="240" t="str" cm="1">
        <f t="array" aca="1" ref="AF901" ca="1" xml:space="preserve">
IF(AND($G901&lt;&gt;"",$F901=""),"ERROR",
IF(OR($F901:$G901="",AND($G901="",$F901&lt;&gt;"")),"OK",
IF(COUNTIF(INDIRECT(IFERROR(LEFT($F901,FIND(" ",$F901)-1),$F901)), $G901)&gt;0, "OK", "ERROR")))</f>
        <v>OK</v>
      </c>
    </row>
    <row r="902" spans="1:32" s="240" customFormat="1">
      <c r="A902" s="48"/>
      <c r="B902" s="31"/>
      <c r="C902" s="48"/>
      <c r="D902" s="47"/>
      <c r="E902" s="47"/>
      <c r="F902" s="31"/>
      <c r="G902" s="31"/>
      <c r="H902" s="31"/>
      <c r="I902" s="47"/>
      <c r="J902" s="31"/>
      <c r="K902" s="47"/>
      <c r="L902" s="47"/>
      <c r="M902" s="47"/>
      <c r="N902" s="31"/>
      <c r="O902" s="47"/>
      <c r="P902" s="31"/>
      <c r="Q902" s="31"/>
      <c r="R902" s="31"/>
      <c r="S902" s="31"/>
      <c r="T902" s="270">
        <f t="shared" si="112"/>
        <v>0</v>
      </c>
      <c r="U902" s="270">
        <f t="shared" si="113"/>
        <v>0</v>
      </c>
      <c r="V902" s="31"/>
      <c r="X902" s="240" t="str">
        <f t="shared" si="114"/>
        <v>OK</v>
      </c>
      <c r="Y902" s="240" t="str">
        <f t="shared" si="115"/>
        <v>OK</v>
      </c>
      <c r="Z902" s="240" t="str">
        <f t="shared" si="116"/>
        <v>OK</v>
      </c>
      <c r="AA902" s="240" t="str" cm="1">
        <f t="array" ref="AA902">IF(OR(AND(J902="Not accepted",N902:O902&lt;&gt;"",$S902=""),AND(J902="Accepted",S902="")),"ERROR","OK")</f>
        <v>OK</v>
      </c>
      <c r="AB902" s="240" t="str">
        <f t="shared" si="117"/>
        <v>OK</v>
      </c>
      <c r="AC902" s="240" t="str" cm="1">
        <f t="array" ref="AC902">IF(AND(F902:H902&lt;&gt;"",I902=""),"ERROR","OK")</f>
        <v>OK</v>
      </c>
      <c r="AD902" s="240" t="str">
        <f t="shared" si="118"/>
        <v>OK</v>
      </c>
      <c r="AE902" s="240" t="str">
        <f t="shared" si="119"/>
        <v>OK</v>
      </c>
      <c r="AF902" s="240" t="str" cm="1">
        <f t="array" aca="1" ref="AF902" ca="1" xml:space="preserve">
IF(AND($G902&lt;&gt;"",$F902=""),"ERROR",
IF(OR($F902:$G902="",AND($G902="",$F902&lt;&gt;"")),"OK",
IF(COUNTIF(INDIRECT(IFERROR(LEFT($F902,FIND(" ",$F902)-1),$F902)), $G902)&gt;0, "OK", "ERROR")))</f>
        <v>OK</v>
      </c>
    </row>
    <row r="903" spans="1:32" s="240" customFormat="1">
      <c r="A903" s="48"/>
      <c r="B903" s="31"/>
      <c r="C903" s="48"/>
      <c r="D903" s="47"/>
      <c r="E903" s="47"/>
      <c r="F903" s="31"/>
      <c r="G903" s="31"/>
      <c r="H903" s="31"/>
      <c r="I903" s="47"/>
      <c r="J903" s="31"/>
      <c r="K903" s="47"/>
      <c r="L903" s="47"/>
      <c r="M903" s="47"/>
      <c r="N903" s="31"/>
      <c r="O903" s="47"/>
      <c r="P903" s="31"/>
      <c r="Q903" s="31"/>
      <c r="R903" s="31"/>
      <c r="S903" s="31"/>
      <c r="T903" s="270">
        <f t="shared" si="112"/>
        <v>0</v>
      </c>
      <c r="U903" s="270">
        <f t="shared" si="113"/>
        <v>0</v>
      </c>
      <c r="V903" s="31"/>
      <c r="X903" s="240" t="str">
        <f t="shared" si="114"/>
        <v>OK</v>
      </c>
      <c r="Y903" s="240" t="str">
        <f t="shared" si="115"/>
        <v>OK</v>
      </c>
      <c r="Z903" s="240" t="str">
        <f t="shared" si="116"/>
        <v>OK</v>
      </c>
      <c r="AA903" s="240" t="str" cm="1">
        <f t="array" ref="AA903">IF(OR(AND(J903="Not accepted",N903:O903&lt;&gt;"",$S903=""),AND(J903="Accepted",S903="")),"ERROR","OK")</f>
        <v>OK</v>
      </c>
      <c r="AB903" s="240" t="str">
        <f t="shared" si="117"/>
        <v>OK</v>
      </c>
      <c r="AC903" s="240" t="str" cm="1">
        <f t="array" ref="AC903">IF(AND(F903:H903&lt;&gt;"",I903=""),"ERROR","OK")</f>
        <v>OK</v>
      </c>
      <c r="AD903" s="240" t="str">
        <f t="shared" si="118"/>
        <v>OK</v>
      </c>
      <c r="AE903" s="240" t="str">
        <f t="shared" si="119"/>
        <v>OK</v>
      </c>
      <c r="AF903" s="240" t="str" cm="1">
        <f t="array" aca="1" ref="AF903" ca="1" xml:space="preserve">
IF(AND($G903&lt;&gt;"",$F903=""),"ERROR",
IF(OR($F903:$G903="",AND($G903="",$F903&lt;&gt;"")),"OK",
IF(COUNTIF(INDIRECT(IFERROR(LEFT($F903,FIND(" ",$F903)-1),$F903)), $G903)&gt;0, "OK", "ERROR")))</f>
        <v>OK</v>
      </c>
    </row>
    <row r="904" spans="1:32" s="240" customFormat="1">
      <c r="A904" s="48"/>
      <c r="B904" s="31"/>
      <c r="C904" s="48"/>
      <c r="D904" s="47"/>
      <c r="E904" s="47"/>
      <c r="F904" s="31"/>
      <c r="G904" s="31"/>
      <c r="H904" s="31"/>
      <c r="I904" s="47"/>
      <c r="J904" s="31"/>
      <c r="K904" s="47"/>
      <c r="L904" s="47"/>
      <c r="M904" s="47"/>
      <c r="N904" s="31"/>
      <c r="O904" s="47"/>
      <c r="P904" s="31"/>
      <c r="Q904" s="31"/>
      <c r="R904" s="31"/>
      <c r="S904" s="31"/>
      <c r="T904" s="270">
        <f t="shared" si="112"/>
        <v>0</v>
      </c>
      <c r="U904" s="270">
        <f t="shared" si="113"/>
        <v>0</v>
      </c>
      <c r="V904" s="31"/>
      <c r="X904" s="240" t="str">
        <f t="shared" si="114"/>
        <v>OK</v>
      </c>
      <c r="Y904" s="240" t="str">
        <f t="shared" si="115"/>
        <v>OK</v>
      </c>
      <c r="Z904" s="240" t="str">
        <f t="shared" si="116"/>
        <v>OK</v>
      </c>
      <c r="AA904" s="240" t="str" cm="1">
        <f t="array" ref="AA904">IF(OR(AND(J904="Not accepted",N904:O904&lt;&gt;"",$S904=""),AND(J904="Accepted",S904="")),"ERROR","OK")</f>
        <v>OK</v>
      </c>
      <c r="AB904" s="240" t="str">
        <f t="shared" si="117"/>
        <v>OK</v>
      </c>
      <c r="AC904" s="240" t="str" cm="1">
        <f t="array" ref="AC904">IF(AND(F904:H904&lt;&gt;"",I904=""),"ERROR","OK")</f>
        <v>OK</v>
      </c>
      <c r="AD904" s="240" t="str">
        <f t="shared" si="118"/>
        <v>OK</v>
      </c>
      <c r="AE904" s="240" t="str">
        <f t="shared" si="119"/>
        <v>OK</v>
      </c>
      <c r="AF904" s="240" t="str" cm="1">
        <f t="array" aca="1" ref="AF904" ca="1" xml:space="preserve">
IF(AND($G904&lt;&gt;"",$F904=""),"ERROR",
IF(OR($F904:$G904="",AND($G904="",$F904&lt;&gt;"")),"OK",
IF(COUNTIF(INDIRECT(IFERROR(LEFT($F904,FIND(" ",$F904)-1),$F904)), $G904)&gt;0, "OK", "ERROR")))</f>
        <v>OK</v>
      </c>
    </row>
    <row r="905" spans="1:32" s="240" customFormat="1">
      <c r="A905" s="48"/>
      <c r="B905" s="31"/>
      <c r="C905" s="48"/>
      <c r="D905" s="47"/>
      <c r="E905" s="47"/>
      <c r="F905" s="31"/>
      <c r="G905" s="31"/>
      <c r="H905" s="31"/>
      <c r="I905" s="47"/>
      <c r="J905" s="31"/>
      <c r="K905" s="47"/>
      <c r="L905" s="47"/>
      <c r="M905" s="47"/>
      <c r="N905" s="31"/>
      <c r="O905" s="47"/>
      <c r="P905" s="31"/>
      <c r="Q905" s="31"/>
      <c r="R905" s="31"/>
      <c r="S905" s="31"/>
      <c r="T905" s="270">
        <f t="shared" si="112"/>
        <v>0</v>
      </c>
      <c r="U905" s="270">
        <f t="shared" si="113"/>
        <v>0</v>
      </c>
      <c r="V905" s="31"/>
      <c r="X905" s="240" t="str">
        <f t="shared" si="114"/>
        <v>OK</v>
      </c>
      <c r="Y905" s="240" t="str">
        <f t="shared" si="115"/>
        <v>OK</v>
      </c>
      <c r="Z905" s="240" t="str">
        <f t="shared" si="116"/>
        <v>OK</v>
      </c>
      <c r="AA905" s="240" t="str" cm="1">
        <f t="array" ref="AA905">IF(OR(AND(J905="Not accepted",N905:O905&lt;&gt;"",$S905=""),AND(J905="Accepted",S905="")),"ERROR","OK")</f>
        <v>OK</v>
      </c>
      <c r="AB905" s="240" t="str">
        <f t="shared" si="117"/>
        <v>OK</v>
      </c>
      <c r="AC905" s="240" t="str" cm="1">
        <f t="array" ref="AC905">IF(AND(F905:H905&lt;&gt;"",I905=""),"ERROR","OK")</f>
        <v>OK</v>
      </c>
      <c r="AD905" s="240" t="str">
        <f t="shared" si="118"/>
        <v>OK</v>
      </c>
      <c r="AE905" s="240" t="str">
        <f t="shared" si="119"/>
        <v>OK</v>
      </c>
      <c r="AF905" s="240" t="str" cm="1">
        <f t="array" aca="1" ref="AF905" ca="1" xml:space="preserve">
IF(AND($G905&lt;&gt;"",$F905=""),"ERROR",
IF(OR($F905:$G905="",AND($G905="",$F905&lt;&gt;"")),"OK",
IF(COUNTIF(INDIRECT(IFERROR(LEFT($F905,FIND(" ",$F905)-1),$F905)), $G905)&gt;0, "OK", "ERROR")))</f>
        <v>OK</v>
      </c>
    </row>
    <row r="906" spans="1:32" s="240" customFormat="1">
      <c r="A906" s="48"/>
      <c r="B906" s="31"/>
      <c r="C906" s="48"/>
      <c r="D906" s="47"/>
      <c r="E906" s="47"/>
      <c r="F906" s="31"/>
      <c r="G906" s="31"/>
      <c r="H906" s="31"/>
      <c r="I906" s="47"/>
      <c r="J906" s="31"/>
      <c r="K906" s="47"/>
      <c r="L906" s="47"/>
      <c r="M906" s="47"/>
      <c r="N906" s="31"/>
      <c r="O906" s="47"/>
      <c r="P906" s="31"/>
      <c r="Q906" s="31"/>
      <c r="R906" s="31"/>
      <c r="S906" s="31"/>
      <c r="T906" s="270">
        <f t="shared" si="112"/>
        <v>0</v>
      </c>
      <c r="U906" s="270">
        <f t="shared" si="113"/>
        <v>0</v>
      </c>
      <c r="V906" s="31"/>
      <c r="X906" s="240" t="str">
        <f t="shared" si="114"/>
        <v>OK</v>
      </c>
      <c r="Y906" s="240" t="str">
        <f t="shared" si="115"/>
        <v>OK</v>
      </c>
      <c r="Z906" s="240" t="str">
        <f t="shared" si="116"/>
        <v>OK</v>
      </c>
      <c r="AA906" s="240" t="str" cm="1">
        <f t="array" ref="AA906">IF(OR(AND(J906="Not accepted",N906:O906&lt;&gt;"",$S906=""),AND(J906="Accepted",S906="")),"ERROR","OK")</f>
        <v>OK</v>
      </c>
      <c r="AB906" s="240" t="str">
        <f t="shared" si="117"/>
        <v>OK</v>
      </c>
      <c r="AC906" s="240" t="str" cm="1">
        <f t="array" ref="AC906">IF(AND(F906:H906&lt;&gt;"",I906=""),"ERROR","OK")</f>
        <v>OK</v>
      </c>
      <c r="AD906" s="240" t="str">
        <f t="shared" si="118"/>
        <v>OK</v>
      </c>
      <c r="AE906" s="240" t="str">
        <f t="shared" si="119"/>
        <v>OK</v>
      </c>
      <c r="AF906" s="240" t="str" cm="1">
        <f t="array" aca="1" ref="AF906" ca="1" xml:space="preserve">
IF(AND($G906&lt;&gt;"",$F906=""),"ERROR",
IF(OR($F906:$G906="",AND($G906="",$F906&lt;&gt;"")),"OK",
IF(COUNTIF(INDIRECT(IFERROR(LEFT($F906,FIND(" ",$F906)-1),$F906)), $G906)&gt;0, "OK", "ERROR")))</f>
        <v>OK</v>
      </c>
    </row>
    <row r="907" spans="1:32" s="240" customFormat="1">
      <c r="A907" s="48"/>
      <c r="B907" s="31"/>
      <c r="C907" s="48"/>
      <c r="D907" s="47"/>
      <c r="E907" s="47"/>
      <c r="F907" s="31"/>
      <c r="G907" s="31"/>
      <c r="H907" s="31"/>
      <c r="I907" s="47"/>
      <c r="J907" s="31"/>
      <c r="K907" s="47"/>
      <c r="L907" s="47"/>
      <c r="M907" s="47"/>
      <c r="N907" s="31"/>
      <c r="O907" s="47"/>
      <c r="P907" s="31"/>
      <c r="Q907" s="31"/>
      <c r="R907" s="31"/>
      <c r="S907" s="31"/>
      <c r="T907" s="270">
        <f t="shared" si="112"/>
        <v>0</v>
      </c>
      <c r="U907" s="270">
        <f t="shared" si="113"/>
        <v>0</v>
      </c>
      <c r="V907" s="31"/>
      <c r="X907" s="240" t="str">
        <f t="shared" si="114"/>
        <v>OK</v>
      </c>
      <c r="Y907" s="240" t="str">
        <f t="shared" si="115"/>
        <v>OK</v>
      </c>
      <c r="Z907" s="240" t="str">
        <f t="shared" si="116"/>
        <v>OK</v>
      </c>
      <c r="AA907" s="240" t="str" cm="1">
        <f t="array" ref="AA907">IF(OR(AND(J907="Not accepted",N907:O907&lt;&gt;"",$S907=""),AND(J907="Accepted",S907="")),"ERROR","OK")</f>
        <v>OK</v>
      </c>
      <c r="AB907" s="240" t="str">
        <f t="shared" si="117"/>
        <v>OK</v>
      </c>
      <c r="AC907" s="240" t="str" cm="1">
        <f t="array" ref="AC907">IF(AND(F907:H907&lt;&gt;"",I907=""),"ERROR","OK")</f>
        <v>OK</v>
      </c>
      <c r="AD907" s="240" t="str">
        <f t="shared" si="118"/>
        <v>OK</v>
      </c>
      <c r="AE907" s="240" t="str">
        <f t="shared" si="119"/>
        <v>OK</v>
      </c>
      <c r="AF907" s="240" t="str" cm="1">
        <f t="array" aca="1" ref="AF907" ca="1" xml:space="preserve">
IF(AND($G907&lt;&gt;"",$F907=""),"ERROR",
IF(OR($F907:$G907="",AND($G907="",$F907&lt;&gt;"")),"OK",
IF(COUNTIF(INDIRECT(IFERROR(LEFT($F907,FIND(" ",$F907)-1),$F907)), $G907)&gt;0, "OK", "ERROR")))</f>
        <v>OK</v>
      </c>
    </row>
    <row r="908" spans="1:32" s="240" customFormat="1">
      <c r="A908" s="48"/>
      <c r="B908" s="31"/>
      <c r="C908" s="48"/>
      <c r="D908" s="47"/>
      <c r="E908" s="47"/>
      <c r="F908" s="31"/>
      <c r="G908" s="31"/>
      <c r="H908" s="31"/>
      <c r="I908" s="47"/>
      <c r="J908" s="31"/>
      <c r="K908" s="47"/>
      <c r="L908" s="47"/>
      <c r="M908" s="47"/>
      <c r="N908" s="31"/>
      <c r="O908" s="47"/>
      <c r="P908" s="31"/>
      <c r="Q908" s="31"/>
      <c r="R908" s="31"/>
      <c r="S908" s="31"/>
      <c r="T908" s="270">
        <f t="shared" si="112"/>
        <v>0</v>
      </c>
      <c r="U908" s="270">
        <f t="shared" si="113"/>
        <v>0</v>
      </c>
      <c r="V908" s="31"/>
      <c r="X908" s="240" t="str">
        <f t="shared" si="114"/>
        <v>OK</v>
      </c>
      <c r="Y908" s="240" t="str">
        <f t="shared" si="115"/>
        <v>OK</v>
      </c>
      <c r="Z908" s="240" t="str">
        <f t="shared" si="116"/>
        <v>OK</v>
      </c>
      <c r="AA908" s="240" t="str" cm="1">
        <f t="array" ref="AA908">IF(OR(AND(J908="Not accepted",N908:O908&lt;&gt;"",$S908=""),AND(J908="Accepted",S908="")),"ERROR","OK")</f>
        <v>OK</v>
      </c>
      <c r="AB908" s="240" t="str">
        <f t="shared" si="117"/>
        <v>OK</v>
      </c>
      <c r="AC908" s="240" t="str" cm="1">
        <f t="array" ref="AC908">IF(AND(F908:H908&lt;&gt;"",I908=""),"ERROR","OK")</f>
        <v>OK</v>
      </c>
      <c r="AD908" s="240" t="str">
        <f t="shared" si="118"/>
        <v>OK</v>
      </c>
      <c r="AE908" s="240" t="str">
        <f t="shared" si="119"/>
        <v>OK</v>
      </c>
      <c r="AF908" s="240" t="str" cm="1">
        <f t="array" aca="1" ref="AF908" ca="1" xml:space="preserve">
IF(AND($G908&lt;&gt;"",$F908=""),"ERROR",
IF(OR($F908:$G908="",AND($G908="",$F908&lt;&gt;"")),"OK",
IF(COUNTIF(INDIRECT(IFERROR(LEFT($F908,FIND(" ",$F908)-1),$F908)), $G908)&gt;0, "OK", "ERROR")))</f>
        <v>OK</v>
      </c>
    </row>
    <row r="909" spans="1:32" s="240" customFormat="1">
      <c r="A909" s="48"/>
      <c r="B909" s="31"/>
      <c r="C909" s="48"/>
      <c r="D909" s="47"/>
      <c r="E909" s="47"/>
      <c r="F909" s="31"/>
      <c r="G909" s="31"/>
      <c r="H909" s="31"/>
      <c r="I909" s="47"/>
      <c r="J909" s="31"/>
      <c r="K909" s="47"/>
      <c r="L909" s="47"/>
      <c r="M909" s="47"/>
      <c r="N909" s="31"/>
      <c r="O909" s="47"/>
      <c r="P909" s="31"/>
      <c r="Q909" s="31"/>
      <c r="R909" s="31"/>
      <c r="S909" s="31"/>
      <c r="T909" s="270">
        <f t="shared" si="112"/>
        <v>0</v>
      </c>
      <c r="U909" s="270">
        <f t="shared" si="113"/>
        <v>0</v>
      </c>
      <c r="V909" s="31"/>
      <c r="X909" s="240" t="str">
        <f t="shared" si="114"/>
        <v>OK</v>
      </c>
      <c r="Y909" s="240" t="str">
        <f t="shared" si="115"/>
        <v>OK</v>
      </c>
      <c r="Z909" s="240" t="str">
        <f t="shared" si="116"/>
        <v>OK</v>
      </c>
      <c r="AA909" s="240" t="str" cm="1">
        <f t="array" ref="AA909">IF(OR(AND(J909="Not accepted",N909:O909&lt;&gt;"",$S909=""),AND(J909="Accepted",S909="")),"ERROR","OK")</f>
        <v>OK</v>
      </c>
      <c r="AB909" s="240" t="str">
        <f t="shared" si="117"/>
        <v>OK</v>
      </c>
      <c r="AC909" s="240" t="str" cm="1">
        <f t="array" ref="AC909">IF(AND(F909:H909&lt;&gt;"",I909=""),"ERROR","OK")</f>
        <v>OK</v>
      </c>
      <c r="AD909" s="240" t="str">
        <f t="shared" si="118"/>
        <v>OK</v>
      </c>
      <c r="AE909" s="240" t="str">
        <f t="shared" si="119"/>
        <v>OK</v>
      </c>
      <c r="AF909" s="240" t="str" cm="1">
        <f t="array" aca="1" ref="AF909" ca="1" xml:space="preserve">
IF(AND($G909&lt;&gt;"",$F909=""),"ERROR",
IF(OR($F909:$G909="",AND($G909="",$F909&lt;&gt;"")),"OK",
IF(COUNTIF(INDIRECT(IFERROR(LEFT($F909,FIND(" ",$F909)-1),$F909)), $G909)&gt;0, "OK", "ERROR")))</f>
        <v>OK</v>
      </c>
    </row>
    <row r="910" spans="1:32" s="240" customFormat="1">
      <c r="A910" s="48"/>
      <c r="B910" s="31"/>
      <c r="C910" s="48"/>
      <c r="D910" s="47"/>
      <c r="E910" s="47"/>
      <c r="F910" s="31"/>
      <c r="G910" s="31"/>
      <c r="H910" s="31"/>
      <c r="I910" s="47"/>
      <c r="J910" s="31"/>
      <c r="K910" s="47"/>
      <c r="L910" s="47"/>
      <c r="M910" s="47"/>
      <c r="N910" s="31"/>
      <c r="O910" s="47"/>
      <c r="P910" s="31"/>
      <c r="Q910" s="31"/>
      <c r="R910" s="31"/>
      <c r="S910" s="31"/>
      <c r="T910" s="270">
        <f t="shared" si="112"/>
        <v>0</v>
      </c>
      <c r="U910" s="270">
        <f t="shared" si="113"/>
        <v>0</v>
      </c>
      <c r="V910" s="31"/>
      <c r="X910" s="240" t="str">
        <f t="shared" si="114"/>
        <v>OK</v>
      </c>
      <c r="Y910" s="240" t="str">
        <f t="shared" si="115"/>
        <v>OK</v>
      </c>
      <c r="Z910" s="240" t="str">
        <f t="shared" si="116"/>
        <v>OK</v>
      </c>
      <c r="AA910" s="240" t="str" cm="1">
        <f t="array" ref="AA910">IF(OR(AND(J910="Not accepted",N910:O910&lt;&gt;"",$S910=""),AND(J910="Accepted",S910="")),"ERROR","OK")</f>
        <v>OK</v>
      </c>
      <c r="AB910" s="240" t="str">
        <f t="shared" si="117"/>
        <v>OK</v>
      </c>
      <c r="AC910" s="240" t="str" cm="1">
        <f t="array" ref="AC910">IF(AND(F910:H910&lt;&gt;"",I910=""),"ERROR","OK")</f>
        <v>OK</v>
      </c>
      <c r="AD910" s="240" t="str">
        <f t="shared" si="118"/>
        <v>OK</v>
      </c>
      <c r="AE910" s="240" t="str">
        <f t="shared" si="119"/>
        <v>OK</v>
      </c>
      <c r="AF910" s="240" t="str" cm="1">
        <f t="array" aca="1" ref="AF910" ca="1" xml:space="preserve">
IF(AND($G910&lt;&gt;"",$F910=""),"ERROR",
IF(OR($F910:$G910="",AND($G910="",$F910&lt;&gt;"")),"OK",
IF(COUNTIF(INDIRECT(IFERROR(LEFT($F910,FIND(" ",$F910)-1),$F910)), $G910)&gt;0, "OK", "ERROR")))</f>
        <v>OK</v>
      </c>
    </row>
    <row r="911" spans="1:32" s="240" customFormat="1">
      <c r="A911" s="48"/>
      <c r="B911" s="31"/>
      <c r="C911" s="48"/>
      <c r="D911" s="47"/>
      <c r="E911" s="47"/>
      <c r="F911" s="31"/>
      <c r="G911" s="31"/>
      <c r="H911" s="31"/>
      <c r="I911" s="47"/>
      <c r="J911" s="31"/>
      <c r="K911" s="47"/>
      <c r="L911" s="47"/>
      <c r="M911" s="47"/>
      <c r="N911" s="31"/>
      <c r="O911" s="47"/>
      <c r="P911" s="31"/>
      <c r="Q911" s="31"/>
      <c r="R911" s="31"/>
      <c r="S911" s="31"/>
      <c r="T911" s="270">
        <f t="shared" si="112"/>
        <v>0</v>
      </c>
      <c r="U911" s="270">
        <f t="shared" si="113"/>
        <v>0</v>
      </c>
      <c r="V911" s="31"/>
      <c r="X911" s="240" t="str">
        <f t="shared" si="114"/>
        <v>OK</v>
      </c>
      <c r="Y911" s="240" t="str">
        <f t="shared" si="115"/>
        <v>OK</v>
      </c>
      <c r="Z911" s="240" t="str">
        <f t="shared" si="116"/>
        <v>OK</v>
      </c>
      <c r="AA911" s="240" t="str" cm="1">
        <f t="array" ref="AA911">IF(OR(AND(J911="Not accepted",N911:O911&lt;&gt;"",$S911=""),AND(J911="Accepted",S911="")),"ERROR","OK")</f>
        <v>OK</v>
      </c>
      <c r="AB911" s="240" t="str">
        <f t="shared" si="117"/>
        <v>OK</v>
      </c>
      <c r="AC911" s="240" t="str" cm="1">
        <f t="array" ref="AC911">IF(AND(F911:H911&lt;&gt;"",I911=""),"ERROR","OK")</f>
        <v>OK</v>
      </c>
      <c r="AD911" s="240" t="str">
        <f t="shared" si="118"/>
        <v>OK</v>
      </c>
      <c r="AE911" s="240" t="str">
        <f t="shared" si="119"/>
        <v>OK</v>
      </c>
      <c r="AF911" s="240" t="str" cm="1">
        <f t="array" aca="1" ref="AF911" ca="1" xml:space="preserve">
IF(AND($G911&lt;&gt;"",$F911=""),"ERROR",
IF(OR($F911:$G911="",AND($G911="",$F911&lt;&gt;"")),"OK",
IF(COUNTIF(INDIRECT(IFERROR(LEFT($F911,FIND(" ",$F911)-1),$F911)), $G911)&gt;0, "OK", "ERROR")))</f>
        <v>OK</v>
      </c>
    </row>
    <row r="912" spans="1:32" s="240" customFormat="1">
      <c r="A912" s="48"/>
      <c r="B912" s="31"/>
      <c r="C912" s="48"/>
      <c r="D912" s="47"/>
      <c r="E912" s="47"/>
      <c r="F912" s="31"/>
      <c r="G912" s="31"/>
      <c r="H912" s="31"/>
      <c r="I912" s="47"/>
      <c r="J912" s="31"/>
      <c r="K912" s="47"/>
      <c r="L912" s="47"/>
      <c r="M912" s="47"/>
      <c r="N912" s="31"/>
      <c r="O912" s="47"/>
      <c r="P912" s="31"/>
      <c r="Q912" s="31"/>
      <c r="R912" s="31"/>
      <c r="S912" s="31"/>
      <c r="T912" s="270">
        <f t="shared" si="112"/>
        <v>0</v>
      </c>
      <c r="U912" s="270">
        <f t="shared" si="113"/>
        <v>0</v>
      </c>
      <c r="V912" s="31"/>
      <c r="X912" s="240" t="str">
        <f t="shared" si="114"/>
        <v>OK</v>
      </c>
      <c r="Y912" s="240" t="str">
        <f t="shared" si="115"/>
        <v>OK</v>
      </c>
      <c r="Z912" s="240" t="str">
        <f t="shared" si="116"/>
        <v>OK</v>
      </c>
      <c r="AA912" s="240" t="str" cm="1">
        <f t="array" ref="AA912">IF(OR(AND(J912="Not accepted",N912:O912&lt;&gt;"",$S912=""),AND(J912="Accepted",S912="")),"ERROR","OK")</f>
        <v>OK</v>
      </c>
      <c r="AB912" s="240" t="str">
        <f t="shared" si="117"/>
        <v>OK</v>
      </c>
      <c r="AC912" s="240" t="str" cm="1">
        <f t="array" ref="AC912">IF(AND(F912:H912&lt;&gt;"",I912=""),"ERROR","OK")</f>
        <v>OK</v>
      </c>
      <c r="AD912" s="240" t="str">
        <f t="shared" si="118"/>
        <v>OK</v>
      </c>
      <c r="AE912" s="240" t="str">
        <f t="shared" si="119"/>
        <v>OK</v>
      </c>
      <c r="AF912" s="240" t="str" cm="1">
        <f t="array" aca="1" ref="AF912" ca="1" xml:space="preserve">
IF(AND($G912&lt;&gt;"",$F912=""),"ERROR",
IF(OR($F912:$G912="",AND($G912="",$F912&lt;&gt;"")),"OK",
IF(COUNTIF(INDIRECT(IFERROR(LEFT($F912,FIND(" ",$F912)-1),$F912)), $G912)&gt;0, "OK", "ERROR")))</f>
        <v>OK</v>
      </c>
    </row>
    <row r="913" spans="1:32" s="240" customFormat="1">
      <c r="A913" s="48"/>
      <c r="B913" s="31"/>
      <c r="C913" s="48"/>
      <c r="D913" s="47"/>
      <c r="E913" s="47"/>
      <c r="F913" s="31"/>
      <c r="G913" s="31"/>
      <c r="H913" s="31"/>
      <c r="I913" s="47"/>
      <c r="J913" s="31"/>
      <c r="K913" s="47"/>
      <c r="L913" s="47"/>
      <c r="M913" s="47"/>
      <c r="N913" s="31"/>
      <c r="O913" s="47"/>
      <c r="P913" s="31"/>
      <c r="Q913" s="31"/>
      <c r="R913" s="31"/>
      <c r="S913" s="31"/>
      <c r="T913" s="270">
        <f t="shared" si="112"/>
        <v>0</v>
      </c>
      <c r="U913" s="270">
        <f t="shared" si="113"/>
        <v>0</v>
      </c>
      <c r="V913" s="31"/>
      <c r="X913" s="240" t="str">
        <f t="shared" si="114"/>
        <v>OK</v>
      </c>
      <c r="Y913" s="240" t="str">
        <f t="shared" si="115"/>
        <v>OK</v>
      </c>
      <c r="Z913" s="240" t="str">
        <f t="shared" si="116"/>
        <v>OK</v>
      </c>
      <c r="AA913" s="240" t="str" cm="1">
        <f t="array" ref="AA913">IF(OR(AND(J913="Not accepted",N913:O913&lt;&gt;"",$S913=""),AND(J913="Accepted",S913="")),"ERROR","OK")</f>
        <v>OK</v>
      </c>
      <c r="AB913" s="240" t="str">
        <f t="shared" si="117"/>
        <v>OK</v>
      </c>
      <c r="AC913" s="240" t="str" cm="1">
        <f t="array" ref="AC913">IF(AND(F913:H913&lt;&gt;"",I913=""),"ERROR","OK")</f>
        <v>OK</v>
      </c>
      <c r="AD913" s="240" t="str">
        <f t="shared" si="118"/>
        <v>OK</v>
      </c>
      <c r="AE913" s="240" t="str">
        <f t="shared" si="119"/>
        <v>OK</v>
      </c>
      <c r="AF913" s="240" t="str" cm="1">
        <f t="array" aca="1" ref="AF913" ca="1" xml:space="preserve">
IF(AND($G913&lt;&gt;"",$F913=""),"ERROR",
IF(OR($F913:$G913="",AND($G913="",$F913&lt;&gt;"")),"OK",
IF(COUNTIF(INDIRECT(IFERROR(LEFT($F913,FIND(" ",$F913)-1),$F913)), $G913)&gt;0, "OK", "ERROR")))</f>
        <v>OK</v>
      </c>
    </row>
    <row r="914" spans="1:32" s="240" customFormat="1">
      <c r="A914" s="48"/>
      <c r="B914" s="31"/>
      <c r="C914" s="48"/>
      <c r="D914" s="47"/>
      <c r="E914" s="47"/>
      <c r="F914" s="31"/>
      <c r="G914" s="31"/>
      <c r="H914" s="31"/>
      <c r="I914" s="47"/>
      <c r="J914" s="31"/>
      <c r="K914" s="47"/>
      <c r="L914" s="47"/>
      <c r="M914" s="47"/>
      <c r="N914" s="31"/>
      <c r="O914" s="47"/>
      <c r="P914" s="31"/>
      <c r="Q914" s="31"/>
      <c r="R914" s="31"/>
      <c r="S914" s="31"/>
      <c r="T914" s="270">
        <f t="shared" si="112"/>
        <v>0</v>
      </c>
      <c r="U914" s="270">
        <f t="shared" si="113"/>
        <v>0</v>
      </c>
      <c r="V914" s="31"/>
      <c r="X914" s="240" t="str">
        <f t="shared" si="114"/>
        <v>OK</v>
      </c>
      <c r="Y914" s="240" t="str">
        <f t="shared" si="115"/>
        <v>OK</v>
      </c>
      <c r="Z914" s="240" t="str">
        <f t="shared" si="116"/>
        <v>OK</v>
      </c>
      <c r="AA914" s="240" t="str" cm="1">
        <f t="array" ref="AA914">IF(OR(AND(J914="Not accepted",N914:O914&lt;&gt;"",$S914=""),AND(J914="Accepted",S914="")),"ERROR","OK")</f>
        <v>OK</v>
      </c>
      <c r="AB914" s="240" t="str">
        <f t="shared" si="117"/>
        <v>OK</v>
      </c>
      <c r="AC914" s="240" t="str" cm="1">
        <f t="array" ref="AC914">IF(AND(F914:H914&lt;&gt;"",I914=""),"ERROR","OK")</f>
        <v>OK</v>
      </c>
      <c r="AD914" s="240" t="str">
        <f t="shared" si="118"/>
        <v>OK</v>
      </c>
      <c r="AE914" s="240" t="str">
        <f t="shared" si="119"/>
        <v>OK</v>
      </c>
      <c r="AF914" s="240" t="str" cm="1">
        <f t="array" aca="1" ref="AF914" ca="1" xml:space="preserve">
IF(AND($G914&lt;&gt;"",$F914=""),"ERROR",
IF(OR($F914:$G914="",AND($G914="",$F914&lt;&gt;"")),"OK",
IF(COUNTIF(INDIRECT(IFERROR(LEFT($F914,FIND(" ",$F914)-1),$F914)), $G914)&gt;0, "OK", "ERROR")))</f>
        <v>OK</v>
      </c>
    </row>
    <row r="915" spans="1:32" s="240" customFormat="1">
      <c r="A915" s="48"/>
      <c r="B915" s="31"/>
      <c r="C915" s="48"/>
      <c r="D915" s="47"/>
      <c r="E915" s="47"/>
      <c r="F915" s="31"/>
      <c r="G915" s="31"/>
      <c r="H915" s="31"/>
      <c r="I915" s="47"/>
      <c r="J915" s="31"/>
      <c r="K915" s="47"/>
      <c r="L915" s="47"/>
      <c r="M915" s="47"/>
      <c r="N915" s="31"/>
      <c r="O915" s="47"/>
      <c r="P915" s="31"/>
      <c r="Q915" s="31"/>
      <c r="R915" s="31"/>
      <c r="S915" s="31"/>
      <c r="T915" s="270">
        <f t="shared" si="112"/>
        <v>0</v>
      </c>
      <c r="U915" s="270">
        <f t="shared" si="113"/>
        <v>0</v>
      </c>
      <c r="V915" s="31"/>
      <c r="X915" s="240" t="str">
        <f t="shared" si="114"/>
        <v>OK</v>
      </c>
      <c r="Y915" s="240" t="str">
        <f t="shared" si="115"/>
        <v>OK</v>
      </c>
      <c r="Z915" s="240" t="str">
        <f t="shared" si="116"/>
        <v>OK</v>
      </c>
      <c r="AA915" s="240" t="str" cm="1">
        <f t="array" ref="AA915">IF(OR(AND(J915="Not accepted",N915:O915&lt;&gt;"",$S915=""),AND(J915="Accepted",S915="")),"ERROR","OK")</f>
        <v>OK</v>
      </c>
      <c r="AB915" s="240" t="str">
        <f t="shared" si="117"/>
        <v>OK</v>
      </c>
      <c r="AC915" s="240" t="str" cm="1">
        <f t="array" ref="AC915">IF(AND(F915:H915&lt;&gt;"",I915=""),"ERROR","OK")</f>
        <v>OK</v>
      </c>
      <c r="AD915" s="240" t="str">
        <f t="shared" si="118"/>
        <v>OK</v>
      </c>
      <c r="AE915" s="240" t="str">
        <f t="shared" si="119"/>
        <v>OK</v>
      </c>
      <c r="AF915" s="240" t="str" cm="1">
        <f t="array" aca="1" ref="AF915" ca="1" xml:space="preserve">
IF(AND($G915&lt;&gt;"",$F915=""),"ERROR",
IF(OR($F915:$G915="",AND($G915="",$F915&lt;&gt;"")),"OK",
IF(COUNTIF(INDIRECT(IFERROR(LEFT($F915,FIND(" ",$F915)-1),$F915)), $G915)&gt;0, "OK", "ERROR")))</f>
        <v>OK</v>
      </c>
    </row>
    <row r="916" spans="1:32" s="240" customFormat="1">
      <c r="A916" s="48"/>
      <c r="B916" s="31"/>
      <c r="C916" s="48"/>
      <c r="D916" s="47"/>
      <c r="E916" s="47"/>
      <c r="F916" s="31"/>
      <c r="G916" s="31"/>
      <c r="H916" s="31"/>
      <c r="I916" s="47"/>
      <c r="J916" s="31"/>
      <c r="K916" s="47"/>
      <c r="L916" s="47"/>
      <c r="M916" s="47"/>
      <c r="N916" s="31"/>
      <c r="O916" s="47"/>
      <c r="P916" s="31"/>
      <c r="Q916" s="31"/>
      <c r="R916" s="31"/>
      <c r="S916" s="31"/>
      <c r="T916" s="270">
        <f t="shared" si="112"/>
        <v>0</v>
      </c>
      <c r="U916" s="270">
        <f t="shared" si="113"/>
        <v>0</v>
      </c>
      <c r="V916" s="31"/>
      <c r="X916" s="240" t="str">
        <f t="shared" si="114"/>
        <v>OK</v>
      </c>
      <c r="Y916" s="240" t="str">
        <f t="shared" si="115"/>
        <v>OK</v>
      </c>
      <c r="Z916" s="240" t="str">
        <f t="shared" si="116"/>
        <v>OK</v>
      </c>
      <c r="AA916" s="240" t="str" cm="1">
        <f t="array" ref="AA916">IF(OR(AND(J916="Not accepted",N916:O916&lt;&gt;"",$S916=""),AND(J916="Accepted",S916="")),"ERROR","OK")</f>
        <v>OK</v>
      </c>
      <c r="AB916" s="240" t="str">
        <f t="shared" si="117"/>
        <v>OK</v>
      </c>
      <c r="AC916" s="240" t="str" cm="1">
        <f t="array" ref="AC916">IF(AND(F916:H916&lt;&gt;"",I916=""),"ERROR","OK")</f>
        <v>OK</v>
      </c>
      <c r="AD916" s="240" t="str">
        <f t="shared" si="118"/>
        <v>OK</v>
      </c>
      <c r="AE916" s="240" t="str">
        <f t="shared" si="119"/>
        <v>OK</v>
      </c>
      <c r="AF916" s="240" t="str" cm="1">
        <f t="array" aca="1" ref="AF916" ca="1" xml:space="preserve">
IF(AND($G916&lt;&gt;"",$F916=""),"ERROR",
IF(OR($F916:$G916="",AND($G916="",$F916&lt;&gt;"")),"OK",
IF(COUNTIF(INDIRECT(IFERROR(LEFT($F916,FIND(" ",$F916)-1),$F916)), $G916)&gt;0, "OK", "ERROR")))</f>
        <v>OK</v>
      </c>
    </row>
    <row r="917" spans="1:32" s="240" customFormat="1">
      <c r="A917" s="48"/>
      <c r="B917" s="31"/>
      <c r="C917" s="48"/>
      <c r="D917" s="47"/>
      <c r="E917" s="47"/>
      <c r="F917" s="31"/>
      <c r="G917" s="31"/>
      <c r="H917" s="31"/>
      <c r="I917" s="47"/>
      <c r="J917" s="31"/>
      <c r="K917" s="47"/>
      <c r="L917" s="47"/>
      <c r="M917" s="47"/>
      <c r="N917" s="31"/>
      <c r="O917" s="47"/>
      <c r="P917" s="31"/>
      <c r="Q917" s="31"/>
      <c r="R917" s="31"/>
      <c r="S917" s="31"/>
      <c r="T917" s="270">
        <f t="shared" si="112"/>
        <v>0</v>
      </c>
      <c r="U917" s="270">
        <f t="shared" si="113"/>
        <v>0</v>
      </c>
      <c r="V917" s="31"/>
      <c r="X917" s="240" t="str">
        <f t="shared" si="114"/>
        <v>OK</v>
      </c>
      <c r="Y917" s="240" t="str">
        <f t="shared" si="115"/>
        <v>OK</v>
      </c>
      <c r="Z917" s="240" t="str">
        <f t="shared" si="116"/>
        <v>OK</v>
      </c>
      <c r="AA917" s="240" t="str" cm="1">
        <f t="array" ref="AA917">IF(OR(AND(J917="Not accepted",N917:O917&lt;&gt;"",$S917=""),AND(J917="Accepted",S917="")),"ERROR","OK")</f>
        <v>OK</v>
      </c>
      <c r="AB917" s="240" t="str">
        <f t="shared" si="117"/>
        <v>OK</v>
      </c>
      <c r="AC917" s="240" t="str" cm="1">
        <f t="array" ref="AC917">IF(AND(F917:H917&lt;&gt;"",I917=""),"ERROR","OK")</f>
        <v>OK</v>
      </c>
      <c r="AD917" s="240" t="str">
        <f t="shared" si="118"/>
        <v>OK</v>
      </c>
      <c r="AE917" s="240" t="str">
        <f t="shared" si="119"/>
        <v>OK</v>
      </c>
      <c r="AF917" s="240" t="str" cm="1">
        <f t="array" aca="1" ref="AF917" ca="1" xml:space="preserve">
IF(AND($G917&lt;&gt;"",$F917=""),"ERROR",
IF(OR($F917:$G917="",AND($G917="",$F917&lt;&gt;"")),"OK",
IF(COUNTIF(INDIRECT(IFERROR(LEFT($F917,FIND(" ",$F917)-1),$F917)), $G917)&gt;0, "OK", "ERROR")))</f>
        <v>OK</v>
      </c>
    </row>
    <row r="918" spans="1:32" s="240" customFormat="1">
      <c r="A918" s="48"/>
      <c r="B918" s="31"/>
      <c r="C918" s="48"/>
      <c r="D918" s="47"/>
      <c r="E918" s="47"/>
      <c r="F918" s="31"/>
      <c r="G918" s="31"/>
      <c r="H918" s="31"/>
      <c r="I918" s="47"/>
      <c r="J918" s="31"/>
      <c r="K918" s="47"/>
      <c r="L918" s="47"/>
      <c r="M918" s="47"/>
      <c r="N918" s="31"/>
      <c r="O918" s="47"/>
      <c r="P918" s="31"/>
      <c r="Q918" s="31"/>
      <c r="R918" s="31"/>
      <c r="S918" s="31"/>
      <c r="T918" s="270">
        <f t="shared" si="112"/>
        <v>0</v>
      </c>
      <c r="U918" s="270">
        <f t="shared" si="113"/>
        <v>0</v>
      </c>
      <c r="V918" s="31"/>
      <c r="X918" s="240" t="str">
        <f t="shared" si="114"/>
        <v>OK</v>
      </c>
      <c r="Y918" s="240" t="str">
        <f t="shared" si="115"/>
        <v>OK</v>
      </c>
      <c r="Z918" s="240" t="str">
        <f t="shared" si="116"/>
        <v>OK</v>
      </c>
      <c r="AA918" s="240" t="str" cm="1">
        <f t="array" ref="AA918">IF(OR(AND(J918="Not accepted",N918:O918&lt;&gt;"",$S918=""),AND(J918="Accepted",S918="")),"ERROR","OK")</f>
        <v>OK</v>
      </c>
      <c r="AB918" s="240" t="str">
        <f t="shared" si="117"/>
        <v>OK</v>
      </c>
      <c r="AC918" s="240" t="str" cm="1">
        <f t="array" ref="AC918">IF(AND(F918:H918&lt;&gt;"",I918=""),"ERROR","OK")</f>
        <v>OK</v>
      </c>
      <c r="AD918" s="240" t="str">
        <f t="shared" si="118"/>
        <v>OK</v>
      </c>
      <c r="AE918" s="240" t="str">
        <f t="shared" si="119"/>
        <v>OK</v>
      </c>
      <c r="AF918" s="240" t="str" cm="1">
        <f t="array" aca="1" ref="AF918" ca="1" xml:space="preserve">
IF(AND($G918&lt;&gt;"",$F918=""),"ERROR",
IF(OR($F918:$G918="",AND($G918="",$F918&lt;&gt;"")),"OK",
IF(COUNTIF(INDIRECT(IFERROR(LEFT($F918,FIND(" ",$F918)-1),$F918)), $G918)&gt;0, "OK", "ERROR")))</f>
        <v>OK</v>
      </c>
    </row>
    <row r="919" spans="1:32" s="240" customFormat="1">
      <c r="A919" s="48"/>
      <c r="B919" s="31"/>
      <c r="C919" s="48"/>
      <c r="D919" s="47"/>
      <c r="E919" s="47"/>
      <c r="F919" s="31"/>
      <c r="G919" s="31"/>
      <c r="H919" s="31"/>
      <c r="I919" s="47"/>
      <c r="J919" s="31"/>
      <c r="K919" s="47"/>
      <c r="L919" s="47"/>
      <c r="M919" s="47"/>
      <c r="N919" s="31"/>
      <c r="O919" s="47"/>
      <c r="P919" s="31"/>
      <c r="Q919" s="31"/>
      <c r="R919" s="31"/>
      <c r="S919" s="31"/>
      <c r="T919" s="270">
        <f t="shared" si="112"/>
        <v>0</v>
      </c>
      <c r="U919" s="270">
        <f t="shared" si="113"/>
        <v>0</v>
      </c>
      <c r="V919" s="31"/>
      <c r="X919" s="240" t="str">
        <f t="shared" si="114"/>
        <v>OK</v>
      </c>
      <c r="Y919" s="240" t="str">
        <f t="shared" si="115"/>
        <v>OK</v>
      </c>
      <c r="Z919" s="240" t="str">
        <f t="shared" si="116"/>
        <v>OK</v>
      </c>
      <c r="AA919" s="240" t="str" cm="1">
        <f t="array" ref="AA919">IF(OR(AND(J919="Not accepted",N919:O919&lt;&gt;"",$S919=""),AND(J919="Accepted",S919="")),"ERROR","OK")</f>
        <v>OK</v>
      </c>
      <c r="AB919" s="240" t="str">
        <f t="shared" si="117"/>
        <v>OK</v>
      </c>
      <c r="AC919" s="240" t="str" cm="1">
        <f t="array" ref="AC919">IF(AND(F919:H919&lt;&gt;"",I919=""),"ERROR","OK")</f>
        <v>OK</v>
      </c>
      <c r="AD919" s="240" t="str">
        <f t="shared" si="118"/>
        <v>OK</v>
      </c>
      <c r="AE919" s="240" t="str">
        <f t="shared" si="119"/>
        <v>OK</v>
      </c>
      <c r="AF919" s="240" t="str" cm="1">
        <f t="array" aca="1" ref="AF919" ca="1" xml:space="preserve">
IF(AND($G919&lt;&gt;"",$F919=""),"ERROR",
IF(OR($F919:$G919="",AND($G919="",$F919&lt;&gt;"")),"OK",
IF(COUNTIF(INDIRECT(IFERROR(LEFT($F919,FIND(" ",$F919)-1),$F919)), $G919)&gt;0, "OK", "ERROR")))</f>
        <v>OK</v>
      </c>
    </row>
    <row r="920" spans="1:32" s="240" customFormat="1">
      <c r="A920" s="48"/>
      <c r="B920" s="31"/>
      <c r="C920" s="48"/>
      <c r="D920" s="47"/>
      <c r="E920" s="47"/>
      <c r="F920" s="31"/>
      <c r="G920" s="31"/>
      <c r="H920" s="31"/>
      <c r="I920" s="47"/>
      <c r="J920" s="31"/>
      <c r="K920" s="47"/>
      <c r="L920" s="47"/>
      <c r="M920" s="47"/>
      <c r="N920" s="31"/>
      <c r="O920" s="47"/>
      <c r="P920" s="31"/>
      <c r="Q920" s="31"/>
      <c r="R920" s="31"/>
      <c r="S920" s="31"/>
      <c r="T920" s="270">
        <f t="shared" si="112"/>
        <v>0</v>
      </c>
      <c r="U920" s="270">
        <f t="shared" si="113"/>
        <v>0</v>
      </c>
      <c r="V920" s="31"/>
      <c r="X920" s="240" t="str">
        <f t="shared" si="114"/>
        <v>OK</v>
      </c>
      <c r="Y920" s="240" t="str">
        <f t="shared" si="115"/>
        <v>OK</v>
      </c>
      <c r="Z920" s="240" t="str">
        <f t="shared" si="116"/>
        <v>OK</v>
      </c>
      <c r="AA920" s="240" t="str" cm="1">
        <f t="array" ref="AA920">IF(OR(AND(J920="Not accepted",N920:O920&lt;&gt;"",$S920=""),AND(J920="Accepted",S920="")),"ERROR","OK")</f>
        <v>OK</v>
      </c>
      <c r="AB920" s="240" t="str">
        <f t="shared" si="117"/>
        <v>OK</v>
      </c>
      <c r="AC920" s="240" t="str" cm="1">
        <f t="array" ref="AC920">IF(AND(F920:H920&lt;&gt;"",I920=""),"ERROR","OK")</f>
        <v>OK</v>
      </c>
      <c r="AD920" s="240" t="str">
        <f t="shared" si="118"/>
        <v>OK</v>
      </c>
      <c r="AE920" s="240" t="str">
        <f t="shared" si="119"/>
        <v>OK</v>
      </c>
      <c r="AF920" s="240" t="str" cm="1">
        <f t="array" aca="1" ref="AF920" ca="1" xml:space="preserve">
IF(AND($G920&lt;&gt;"",$F920=""),"ERROR",
IF(OR($F920:$G920="",AND($G920="",$F920&lt;&gt;"")),"OK",
IF(COUNTIF(INDIRECT(IFERROR(LEFT($F920,FIND(" ",$F920)-1),$F920)), $G920)&gt;0, "OK", "ERROR")))</f>
        <v>OK</v>
      </c>
    </row>
    <row r="921" spans="1:32" s="240" customFormat="1">
      <c r="A921" s="48"/>
      <c r="B921" s="31"/>
      <c r="C921" s="48"/>
      <c r="D921" s="47"/>
      <c r="E921" s="47"/>
      <c r="F921" s="31"/>
      <c r="G921" s="31"/>
      <c r="H921" s="31"/>
      <c r="I921" s="47"/>
      <c r="J921" s="31"/>
      <c r="K921" s="47"/>
      <c r="L921" s="47"/>
      <c r="M921" s="47"/>
      <c r="N921" s="31"/>
      <c r="O921" s="47"/>
      <c r="P921" s="31"/>
      <c r="Q921" s="31"/>
      <c r="R921" s="31"/>
      <c r="S921" s="31"/>
      <c r="T921" s="270">
        <f t="shared" si="112"/>
        <v>0</v>
      </c>
      <c r="U921" s="270">
        <f t="shared" si="113"/>
        <v>0</v>
      </c>
      <c r="V921" s="31"/>
      <c r="X921" s="240" t="str">
        <f t="shared" si="114"/>
        <v>OK</v>
      </c>
      <c r="Y921" s="240" t="str">
        <f t="shared" si="115"/>
        <v>OK</v>
      </c>
      <c r="Z921" s="240" t="str">
        <f t="shared" si="116"/>
        <v>OK</v>
      </c>
      <c r="AA921" s="240" t="str" cm="1">
        <f t="array" ref="AA921">IF(OR(AND(J921="Not accepted",N921:O921&lt;&gt;"",$S921=""),AND(J921="Accepted",S921="")),"ERROR","OK")</f>
        <v>OK</v>
      </c>
      <c r="AB921" s="240" t="str">
        <f t="shared" si="117"/>
        <v>OK</v>
      </c>
      <c r="AC921" s="240" t="str" cm="1">
        <f t="array" ref="AC921">IF(AND(F921:H921&lt;&gt;"",I921=""),"ERROR","OK")</f>
        <v>OK</v>
      </c>
      <c r="AD921" s="240" t="str">
        <f t="shared" si="118"/>
        <v>OK</v>
      </c>
      <c r="AE921" s="240" t="str">
        <f t="shared" si="119"/>
        <v>OK</v>
      </c>
      <c r="AF921" s="240" t="str" cm="1">
        <f t="array" aca="1" ref="AF921" ca="1" xml:space="preserve">
IF(AND($G921&lt;&gt;"",$F921=""),"ERROR",
IF(OR($F921:$G921="",AND($G921="",$F921&lt;&gt;"")),"OK",
IF(COUNTIF(INDIRECT(IFERROR(LEFT($F921,FIND(" ",$F921)-1),$F921)), $G921)&gt;0, "OK", "ERROR")))</f>
        <v>OK</v>
      </c>
    </row>
    <row r="922" spans="1:32" s="240" customFormat="1">
      <c r="A922" s="48"/>
      <c r="B922" s="31"/>
      <c r="C922" s="48"/>
      <c r="D922" s="47"/>
      <c r="E922" s="47"/>
      <c r="F922" s="31"/>
      <c r="G922" s="31"/>
      <c r="H922" s="31"/>
      <c r="I922" s="47"/>
      <c r="J922" s="31"/>
      <c r="K922" s="47"/>
      <c r="L922" s="47"/>
      <c r="M922" s="47"/>
      <c r="N922" s="31"/>
      <c r="O922" s="47"/>
      <c r="P922" s="31"/>
      <c r="Q922" s="31"/>
      <c r="R922" s="31"/>
      <c r="S922" s="31"/>
      <c r="T922" s="270">
        <f t="shared" si="112"/>
        <v>0</v>
      </c>
      <c r="U922" s="270">
        <f t="shared" si="113"/>
        <v>0</v>
      </c>
      <c r="V922" s="31"/>
      <c r="X922" s="240" t="str">
        <f t="shared" si="114"/>
        <v>OK</v>
      </c>
      <c r="Y922" s="240" t="str">
        <f t="shared" si="115"/>
        <v>OK</v>
      </c>
      <c r="Z922" s="240" t="str">
        <f t="shared" si="116"/>
        <v>OK</v>
      </c>
      <c r="AA922" s="240" t="str" cm="1">
        <f t="array" ref="AA922">IF(OR(AND(J922="Not accepted",N922:O922&lt;&gt;"",$S922=""),AND(J922="Accepted",S922="")),"ERROR","OK")</f>
        <v>OK</v>
      </c>
      <c r="AB922" s="240" t="str">
        <f t="shared" si="117"/>
        <v>OK</v>
      </c>
      <c r="AC922" s="240" t="str" cm="1">
        <f t="array" ref="AC922">IF(AND(F922:H922&lt;&gt;"",I922=""),"ERROR","OK")</f>
        <v>OK</v>
      </c>
      <c r="AD922" s="240" t="str">
        <f t="shared" si="118"/>
        <v>OK</v>
      </c>
      <c r="AE922" s="240" t="str">
        <f t="shared" si="119"/>
        <v>OK</v>
      </c>
      <c r="AF922" s="240" t="str" cm="1">
        <f t="array" aca="1" ref="AF922" ca="1" xml:space="preserve">
IF(AND($G922&lt;&gt;"",$F922=""),"ERROR",
IF(OR($F922:$G922="",AND($G922="",$F922&lt;&gt;"")),"OK",
IF(COUNTIF(INDIRECT(IFERROR(LEFT($F922,FIND(" ",$F922)-1),$F922)), $G922)&gt;0, "OK", "ERROR")))</f>
        <v>OK</v>
      </c>
    </row>
    <row r="923" spans="1:32" s="240" customFormat="1">
      <c r="A923" s="48"/>
      <c r="B923" s="31"/>
      <c r="C923" s="48"/>
      <c r="D923" s="47"/>
      <c r="E923" s="47"/>
      <c r="F923" s="31"/>
      <c r="G923" s="31"/>
      <c r="H923" s="31"/>
      <c r="I923" s="47"/>
      <c r="J923" s="31"/>
      <c r="K923" s="47"/>
      <c r="L923" s="47"/>
      <c r="M923" s="47"/>
      <c r="N923" s="31"/>
      <c r="O923" s="47"/>
      <c r="P923" s="31"/>
      <c r="Q923" s="31"/>
      <c r="R923" s="31"/>
      <c r="S923" s="31"/>
      <c r="T923" s="270">
        <f t="shared" si="112"/>
        <v>0</v>
      </c>
      <c r="U923" s="270">
        <f t="shared" si="113"/>
        <v>0</v>
      </c>
      <c r="V923" s="31"/>
      <c r="X923" s="240" t="str">
        <f t="shared" si="114"/>
        <v>OK</v>
      </c>
      <c r="Y923" s="240" t="str">
        <f t="shared" si="115"/>
        <v>OK</v>
      </c>
      <c r="Z923" s="240" t="str">
        <f t="shared" si="116"/>
        <v>OK</v>
      </c>
      <c r="AA923" s="240" t="str" cm="1">
        <f t="array" ref="AA923">IF(OR(AND(J923="Not accepted",N923:O923&lt;&gt;"",$S923=""),AND(J923="Accepted",S923="")),"ERROR","OK")</f>
        <v>OK</v>
      </c>
      <c r="AB923" s="240" t="str">
        <f t="shared" si="117"/>
        <v>OK</v>
      </c>
      <c r="AC923" s="240" t="str" cm="1">
        <f t="array" ref="AC923">IF(AND(F923:H923&lt;&gt;"",I923=""),"ERROR","OK")</f>
        <v>OK</v>
      </c>
      <c r="AD923" s="240" t="str">
        <f t="shared" si="118"/>
        <v>OK</v>
      </c>
      <c r="AE923" s="240" t="str">
        <f t="shared" si="119"/>
        <v>OK</v>
      </c>
      <c r="AF923" s="240" t="str" cm="1">
        <f t="array" aca="1" ref="AF923" ca="1" xml:space="preserve">
IF(AND($G923&lt;&gt;"",$F923=""),"ERROR",
IF(OR($F923:$G923="",AND($G923="",$F923&lt;&gt;"")),"OK",
IF(COUNTIF(INDIRECT(IFERROR(LEFT($F923,FIND(" ",$F923)-1),$F923)), $G923)&gt;0, "OK", "ERROR")))</f>
        <v>OK</v>
      </c>
    </row>
    <row r="924" spans="1:32" s="240" customFormat="1">
      <c r="A924" s="48"/>
      <c r="B924" s="31"/>
      <c r="C924" s="48"/>
      <c r="D924" s="47"/>
      <c r="E924" s="47"/>
      <c r="F924" s="31"/>
      <c r="G924" s="31"/>
      <c r="H924" s="31"/>
      <c r="I924" s="47"/>
      <c r="J924" s="31"/>
      <c r="K924" s="47"/>
      <c r="L924" s="47"/>
      <c r="M924" s="47"/>
      <c r="N924" s="31"/>
      <c r="O924" s="47"/>
      <c r="P924" s="31"/>
      <c r="Q924" s="31"/>
      <c r="R924" s="31"/>
      <c r="S924" s="31"/>
      <c r="T924" s="270">
        <f t="shared" si="112"/>
        <v>0</v>
      </c>
      <c r="U924" s="270">
        <f t="shared" si="113"/>
        <v>0</v>
      </c>
      <c r="V924" s="31"/>
      <c r="X924" s="240" t="str">
        <f t="shared" si="114"/>
        <v>OK</v>
      </c>
      <c r="Y924" s="240" t="str">
        <f t="shared" si="115"/>
        <v>OK</v>
      </c>
      <c r="Z924" s="240" t="str">
        <f t="shared" si="116"/>
        <v>OK</v>
      </c>
      <c r="AA924" s="240" t="str" cm="1">
        <f t="array" ref="AA924">IF(OR(AND(J924="Not accepted",N924:O924&lt;&gt;"",$S924=""),AND(J924="Accepted",S924="")),"ERROR","OK")</f>
        <v>OK</v>
      </c>
      <c r="AB924" s="240" t="str">
        <f t="shared" si="117"/>
        <v>OK</v>
      </c>
      <c r="AC924" s="240" t="str" cm="1">
        <f t="array" ref="AC924">IF(AND(F924:H924&lt;&gt;"",I924=""),"ERROR","OK")</f>
        <v>OK</v>
      </c>
      <c r="AD924" s="240" t="str">
        <f t="shared" si="118"/>
        <v>OK</v>
      </c>
      <c r="AE924" s="240" t="str">
        <f t="shared" si="119"/>
        <v>OK</v>
      </c>
      <c r="AF924" s="240" t="str" cm="1">
        <f t="array" aca="1" ref="AF924" ca="1" xml:space="preserve">
IF(AND($G924&lt;&gt;"",$F924=""),"ERROR",
IF(OR($F924:$G924="",AND($G924="",$F924&lt;&gt;"")),"OK",
IF(COUNTIF(INDIRECT(IFERROR(LEFT($F924,FIND(" ",$F924)-1),$F924)), $G924)&gt;0, "OK", "ERROR")))</f>
        <v>OK</v>
      </c>
    </row>
    <row r="925" spans="1:32" s="240" customFormat="1">
      <c r="A925" s="48"/>
      <c r="B925" s="31"/>
      <c r="C925" s="48"/>
      <c r="D925" s="47"/>
      <c r="E925" s="47"/>
      <c r="F925" s="31"/>
      <c r="G925" s="31"/>
      <c r="H925" s="31"/>
      <c r="I925" s="47"/>
      <c r="J925" s="31"/>
      <c r="K925" s="47"/>
      <c r="L925" s="47"/>
      <c r="M925" s="47"/>
      <c r="N925" s="31"/>
      <c r="O925" s="47"/>
      <c r="P925" s="31"/>
      <c r="Q925" s="31"/>
      <c r="R925" s="31"/>
      <c r="S925" s="31"/>
      <c r="T925" s="270">
        <f t="shared" si="112"/>
        <v>0</v>
      </c>
      <c r="U925" s="270">
        <f t="shared" si="113"/>
        <v>0</v>
      </c>
      <c r="V925" s="31"/>
      <c r="X925" s="240" t="str">
        <f t="shared" si="114"/>
        <v>OK</v>
      </c>
      <c r="Y925" s="240" t="str">
        <f t="shared" si="115"/>
        <v>OK</v>
      </c>
      <c r="Z925" s="240" t="str">
        <f t="shared" si="116"/>
        <v>OK</v>
      </c>
      <c r="AA925" s="240" t="str" cm="1">
        <f t="array" ref="AA925">IF(OR(AND(J925="Not accepted",N925:O925&lt;&gt;"",$S925=""),AND(J925="Accepted",S925="")),"ERROR","OK")</f>
        <v>OK</v>
      </c>
      <c r="AB925" s="240" t="str">
        <f t="shared" si="117"/>
        <v>OK</v>
      </c>
      <c r="AC925" s="240" t="str" cm="1">
        <f t="array" ref="AC925">IF(AND(F925:H925&lt;&gt;"",I925=""),"ERROR","OK")</f>
        <v>OK</v>
      </c>
      <c r="AD925" s="240" t="str">
        <f t="shared" si="118"/>
        <v>OK</v>
      </c>
      <c r="AE925" s="240" t="str">
        <f t="shared" si="119"/>
        <v>OK</v>
      </c>
      <c r="AF925" s="240" t="str" cm="1">
        <f t="array" aca="1" ref="AF925" ca="1" xml:space="preserve">
IF(AND($G925&lt;&gt;"",$F925=""),"ERROR",
IF(OR($F925:$G925="",AND($G925="",$F925&lt;&gt;"")),"OK",
IF(COUNTIF(INDIRECT(IFERROR(LEFT($F925,FIND(" ",$F925)-1),$F925)), $G925)&gt;0, "OK", "ERROR")))</f>
        <v>OK</v>
      </c>
    </row>
    <row r="926" spans="1:32" s="240" customFormat="1">
      <c r="A926" s="48"/>
      <c r="B926" s="31"/>
      <c r="C926" s="48"/>
      <c r="D926" s="47"/>
      <c r="E926" s="47"/>
      <c r="F926" s="31"/>
      <c r="G926" s="31"/>
      <c r="H926" s="31"/>
      <c r="I926" s="47"/>
      <c r="J926" s="31"/>
      <c r="K926" s="47"/>
      <c r="L926" s="47"/>
      <c r="M926" s="47"/>
      <c r="N926" s="31"/>
      <c r="O926" s="47"/>
      <c r="P926" s="31"/>
      <c r="Q926" s="31"/>
      <c r="R926" s="31"/>
      <c r="S926" s="31"/>
      <c r="T926" s="270">
        <f t="shared" si="112"/>
        <v>0</v>
      </c>
      <c r="U926" s="270">
        <f t="shared" si="113"/>
        <v>0</v>
      </c>
      <c r="V926" s="31"/>
      <c r="X926" s="240" t="str">
        <f t="shared" si="114"/>
        <v>OK</v>
      </c>
      <c r="Y926" s="240" t="str">
        <f t="shared" si="115"/>
        <v>OK</v>
      </c>
      <c r="Z926" s="240" t="str">
        <f t="shared" si="116"/>
        <v>OK</v>
      </c>
      <c r="AA926" s="240" t="str" cm="1">
        <f t="array" ref="AA926">IF(OR(AND(J926="Not accepted",N926:O926&lt;&gt;"",$S926=""),AND(J926="Accepted",S926="")),"ERROR","OK")</f>
        <v>OK</v>
      </c>
      <c r="AB926" s="240" t="str">
        <f t="shared" si="117"/>
        <v>OK</v>
      </c>
      <c r="AC926" s="240" t="str" cm="1">
        <f t="array" ref="AC926">IF(AND(F926:H926&lt;&gt;"",I926=""),"ERROR","OK")</f>
        <v>OK</v>
      </c>
      <c r="AD926" s="240" t="str">
        <f t="shared" si="118"/>
        <v>OK</v>
      </c>
      <c r="AE926" s="240" t="str">
        <f t="shared" si="119"/>
        <v>OK</v>
      </c>
      <c r="AF926" s="240" t="str" cm="1">
        <f t="array" aca="1" ref="AF926" ca="1" xml:space="preserve">
IF(AND($G926&lt;&gt;"",$F926=""),"ERROR",
IF(OR($F926:$G926="",AND($G926="",$F926&lt;&gt;"")),"OK",
IF(COUNTIF(INDIRECT(IFERROR(LEFT($F926,FIND(" ",$F926)-1),$F926)), $G926)&gt;0, "OK", "ERROR")))</f>
        <v>OK</v>
      </c>
    </row>
    <row r="927" spans="1:32" s="240" customFormat="1">
      <c r="A927" s="48"/>
      <c r="B927" s="31"/>
      <c r="C927" s="48"/>
      <c r="D927" s="47"/>
      <c r="E927" s="47"/>
      <c r="F927" s="31"/>
      <c r="G927" s="31"/>
      <c r="H927" s="31"/>
      <c r="I927" s="47"/>
      <c r="J927" s="31"/>
      <c r="K927" s="47"/>
      <c r="L927" s="47"/>
      <c r="M927" s="47"/>
      <c r="N927" s="31"/>
      <c r="O927" s="47"/>
      <c r="P927" s="31"/>
      <c r="Q927" s="31"/>
      <c r="R927" s="31"/>
      <c r="S927" s="31"/>
      <c r="T927" s="270">
        <f t="shared" si="112"/>
        <v>0</v>
      </c>
      <c r="U927" s="270">
        <f t="shared" si="113"/>
        <v>0</v>
      </c>
      <c r="V927" s="31"/>
      <c r="X927" s="240" t="str">
        <f t="shared" si="114"/>
        <v>OK</v>
      </c>
      <c r="Y927" s="240" t="str">
        <f t="shared" si="115"/>
        <v>OK</v>
      </c>
      <c r="Z927" s="240" t="str">
        <f t="shared" si="116"/>
        <v>OK</v>
      </c>
      <c r="AA927" s="240" t="str" cm="1">
        <f t="array" ref="AA927">IF(OR(AND(J927="Not accepted",N927:O927&lt;&gt;"",$S927=""),AND(J927="Accepted",S927="")),"ERROR","OK")</f>
        <v>OK</v>
      </c>
      <c r="AB927" s="240" t="str">
        <f t="shared" si="117"/>
        <v>OK</v>
      </c>
      <c r="AC927" s="240" t="str" cm="1">
        <f t="array" ref="AC927">IF(AND(F927:H927&lt;&gt;"",I927=""),"ERROR","OK")</f>
        <v>OK</v>
      </c>
      <c r="AD927" s="240" t="str">
        <f t="shared" si="118"/>
        <v>OK</v>
      </c>
      <c r="AE927" s="240" t="str">
        <f t="shared" si="119"/>
        <v>OK</v>
      </c>
      <c r="AF927" s="240" t="str" cm="1">
        <f t="array" aca="1" ref="AF927" ca="1" xml:space="preserve">
IF(AND($G927&lt;&gt;"",$F927=""),"ERROR",
IF(OR($F927:$G927="",AND($G927="",$F927&lt;&gt;"")),"OK",
IF(COUNTIF(INDIRECT(IFERROR(LEFT($F927,FIND(" ",$F927)-1),$F927)), $G927)&gt;0, "OK", "ERROR")))</f>
        <v>OK</v>
      </c>
    </row>
    <row r="928" spans="1:32" s="240" customFormat="1">
      <c r="A928" s="48"/>
      <c r="B928" s="31"/>
      <c r="C928" s="48"/>
      <c r="D928" s="47"/>
      <c r="E928" s="47"/>
      <c r="F928" s="31"/>
      <c r="G928" s="31"/>
      <c r="H928" s="31"/>
      <c r="I928" s="47"/>
      <c r="J928" s="31"/>
      <c r="K928" s="47"/>
      <c r="L928" s="47"/>
      <c r="M928" s="47"/>
      <c r="N928" s="31"/>
      <c r="O928" s="47"/>
      <c r="P928" s="31"/>
      <c r="Q928" s="31"/>
      <c r="R928" s="31"/>
      <c r="S928" s="31"/>
      <c r="T928" s="270">
        <f t="shared" si="112"/>
        <v>0</v>
      </c>
      <c r="U928" s="270">
        <f t="shared" si="113"/>
        <v>0</v>
      </c>
      <c r="V928" s="31"/>
      <c r="X928" s="240" t="str">
        <f t="shared" si="114"/>
        <v>OK</v>
      </c>
      <c r="Y928" s="240" t="str">
        <f t="shared" si="115"/>
        <v>OK</v>
      </c>
      <c r="Z928" s="240" t="str">
        <f t="shared" si="116"/>
        <v>OK</v>
      </c>
      <c r="AA928" s="240" t="str" cm="1">
        <f t="array" ref="AA928">IF(OR(AND(J928="Not accepted",N928:O928&lt;&gt;"",$S928=""),AND(J928="Accepted",S928="")),"ERROR","OK")</f>
        <v>OK</v>
      </c>
      <c r="AB928" s="240" t="str">
        <f t="shared" si="117"/>
        <v>OK</v>
      </c>
      <c r="AC928" s="240" t="str" cm="1">
        <f t="array" ref="AC928">IF(AND(F928:H928&lt;&gt;"",I928=""),"ERROR","OK")</f>
        <v>OK</v>
      </c>
      <c r="AD928" s="240" t="str">
        <f t="shared" si="118"/>
        <v>OK</v>
      </c>
      <c r="AE928" s="240" t="str">
        <f t="shared" si="119"/>
        <v>OK</v>
      </c>
      <c r="AF928" s="240" t="str" cm="1">
        <f t="array" aca="1" ref="AF928" ca="1" xml:space="preserve">
IF(AND($G928&lt;&gt;"",$F928=""),"ERROR",
IF(OR($F928:$G928="",AND($G928="",$F928&lt;&gt;"")),"OK",
IF(COUNTIF(INDIRECT(IFERROR(LEFT($F928,FIND(" ",$F928)-1),$F928)), $G928)&gt;0, "OK", "ERROR")))</f>
        <v>OK</v>
      </c>
    </row>
    <row r="929" spans="1:32" s="240" customFormat="1">
      <c r="A929" s="48"/>
      <c r="B929" s="31"/>
      <c r="C929" s="48"/>
      <c r="D929" s="47"/>
      <c r="E929" s="47"/>
      <c r="F929" s="31"/>
      <c r="G929" s="31"/>
      <c r="H929" s="31"/>
      <c r="I929" s="47"/>
      <c r="J929" s="31"/>
      <c r="K929" s="47"/>
      <c r="L929" s="47"/>
      <c r="M929" s="47"/>
      <c r="N929" s="31"/>
      <c r="O929" s="47"/>
      <c r="P929" s="31"/>
      <c r="Q929" s="31"/>
      <c r="R929" s="31"/>
      <c r="S929" s="31"/>
      <c r="T929" s="270">
        <f t="shared" si="112"/>
        <v>0</v>
      </c>
      <c r="U929" s="270">
        <f t="shared" si="113"/>
        <v>0</v>
      </c>
      <c r="V929" s="31"/>
      <c r="X929" s="240" t="str">
        <f t="shared" si="114"/>
        <v>OK</v>
      </c>
      <c r="Y929" s="240" t="str">
        <f t="shared" si="115"/>
        <v>OK</v>
      </c>
      <c r="Z929" s="240" t="str">
        <f t="shared" si="116"/>
        <v>OK</v>
      </c>
      <c r="AA929" s="240" t="str" cm="1">
        <f t="array" ref="AA929">IF(OR(AND(J929="Not accepted",N929:O929&lt;&gt;"",$S929=""),AND(J929="Accepted",S929="")),"ERROR","OK")</f>
        <v>OK</v>
      </c>
      <c r="AB929" s="240" t="str">
        <f t="shared" si="117"/>
        <v>OK</v>
      </c>
      <c r="AC929" s="240" t="str" cm="1">
        <f t="array" ref="AC929">IF(AND(F929:H929&lt;&gt;"",I929=""),"ERROR","OK")</f>
        <v>OK</v>
      </c>
      <c r="AD929" s="240" t="str">
        <f t="shared" si="118"/>
        <v>OK</v>
      </c>
      <c r="AE929" s="240" t="str">
        <f t="shared" si="119"/>
        <v>OK</v>
      </c>
      <c r="AF929" s="240" t="str" cm="1">
        <f t="array" aca="1" ref="AF929" ca="1" xml:space="preserve">
IF(AND($G929&lt;&gt;"",$F929=""),"ERROR",
IF(OR($F929:$G929="",AND($G929="",$F929&lt;&gt;"")),"OK",
IF(COUNTIF(INDIRECT(IFERROR(LEFT($F929,FIND(" ",$F929)-1),$F929)), $G929)&gt;0, "OK", "ERROR")))</f>
        <v>OK</v>
      </c>
    </row>
    <row r="930" spans="1:32" s="240" customFormat="1">
      <c r="A930" s="48"/>
      <c r="B930" s="31"/>
      <c r="C930" s="48"/>
      <c r="D930" s="47"/>
      <c r="E930" s="47"/>
      <c r="F930" s="31"/>
      <c r="G930" s="31"/>
      <c r="H930" s="31"/>
      <c r="I930" s="47"/>
      <c r="J930" s="31"/>
      <c r="K930" s="47"/>
      <c r="L930" s="47"/>
      <c r="M930" s="47"/>
      <c r="N930" s="31"/>
      <c r="O930" s="47"/>
      <c r="P930" s="31"/>
      <c r="Q930" s="31"/>
      <c r="R930" s="31"/>
      <c r="S930" s="31"/>
      <c r="T930" s="270">
        <f t="shared" si="112"/>
        <v>0</v>
      </c>
      <c r="U930" s="270">
        <f t="shared" si="113"/>
        <v>0</v>
      </c>
      <c r="V930" s="31"/>
      <c r="X930" s="240" t="str">
        <f t="shared" si="114"/>
        <v>OK</v>
      </c>
      <c r="Y930" s="240" t="str">
        <f t="shared" si="115"/>
        <v>OK</v>
      </c>
      <c r="Z930" s="240" t="str">
        <f t="shared" si="116"/>
        <v>OK</v>
      </c>
      <c r="AA930" s="240" t="str" cm="1">
        <f t="array" ref="AA930">IF(OR(AND(J930="Not accepted",N930:O930&lt;&gt;"",$S930=""),AND(J930="Accepted",S930="")),"ERROR","OK")</f>
        <v>OK</v>
      </c>
      <c r="AB930" s="240" t="str">
        <f t="shared" si="117"/>
        <v>OK</v>
      </c>
      <c r="AC930" s="240" t="str" cm="1">
        <f t="array" ref="AC930">IF(AND(F930:H930&lt;&gt;"",I930=""),"ERROR","OK")</f>
        <v>OK</v>
      </c>
      <c r="AD930" s="240" t="str">
        <f t="shared" si="118"/>
        <v>OK</v>
      </c>
      <c r="AE930" s="240" t="str">
        <f t="shared" si="119"/>
        <v>OK</v>
      </c>
      <c r="AF930" s="240" t="str" cm="1">
        <f t="array" aca="1" ref="AF930" ca="1" xml:space="preserve">
IF(AND($G930&lt;&gt;"",$F930=""),"ERROR",
IF(OR($F930:$G930="",AND($G930="",$F930&lt;&gt;"")),"OK",
IF(COUNTIF(INDIRECT(IFERROR(LEFT($F930,FIND(" ",$F930)-1),$F930)), $G930)&gt;0, "OK", "ERROR")))</f>
        <v>OK</v>
      </c>
    </row>
    <row r="931" spans="1:32" s="240" customFormat="1">
      <c r="A931" s="48"/>
      <c r="B931" s="31"/>
      <c r="C931" s="48"/>
      <c r="D931" s="47"/>
      <c r="E931" s="47"/>
      <c r="F931" s="31"/>
      <c r="G931" s="31"/>
      <c r="H931" s="31"/>
      <c r="I931" s="47"/>
      <c r="J931" s="31"/>
      <c r="K931" s="47"/>
      <c r="L931" s="47"/>
      <c r="M931" s="47"/>
      <c r="N931" s="31"/>
      <c r="O931" s="47"/>
      <c r="P931" s="31"/>
      <c r="Q931" s="31"/>
      <c r="R931" s="31"/>
      <c r="S931" s="31"/>
      <c r="T931" s="270">
        <f t="shared" si="112"/>
        <v>0</v>
      </c>
      <c r="U931" s="270">
        <f t="shared" si="113"/>
        <v>0</v>
      </c>
      <c r="V931" s="31"/>
      <c r="X931" s="240" t="str">
        <f t="shared" si="114"/>
        <v>OK</v>
      </c>
      <c r="Y931" s="240" t="str">
        <f t="shared" si="115"/>
        <v>OK</v>
      </c>
      <c r="Z931" s="240" t="str">
        <f t="shared" si="116"/>
        <v>OK</v>
      </c>
      <c r="AA931" s="240" t="str" cm="1">
        <f t="array" ref="AA931">IF(OR(AND(J931="Not accepted",N931:O931&lt;&gt;"",$S931=""),AND(J931="Accepted",S931="")),"ERROR","OK")</f>
        <v>OK</v>
      </c>
      <c r="AB931" s="240" t="str">
        <f t="shared" si="117"/>
        <v>OK</v>
      </c>
      <c r="AC931" s="240" t="str" cm="1">
        <f t="array" ref="AC931">IF(AND(F931:H931&lt;&gt;"",I931=""),"ERROR","OK")</f>
        <v>OK</v>
      </c>
      <c r="AD931" s="240" t="str">
        <f t="shared" si="118"/>
        <v>OK</v>
      </c>
      <c r="AE931" s="240" t="str">
        <f t="shared" si="119"/>
        <v>OK</v>
      </c>
      <c r="AF931" s="240" t="str" cm="1">
        <f t="array" aca="1" ref="AF931" ca="1" xml:space="preserve">
IF(AND($G931&lt;&gt;"",$F931=""),"ERROR",
IF(OR($F931:$G931="",AND($G931="",$F931&lt;&gt;"")),"OK",
IF(COUNTIF(INDIRECT(IFERROR(LEFT($F931,FIND(" ",$F931)-1),$F931)), $G931)&gt;0, "OK", "ERROR")))</f>
        <v>OK</v>
      </c>
    </row>
    <row r="932" spans="1:32" s="240" customFormat="1">
      <c r="A932" s="48"/>
      <c r="B932" s="31"/>
      <c r="C932" s="48"/>
      <c r="D932" s="47"/>
      <c r="E932" s="47"/>
      <c r="F932" s="31"/>
      <c r="G932" s="31"/>
      <c r="H932" s="31"/>
      <c r="I932" s="47"/>
      <c r="J932" s="31"/>
      <c r="K932" s="47"/>
      <c r="L932" s="47"/>
      <c r="M932" s="47"/>
      <c r="N932" s="31"/>
      <c r="O932" s="47"/>
      <c r="P932" s="31"/>
      <c r="Q932" s="31"/>
      <c r="R932" s="31"/>
      <c r="S932" s="31"/>
      <c r="T932" s="270">
        <f t="shared" si="112"/>
        <v>0</v>
      </c>
      <c r="U932" s="270">
        <f t="shared" si="113"/>
        <v>0</v>
      </c>
      <c r="V932" s="31"/>
      <c r="X932" s="240" t="str">
        <f t="shared" si="114"/>
        <v>OK</v>
      </c>
      <c r="Y932" s="240" t="str">
        <f t="shared" si="115"/>
        <v>OK</v>
      </c>
      <c r="Z932" s="240" t="str">
        <f t="shared" si="116"/>
        <v>OK</v>
      </c>
      <c r="AA932" s="240" t="str" cm="1">
        <f t="array" ref="AA932">IF(OR(AND(J932="Not accepted",N932:O932&lt;&gt;"",$S932=""),AND(J932="Accepted",S932="")),"ERROR","OK")</f>
        <v>OK</v>
      </c>
      <c r="AB932" s="240" t="str">
        <f t="shared" si="117"/>
        <v>OK</v>
      </c>
      <c r="AC932" s="240" t="str" cm="1">
        <f t="array" ref="AC932">IF(AND(F932:H932&lt;&gt;"",I932=""),"ERROR","OK")</f>
        <v>OK</v>
      </c>
      <c r="AD932" s="240" t="str">
        <f t="shared" si="118"/>
        <v>OK</v>
      </c>
      <c r="AE932" s="240" t="str">
        <f t="shared" si="119"/>
        <v>OK</v>
      </c>
      <c r="AF932" s="240" t="str" cm="1">
        <f t="array" aca="1" ref="AF932" ca="1" xml:space="preserve">
IF(AND($G932&lt;&gt;"",$F932=""),"ERROR",
IF(OR($F932:$G932="",AND($G932="",$F932&lt;&gt;"")),"OK",
IF(COUNTIF(INDIRECT(IFERROR(LEFT($F932,FIND(" ",$F932)-1),$F932)), $G932)&gt;0, "OK", "ERROR")))</f>
        <v>OK</v>
      </c>
    </row>
    <row r="933" spans="1:32" s="240" customFormat="1">
      <c r="A933" s="48"/>
      <c r="B933" s="31"/>
      <c r="C933" s="48"/>
      <c r="D933" s="47"/>
      <c r="E933" s="47"/>
      <c r="F933" s="31"/>
      <c r="G933" s="31"/>
      <c r="H933" s="31"/>
      <c r="I933" s="47"/>
      <c r="J933" s="31"/>
      <c r="K933" s="47"/>
      <c r="L933" s="47"/>
      <c r="M933" s="47"/>
      <c r="N933" s="31"/>
      <c r="O933" s="47"/>
      <c r="P933" s="31"/>
      <c r="Q933" s="31"/>
      <c r="R933" s="31"/>
      <c r="S933" s="31"/>
      <c r="T933" s="270">
        <f t="shared" si="112"/>
        <v>0</v>
      </c>
      <c r="U933" s="270">
        <f t="shared" si="113"/>
        <v>0</v>
      </c>
      <c r="V933" s="31"/>
      <c r="X933" s="240" t="str">
        <f t="shared" si="114"/>
        <v>OK</v>
      </c>
      <c r="Y933" s="240" t="str">
        <f t="shared" si="115"/>
        <v>OK</v>
      </c>
      <c r="Z933" s="240" t="str">
        <f t="shared" si="116"/>
        <v>OK</v>
      </c>
      <c r="AA933" s="240" t="str" cm="1">
        <f t="array" ref="AA933">IF(OR(AND(J933="Not accepted",N933:O933&lt;&gt;"",$S933=""),AND(J933="Accepted",S933="")),"ERROR","OK")</f>
        <v>OK</v>
      </c>
      <c r="AB933" s="240" t="str">
        <f t="shared" si="117"/>
        <v>OK</v>
      </c>
      <c r="AC933" s="240" t="str" cm="1">
        <f t="array" ref="AC933">IF(AND(F933:H933&lt;&gt;"",I933=""),"ERROR","OK")</f>
        <v>OK</v>
      </c>
      <c r="AD933" s="240" t="str">
        <f t="shared" si="118"/>
        <v>OK</v>
      </c>
      <c r="AE933" s="240" t="str">
        <f t="shared" si="119"/>
        <v>OK</v>
      </c>
      <c r="AF933" s="240" t="str" cm="1">
        <f t="array" aca="1" ref="AF933" ca="1" xml:space="preserve">
IF(AND($G933&lt;&gt;"",$F933=""),"ERROR",
IF(OR($F933:$G933="",AND($G933="",$F933&lt;&gt;"")),"OK",
IF(COUNTIF(INDIRECT(IFERROR(LEFT($F933,FIND(" ",$F933)-1),$F933)), $G933)&gt;0, "OK", "ERROR")))</f>
        <v>OK</v>
      </c>
    </row>
    <row r="934" spans="1:32" s="240" customFormat="1">
      <c r="A934" s="48"/>
      <c r="B934" s="31"/>
      <c r="C934" s="48"/>
      <c r="D934" s="47"/>
      <c r="E934" s="47"/>
      <c r="F934" s="31"/>
      <c r="G934" s="31"/>
      <c r="H934" s="31"/>
      <c r="I934" s="47"/>
      <c r="J934" s="31"/>
      <c r="K934" s="47"/>
      <c r="L934" s="47"/>
      <c r="M934" s="47"/>
      <c r="N934" s="31"/>
      <c r="O934" s="47"/>
      <c r="P934" s="31"/>
      <c r="Q934" s="31"/>
      <c r="R934" s="31"/>
      <c r="S934" s="31"/>
      <c r="T934" s="270">
        <f t="shared" si="112"/>
        <v>0</v>
      </c>
      <c r="U934" s="270">
        <f t="shared" si="113"/>
        <v>0</v>
      </c>
      <c r="V934" s="31"/>
      <c r="X934" s="240" t="str">
        <f t="shared" si="114"/>
        <v>OK</v>
      </c>
      <c r="Y934" s="240" t="str">
        <f t="shared" si="115"/>
        <v>OK</v>
      </c>
      <c r="Z934" s="240" t="str">
        <f t="shared" si="116"/>
        <v>OK</v>
      </c>
      <c r="AA934" s="240" t="str" cm="1">
        <f t="array" ref="AA934">IF(OR(AND(J934="Not accepted",N934:O934&lt;&gt;"",$S934=""),AND(J934="Accepted",S934="")),"ERROR","OK")</f>
        <v>OK</v>
      </c>
      <c r="AB934" s="240" t="str">
        <f t="shared" si="117"/>
        <v>OK</v>
      </c>
      <c r="AC934" s="240" t="str" cm="1">
        <f t="array" ref="AC934">IF(AND(F934:H934&lt;&gt;"",I934=""),"ERROR","OK")</f>
        <v>OK</v>
      </c>
      <c r="AD934" s="240" t="str">
        <f t="shared" si="118"/>
        <v>OK</v>
      </c>
      <c r="AE934" s="240" t="str">
        <f t="shared" si="119"/>
        <v>OK</v>
      </c>
      <c r="AF934" s="240" t="str" cm="1">
        <f t="array" aca="1" ref="AF934" ca="1" xml:space="preserve">
IF(AND($G934&lt;&gt;"",$F934=""),"ERROR",
IF(OR($F934:$G934="",AND($G934="",$F934&lt;&gt;"")),"OK",
IF(COUNTIF(INDIRECT(IFERROR(LEFT($F934,FIND(" ",$F934)-1),$F934)), $G934)&gt;0, "OK", "ERROR")))</f>
        <v>OK</v>
      </c>
    </row>
    <row r="935" spans="1:32" s="240" customFormat="1">
      <c r="A935" s="48"/>
      <c r="B935" s="31"/>
      <c r="C935" s="48"/>
      <c r="D935" s="47"/>
      <c r="E935" s="47"/>
      <c r="F935" s="31"/>
      <c r="G935" s="31"/>
      <c r="H935" s="31"/>
      <c r="I935" s="47"/>
      <c r="J935" s="31"/>
      <c r="K935" s="47"/>
      <c r="L935" s="47"/>
      <c r="M935" s="47"/>
      <c r="N935" s="31"/>
      <c r="O935" s="47"/>
      <c r="P935" s="31"/>
      <c r="Q935" s="31"/>
      <c r="R935" s="31"/>
      <c r="S935" s="31"/>
      <c r="T935" s="270">
        <f t="shared" si="112"/>
        <v>0</v>
      </c>
      <c r="U935" s="270">
        <f t="shared" si="113"/>
        <v>0</v>
      </c>
      <c r="V935" s="31"/>
      <c r="X935" s="240" t="str">
        <f t="shared" si="114"/>
        <v>OK</v>
      </c>
      <c r="Y935" s="240" t="str">
        <f t="shared" si="115"/>
        <v>OK</v>
      </c>
      <c r="Z935" s="240" t="str">
        <f t="shared" si="116"/>
        <v>OK</v>
      </c>
      <c r="AA935" s="240" t="str" cm="1">
        <f t="array" ref="AA935">IF(OR(AND(J935="Not accepted",N935:O935&lt;&gt;"",$S935=""),AND(J935="Accepted",S935="")),"ERROR","OK")</f>
        <v>OK</v>
      </c>
      <c r="AB935" s="240" t="str">
        <f t="shared" si="117"/>
        <v>OK</v>
      </c>
      <c r="AC935" s="240" t="str" cm="1">
        <f t="array" ref="AC935">IF(AND(F935:H935&lt;&gt;"",I935=""),"ERROR","OK")</f>
        <v>OK</v>
      </c>
      <c r="AD935" s="240" t="str">
        <f t="shared" si="118"/>
        <v>OK</v>
      </c>
      <c r="AE935" s="240" t="str">
        <f t="shared" si="119"/>
        <v>OK</v>
      </c>
      <c r="AF935" s="240" t="str" cm="1">
        <f t="array" aca="1" ref="AF935" ca="1" xml:space="preserve">
IF(AND($G935&lt;&gt;"",$F935=""),"ERROR",
IF(OR($F935:$G935="",AND($G935="",$F935&lt;&gt;"")),"OK",
IF(COUNTIF(INDIRECT(IFERROR(LEFT($F935,FIND(" ",$F935)-1),$F935)), $G935)&gt;0, "OK", "ERROR")))</f>
        <v>OK</v>
      </c>
    </row>
    <row r="936" spans="1:32" s="240" customFormat="1">
      <c r="A936" s="48"/>
      <c r="B936" s="31"/>
      <c r="C936" s="48"/>
      <c r="D936" s="47"/>
      <c r="E936" s="47"/>
      <c r="F936" s="31"/>
      <c r="G936" s="31"/>
      <c r="H936" s="31"/>
      <c r="I936" s="47"/>
      <c r="J936" s="31"/>
      <c r="K936" s="47"/>
      <c r="L936" s="47"/>
      <c r="M936" s="47"/>
      <c r="N936" s="31"/>
      <c r="O936" s="47"/>
      <c r="P936" s="31"/>
      <c r="Q936" s="31"/>
      <c r="R936" s="31"/>
      <c r="S936" s="31"/>
      <c r="T936" s="270">
        <f t="shared" si="112"/>
        <v>0</v>
      </c>
      <c r="U936" s="270">
        <f t="shared" si="113"/>
        <v>0</v>
      </c>
      <c r="V936" s="31"/>
      <c r="X936" s="240" t="str">
        <f t="shared" si="114"/>
        <v>OK</v>
      </c>
      <c r="Y936" s="240" t="str">
        <f t="shared" si="115"/>
        <v>OK</v>
      </c>
      <c r="Z936" s="240" t="str">
        <f t="shared" si="116"/>
        <v>OK</v>
      </c>
      <c r="AA936" s="240" t="str" cm="1">
        <f t="array" ref="AA936">IF(OR(AND(J936="Not accepted",N936:O936&lt;&gt;"",$S936=""),AND(J936="Accepted",S936="")),"ERROR","OK")</f>
        <v>OK</v>
      </c>
      <c r="AB936" s="240" t="str">
        <f t="shared" si="117"/>
        <v>OK</v>
      </c>
      <c r="AC936" s="240" t="str" cm="1">
        <f t="array" ref="AC936">IF(AND(F936:H936&lt;&gt;"",I936=""),"ERROR","OK")</f>
        <v>OK</v>
      </c>
      <c r="AD936" s="240" t="str">
        <f t="shared" si="118"/>
        <v>OK</v>
      </c>
      <c r="AE936" s="240" t="str">
        <f t="shared" si="119"/>
        <v>OK</v>
      </c>
      <c r="AF936" s="240" t="str" cm="1">
        <f t="array" aca="1" ref="AF936" ca="1" xml:space="preserve">
IF(AND($G936&lt;&gt;"",$F936=""),"ERROR",
IF(OR($F936:$G936="",AND($G936="",$F936&lt;&gt;"")),"OK",
IF(COUNTIF(INDIRECT(IFERROR(LEFT($F936,FIND(" ",$F936)-1),$F936)), $G936)&gt;0, "OK", "ERROR")))</f>
        <v>OK</v>
      </c>
    </row>
    <row r="937" spans="1:32" s="240" customFormat="1">
      <c r="A937" s="48"/>
      <c r="B937" s="31"/>
      <c r="C937" s="48"/>
      <c r="D937" s="47"/>
      <c r="E937" s="47"/>
      <c r="F937" s="31"/>
      <c r="G937" s="31"/>
      <c r="H937" s="31"/>
      <c r="I937" s="47"/>
      <c r="J937" s="31"/>
      <c r="K937" s="47"/>
      <c r="L937" s="47"/>
      <c r="M937" s="47"/>
      <c r="N937" s="31"/>
      <c r="O937" s="47"/>
      <c r="P937" s="31"/>
      <c r="Q937" s="31"/>
      <c r="R937" s="31"/>
      <c r="S937" s="31"/>
      <c r="T937" s="270">
        <f t="shared" si="112"/>
        <v>0</v>
      </c>
      <c r="U937" s="270">
        <f t="shared" si="113"/>
        <v>0</v>
      </c>
      <c r="V937" s="31"/>
      <c r="X937" s="240" t="str">
        <f t="shared" si="114"/>
        <v>OK</v>
      </c>
      <c r="Y937" s="240" t="str">
        <f t="shared" si="115"/>
        <v>OK</v>
      </c>
      <c r="Z937" s="240" t="str">
        <f t="shared" si="116"/>
        <v>OK</v>
      </c>
      <c r="AA937" s="240" t="str" cm="1">
        <f t="array" ref="AA937">IF(OR(AND(J937="Not accepted",N937:O937&lt;&gt;"",$S937=""),AND(J937="Accepted",S937="")),"ERROR","OK")</f>
        <v>OK</v>
      </c>
      <c r="AB937" s="240" t="str">
        <f t="shared" si="117"/>
        <v>OK</v>
      </c>
      <c r="AC937" s="240" t="str" cm="1">
        <f t="array" ref="AC937">IF(AND(F937:H937&lt;&gt;"",I937=""),"ERROR","OK")</f>
        <v>OK</v>
      </c>
      <c r="AD937" s="240" t="str">
        <f t="shared" si="118"/>
        <v>OK</v>
      </c>
      <c r="AE937" s="240" t="str">
        <f t="shared" si="119"/>
        <v>OK</v>
      </c>
      <c r="AF937" s="240" t="str" cm="1">
        <f t="array" aca="1" ref="AF937" ca="1" xml:space="preserve">
IF(AND($G937&lt;&gt;"",$F937=""),"ERROR",
IF(OR($F937:$G937="",AND($G937="",$F937&lt;&gt;"")),"OK",
IF(COUNTIF(INDIRECT(IFERROR(LEFT($F937,FIND(" ",$F937)-1),$F937)), $G937)&gt;0, "OK", "ERROR")))</f>
        <v>OK</v>
      </c>
    </row>
    <row r="938" spans="1:32" s="240" customFormat="1">
      <c r="A938" s="48"/>
      <c r="B938" s="31"/>
      <c r="C938" s="48"/>
      <c r="D938" s="47"/>
      <c r="E938" s="47"/>
      <c r="F938" s="31"/>
      <c r="G938" s="31"/>
      <c r="H938" s="31"/>
      <c r="I938" s="47"/>
      <c r="J938" s="31"/>
      <c r="K938" s="47"/>
      <c r="L938" s="47"/>
      <c r="M938" s="47"/>
      <c r="N938" s="31"/>
      <c r="O938" s="47"/>
      <c r="P938" s="31"/>
      <c r="Q938" s="31"/>
      <c r="R938" s="31"/>
      <c r="S938" s="31"/>
      <c r="T938" s="270">
        <f t="shared" si="112"/>
        <v>0</v>
      </c>
      <c r="U938" s="270">
        <f t="shared" si="113"/>
        <v>0</v>
      </c>
      <c r="V938" s="31"/>
      <c r="X938" s="240" t="str">
        <f t="shared" si="114"/>
        <v>OK</v>
      </c>
      <c r="Y938" s="240" t="str">
        <f t="shared" si="115"/>
        <v>OK</v>
      </c>
      <c r="Z938" s="240" t="str">
        <f t="shared" si="116"/>
        <v>OK</v>
      </c>
      <c r="AA938" s="240" t="str" cm="1">
        <f t="array" ref="AA938">IF(OR(AND(J938="Not accepted",N938:O938&lt;&gt;"",$S938=""),AND(J938="Accepted",S938="")),"ERROR","OK")</f>
        <v>OK</v>
      </c>
      <c r="AB938" s="240" t="str">
        <f t="shared" si="117"/>
        <v>OK</v>
      </c>
      <c r="AC938" s="240" t="str" cm="1">
        <f t="array" ref="AC938">IF(AND(F938:H938&lt;&gt;"",I938=""),"ERROR","OK")</f>
        <v>OK</v>
      </c>
      <c r="AD938" s="240" t="str">
        <f t="shared" si="118"/>
        <v>OK</v>
      </c>
      <c r="AE938" s="240" t="str">
        <f t="shared" si="119"/>
        <v>OK</v>
      </c>
      <c r="AF938" s="240" t="str" cm="1">
        <f t="array" aca="1" ref="AF938" ca="1" xml:space="preserve">
IF(AND($G938&lt;&gt;"",$F938=""),"ERROR",
IF(OR($F938:$G938="",AND($G938="",$F938&lt;&gt;"")),"OK",
IF(COUNTIF(INDIRECT(IFERROR(LEFT($F938,FIND(" ",$F938)-1),$F938)), $G938)&gt;0, "OK", "ERROR")))</f>
        <v>OK</v>
      </c>
    </row>
    <row r="939" spans="1:32" s="240" customFormat="1">
      <c r="A939" s="48"/>
      <c r="B939" s="31"/>
      <c r="C939" s="48"/>
      <c r="D939" s="47"/>
      <c r="E939" s="47"/>
      <c r="F939" s="31"/>
      <c r="G939" s="31"/>
      <c r="H939" s="31"/>
      <c r="I939" s="47"/>
      <c r="J939" s="31"/>
      <c r="K939" s="47"/>
      <c r="L939" s="47"/>
      <c r="M939" s="47"/>
      <c r="N939" s="31"/>
      <c r="O939" s="47"/>
      <c r="P939" s="31"/>
      <c r="Q939" s="31"/>
      <c r="R939" s="31"/>
      <c r="S939" s="31"/>
      <c r="T939" s="270">
        <f t="shared" si="112"/>
        <v>0</v>
      </c>
      <c r="U939" s="270">
        <f t="shared" si="113"/>
        <v>0</v>
      </c>
      <c r="V939" s="31"/>
      <c r="X939" s="240" t="str">
        <f t="shared" si="114"/>
        <v>OK</v>
      </c>
      <c r="Y939" s="240" t="str">
        <f t="shared" si="115"/>
        <v>OK</v>
      </c>
      <c r="Z939" s="240" t="str">
        <f t="shared" si="116"/>
        <v>OK</v>
      </c>
      <c r="AA939" s="240" t="str" cm="1">
        <f t="array" ref="AA939">IF(OR(AND(J939="Not accepted",N939:O939&lt;&gt;"",$S939=""),AND(J939="Accepted",S939="")),"ERROR","OK")</f>
        <v>OK</v>
      </c>
      <c r="AB939" s="240" t="str">
        <f t="shared" si="117"/>
        <v>OK</v>
      </c>
      <c r="AC939" s="240" t="str" cm="1">
        <f t="array" ref="AC939">IF(AND(F939:H939&lt;&gt;"",I939=""),"ERROR","OK")</f>
        <v>OK</v>
      </c>
      <c r="AD939" s="240" t="str">
        <f t="shared" si="118"/>
        <v>OK</v>
      </c>
      <c r="AE939" s="240" t="str">
        <f t="shared" si="119"/>
        <v>OK</v>
      </c>
      <c r="AF939" s="240" t="str" cm="1">
        <f t="array" aca="1" ref="AF939" ca="1" xml:space="preserve">
IF(AND($G939&lt;&gt;"",$F939=""),"ERROR",
IF(OR($F939:$G939="",AND($G939="",$F939&lt;&gt;"")),"OK",
IF(COUNTIF(INDIRECT(IFERROR(LEFT($F939,FIND(" ",$F939)-1),$F939)), $G939)&gt;0, "OK", "ERROR")))</f>
        <v>OK</v>
      </c>
    </row>
    <row r="940" spans="1:32" s="240" customFormat="1">
      <c r="A940" s="48"/>
      <c r="B940" s="31"/>
      <c r="C940" s="48"/>
      <c r="D940" s="47"/>
      <c r="E940" s="47"/>
      <c r="F940" s="31"/>
      <c r="G940" s="31"/>
      <c r="H940" s="31"/>
      <c r="I940" s="47"/>
      <c r="J940" s="31"/>
      <c r="K940" s="47"/>
      <c r="L940" s="47"/>
      <c r="M940" s="47"/>
      <c r="N940" s="31"/>
      <c r="O940" s="47"/>
      <c r="P940" s="31"/>
      <c r="Q940" s="31"/>
      <c r="R940" s="31"/>
      <c r="S940" s="31"/>
      <c r="T940" s="270">
        <f t="shared" si="112"/>
        <v>0</v>
      </c>
      <c r="U940" s="270">
        <f t="shared" si="113"/>
        <v>0</v>
      </c>
      <c r="V940" s="31"/>
      <c r="X940" s="240" t="str">
        <f t="shared" si="114"/>
        <v>OK</v>
      </c>
      <c r="Y940" s="240" t="str">
        <f t="shared" si="115"/>
        <v>OK</v>
      </c>
      <c r="Z940" s="240" t="str">
        <f t="shared" si="116"/>
        <v>OK</v>
      </c>
      <c r="AA940" s="240" t="str" cm="1">
        <f t="array" ref="AA940">IF(OR(AND(J940="Not accepted",N940:O940&lt;&gt;"",$S940=""),AND(J940="Accepted",S940="")),"ERROR","OK")</f>
        <v>OK</v>
      </c>
      <c r="AB940" s="240" t="str">
        <f t="shared" si="117"/>
        <v>OK</v>
      </c>
      <c r="AC940" s="240" t="str" cm="1">
        <f t="array" ref="AC940">IF(AND(F940:H940&lt;&gt;"",I940=""),"ERROR","OK")</f>
        <v>OK</v>
      </c>
      <c r="AD940" s="240" t="str">
        <f t="shared" si="118"/>
        <v>OK</v>
      </c>
      <c r="AE940" s="240" t="str">
        <f t="shared" si="119"/>
        <v>OK</v>
      </c>
      <c r="AF940" s="240" t="str" cm="1">
        <f t="array" aca="1" ref="AF940" ca="1" xml:space="preserve">
IF(AND($G940&lt;&gt;"",$F940=""),"ERROR",
IF(OR($F940:$G940="",AND($G940="",$F940&lt;&gt;"")),"OK",
IF(COUNTIF(INDIRECT(IFERROR(LEFT($F940,FIND(" ",$F940)-1),$F940)), $G940)&gt;0, "OK", "ERROR")))</f>
        <v>OK</v>
      </c>
    </row>
    <row r="941" spans="1:32" s="240" customFormat="1">
      <c r="A941" s="48"/>
      <c r="B941" s="31"/>
      <c r="C941" s="48"/>
      <c r="D941" s="47"/>
      <c r="E941" s="47"/>
      <c r="F941" s="31"/>
      <c r="G941" s="31"/>
      <c r="H941" s="31"/>
      <c r="I941" s="47"/>
      <c r="J941" s="31"/>
      <c r="K941" s="47"/>
      <c r="L941" s="47"/>
      <c r="M941" s="47"/>
      <c r="N941" s="31"/>
      <c r="O941" s="47"/>
      <c r="P941" s="31"/>
      <c r="Q941" s="31"/>
      <c r="R941" s="31"/>
      <c r="S941" s="31"/>
      <c r="T941" s="270">
        <f t="shared" si="112"/>
        <v>0</v>
      </c>
      <c r="U941" s="270">
        <f t="shared" si="113"/>
        <v>0</v>
      </c>
      <c r="V941" s="31"/>
      <c r="X941" s="240" t="str">
        <f t="shared" si="114"/>
        <v>OK</v>
      </c>
      <c r="Y941" s="240" t="str">
        <f t="shared" si="115"/>
        <v>OK</v>
      </c>
      <c r="Z941" s="240" t="str">
        <f t="shared" si="116"/>
        <v>OK</v>
      </c>
      <c r="AA941" s="240" t="str" cm="1">
        <f t="array" ref="AA941">IF(OR(AND(J941="Not accepted",N941:O941&lt;&gt;"",$S941=""),AND(J941="Accepted",S941="")),"ERROR","OK")</f>
        <v>OK</v>
      </c>
      <c r="AB941" s="240" t="str">
        <f t="shared" si="117"/>
        <v>OK</v>
      </c>
      <c r="AC941" s="240" t="str" cm="1">
        <f t="array" ref="AC941">IF(AND(F941:H941&lt;&gt;"",I941=""),"ERROR","OK")</f>
        <v>OK</v>
      </c>
      <c r="AD941" s="240" t="str">
        <f t="shared" si="118"/>
        <v>OK</v>
      </c>
      <c r="AE941" s="240" t="str">
        <f t="shared" si="119"/>
        <v>OK</v>
      </c>
      <c r="AF941" s="240" t="str" cm="1">
        <f t="array" aca="1" ref="AF941" ca="1" xml:space="preserve">
IF(AND($G941&lt;&gt;"",$F941=""),"ERROR",
IF(OR($F941:$G941="",AND($G941="",$F941&lt;&gt;"")),"OK",
IF(COUNTIF(INDIRECT(IFERROR(LEFT($F941,FIND(" ",$F941)-1),$F941)), $G941)&gt;0, "OK", "ERROR")))</f>
        <v>OK</v>
      </c>
    </row>
    <row r="942" spans="1:32" s="240" customFormat="1">
      <c r="A942" s="48"/>
      <c r="B942" s="31"/>
      <c r="C942" s="48"/>
      <c r="D942" s="47"/>
      <c r="E942" s="47"/>
      <c r="F942" s="31"/>
      <c r="G942" s="31"/>
      <c r="H942" s="31"/>
      <c r="I942" s="47"/>
      <c r="J942" s="31"/>
      <c r="K942" s="47"/>
      <c r="L942" s="47"/>
      <c r="M942" s="47"/>
      <c r="N942" s="31"/>
      <c r="O942" s="47"/>
      <c r="P942" s="31"/>
      <c r="Q942" s="31"/>
      <c r="R942" s="31"/>
      <c r="S942" s="31"/>
      <c r="T942" s="270">
        <f t="shared" si="112"/>
        <v>0</v>
      </c>
      <c r="U942" s="270">
        <f t="shared" si="113"/>
        <v>0</v>
      </c>
      <c r="V942" s="31"/>
      <c r="X942" s="240" t="str">
        <f t="shared" si="114"/>
        <v>OK</v>
      </c>
      <c r="Y942" s="240" t="str">
        <f t="shared" si="115"/>
        <v>OK</v>
      </c>
      <c r="Z942" s="240" t="str">
        <f t="shared" si="116"/>
        <v>OK</v>
      </c>
      <c r="AA942" s="240" t="str" cm="1">
        <f t="array" ref="AA942">IF(OR(AND(J942="Not accepted",N942:O942&lt;&gt;"",$S942=""),AND(J942="Accepted",S942="")),"ERROR","OK")</f>
        <v>OK</v>
      </c>
      <c r="AB942" s="240" t="str">
        <f t="shared" si="117"/>
        <v>OK</v>
      </c>
      <c r="AC942" s="240" t="str" cm="1">
        <f t="array" ref="AC942">IF(AND(F942:H942&lt;&gt;"",I942=""),"ERROR","OK")</f>
        <v>OK</v>
      </c>
      <c r="AD942" s="240" t="str">
        <f t="shared" si="118"/>
        <v>OK</v>
      </c>
      <c r="AE942" s="240" t="str">
        <f t="shared" si="119"/>
        <v>OK</v>
      </c>
      <c r="AF942" s="240" t="str" cm="1">
        <f t="array" aca="1" ref="AF942" ca="1" xml:space="preserve">
IF(AND($G942&lt;&gt;"",$F942=""),"ERROR",
IF(OR($F942:$G942="",AND($G942="",$F942&lt;&gt;"")),"OK",
IF(COUNTIF(INDIRECT(IFERROR(LEFT($F942,FIND(" ",$F942)-1),$F942)), $G942)&gt;0, "OK", "ERROR")))</f>
        <v>OK</v>
      </c>
    </row>
    <row r="943" spans="1:32" s="240" customFormat="1">
      <c r="A943" s="48"/>
      <c r="B943" s="31"/>
      <c r="C943" s="48"/>
      <c r="D943" s="47"/>
      <c r="E943" s="47"/>
      <c r="F943" s="31"/>
      <c r="G943" s="31"/>
      <c r="H943" s="31"/>
      <c r="I943" s="47"/>
      <c r="J943" s="31"/>
      <c r="K943" s="47"/>
      <c r="L943" s="47"/>
      <c r="M943" s="47"/>
      <c r="N943" s="31"/>
      <c r="O943" s="47"/>
      <c r="P943" s="31"/>
      <c r="Q943" s="31"/>
      <c r="R943" s="31"/>
      <c r="S943" s="31"/>
      <c r="T943" s="270">
        <f t="shared" si="112"/>
        <v>0</v>
      </c>
      <c r="U943" s="270">
        <f t="shared" si="113"/>
        <v>0</v>
      </c>
      <c r="V943" s="31"/>
      <c r="X943" s="240" t="str">
        <f t="shared" si="114"/>
        <v>OK</v>
      </c>
      <c r="Y943" s="240" t="str">
        <f t="shared" si="115"/>
        <v>OK</v>
      </c>
      <c r="Z943" s="240" t="str">
        <f t="shared" si="116"/>
        <v>OK</v>
      </c>
      <c r="AA943" s="240" t="str" cm="1">
        <f t="array" ref="AA943">IF(OR(AND(J943="Not accepted",N943:O943&lt;&gt;"",$S943=""),AND(J943="Accepted",S943="")),"ERROR","OK")</f>
        <v>OK</v>
      </c>
      <c r="AB943" s="240" t="str">
        <f t="shared" si="117"/>
        <v>OK</v>
      </c>
      <c r="AC943" s="240" t="str" cm="1">
        <f t="array" ref="AC943">IF(AND(F943:H943&lt;&gt;"",I943=""),"ERROR","OK")</f>
        <v>OK</v>
      </c>
      <c r="AD943" s="240" t="str">
        <f t="shared" si="118"/>
        <v>OK</v>
      </c>
      <c r="AE943" s="240" t="str">
        <f t="shared" si="119"/>
        <v>OK</v>
      </c>
      <c r="AF943" s="240" t="str" cm="1">
        <f t="array" aca="1" ref="AF943" ca="1" xml:space="preserve">
IF(AND($G943&lt;&gt;"",$F943=""),"ERROR",
IF(OR($F943:$G943="",AND($G943="",$F943&lt;&gt;"")),"OK",
IF(COUNTIF(INDIRECT(IFERROR(LEFT($F943,FIND(" ",$F943)-1),$F943)), $G943)&gt;0, "OK", "ERROR")))</f>
        <v>OK</v>
      </c>
    </row>
    <row r="944" spans="1:32" s="240" customFormat="1">
      <c r="A944" s="48"/>
      <c r="B944" s="31"/>
      <c r="C944" s="48"/>
      <c r="D944" s="47"/>
      <c r="E944" s="47"/>
      <c r="F944" s="31"/>
      <c r="G944" s="31"/>
      <c r="H944" s="31"/>
      <c r="I944" s="47"/>
      <c r="J944" s="31"/>
      <c r="K944" s="47"/>
      <c r="L944" s="47"/>
      <c r="M944" s="47"/>
      <c r="N944" s="31"/>
      <c r="O944" s="47"/>
      <c r="P944" s="31"/>
      <c r="Q944" s="31"/>
      <c r="R944" s="31"/>
      <c r="S944" s="31"/>
      <c r="T944" s="270">
        <f t="shared" si="112"/>
        <v>0</v>
      </c>
      <c r="U944" s="270">
        <f t="shared" si="113"/>
        <v>0</v>
      </c>
      <c r="V944" s="31"/>
      <c r="X944" s="240" t="str">
        <f t="shared" si="114"/>
        <v>OK</v>
      </c>
      <c r="Y944" s="240" t="str">
        <f t="shared" si="115"/>
        <v>OK</v>
      </c>
      <c r="Z944" s="240" t="str">
        <f t="shared" si="116"/>
        <v>OK</v>
      </c>
      <c r="AA944" s="240" t="str" cm="1">
        <f t="array" ref="AA944">IF(OR(AND(J944="Not accepted",N944:O944&lt;&gt;"",$S944=""),AND(J944="Accepted",S944="")),"ERROR","OK")</f>
        <v>OK</v>
      </c>
      <c r="AB944" s="240" t="str">
        <f t="shared" si="117"/>
        <v>OK</v>
      </c>
      <c r="AC944" s="240" t="str" cm="1">
        <f t="array" ref="AC944">IF(AND(F944:H944&lt;&gt;"",I944=""),"ERROR","OK")</f>
        <v>OK</v>
      </c>
      <c r="AD944" s="240" t="str">
        <f t="shared" si="118"/>
        <v>OK</v>
      </c>
      <c r="AE944" s="240" t="str">
        <f t="shared" si="119"/>
        <v>OK</v>
      </c>
      <c r="AF944" s="240" t="str" cm="1">
        <f t="array" aca="1" ref="AF944" ca="1" xml:space="preserve">
IF(AND($G944&lt;&gt;"",$F944=""),"ERROR",
IF(OR($F944:$G944="",AND($G944="",$F944&lt;&gt;"")),"OK",
IF(COUNTIF(INDIRECT(IFERROR(LEFT($F944,FIND(" ",$F944)-1),$F944)), $G944)&gt;0, "OK", "ERROR")))</f>
        <v>OK</v>
      </c>
    </row>
    <row r="945" spans="1:32" s="240" customFormat="1">
      <c r="A945" s="48"/>
      <c r="B945" s="31"/>
      <c r="C945" s="48"/>
      <c r="D945" s="47"/>
      <c r="E945" s="47"/>
      <c r="F945" s="31"/>
      <c r="G945" s="31"/>
      <c r="H945" s="31"/>
      <c r="I945" s="47"/>
      <c r="J945" s="31"/>
      <c r="K945" s="47"/>
      <c r="L945" s="47"/>
      <c r="M945" s="47"/>
      <c r="N945" s="31"/>
      <c r="O945" s="47"/>
      <c r="P945" s="31"/>
      <c r="Q945" s="31"/>
      <c r="R945" s="31"/>
      <c r="S945" s="31"/>
      <c r="T945" s="270">
        <f t="shared" si="112"/>
        <v>0</v>
      </c>
      <c r="U945" s="270">
        <f t="shared" si="113"/>
        <v>0</v>
      </c>
      <c r="V945" s="31"/>
      <c r="X945" s="240" t="str">
        <f t="shared" si="114"/>
        <v>OK</v>
      </c>
      <c r="Y945" s="240" t="str">
        <f t="shared" si="115"/>
        <v>OK</v>
      </c>
      <c r="Z945" s="240" t="str">
        <f t="shared" si="116"/>
        <v>OK</v>
      </c>
      <c r="AA945" s="240" t="str" cm="1">
        <f t="array" ref="AA945">IF(OR(AND(J945="Not accepted",N945:O945&lt;&gt;"",$S945=""),AND(J945="Accepted",S945="")),"ERROR","OK")</f>
        <v>OK</v>
      </c>
      <c r="AB945" s="240" t="str">
        <f t="shared" si="117"/>
        <v>OK</v>
      </c>
      <c r="AC945" s="240" t="str" cm="1">
        <f t="array" ref="AC945">IF(AND(F945:H945&lt;&gt;"",I945=""),"ERROR","OK")</f>
        <v>OK</v>
      </c>
      <c r="AD945" s="240" t="str">
        <f t="shared" si="118"/>
        <v>OK</v>
      </c>
      <c r="AE945" s="240" t="str">
        <f t="shared" si="119"/>
        <v>OK</v>
      </c>
      <c r="AF945" s="240" t="str" cm="1">
        <f t="array" aca="1" ref="AF945" ca="1" xml:space="preserve">
IF(AND($G945&lt;&gt;"",$F945=""),"ERROR",
IF(OR($F945:$G945="",AND($G945="",$F945&lt;&gt;"")),"OK",
IF(COUNTIF(INDIRECT(IFERROR(LEFT($F945,FIND(" ",$F945)-1),$F945)), $G945)&gt;0, "OK", "ERROR")))</f>
        <v>OK</v>
      </c>
    </row>
    <row r="946" spans="1:32" s="240" customFormat="1">
      <c r="A946" s="48"/>
      <c r="B946" s="31"/>
      <c r="C946" s="48"/>
      <c r="D946" s="47"/>
      <c r="E946" s="47"/>
      <c r="F946" s="31"/>
      <c r="G946" s="31"/>
      <c r="H946" s="31"/>
      <c r="I946" s="47"/>
      <c r="J946" s="31"/>
      <c r="K946" s="47"/>
      <c r="L946" s="47"/>
      <c r="M946" s="47"/>
      <c r="N946" s="31"/>
      <c r="O946" s="47"/>
      <c r="P946" s="31"/>
      <c r="Q946" s="31"/>
      <c r="R946" s="31"/>
      <c r="S946" s="31"/>
      <c r="T946" s="270">
        <f t="shared" si="112"/>
        <v>0</v>
      </c>
      <c r="U946" s="270">
        <f t="shared" si="113"/>
        <v>0</v>
      </c>
      <c r="V946" s="31"/>
      <c r="X946" s="240" t="str">
        <f t="shared" si="114"/>
        <v>OK</v>
      </c>
      <c r="Y946" s="240" t="str">
        <f t="shared" si="115"/>
        <v>OK</v>
      </c>
      <c r="Z946" s="240" t="str">
        <f t="shared" si="116"/>
        <v>OK</v>
      </c>
      <c r="AA946" s="240" t="str" cm="1">
        <f t="array" ref="AA946">IF(OR(AND(J946="Not accepted",N946:O946&lt;&gt;"",$S946=""),AND(J946="Accepted",S946="")),"ERROR","OK")</f>
        <v>OK</v>
      </c>
      <c r="AB946" s="240" t="str">
        <f t="shared" si="117"/>
        <v>OK</v>
      </c>
      <c r="AC946" s="240" t="str" cm="1">
        <f t="array" ref="AC946">IF(AND(F946:H946&lt;&gt;"",I946=""),"ERROR","OK")</f>
        <v>OK</v>
      </c>
      <c r="AD946" s="240" t="str">
        <f t="shared" si="118"/>
        <v>OK</v>
      </c>
      <c r="AE946" s="240" t="str">
        <f t="shared" si="119"/>
        <v>OK</v>
      </c>
      <c r="AF946" s="240" t="str" cm="1">
        <f t="array" aca="1" ref="AF946" ca="1" xml:space="preserve">
IF(AND($G946&lt;&gt;"",$F946=""),"ERROR",
IF(OR($F946:$G946="",AND($G946="",$F946&lt;&gt;"")),"OK",
IF(COUNTIF(INDIRECT(IFERROR(LEFT($F946,FIND(" ",$F946)-1),$F946)), $G946)&gt;0, "OK", "ERROR")))</f>
        <v>OK</v>
      </c>
    </row>
    <row r="947" spans="1:32" s="240" customFormat="1">
      <c r="A947" s="48"/>
      <c r="B947" s="31"/>
      <c r="C947" s="48"/>
      <c r="D947" s="47"/>
      <c r="E947" s="47"/>
      <c r="F947" s="31"/>
      <c r="G947" s="31"/>
      <c r="H947" s="31"/>
      <c r="I947" s="47"/>
      <c r="J947" s="31"/>
      <c r="K947" s="47"/>
      <c r="L947" s="47"/>
      <c r="M947" s="47"/>
      <c r="N947" s="31"/>
      <c r="O947" s="47"/>
      <c r="P947" s="31"/>
      <c r="Q947" s="31"/>
      <c r="R947" s="31"/>
      <c r="S947" s="31"/>
      <c r="T947" s="270">
        <f t="shared" si="112"/>
        <v>0</v>
      </c>
      <c r="U947" s="270">
        <f t="shared" si="113"/>
        <v>0</v>
      </c>
      <c r="V947" s="31"/>
      <c r="X947" s="240" t="str">
        <f t="shared" si="114"/>
        <v>OK</v>
      </c>
      <c r="Y947" s="240" t="str">
        <f t="shared" si="115"/>
        <v>OK</v>
      </c>
      <c r="Z947" s="240" t="str">
        <f t="shared" si="116"/>
        <v>OK</v>
      </c>
      <c r="AA947" s="240" t="str" cm="1">
        <f t="array" ref="AA947">IF(OR(AND(J947="Not accepted",N947:O947&lt;&gt;"",$S947=""),AND(J947="Accepted",S947="")),"ERROR","OK")</f>
        <v>OK</v>
      </c>
      <c r="AB947" s="240" t="str">
        <f t="shared" si="117"/>
        <v>OK</v>
      </c>
      <c r="AC947" s="240" t="str" cm="1">
        <f t="array" ref="AC947">IF(AND(F947:H947&lt;&gt;"",I947=""),"ERROR","OK")</f>
        <v>OK</v>
      </c>
      <c r="AD947" s="240" t="str">
        <f t="shared" si="118"/>
        <v>OK</v>
      </c>
      <c r="AE947" s="240" t="str">
        <f t="shared" si="119"/>
        <v>OK</v>
      </c>
      <c r="AF947" s="240" t="str" cm="1">
        <f t="array" aca="1" ref="AF947" ca="1" xml:space="preserve">
IF(AND($G947&lt;&gt;"",$F947=""),"ERROR",
IF(OR($F947:$G947="",AND($G947="",$F947&lt;&gt;"")),"OK",
IF(COUNTIF(INDIRECT(IFERROR(LEFT($F947,FIND(" ",$F947)-1),$F947)), $G947)&gt;0, "OK", "ERROR")))</f>
        <v>OK</v>
      </c>
    </row>
    <row r="948" spans="1:32" s="240" customFormat="1">
      <c r="A948" s="48"/>
      <c r="B948" s="31"/>
      <c r="C948" s="48"/>
      <c r="D948" s="47"/>
      <c r="E948" s="47"/>
      <c r="F948" s="31"/>
      <c r="G948" s="31"/>
      <c r="H948" s="31"/>
      <c r="I948" s="47"/>
      <c r="J948" s="31"/>
      <c r="K948" s="47"/>
      <c r="L948" s="47"/>
      <c r="M948" s="47"/>
      <c r="N948" s="31"/>
      <c r="O948" s="47"/>
      <c r="P948" s="31"/>
      <c r="Q948" s="31"/>
      <c r="R948" s="31"/>
      <c r="S948" s="31"/>
      <c r="T948" s="270">
        <f t="shared" si="112"/>
        <v>0</v>
      </c>
      <c r="U948" s="270">
        <f t="shared" si="113"/>
        <v>0</v>
      </c>
      <c r="V948" s="31"/>
      <c r="X948" s="240" t="str">
        <f t="shared" si="114"/>
        <v>OK</v>
      </c>
      <c r="Y948" s="240" t="str">
        <f t="shared" si="115"/>
        <v>OK</v>
      </c>
      <c r="Z948" s="240" t="str">
        <f t="shared" si="116"/>
        <v>OK</v>
      </c>
      <c r="AA948" s="240" t="str" cm="1">
        <f t="array" ref="AA948">IF(OR(AND(J948="Not accepted",N948:O948&lt;&gt;"",$S948=""),AND(J948="Accepted",S948="")),"ERROR","OK")</f>
        <v>OK</v>
      </c>
      <c r="AB948" s="240" t="str">
        <f t="shared" si="117"/>
        <v>OK</v>
      </c>
      <c r="AC948" s="240" t="str" cm="1">
        <f t="array" ref="AC948">IF(AND(F948:H948&lt;&gt;"",I948=""),"ERROR","OK")</f>
        <v>OK</v>
      </c>
      <c r="AD948" s="240" t="str">
        <f t="shared" si="118"/>
        <v>OK</v>
      </c>
      <c r="AE948" s="240" t="str">
        <f t="shared" si="119"/>
        <v>OK</v>
      </c>
      <c r="AF948" s="240" t="str" cm="1">
        <f t="array" aca="1" ref="AF948" ca="1" xml:space="preserve">
IF(AND($G948&lt;&gt;"",$F948=""),"ERROR",
IF(OR($F948:$G948="",AND($G948="",$F948&lt;&gt;"")),"OK",
IF(COUNTIF(INDIRECT(IFERROR(LEFT($F948,FIND(" ",$F948)-1),$F948)), $G948)&gt;0, "OK", "ERROR")))</f>
        <v>OK</v>
      </c>
    </row>
    <row r="949" spans="1:32" s="240" customFormat="1">
      <c r="A949" s="48"/>
      <c r="B949" s="31"/>
      <c r="C949" s="48"/>
      <c r="D949" s="47"/>
      <c r="E949" s="47"/>
      <c r="F949" s="31"/>
      <c r="G949" s="31"/>
      <c r="H949" s="31"/>
      <c r="I949" s="47"/>
      <c r="J949" s="31"/>
      <c r="K949" s="47"/>
      <c r="L949" s="47"/>
      <c r="M949" s="47"/>
      <c r="N949" s="31"/>
      <c r="O949" s="47"/>
      <c r="P949" s="31"/>
      <c r="Q949" s="31"/>
      <c r="R949" s="31"/>
      <c r="S949" s="31"/>
      <c r="T949" s="270">
        <f t="shared" si="112"/>
        <v>0</v>
      </c>
      <c r="U949" s="270">
        <f t="shared" si="113"/>
        <v>0</v>
      </c>
      <c r="V949" s="31"/>
      <c r="X949" s="240" t="str">
        <f t="shared" si="114"/>
        <v>OK</v>
      </c>
      <c r="Y949" s="240" t="str">
        <f t="shared" si="115"/>
        <v>OK</v>
      </c>
      <c r="Z949" s="240" t="str">
        <f t="shared" si="116"/>
        <v>OK</v>
      </c>
      <c r="AA949" s="240" t="str" cm="1">
        <f t="array" ref="AA949">IF(OR(AND(J949="Not accepted",N949:O949&lt;&gt;"",$S949=""),AND(J949="Accepted",S949="")),"ERROR","OK")</f>
        <v>OK</v>
      </c>
      <c r="AB949" s="240" t="str">
        <f t="shared" si="117"/>
        <v>OK</v>
      </c>
      <c r="AC949" s="240" t="str" cm="1">
        <f t="array" ref="AC949">IF(AND(F949:H949&lt;&gt;"",I949=""),"ERROR","OK")</f>
        <v>OK</v>
      </c>
      <c r="AD949" s="240" t="str">
        <f t="shared" si="118"/>
        <v>OK</v>
      </c>
      <c r="AE949" s="240" t="str">
        <f t="shared" si="119"/>
        <v>OK</v>
      </c>
      <c r="AF949" s="240" t="str" cm="1">
        <f t="array" aca="1" ref="AF949" ca="1" xml:space="preserve">
IF(AND($G949&lt;&gt;"",$F949=""),"ERROR",
IF(OR($F949:$G949="",AND($G949="",$F949&lt;&gt;"")),"OK",
IF(COUNTIF(INDIRECT(IFERROR(LEFT($F949,FIND(" ",$F949)-1),$F949)), $G949)&gt;0, "OK", "ERROR")))</f>
        <v>OK</v>
      </c>
    </row>
    <row r="950" spans="1:32" s="240" customFormat="1">
      <c r="A950" s="48"/>
      <c r="B950" s="31"/>
      <c r="C950" s="48"/>
      <c r="D950" s="47"/>
      <c r="E950" s="47"/>
      <c r="F950" s="31"/>
      <c r="G950" s="31"/>
      <c r="H950" s="31"/>
      <c r="I950" s="47"/>
      <c r="J950" s="31"/>
      <c r="K950" s="47"/>
      <c r="L950" s="47"/>
      <c r="M950" s="47"/>
      <c r="N950" s="31"/>
      <c r="O950" s="47"/>
      <c r="P950" s="31"/>
      <c r="Q950" s="31"/>
      <c r="R950" s="31"/>
      <c r="S950" s="31"/>
      <c r="T950" s="270">
        <f t="shared" si="112"/>
        <v>0</v>
      </c>
      <c r="U950" s="270">
        <f t="shared" si="113"/>
        <v>0</v>
      </c>
      <c r="V950" s="31"/>
      <c r="X950" s="240" t="str">
        <f t="shared" si="114"/>
        <v>OK</v>
      </c>
      <c r="Y950" s="240" t="str">
        <f t="shared" si="115"/>
        <v>OK</v>
      </c>
      <c r="Z950" s="240" t="str">
        <f t="shared" si="116"/>
        <v>OK</v>
      </c>
      <c r="AA950" s="240" t="str" cm="1">
        <f t="array" ref="AA950">IF(OR(AND(J950="Not accepted",N950:O950&lt;&gt;"",$S950=""),AND(J950="Accepted",S950="")),"ERROR","OK")</f>
        <v>OK</v>
      </c>
      <c r="AB950" s="240" t="str">
        <f t="shared" si="117"/>
        <v>OK</v>
      </c>
      <c r="AC950" s="240" t="str" cm="1">
        <f t="array" ref="AC950">IF(AND(F950:H950&lt;&gt;"",I950=""),"ERROR","OK")</f>
        <v>OK</v>
      </c>
      <c r="AD950" s="240" t="str">
        <f t="shared" si="118"/>
        <v>OK</v>
      </c>
      <c r="AE950" s="240" t="str">
        <f t="shared" si="119"/>
        <v>OK</v>
      </c>
      <c r="AF950" s="240" t="str" cm="1">
        <f t="array" aca="1" ref="AF950" ca="1" xml:space="preserve">
IF(AND($G950&lt;&gt;"",$F950=""),"ERROR",
IF(OR($F950:$G950="",AND($G950="",$F950&lt;&gt;"")),"OK",
IF(COUNTIF(INDIRECT(IFERROR(LEFT($F950,FIND(" ",$F950)-1),$F950)), $G950)&gt;0, "OK", "ERROR")))</f>
        <v>OK</v>
      </c>
    </row>
    <row r="951" spans="1:32" s="240" customFormat="1">
      <c r="A951" s="48"/>
      <c r="B951" s="31"/>
      <c r="C951" s="48"/>
      <c r="D951" s="47"/>
      <c r="E951" s="47"/>
      <c r="F951" s="31"/>
      <c r="G951" s="31"/>
      <c r="H951" s="31"/>
      <c r="I951" s="47"/>
      <c r="J951" s="31"/>
      <c r="K951" s="47"/>
      <c r="L951" s="47"/>
      <c r="M951" s="47"/>
      <c r="N951" s="31"/>
      <c r="O951" s="47"/>
      <c r="P951" s="31"/>
      <c r="Q951" s="31"/>
      <c r="R951" s="31"/>
      <c r="S951" s="31"/>
      <c r="T951" s="270">
        <f t="shared" si="112"/>
        <v>0</v>
      </c>
      <c r="U951" s="270">
        <f t="shared" si="113"/>
        <v>0</v>
      </c>
      <c r="V951" s="31"/>
      <c r="X951" s="240" t="str">
        <f t="shared" si="114"/>
        <v>OK</v>
      </c>
      <c r="Y951" s="240" t="str">
        <f t="shared" si="115"/>
        <v>OK</v>
      </c>
      <c r="Z951" s="240" t="str">
        <f t="shared" si="116"/>
        <v>OK</v>
      </c>
      <c r="AA951" s="240" t="str" cm="1">
        <f t="array" ref="AA951">IF(OR(AND(J951="Not accepted",N951:O951&lt;&gt;"",$S951=""),AND(J951="Accepted",S951="")),"ERROR","OK")</f>
        <v>OK</v>
      </c>
      <c r="AB951" s="240" t="str">
        <f t="shared" si="117"/>
        <v>OK</v>
      </c>
      <c r="AC951" s="240" t="str" cm="1">
        <f t="array" ref="AC951">IF(AND(F951:H951&lt;&gt;"",I951=""),"ERROR","OK")</f>
        <v>OK</v>
      </c>
      <c r="AD951" s="240" t="str">
        <f t="shared" si="118"/>
        <v>OK</v>
      </c>
      <c r="AE951" s="240" t="str">
        <f t="shared" si="119"/>
        <v>OK</v>
      </c>
      <c r="AF951" s="240" t="str" cm="1">
        <f t="array" aca="1" ref="AF951" ca="1" xml:space="preserve">
IF(AND($G951&lt;&gt;"",$F951=""),"ERROR",
IF(OR($F951:$G951="",AND($G951="",$F951&lt;&gt;"")),"OK",
IF(COUNTIF(INDIRECT(IFERROR(LEFT($F951,FIND(" ",$F951)-1),$F951)), $G951)&gt;0, "OK", "ERROR")))</f>
        <v>OK</v>
      </c>
    </row>
    <row r="952" spans="1:32" s="240" customFormat="1">
      <c r="A952" s="48"/>
      <c r="B952" s="31"/>
      <c r="C952" s="48"/>
      <c r="D952" s="47"/>
      <c r="E952" s="47"/>
      <c r="F952" s="31"/>
      <c r="G952" s="31"/>
      <c r="H952" s="31"/>
      <c r="I952" s="47"/>
      <c r="J952" s="31"/>
      <c r="K952" s="47"/>
      <c r="L952" s="47"/>
      <c r="M952" s="47"/>
      <c r="N952" s="31"/>
      <c r="O952" s="47"/>
      <c r="P952" s="31"/>
      <c r="Q952" s="31"/>
      <c r="R952" s="31"/>
      <c r="S952" s="31"/>
      <c r="T952" s="270">
        <f t="shared" si="112"/>
        <v>0</v>
      </c>
      <c r="U952" s="270">
        <f t="shared" si="113"/>
        <v>0</v>
      </c>
      <c r="V952" s="31"/>
      <c r="X952" s="240" t="str">
        <f t="shared" si="114"/>
        <v>OK</v>
      </c>
      <c r="Y952" s="240" t="str">
        <f t="shared" si="115"/>
        <v>OK</v>
      </c>
      <c r="Z952" s="240" t="str">
        <f t="shared" si="116"/>
        <v>OK</v>
      </c>
      <c r="AA952" s="240" t="str" cm="1">
        <f t="array" ref="AA952">IF(OR(AND(J952="Not accepted",N952:O952&lt;&gt;"",$S952=""),AND(J952="Accepted",S952="")),"ERROR","OK")</f>
        <v>OK</v>
      </c>
      <c r="AB952" s="240" t="str">
        <f t="shared" si="117"/>
        <v>OK</v>
      </c>
      <c r="AC952" s="240" t="str" cm="1">
        <f t="array" ref="AC952">IF(AND(F952:H952&lt;&gt;"",I952=""),"ERROR","OK")</f>
        <v>OK</v>
      </c>
      <c r="AD952" s="240" t="str">
        <f t="shared" si="118"/>
        <v>OK</v>
      </c>
      <c r="AE952" s="240" t="str">
        <f t="shared" si="119"/>
        <v>OK</v>
      </c>
      <c r="AF952" s="240" t="str" cm="1">
        <f t="array" aca="1" ref="AF952" ca="1" xml:space="preserve">
IF(AND($G952&lt;&gt;"",$F952=""),"ERROR",
IF(OR($F952:$G952="",AND($G952="",$F952&lt;&gt;"")),"OK",
IF(COUNTIF(INDIRECT(IFERROR(LEFT($F952,FIND(" ",$F952)-1),$F952)), $G952)&gt;0, "OK", "ERROR")))</f>
        <v>OK</v>
      </c>
    </row>
    <row r="953" spans="1:32" s="240" customFormat="1">
      <c r="A953" s="48"/>
      <c r="B953" s="31"/>
      <c r="C953" s="48"/>
      <c r="D953" s="47"/>
      <c r="E953" s="47"/>
      <c r="F953" s="31"/>
      <c r="G953" s="31"/>
      <c r="H953" s="31"/>
      <c r="I953" s="47"/>
      <c r="J953" s="31"/>
      <c r="K953" s="47"/>
      <c r="L953" s="47"/>
      <c r="M953" s="47"/>
      <c r="N953" s="31"/>
      <c r="O953" s="47"/>
      <c r="P953" s="31"/>
      <c r="Q953" s="31"/>
      <c r="R953" s="31"/>
      <c r="S953" s="31"/>
      <c r="T953" s="270">
        <f t="shared" si="112"/>
        <v>0</v>
      </c>
      <c r="U953" s="270">
        <f t="shared" si="113"/>
        <v>0</v>
      </c>
      <c r="V953" s="31"/>
      <c r="X953" s="240" t="str">
        <f t="shared" si="114"/>
        <v>OK</v>
      </c>
      <c r="Y953" s="240" t="str">
        <f t="shared" si="115"/>
        <v>OK</v>
      </c>
      <c r="Z953" s="240" t="str">
        <f t="shared" si="116"/>
        <v>OK</v>
      </c>
      <c r="AA953" s="240" t="str" cm="1">
        <f t="array" ref="AA953">IF(OR(AND(J953="Not accepted",N953:O953&lt;&gt;"",$S953=""),AND(J953="Accepted",S953="")),"ERROR","OK")</f>
        <v>OK</v>
      </c>
      <c r="AB953" s="240" t="str">
        <f t="shared" si="117"/>
        <v>OK</v>
      </c>
      <c r="AC953" s="240" t="str" cm="1">
        <f t="array" ref="AC953">IF(AND(F953:H953&lt;&gt;"",I953=""),"ERROR","OK")</f>
        <v>OK</v>
      </c>
      <c r="AD953" s="240" t="str">
        <f t="shared" si="118"/>
        <v>OK</v>
      </c>
      <c r="AE953" s="240" t="str">
        <f t="shared" si="119"/>
        <v>OK</v>
      </c>
      <c r="AF953" s="240" t="str" cm="1">
        <f t="array" aca="1" ref="AF953" ca="1" xml:space="preserve">
IF(AND($G953&lt;&gt;"",$F953=""),"ERROR",
IF(OR($F953:$G953="",AND($G953="",$F953&lt;&gt;"")),"OK",
IF(COUNTIF(INDIRECT(IFERROR(LEFT($F953,FIND(" ",$F953)-1),$F953)), $G953)&gt;0, "OK", "ERROR")))</f>
        <v>OK</v>
      </c>
    </row>
    <row r="954" spans="1:32" s="240" customFormat="1">
      <c r="A954" s="48"/>
      <c r="B954" s="31"/>
      <c r="C954" s="48"/>
      <c r="D954" s="47"/>
      <c r="E954" s="47"/>
      <c r="F954" s="31"/>
      <c r="G954" s="31"/>
      <c r="H954" s="31"/>
      <c r="I954" s="47"/>
      <c r="J954" s="31"/>
      <c r="K954" s="47"/>
      <c r="L954" s="47"/>
      <c r="M954" s="47"/>
      <c r="N954" s="31"/>
      <c r="O954" s="47"/>
      <c r="P954" s="31"/>
      <c r="Q954" s="31"/>
      <c r="R954" s="31"/>
      <c r="S954" s="31"/>
      <c r="T954" s="270">
        <f t="shared" si="112"/>
        <v>0</v>
      </c>
      <c r="U954" s="270">
        <f t="shared" si="113"/>
        <v>0</v>
      </c>
      <c r="V954" s="31"/>
      <c r="X954" s="240" t="str">
        <f t="shared" si="114"/>
        <v>OK</v>
      </c>
      <c r="Y954" s="240" t="str">
        <f t="shared" si="115"/>
        <v>OK</v>
      </c>
      <c r="Z954" s="240" t="str">
        <f t="shared" si="116"/>
        <v>OK</v>
      </c>
      <c r="AA954" s="240" t="str" cm="1">
        <f t="array" ref="AA954">IF(OR(AND(J954="Not accepted",N954:O954&lt;&gt;"",$S954=""),AND(J954="Accepted",S954="")),"ERROR","OK")</f>
        <v>OK</v>
      </c>
      <c r="AB954" s="240" t="str">
        <f t="shared" si="117"/>
        <v>OK</v>
      </c>
      <c r="AC954" s="240" t="str" cm="1">
        <f t="array" ref="AC954">IF(AND(F954:H954&lt;&gt;"",I954=""),"ERROR","OK")</f>
        <v>OK</v>
      </c>
      <c r="AD954" s="240" t="str">
        <f t="shared" si="118"/>
        <v>OK</v>
      </c>
      <c r="AE954" s="240" t="str">
        <f t="shared" si="119"/>
        <v>OK</v>
      </c>
      <c r="AF954" s="240" t="str" cm="1">
        <f t="array" aca="1" ref="AF954" ca="1" xml:space="preserve">
IF(AND($G954&lt;&gt;"",$F954=""),"ERROR",
IF(OR($F954:$G954="",AND($G954="",$F954&lt;&gt;"")),"OK",
IF(COUNTIF(INDIRECT(IFERROR(LEFT($F954,FIND(" ",$F954)-1),$F954)), $G954)&gt;0, "OK", "ERROR")))</f>
        <v>OK</v>
      </c>
    </row>
    <row r="955" spans="1:32" s="240" customFormat="1">
      <c r="A955" s="48"/>
      <c r="B955" s="31"/>
      <c r="C955" s="48"/>
      <c r="D955" s="47"/>
      <c r="E955" s="47"/>
      <c r="F955" s="31"/>
      <c r="G955" s="31"/>
      <c r="H955" s="31"/>
      <c r="I955" s="47"/>
      <c r="J955" s="31"/>
      <c r="K955" s="47"/>
      <c r="L955" s="47"/>
      <c r="M955" s="47"/>
      <c r="N955" s="31"/>
      <c r="O955" s="47"/>
      <c r="P955" s="31"/>
      <c r="Q955" s="31"/>
      <c r="R955" s="31"/>
      <c r="S955" s="31"/>
      <c r="T955" s="270">
        <f t="shared" si="112"/>
        <v>0</v>
      </c>
      <c r="U955" s="270">
        <f t="shared" si="113"/>
        <v>0</v>
      </c>
      <c r="V955" s="31"/>
      <c r="X955" s="240" t="str">
        <f t="shared" si="114"/>
        <v>OK</v>
      </c>
      <c r="Y955" s="240" t="str">
        <f t="shared" si="115"/>
        <v>OK</v>
      </c>
      <c r="Z955" s="240" t="str">
        <f t="shared" si="116"/>
        <v>OK</v>
      </c>
      <c r="AA955" s="240" t="str" cm="1">
        <f t="array" ref="AA955">IF(OR(AND(J955="Not accepted",N955:O955&lt;&gt;"",$S955=""),AND(J955="Accepted",S955="")),"ERROR","OK")</f>
        <v>OK</v>
      </c>
      <c r="AB955" s="240" t="str">
        <f t="shared" si="117"/>
        <v>OK</v>
      </c>
      <c r="AC955" s="240" t="str" cm="1">
        <f t="array" ref="AC955">IF(AND(F955:H955&lt;&gt;"",I955=""),"ERROR","OK")</f>
        <v>OK</v>
      </c>
      <c r="AD955" s="240" t="str">
        <f t="shared" si="118"/>
        <v>OK</v>
      </c>
      <c r="AE955" s="240" t="str">
        <f t="shared" si="119"/>
        <v>OK</v>
      </c>
      <c r="AF955" s="240" t="str" cm="1">
        <f t="array" aca="1" ref="AF955" ca="1" xml:space="preserve">
IF(AND($G955&lt;&gt;"",$F955=""),"ERROR",
IF(OR($F955:$G955="",AND($G955="",$F955&lt;&gt;"")),"OK",
IF(COUNTIF(INDIRECT(IFERROR(LEFT($F955,FIND(" ",$F955)-1),$F955)), $G955)&gt;0, "OK", "ERROR")))</f>
        <v>OK</v>
      </c>
    </row>
    <row r="956" spans="1:32" s="240" customFormat="1">
      <c r="A956" s="48"/>
      <c r="B956" s="31"/>
      <c r="C956" s="48"/>
      <c r="D956" s="47"/>
      <c r="E956" s="47"/>
      <c r="F956" s="31"/>
      <c r="G956" s="31"/>
      <c r="H956" s="31"/>
      <c r="I956" s="47"/>
      <c r="J956" s="31"/>
      <c r="K956" s="47"/>
      <c r="L956" s="47"/>
      <c r="M956" s="47"/>
      <c r="N956" s="31"/>
      <c r="O956" s="47"/>
      <c r="P956" s="31"/>
      <c r="Q956" s="31"/>
      <c r="R956" s="31"/>
      <c r="S956" s="31"/>
      <c r="T956" s="270">
        <f t="shared" si="112"/>
        <v>0</v>
      </c>
      <c r="U956" s="270">
        <f t="shared" si="113"/>
        <v>0</v>
      </c>
      <c r="V956" s="31"/>
      <c r="X956" s="240" t="str">
        <f t="shared" si="114"/>
        <v>OK</v>
      </c>
      <c r="Y956" s="240" t="str">
        <f t="shared" si="115"/>
        <v>OK</v>
      </c>
      <c r="Z956" s="240" t="str">
        <f t="shared" si="116"/>
        <v>OK</v>
      </c>
      <c r="AA956" s="240" t="str" cm="1">
        <f t="array" ref="AA956">IF(OR(AND(J956="Not accepted",N956:O956&lt;&gt;"",$S956=""),AND(J956="Accepted",S956="")),"ERROR","OK")</f>
        <v>OK</v>
      </c>
      <c r="AB956" s="240" t="str">
        <f t="shared" si="117"/>
        <v>OK</v>
      </c>
      <c r="AC956" s="240" t="str" cm="1">
        <f t="array" ref="AC956">IF(AND(F956:H956&lt;&gt;"",I956=""),"ERROR","OK")</f>
        <v>OK</v>
      </c>
      <c r="AD956" s="240" t="str">
        <f t="shared" si="118"/>
        <v>OK</v>
      </c>
      <c r="AE956" s="240" t="str">
        <f t="shared" si="119"/>
        <v>OK</v>
      </c>
      <c r="AF956" s="240" t="str" cm="1">
        <f t="array" aca="1" ref="AF956" ca="1" xml:space="preserve">
IF(AND($G956&lt;&gt;"",$F956=""),"ERROR",
IF(OR($F956:$G956="",AND($G956="",$F956&lt;&gt;"")),"OK",
IF(COUNTIF(INDIRECT(IFERROR(LEFT($F956,FIND(" ",$F956)-1),$F956)), $G956)&gt;0, "OK", "ERROR")))</f>
        <v>OK</v>
      </c>
    </row>
    <row r="957" spans="1:32" s="240" customFormat="1">
      <c r="A957" s="48"/>
      <c r="B957" s="31"/>
      <c r="C957" s="48"/>
      <c r="D957" s="47"/>
      <c r="E957" s="47"/>
      <c r="F957" s="31"/>
      <c r="G957" s="31"/>
      <c r="H957" s="31"/>
      <c r="I957" s="47"/>
      <c r="J957" s="31"/>
      <c r="K957" s="47"/>
      <c r="L957" s="47"/>
      <c r="M957" s="47"/>
      <c r="N957" s="31"/>
      <c r="O957" s="47"/>
      <c r="P957" s="31"/>
      <c r="Q957" s="31"/>
      <c r="R957" s="31"/>
      <c r="S957" s="31"/>
      <c r="T957" s="270">
        <f t="shared" si="112"/>
        <v>0</v>
      </c>
      <c r="U957" s="270">
        <f t="shared" si="113"/>
        <v>0</v>
      </c>
      <c r="V957" s="31"/>
      <c r="X957" s="240" t="str">
        <f t="shared" si="114"/>
        <v>OK</v>
      </c>
      <c r="Y957" s="240" t="str">
        <f t="shared" si="115"/>
        <v>OK</v>
      </c>
      <c r="Z957" s="240" t="str">
        <f t="shared" si="116"/>
        <v>OK</v>
      </c>
      <c r="AA957" s="240" t="str" cm="1">
        <f t="array" ref="AA957">IF(OR(AND(J957="Not accepted",N957:O957&lt;&gt;"",$S957=""),AND(J957="Accepted",S957="")),"ERROR","OK")</f>
        <v>OK</v>
      </c>
      <c r="AB957" s="240" t="str">
        <f t="shared" si="117"/>
        <v>OK</v>
      </c>
      <c r="AC957" s="240" t="str" cm="1">
        <f t="array" ref="AC957">IF(AND(F957:H957&lt;&gt;"",I957=""),"ERROR","OK")</f>
        <v>OK</v>
      </c>
      <c r="AD957" s="240" t="str">
        <f t="shared" si="118"/>
        <v>OK</v>
      </c>
      <c r="AE957" s="240" t="str">
        <f t="shared" si="119"/>
        <v>OK</v>
      </c>
      <c r="AF957" s="240" t="str" cm="1">
        <f t="array" aca="1" ref="AF957" ca="1" xml:space="preserve">
IF(AND($G957&lt;&gt;"",$F957=""),"ERROR",
IF(OR($F957:$G957="",AND($G957="",$F957&lt;&gt;"")),"OK",
IF(COUNTIF(INDIRECT(IFERROR(LEFT($F957,FIND(" ",$F957)-1),$F957)), $G957)&gt;0, "OK", "ERROR")))</f>
        <v>OK</v>
      </c>
    </row>
    <row r="958" spans="1:32" s="240" customFormat="1">
      <c r="A958" s="48"/>
      <c r="B958" s="31"/>
      <c r="C958" s="48"/>
      <c r="D958" s="47"/>
      <c r="E958" s="47"/>
      <c r="F958" s="31"/>
      <c r="G958" s="31"/>
      <c r="H958" s="31"/>
      <c r="I958" s="47"/>
      <c r="J958" s="31"/>
      <c r="K958" s="47"/>
      <c r="L958" s="47"/>
      <c r="M958" s="47"/>
      <c r="N958" s="31"/>
      <c r="O958" s="47"/>
      <c r="P958" s="31"/>
      <c r="Q958" s="31"/>
      <c r="R958" s="31"/>
      <c r="S958" s="31"/>
      <c r="T958" s="270">
        <f t="shared" si="112"/>
        <v>0</v>
      </c>
      <c r="U958" s="270">
        <f t="shared" si="113"/>
        <v>0</v>
      </c>
      <c r="V958" s="31"/>
      <c r="X958" s="240" t="str">
        <f t="shared" si="114"/>
        <v>OK</v>
      </c>
      <c r="Y958" s="240" t="str">
        <f t="shared" si="115"/>
        <v>OK</v>
      </c>
      <c r="Z958" s="240" t="str">
        <f t="shared" si="116"/>
        <v>OK</v>
      </c>
      <c r="AA958" s="240" t="str" cm="1">
        <f t="array" ref="AA958">IF(OR(AND(J958="Not accepted",N958:O958&lt;&gt;"",$S958=""),AND(J958="Accepted",S958="")),"ERROR","OK")</f>
        <v>OK</v>
      </c>
      <c r="AB958" s="240" t="str">
        <f t="shared" si="117"/>
        <v>OK</v>
      </c>
      <c r="AC958" s="240" t="str" cm="1">
        <f t="array" ref="AC958">IF(AND(F958:H958&lt;&gt;"",I958=""),"ERROR","OK")</f>
        <v>OK</v>
      </c>
      <c r="AD958" s="240" t="str">
        <f t="shared" si="118"/>
        <v>OK</v>
      </c>
      <c r="AE958" s="240" t="str">
        <f t="shared" si="119"/>
        <v>OK</v>
      </c>
      <c r="AF958" s="240" t="str" cm="1">
        <f t="array" aca="1" ref="AF958" ca="1" xml:space="preserve">
IF(AND($G958&lt;&gt;"",$F958=""),"ERROR",
IF(OR($F958:$G958="",AND($G958="",$F958&lt;&gt;"")),"OK",
IF(COUNTIF(INDIRECT(IFERROR(LEFT($F958,FIND(" ",$F958)-1),$F958)), $G958)&gt;0, "OK", "ERROR")))</f>
        <v>OK</v>
      </c>
    </row>
    <row r="959" spans="1:32" s="240" customFormat="1">
      <c r="A959" s="48"/>
      <c r="B959" s="31"/>
      <c r="C959" s="48"/>
      <c r="D959" s="47"/>
      <c r="E959" s="47"/>
      <c r="F959" s="31"/>
      <c r="G959" s="31"/>
      <c r="H959" s="31"/>
      <c r="I959" s="47"/>
      <c r="J959" s="31"/>
      <c r="K959" s="47"/>
      <c r="L959" s="47"/>
      <c r="M959" s="47"/>
      <c r="N959" s="31"/>
      <c r="O959" s="47"/>
      <c r="P959" s="31"/>
      <c r="Q959" s="31"/>
      <c r="R959" s="31"/>
      <c r="S959" s="31"/>
      <c r="T959" s="270">
        <f t="shared" si="112"/>
        <v>0</v>
      </c>
      <c r="U959" s="270">
        <f t="shared" si="113"/>
        <v>0</v>
      </c>
      <c r="V959" s="31"/>
      <c r="X959" s="240" t="str">
        <f t="shared" si="114"/>
        <v>OK</v>
      </c>
      <c r="Y959" s="240" t="str">
        <f t="shared" si="115"/>
        <v>OK</v>
      </c>
      <c r="Z959" s="240" t="str">
        <f t="shared" si="116"/>
        <v>OK</v>
      </c>
      <c r="AA959" s="240" t="str" cm="1">
        <f t="array" ref="AA959">IF(OR(AND(J959="Not accepted",N959:O959&lt;&gt;"",$S959=""),AND(J959="Accepted",S959="")),"ERROR","OK")</f>
        <v>OK</v>
      </c>
      <c r="AB959" s="240" t="str">
        <f t="shared" si="117"/>
        <v>OK</v>
      </c>
      <c r="AC959" s="240" t="str" cm="1">
        <f t="array" ref="AC959">IF(AND(F959:H959&lt;&gt;"",I959=""),"ERROR","OK")</f>
        <v>OK</v>
      </c>
      <c r="AD959" s="240" t="str">
        <f t="shared" si="118"/>
        <v>OK</v>
      </c>
      <c r="AE959" s="240" t="str">
        <f t="shared" si="119"/>
        <v>OK</v>
      </c>
      <c r="AF959" s="240" t="str" cm="1">
        <f t="array" aca="1" ref="AF959" ca="1" xml:space="preserve">
IF(AND($G959&lt;&gt;"",$F959=""),"ERROR",
IF(OR($F959:$G959="",AND($G959="",$F959&lt;&gt;"")),"OK",
IF(COUNTIF(INDIRECT(IFERROR(LEFT($F959,FIND(" ",$F959)-1),$F959)), $G959)&gt;0, "OK", "ERROR")))</f>
        <v>OK</v>
      </c>
    </row>
    <row r="960" spans="1:32" s="240" customFormat="1">
      <c r="A960" s="48"/>
      <c r="B960" s="31"/>
      <c r="C960" s="48"/>
      <c r="D960" s="47"/>
      <c r="E960" s="47"/>
      <c r="F960" s="31"/>
      <c r="G960" s="31"/>
      <c r="H960" s="31"/>
      <c r="I960" s="47"/>
      <c r="J960" s="31"/>
      <c r="K960" s="47"/>
      <c r="L960" s="47"/>
      <c r="M960" s="47"/>
      <c r="N960" s="31"/>
      <c r="O960" s="47"/>
      <c r="P960" s="31"/>
      <c r="Q960" s="31"/>
      <c r="R960" s="31"/>
      <c r="S960" s="31"/>
      <c r="T960" s="270">
        <f t="shared" si="112"/>
        <v>0</v>
      </c>
      <c r="U960" s="270">
        <f t="shared" si="113"/>
        <v>0</v>
      </c>
      <c r="V960" s="31"/>
      <c r="X960" s="240" t="str">
        <f t="shared" si="114"/>
        <v>OK</v>
      </c>
      <c r="Y960" s="240" t="str">
        <f t="shared" si="115"/>
        <v>OK</v>
      </c>
      <c r="Z960" s="240" t="str">
        <f t="shared" si="116"/>
        <v>OK</v>
      </c>
      <c r="AA960" s="240" t="str" cm="1">
        <f t="array" ref="AA960">IF(OR(AND(J960="Not accepted",N960:O960&lt;&gt;"",$S960=""),AND(J960="Accepted",S960="")),"ERROR","OK")</f>
        <v>OK</v>
      </c>
      <c r="AB960" s="240" t="str">
        <f t="shared" si="117"/>
        <v>OK</v>
      </c>
      <c r="AC960" s="240" t="str" cm="1">
        <f t="array" ref="AC960">IF(AND(F960:H960&lt;&gt;"",I960=""),"ERROR","OK")</f>
        <v>OK</v>
      </c>
      <c r="AD960" s="240" t="str">
        <f t="shared" si="118"/>
        <v>OK</v>
      </c>
      <c r="AE960" s="240" t="str">
        <f t="shared" si="119"/>
        <v>OK</v>
      </c>
      <c r="AF960" s="240" t="str" cm="1">
        <f t="array" aca="1" ref="AF960" ca="1" xml:space="preserve">
IF(AND($G960&lt;&gt;"",$F960=""),"ERROR",
IF(OR($F960:$G960="",AND($G960="",$F960&lt;&gt;"")),"OK",
IF(COUNTIF(INDIRECT(IFERROR(LEFT($F960,FIND(" ",$F960)-1),$F960)), $G960)&gt;0, "OK", "ERROR")))</f>
        <v>OK</v>
      </c>
    </row>
    <row r="961" spans="1:32" s="240" customFormat="1">
      <c r="A961" s="48"/>
      <c r="B961" s="31"/>
      <c r="C961" s="48"/>
      <c r="D961" s="47"/>
      <c r="E961" s="47"/>
      <c r="F961" s="31"/>
      <c r="G961" s="31"/>
      <c r="H961" s="31"/>
      <c r="I961" s="47"/>
      <c r="J961" s="31"/>
      <c r="K961" s="47"/>
      <c r="L961" s="47"/>
      <c r="M961" s="47"/>
      <c r="N961" s="31"/>
      <c r="O961" s="47"/>
      <c r="P961" s="31"/>
      <c r="Q961" s="31"/>
      <c r="R961" s="31"/>
      <c r="S961" s="31"/>
      <c r="T961" s="270">
        <f t="shared" si="112"/>
        <v>0</v>
      </c>
      <c r="U961" s="270">
        <f t="shared" si="113"/>
        <v>0</v>
      </c>
      <c r="V961" s="31"/>
      <c r="X961" s="240" t="str">
        <f t="shared" si="114"/>
        <v>OK</v>
      </c>
      <c r="Y961" s="240" t="str">
        <f t="shared" si="115"/>
        <v>OK</v>
      </c>
      <c r="Z961" s="240" t="str">
        <f t="shared" si="116"/>
        <v>OK</v>
      </c>
      <c r="AA961" s="240" t="str" cm="1">
        <f t="array" ref="AA961">IF(OR(AND(J961="Not accepted",N961:O961&lt;&gt;"",$S961=""),AND(J961="Accepted",S961="")),"ERROR","OK")</f>
        <v>OK</v>
      </c>
      <c r="AB961" s="240" t="str">
        <f t="shared" si="117"/>
        <v>OK</v>
      </c>
      <c r="AC961" s="240" t="str" cm="1">
        <f t="array" ref="AC961">IF(AND(F961:H961&lt;&gt;"",I961=""),"ERROR","OK")</f>
        <v>OK</v>
      </c>
      <c r="AD961" s="240" t="str">
        <f t="shared" si="118"/>
        <v>OK</v>
      </c>
      <c r="AE961" s="240" t="str">
        <f t="shared" si="119"/>
        <v>OK</v>
      </c>
      <c r="AF961" s="240" t="str" cm="1">
        <f t="array" aca="1" ref="AF961" ca="1" xml:space="preserve">
IF(AND($G961&lt;&gt;"",$F961=""),"ERROR",
IF(OR($F961:$G961="",AND($G961="",$F961&lt;&gt;"")),"OK",
IF(COUNTIF(INDIRECT(IFERROR(LEFT($F961,FIND(" ",$F961)-1),$F961)), $G961)&gt;0, "OK", "ERROR")))</f>
        <v>OK</v>
      </c>
    </row>
    <row r="962" spans="1:32" s="240" customFormat="1">
      <c r="A962" s="48"/>
      <c r="B962" s="31"/>
      <c r="C962" s="48"/>
      <c r="D962" s="47"/>
      <c r="E962" s="47"/>
      <c r="F962" s="31"/>
      <c r="G962" s="31"/>
      <c r="H962" s="31"/>
      <c r="I962" s="47"/>
      <c r="J962" s="31"/>
      <c r="K962" s="47"/>
      <c r="L962" s="47"/>
      <c r="M962" s="47"/>
      <c r="N962" s="31"/>
      <c r="O962" s="47"/>
      <c r="P962" s="31"/>
      <c r="Q962" s="31"/>
      <c r="R962" s="31"/>
      <c r="S962" s="31"/>
      <c r="T962" s="270">
        <f t="shared" si="112"/>
        <v>0</v>
      </c>
      <c r="U962" s="270">
        <f t="shared" si="113"/>
        <v>0</v>
      </c>
      <c r="V962" s="31"/>
      <c r="X962" s="240" t="str">
        <f t="shared" si="114"/>
        <v>OK</v>
      </c>
      <c r="Y962" s="240" t="str">
        <f t="shared" si="115"/>
        <v>OK</v>
      </c>
      <c r="Z962" s="240" t="str">
        <f t="shared" si="116"/>
        <v>OK</v>
      </c>
      <c r="AA962" s="240" t="str" cm="1">
        <f t="array" ref="AA962">IF(OR(AND(J962="Not accepted",N962:O962&lt;&gt;"",$S962=""),AND(J962="Accepted",S962="")),"ERROR","OK")</f>
        <v>OK</v>
      </c>
      <c r="AB962" s="240" t="str">
        <f t="shared" si="117"/>
        <v>OK</v>
      </c>
      <c r="AC962" s="240" t="str" cm="1">
        <f t="array" ref="AC962">IF(AND(F962:H962&lt;&gt;"",I962=""),"ERROR","OK")</f>
        <v>OK</v>
      </c>
      <c r="AD962" s="240" t="str">
        <f t="shared" si="118"/>
        <v>OK</v>
      </c>
      <c r="AE962" s="240" t="str">
        <f t="shared" si="119"/>
        <v>OK</v>
      </c>
      <c r="AF962" s="240" t="str" cm="1">
        <f t="array" aca="1" ref="AF962" ca="1" xml:space="preserve">
IF(AND($G962&lt;&gt;"",$F962=""),"ERROR",
IF(OR($F962:$G962="",AND($G962="",$F962&lt;&gt;"")),"OK",
IF(COUNTIF(INDIRECT(IFERROR(LEFT($F962,FIND(" ",$F962)-1),$F962)), $G962)&gt;0, "OK", "ERROR")))</f>
        <v>OK</v>
      </c>
    </row>
    <row r="963" spans="1:32" s="240" customFormat="1">
      <c r="A963" s="48"/>
      <c r="B963" s="31"/>
      <c r="C963" s="48"/>
      <c r="D963" s="47"/>
      <c r="E963" s="47"/>
      <c r="F963" s="31"/>
      <c r="G963" s="31"/>
      <c r="H963" s="31"/>
      <c r="I963" s="47"/>
      <c r="J963" s="31"/>
      <c r="K963" s="47"/>
      <c r="L963" s="47"/>
      <c r="M963" s="47"/>
      <c r="N963" s="31"/>
      <c r="O963" s="47"/>
      <c r="P963" s="31"/>
      <c r="Q963" s="31"/>
      <c r="R963" s="31"/>
      <c r="S963" s="31"/>
      <c r="T963" s="270">
        <f t="shared" si="112"/>
        <v>0</v>
      </c>
      <c r="U963" s="270">
        <f t="shared" si="113"/>
        <v>0</v>
      </c>
      <c r="V963" s="31"/>
      <c r="X963" s="240" t="str">
        <f t="shared" si="114"/>
        <v>OK</v>
      </c>
      <c r="Y963" s="240" t="str">
        <f t="shared" si="115"/>
        <v>OK</v>
      </c>
      <c r="Z963" s="240" t="str">
        <f t="shared" si="116"/>
        <v>OK</v>
      </c>
      <c r="AA963" s="240" t="str" cm="1">
        <f t="array" ref="AA963">IF(OR(AND(J963="Not accepted",N963:O963&lt;&gt;"",$S963=""),AND(J963="Accepted",S963="")),"ERROR","OK")</f>
        <v>OK</v>
      </c>
      <c r="AB963" s="240" t="str">
        <f t="shared" si="117"/>
        <v>OK</v>
      </c>
      <c r="AC963" s="240" t="str" cm="1">
        <f t="array" ref="AC963">IF(AND(F963:H963&lt;&gt;"",I963=""),"ERROR","OK")</f>
        <v>OK</v>
      </c>
      <c r="AD963" s="240" t="str">
        <f t="shared" si="118"/>
        <v>OK</v>
      </c>
      <c r="AE963" s="240" t="str">
        <f t="shared" si="119"/>
        <v>OK</v>
      </c>
      <c r="AF963" s="240" t="str" cm="1">
        <f t="array" aca="1" ref="AF963" ca="1" xml:space="preserve">
IF(AND($G963&lt;&gt;"",$F963=""),"ERROR",
IF(OR($F963:$G963="",AND($G963="",$F963&lt;&gt;"")),"OK",
IF(COUNTIF(INDIRECT(IFERROR(LEFT($F963,FIND(" ",$F963)-1),$F963)), $G963)&gt;0, "OK", "ERROR")))</f>
        <v>OK</v>
      </c>
    </row>
    <row r="964" spans="1:32" s="240" customFormat="1">
      <c r="A964" s="48"/>
      <c r="B964" s="31"/>
      <c r="C964" s="48"/>
      <c r="D964" s="47"/>
      <c r="E964" s="47"/>
      <c r="F964" s="31"/>
      <c r="G964" s="31"/>
      <c r="H964" s="31"/>
      <c r="I964" s="47"/>
      <c r="J964" s="31"/>
      <c r="K964" s="47"/>
      <c r="L964" s="47"/>
      <c r="M964" s="47"/>
      <c r="N964" s="31"/>
      <c r="O964" s="47"/>
      <c r="P964" s="31"/>
      <c r="Q964" s="31"/>
      <c r="R964" s="31"/>
      <c r="S964" s="31"/>
      <c r="T964" s="270">
        <f t="shared" si="112"/>
        <v>0</v>
      </c>
      <c r="U964" s="270">
        <f t="shared" si="113"/>
        <v>0</v>
      </c>
      <c r="V964" s="31"/>
      <c r="X964" s="240" t="str">
        <f t="shared" si="114"/>
        <v>OK</v>
      </c>
      <c r="Y964" s="240" t="str">
        <f t="shared" si="115"/>
        <v>OK</v>
      </c>
      <c r="Z964" s="240" t="str">
        <f t="shared" si="116"/>
        <v>OK</v>
      </c>
      <c r="AA964" s="240" t="str" cm="1">
        <f t="array" ref="AA964">IF(OR(AND(J964="Not accepted",N964:O964&lt;&gt;"",$S964=""),AND(J964="Accepted",S964="")),"ERROR","OK")</f>
        <v>OK</v>
      </c>
      <c r="AB964" s="240" t="str">
        <f t="shared" si="117"/>
        <v>OK</v>
      </c>
      <c r="AC964" s="240" t="str" cm="1">
        <f t="array" ref="AC964">IF(AND(F964:H964&lt;&gt;"",I964=""),"ERROR","OK")</f>
        <v>OK</v>
      </c>
      <c r="AD964" s="240" t="str">
        <f t="shared" si="118"/>
        <v>OK</v>
      </c>
      <c r="AE964" s="240" t="str">
        <f t="shared" si="119"/>
        <v>OK</v>
      </c>
      <c r="AF964" s="240" t="str" cm="1">
        <f t="array" aca="1" ref="AF964" ca="1" xml:space="preserve">
IF(AND($G964&lt;&gt;"",$F964=""),"ERROR",
IF(OR($F964:$G964="",AND($G964="",$F964&lt;&gt;"")),"OK",
IF(COUNTIF(INDIRECT(IFERROR(LEFT($F964,FIND(" ",$F964)-1),$F964)), $G964)&gt;0, "OK", "ERROR")))</f>
        <v>OK</v>
      </c>
    </row>
    <row r="965" spans="1:32" s="240" customFormat="1">
      <c r="A965" s="48"/>
      <c r="B965" s="31"/>
      <c r="C965" s="48"/>
      <c r="D965" s="47"/>
      <c r="E965" s="47"/>
      <c r="F965" s="31"/>
      <c r="G965" s="31"/>
      <c r="H965" s="31"/>
      <c r="I965" s="47"/>
      <c r="J965" s="31"/>
      <c r="K965" s="47"/>
      <c r="L965" s="47"/>
      <c r="M965" s="47"/>
      <c r="N965" s="31"/>
      <c r="O965" s="47"/>
      <c r="P965" s="31"/>
      <c r="Q965" s="31"/>
      <c r="R965" s="31"/>
      <c r="S965" s="31"/>
      <c r="T965" s="270">
        <f t="shared" ref="T965:T1028" si="120">IF(OR($J965="Accepted",ISBLANK($J965)),IF(AND($G965="Legacy Data",$Q965="Legacy Data"),1,IF(OR($G965="Legacy Data",$Q965="Legacy Data"),1,0)),IF(OR($N965="Agree with original translator",ISBLANK($N965)),IF(AND($G965="Source Text Data",$Q965="Legacy Data"),1,IF(AND($G965="Legacy Data",$Q965="Legacy Data"),1,IF($Q965="Legacy Data",1,0))),IF(AND($G965="Legacy Data",$Q965="Legacy Data"),1,IF(OR($Q965="Legacy Data",ISBLANK($Q965)),IF($G965&lt;&gt;"Legacy Data",IF(AND($G965="Source Text Data",$Q965="Legacy Data"),1,0),1),0))))</f>
        <v>0</v>
      </c>
      <c r="U965" s="270">
        <f t="shared" ref="U965:U1028" si="121">IF(OR($J965="Accepted",ISBLANK($J965)),IF(AND($G965="Source Text Data",$Q965="Source Text Data"),1,IF(OR($G965="Source Text Data",$Q965="Source Text Data"),1,0)),IF(OR($N965="Agree with original translator",ISBLANK($N965)),IF(AND($G965="Legacy Data",$Q965="Source Text Data"),1,IF(AND($G965="Source Text Data",$Q965="Source Text Data"),1,IF($Q965="Source Text Data",1,0))),IF(AND($G965="Source Text Data",$Q965="Source Text Data"),1,IF(OR($Q965="Source Text Data",ISBLANK($Q965)),IF($G965&lt;&gt;"Source Text Data",IF(AND($G965="Legacy Data",$Q965="Source Text Data"),1,0),1),0))))</f>
        <v>0</v>
      </c>
      <c r="V965" s="31"/>
      <c r="X965" s="240" t="str">
        <f t="shared" ref="X965:X1028" si="122">IF(AND(COUNTBLANK($F965:$H965)&lt;&gt;COLUMNS($F965:$H965),COUNTA($F965:$H965)&lt;&gt;COLUMNS($F965:$H965)),"ERROR","OK")</f>
        <v>OK</v>
      </c>
      <c r="Y965" s="240" t="str">
        <f t="shared" ref="Y965:Y1028" si="123">IF(AND($J965="Not accepted",$K965=""),"ERROR","OK")</f>
        <v>OK</v>
      </c>
      <c r="Z965" s="240" t="str">
        <f t="shared" ref="Z965:Z1028" si="124">IF(AND($F965&lt;&gt;"",$J965=""),"ERROR","OK")</f>
        <v>OK</v>
      </c>
      <c r="AA965" s="240" t="str" cm="1">
        <f t="array" ref="AA965">IF(OR(AND(J965="Not accepted",N965:O965&lt;&gt;"",$S965=""),AND(J965="Accepted",S965="")),"ERROR","OK")</f>
        <v>OK</v>
      </c>
      <c r="AB965" s="240" t="str">
        <f t="shared" ref="AB965:AB1028" si="125">IF(AND($S965="Not Implemented",$V965=""),"ERROR","OK")</f>
        <v>OK</v>
      </c>
      <c r="AC965" s="240" t="str" cm="1">
        <f t="array" ref="AC965">IF(AND(F965:H965&lt;&gt;"",I965=""),"ERROR","OK")</f>
        <v>OK</v>
      </c>
      <c r="AD965" s="240" t="str">
        <f t="shared" ref="AD965:AD1028" si="126">IF(AND($N965="",$J965="Not accepted",$K965&lt;&gt;""),"ERROR","OK")</f>
        <v>OK</v>
      </c>
      <c r="AE965" s="240" t="str">
        <f t="shared" ref="AE965:AE1028" si="127">IF(AND($O965="",$N965&lt;&gt;""),"ERROR","OK")</f>
        <v>OK</v>
      </c>
      <c r="AF965" s="240" t="str" cm="1">
        <f t="array" aca="1" ref="AF965" ca="1" xml:space="preserve">
IF(AND($G965&lt;&gt;"",$F965=""),"ERROR",
IF(OR($F965:$G965="",AND($G965="",$F965&lt;&gt;"")),"OK",
IF(COUNTIF(INDIRECT(IFERROR(LEFT($F965,FIND(" ",$F965)-1),$F965)), $G965)&gt;0, "OK", "ERROR")))</f>
        <v>OK</v>
      </c>
    </row>
    <row r="966" spans="1:32" s="240" customFormat="1">
      <c r="A966" s="48"/>
      <c r="B966" s="31"/>
      <c r="C966" s="48"/>
      <c r="D966" s="47"/>
      <c r="E966" s="47"/>
      <c r="F966" s="31"/>
      <c r="G966" s="31"/>
      <c r="H966" s="31"/>
      <c r="I966" s="47"/>
      <c r="J966" s="31"/>
      <c r="K966" s="47"/>
      <c r="L966" s="47"/>
      <c r="M966" s="47"/>
      <c r="N966" s="31"/>
      <c r="O966" s="47"/>
      <c r="P966" s="31"/>
      <c r="Q966" s="31"/>
      <c r="R966" s="31"/>
      <c r="S966" s="31"/>
      <c r="T966" s="270">
        <f t="shared" si="120"/>
        <v>0</v>
      </c>
      <c r="U966" s="270">
        <f t="shared" si="121"/>
        <v>0</v>
      </c>
      <c r="V966" s="31"/>
      <c r="X966" s="240" t="str">
        <f t="shared" si="122"/>
        <v>OK</v>
      </c>
      <c r="Y966" s="240" t="str">
        <f t="shared" si="123"/>
        <v>OK</v>
      </c>
      <c r="Z966" s="240" t="str">
        <f t="shared" si="124"/>
        <v>OK</v>
      </c>
      <c r="AA966" s="240" t="str" cm="1">
        <f t="array" ref="AA966">IF(OR(AND(J966="Not accepted",N966:O966&lt;&gt;"",$S966=""),AND(J966="Accepted",S966="")),"ERROR","OK")</f>
        <v>OK</v>
      </c>
      <c r="AB966" s="240" t="str">
        <f t="shared" si="125"/>
        <v>OK</v>
      </c>
      <c r="AC966" s="240" t="str" cm="1">
        <f t="array" ref="AC966">IF(AND(F966:H966&lt;&gt;"",I966=""),"ERROR","OK")</f>
        <v>OK</v>
      </c>
      <c r="AD966" s="240" t="str">
        <f t="shared" si="126"/>
        <v>OK</v>
      </c>
      <c r="AE966" s="240" t="str">
        <f t="shared" si="127"/>
        <v>OK</v>
      </c>
      <c r="AF966" s="240" t="str" cm="1">
        <f t="array" aca="1" ref="AF966" ca="1" xml:space="preserve">
IF(AND($G966&lt;&gt;"",$F966=""),"ERROR",
IF(OR($F966:$G966="",AND($G966="",$F966&lt;&gt;"")),"OK",
IF(COUNTIF(INDIRECT(IFERROR(LEFT($F966,FIND(" ",$F966)-1),$F966)), $G966)&gt;0, "OK", "ERROR")))</f>
        <v>OK</v>
      </c>
    </row>
    <row r="967" spans="1:32" s="240" customFormat="1">
      <c r="A967" s="48"/>
      <c r="B967" s="31"/>
      <c r="C967" s="48"/>
      <c r="D967" s="47"/>
      <c r="E967" s="47"/>
      <c r="F967" s="31"/>
      <c r="G967" s="31"/>
      <c r="H967" s="31"/>
      <c r="I967" s="47"/>
      <c r="J967" s="31"/>
      <c r="K967" s="47"/>
      <c r="L967" s="47"/>
      <c r="M967" s="47"/>
      <c r="N967" s="31"/>
      <c r="O967" s="47"/>
      <c r="P967" s="31"/>
      <c r="Q967" s="31"/>
      <c r="R967" s="31"/>
      <c r="S967" s="31"/>
      <c r="T967" s="270">
        <f t="shared" si="120"/>
        <v>0</v>
      </c>
      <c r="U967" s="270">
        <f t="shared" si="121"/>
        <v>0</v>
      </c>
      <c r="V967" s="31"/>
      <c r="X967" s="240" t="str">
        <f t="shared" si="122"/>
        <v>OK</v>
      </c>
      <c r="Y967" s="240" t="str">
        <f t="shared" si="123"/>
        <v>OK</v>
      </c>
      <c r="Z967" s="240" t="str">
        <f t="shared" si="124"/>
        <v>OK</v>
      </c>
      <c r="AA967" s="240" t="str" cm="1">
        <f t="array" ref="AA967">IF(OR(AND(J967="Not accepted",N967:O967&lt;&gt;"",$S967=""),AND(J967="Accepted",S967="")),"ERROR","OK")</f>
        <v>OK</v>
      </c>
      <c r="AB967" s="240" t="str">
        <f t="shared" si="125"/>
        <v>OK</v>
      </c>
      <c r="AC967" s="240" t="str" cm="1">
        <f t="array" ref="AC967">IF(AND(F967:H967&lt;&gt;"",I967=""),"ERROR","OK")</f>
        <v>OK</v>
      </c>
      <c r="AD967" s="240" t="str">
        <f t="shared" si="126"/>
        <v>OK</v>
      </c>
      <c r="AE967" s="240" t="str">
        <f t="shared" si="127"/>
        <v>OK</v>
      </c>
      <c r="AF967" s="240" t="str" cm="1">
        <f t="array" aca="1" ref="AF967" ca="1" xml:space="preserve">
IF(AND($G967&lt;&gt;"",$F967=""),"ERROR",
IF(OR($F967:$G967="",AND($G967="",$F967&lt;&gt;"")),"OK",
IF(COUNTIF(INDIRECT(IFERROR(LEFT($F967,FIND(" ",$F967)-1),$F967)), $G967)&gt;0, "OK", "ERROR")))</f>
        <v>OK</v>
      </c>
    </row>
    <row r="968" spans="1:32" s="240" customFormat="1">
      <c r="A968" s="48"/>
      <c r="B968" s="31"/>
      <c r="C968" s="48"/>
      <c r="D968" s="47"/>
      <c r="E968" s="47"/>
      <c r="F968" s="31"/>
      <c r="G968" s="31"/>
      <c r="H968" s="31"/>
      <c r="I968" s="47"/>
      <c r="J968" s="31"/>
      <c r="K968" s="47"/>
      <c r="L968" s="47"/>
      <c r="M968" s="47"/>
      <c r="N968" s="31"/>
      <c r="O968" s="47"/>
      <c r="P968" s="31"/>
      <c r="Q968" s="31"/>
      <c r="R968" s="31"/>
      <c r="S968" s="31"/>
      <c r="T968" s="270">
        <f t="shared" si="120"/>
        <v>0</v>
      </c>
      <c r="U968" s="270">
        <f t="shared" si="121"/>
        <v>0</v>
      </c>
      <c r="V968" s="31"/>
      <c r="X968" s="240" t="str">
        <f t="shared" si="122"/>
        <v>OK</v>
      </c>
      <c r="Y968" s="240" t="str">
        <f t="shared" si="123"/>
        <v>OK</v>
      </c>
      <c r="Z968" s="240" t="str">
        <f t="shared" si="124"/>
        <v>OK</v>
      </c>
      <c r="AA968" s="240" t="str" cm="1">
        <f t="array" ref="AA968">IF(OR(AND(J968="Not accepted",N968:O968&lt;&gt;"",$S968=""),AND(J968="Accepted",S968="")),"ERROR","OK")</f>
        <v>OK</v>
      </c>
      <c r="AB968" s="240" t="str">
        <f t="shared" si="125"/>
        <v>OK</v>
      </c>
      <c r="AC968" s="240" t="str" cm="1">
        <f t="array" ref="AC968">IF(AND(F968:H968&lt;&gt;"",I968=""),"ERROR","OK")</f>
        <v>OK</v>
      </c>
      <c r="AD968" s="240" t="str">
        <f t="shared" si="126"/>
        <v>OK</v>
      </c>
      <c r="AE968" s="240" t="str">
        <f t="shared" si="127"/>
        <v>OK</v>
      </c>
      <c r="AF968" s="240" t="str" cm="1">
        <f t="array" aca="1" ref="AF968" ca="1" xml:space="preserve">
IF(AND($G968&lt;&gt;"",$F968=""),"ERROR",
IF(OR($F968:$G968="",AND($G968="",$F968&lt;&gt;"")),"OK",
IF(COUNTIF(INDIRECT(IFERROR(LEFT($F968,FIND(" ",$F968)-1),$F968)), $G968)&gt;0, "OK", "ERROR")))</f>
        <v>OK</v>
      </c>
    </row>
    <row r="969" spans="1:32" s="240" customFormat="1">
      <c r="A969" s="48"/>
      <c r="B969" s="31"/>
      <c r="C969" s="48"/>
      <c r="D969" s="47"/>
      <c r="E969" s="47"/>
      <c r="F969" s="31"/>
      <c r="G969" s="31"/>
      <c r="H969" s="31"/>
      <c r="I969" s="47"/>
      <c r="J969" s="31"/>
      <c r="K969" s="47"/>
      <c r="L969" s="47"/>
      <c r="M969" s="47"/>
      <c r="N969" s="31"/>
      <c r="O969" s="47"/>
      <c r="P969" s="31"/>
      <c r="Q969" s="31"/>
      <c r="R969" s="31"/>
      <c r="S969" s="31"/>
      <c r="T969" s="270">
        <f t="shared" si="120"/>
        <v>0</v>
      </c>
      <c r="U969" s="270">
        <f t="shared" si="121"/>
        <v>0</v>
      </c>
      <c r="V969" s="31"/>
      <c r="X969" s="240" t="str">
        <f t="shared" si="122"/>
        <v>OK</v>
      </c>
      <c r="Y969" s="240" t="str">
        <f t="shared" si="123"/>
        <v>OK</v>
      </c>
      <c r="Z969" s="240" t="str">
        <f t="shared" si="124"/>
        <v>OK</v>
      </c>
      <c r="AA969" s="240" t="str" cm="1">
        <f t="array" ref="AA969">IF(OR(AND(J969="Not accepted",N969:O969&lt;&gt;"",$S969=""),AND(J969="Accepted",S969="")),"ERROR","OK")</f>
        <v>OK</v>
      </c>
      <c r="AB969" s="240" t="str">
        <f t="shared" si="125"/>
        <v>OK</v>
      </c>
      <c r="AC969" s="240" t="str" cm="1">
        <f t="array" ref="AC969">IF(AND(F969:H969&lt;&gt;"",I969=""),"ERROR","OK")</f>
        <v>OK</v>
      </c>
      <c r="AD969" s="240" t="str">
        <f t="shared" si="126"/>
        <v>OK</v>
      </c>
      <c r="AE969" s="240" t="str">
        <f t="shared" si="127"/>
        <v>OK</v>
      </c>
      <c r="AF969" s="240" t="str" cm="1">
        <f t="array" aca="1" ref="AF969" ca="1" xml:space="preserve">
IF(AND($G969&lt;&gt;"",$F969=""),"ERROR",
IF(OR($F969:$G969="",AND($G969="",$F969&lt;&gt;"")),"OK",
IF(COUNTIF(INDIRECT(IFERROR(LEFT($F969,FIND(" ",$F969)-1),$F969)), $G969)&gt;0, "OK", "ERROR")))</f>
        <v>OK</v>
      </c>
    </row>
    <row r="970" spans="1:32" s="240" customFormat="1">
      <c r="A970" s="48"/>
      <c r="B970" s="31"/>
      <c r="C970" s="48"/>
      <c r="D970" s="47"/>
      <c r="E970" s="47"/>
      <c r="F970" s="31"/>
      <c r="G970" s="31"/>
      <c r="H970" s="31"/>
      <c r="I970" s="47"/>
      <c r="J970" s="31"/>
      <c r="K970" s="47"/>
      <c r="L970" s="47"/>
      <c r="M970" s="47"/>
      <c r="N970" s="31"/>
      <c r="O970" s="47"/>
      <c r="P970" s="31"/>
      <c r="Q970" s="31"/>
      <c r="R970" s="31"/>
      <c r="S970" s="31"/>
      <c r="T970" s="270">
        <f t="shared" si="120"/>
        <v>0</v>
      </c>
      <c r="U970" s="270">
        <f t="shared" si="121"/>
        <v>0</v>
      </c>
      <c r="V970" s="31"/>
      <c r="X970" s="240" t="str">
        <f t="shared" si="122"/>
        <v>OK</v>
      </c>
      <c r="Y970" s="240" t="str">
        <f t="shared" si="123"/>
        <v>OK</v>
      </c>
      <c r="Z970" s="240" t="str">
        <f t="shared" si="124"/>
        <v>OK</v>
      </c>
      <c r="AA970" s="240" t="str" cm="1">
        <f t="array" ref="AA970">IF(OR(AND(J970="Not accepted",N970:O970&lt;&gt;"",$S970=""),AND(J970="Accepted",S970="")),"ERROR","OK")</f>
        <v>OK</v>
      </c>
      <c r="AB970" s="240" t="str">
        <f t="shared" si="125"/>
        <v>OK</v>
      </c>
      <c r="AC970" s="240" t="str" cm="1">
        <f t="array" ref="AC970">IF(AND(F970:H970&lt;&gt;"",I970=""),"ERROR","OK")</f>
        <v>OK</v>
      </c>
      <c r="AD970" s="240" t="str">
        <f t="shared" si="126"/>
        <v>OK</v>
      </c>
      <c r="AE970" s="240" t="str">
        <f t="shared" si="127"/>
        <v>OK</v>
      </c>
      <c r="AF970" s="240" t="str" cm="1">
        <f t="array" aca="1" ref="AF970" ca="1" xml:space="preserve">
IF(AND($G970&lt;&gt;"",$F970=""),"ERROR",
IF(OR($F970:$G970="",AND($G970="",$F970&lt;&gt;"")),"OK",
IF(COUNTIF(INDIRECT(IFERROR(LEFT($F970,FIND(" ",$F970)-1),$F970)), $G970)&gt;0, "OK", "ERROR")))</f>
        <v>OK</v>
      </c>
    </row>
    <row r="971" spans="1:32" s="240" customFormat="1">
      <c r="A971" s="48"/>
      <c r="B971" s="31"/>
      <c r="C971" s="48"/>
      <c r="D971" s="47"/>
      <c r="E971" s="47"/>
      <c r="F971" s="31"/>
      <c r="G971" s="31"/>
      <c r="H971" s="31"/>
      <c r="I971" s="47"/>
      <c r="J971" s="31"/>
      <c r="K971" s="47"/>
      <c r="L971" s="47"/>
      <c r="M971" s="47"/>
      <c r="N971" s="31"/>
      <c r="O971" s="47"/>
      <c r="P971" s="31"/>
      <c r="Q971" s="31"/>
      <c r="R971" s="31"/>
      <c r="S971" s="31"/>
      <c r="T971" s="270">
        <f t="shared" si="120"/>
        <v>0</v>
      </c>
      <c r="U971" s="270">
        <f t="shared" si="121"/>
        <v>0</v>
      </c>
      <c r="V971" s="31"/>
      <c r="X971" s="240" t="str">
        <f t="shared" si="122"/>
        <v>OK</v>
      </c>
      <c r="Y971" s="240" t="str">
        <f t="shared" si="123"/>
        <v>OK</v>
      </c>
      <c r="Z971" s="240" t="str">
        <f t="shared" si="124"/>
        <v>OK</v>
      </c>
      <c r="AA971" s="240" t="str" cm="1">
        <f t="array" ref="AA971">IF(OR(AND(J971="Not accepted",N971:O971&lt;&gt;"",$S971=""),AND(J971="Accepted",S971="")),"ERROR","OK")</f>
        <v>OK</v>
      </c>
      <c r="AB971" s="240" t="str">
        <f t="shared" si="125"/>
        <v>OK</v>
      </c>
      <c r="AC971" s="240" t="str" cm="1">
        <f t="array" ref="AC971">IF(AND(F971:H971&lt;&gt;"",I971=""),"ERROR","OK")</f>
        <v>OK</v>
      </c>
      <c r="AD971" s="240" t="str">
        <f t="shared" si="126"/>
        <v>OK</v>
      </c>
      <c r="AE971" s="240" t="str">
        <f t="shared" si="127"/>
        <v>OK</v>
      </c>
      <c r="AF971" s="240" t="str" cm="1">
        <f t="array" aca="1" ref="AF971" ca="1" xml:space="preserve">
IF(AND($G971&lt;&gt;"",$F971=""),"ERROR",
IF(OR($F971:$G971="",AND($G971="",$F971&lt;&gt;"")),"OK",
IF(COUNTIF(INDIRECT(IFERROR(LEFT($F971,FIND(" ",$F971)-1),$F971)), $G971)&gt;0, "OK", "ERROR")))</f>
        <v>OK</v>
      </c>
    </row>
    <row r="972" spans="1:32" s="240" customFormat="1">
      <c r="A972" s="48"/>
      <c r="B972" s="31"/>
      <c r="C972" s="48"/>
      <c r="D972" s="47"/>
      <c r="E972" s="47"/>
      <c r="F972" s="31"/>
      <c r="G972" s="31"/>
      <c r="H972" s="31"/>
      <c r="I972" s="47"/>
      <c r="J972" s="31"/>
      <c r="K972" s="47"/>
      <c r="L972" s="47"/>
      <c r="M972" s="47"/>
      <c r="N972" s="31"/>
      <c r="O972" s="47"/>
      <c r="P972" s="31"/>
      <c r="Q972" s="31"/>
      <c r="R972" s="31"/>
      <c r="S972" s="31"/>
      <c r="T972" s="270">
        <f t="shared" si="120"/>
        <v>0</v>
      </c>
      <c r="U972" s="270">
        <f t="shared" si="121"/>
        <v>0</v>
      </c>
      <c r="V972" s="31"/>
      <c r="X972" s="240" t="str">
        <f t="shared" si="122"/>
        <v>OK</v>
      </c>
      <c r="Y972" s="240" t="str">
        <f t="shared" si="123"/>
        <v>OK</v>
      </c>
      <c r="Z972" s="240" t="str">
        <f t="shared" si="124"/>
        <v>OK</v>
      </c>
      <c r="AA972" s="240" t="str" cm="1">
        <f t="array" ref="AA972">IF(OR(AND(J972="Not accepted",N972:O972&lt;&gt;"",$S972=""),AND(J972="Accepted",S972="")),"ERROR","OK")</f>
        <v>OK</v>
      </c>
      <c r="AB972" s="240" t="str">
        <f t="shared" si="125"/>
        <v>OK</v>
      </c>
      <c r="AC972" s="240" t="str" cm="1">
        <f t="array" ref="AC972">IF(AND(F972:H972&lt;&gt;"",I972=""),"ERROR","OK")</f>
        <v>OK</v>
      </c>
      <c r="AD972" s="240" t="str">
        <f t="shared" si="126"/>
        <v>OK</v>
      </c>
      <c r="AE972" s="240" t="str">
        <f t="shared" si="127"/>
        <v>OK</v>
      </c>
      <c r="AF972" s="240" t="str" cm="1">
        <f t="array" aca="1" ref="AF972" ca="1" xml:space="preserve">
IF(AND($G972&lt;&gt;"",$F972=""),"ERROR",
IF(OR($F972:$G972="",AND($G972="",$F972&lt;&gt;"")),"OK",
IF(COUNTIF(INDIRECT(IFERROR(LEFT($F972,FIND(" ",$F972)-1),$F972)), $G972)&gt;0, "OK", "ERROR")))</f>
        <v>OK</v>
      </c>
    </row>
    <row r="973" spans="1:32" s="240" customFormat="1">
      <c r="A973" s="48"/>
      <c r="B973" s="31"/>
      <c r="C973" s="48"/>
      <c r="D973" s="47"/>
      <c r="E973" s="47"/>
      <c r="F973" s="31"/>
      <c r="G973" s="31"/>
      <c r="H973" s="31"/>
      <c r="I973" s="47"/>
      <c r="J973" s="31"/>
      <c r="K973" s="47"/>
      <c r="L973" s="47"/>
      <c r="M973" s="47"/>
      <c r="N973" s="31"/>
      <c r="O973" s="47"/>
      <c r="P973" s="31"/>
      <c r="Q973" s="31"/>
      <c r="R973" s="31"/>
      <c r="S973" s="31"/>
      <c r="T973" s="270">
        <f t="shared" si="120"/>
        <v>0</v>
      </c>
      <c r="U973" s="270">
        <f t="shared" si="121"/>
        <v>0</v>
      </c>
      <c r="V973" s="31"/>
      <c r="X973" s="240" t="str">
        <f t="shared" si="122"/>
        <v>OK</v>
      </c>
      <c r="Y973" s="240" t="str">
        <f t="shared" si="123"/>
        <v>OK</v>
      </c>
      <c r="Z973" s="240" t="str">
        <f t="shared" si="124"/>
        <v>OK</v>
      </c>
      <c r="AA973" s="240" t="str" cm="1">
        <f t="array" ref="AA973">IF(OR(AND(J973="Not accepted",N973:O973&lt;&gt;"",$S973=""),AND(J973="Accepted",S973="")),"ERROR","OK")</f>
        <v>OK</v>
      </c>
      <c r="AB973" s="240" t="str">
        <f t="shared" si="125"/>
        <v>OK</v>
      </c>
      <c r="AC973" s="240" t="str" cm="1">
        <f t="array" ref="AC973">IF(AND(F973:H973&lt;&gt;"",I973=""),"ERROR","OK")</f>
        <v>OK</v>
      </c>
      <c r="AD973" s="240" t="str">
        <f t="shared" si="126"/>
        <v>OK</v>
      </c>
      <c r="AE973" s="240" t="str">
        <f t="shared" si="127"/>
        <v>OK</v>
      </c>
      <c r="AF973" s="240" t="str" cm="1">
        <f t="array" aca="1" ref="AF973" ca="1" xml:space="preserve">
IF(AND($G973&lt;&gt;"",$F973=""),"ERROR",
IF(OR($F973:$G973="",AND($G973="",$F973&lt;&gt;"")),"OK",
IF(COUNTIF(INDIRECT(IFERROR(LEFT($F973,FIND(" ",$F973)-1),$F973)), $G973)&gt;0, "OK", "ERROR")))</f>
        <v>OK</v>
      </c>
    </row>
    <row r="974" spans="1:32" s="240" customFormat="1">
      <c r="A974" s="48"/>
      <c r="B974" s="31"/>
      <c r="C974" s="48"/>
      <c r="D974" s="47"/>
      <c r="E974" s="47"/>
      <c r="F974" s="31"/>
      <c r="G974" s="31"/>
      <c r="H974" s="31"/>
      <c r="I974" s="47"/>
      <c r="J974" s="31"/>
      <c r="K974" s="47"/>
      <c r="L974" s="47"/>
      <c r="M974" s="47"/>
      <c r="N974" s="31"/>
      <c r="O974" s="47"/>
      <c r="P974" s="31"/>
      <c r="Q974" s="31"/>
      <c r="R974" s="31"/>
      <c r="S974" s="31"/>
      <c r="T974" s="270">
        <f t="shared" si="120"/>
        <v>0</v>
      </c>
      <c r="U974" s="270">
        <f t="shared" si="121"/>
        <v>0</v>
      </c>
      <c r="V974" s="31"/>
      <c r="X974" s="240" t="str">
        <f t="shared" si="122"/>
        <v>OK</v>
      </c>
      <c r="Y974" s="240" t="str">
        <f t="shared" si="123"/>
        <v>OK</v>
      </c>
      <c r="Z974" s="240" t="str">
        <f t="shared" si="124"/>
        <v>OK</v>
      </c>
      <c r="AA974" s="240" t="str" cm="1">
        <f t="array" ref="AA974">IF(OR(AND(J974="Not accepted",N974:O974&lt;&gt;"",$S974=""),AND(J974="Accepted",S974="")),"ERROR","OK")</f>
        <v>OK</v>
      </c>
      <c r="AB974" s="240" t="str">
        <f t="shared" si="125"/>
        <v>OK</v>
      </c>
      <c r="AC974" s="240" t="str" cm="1">
        <f t="array" ref="AC974">IF(AND(F974:H974&lt;&gt;"",I974=""),"ERROR","OK")</f>
        <v>OK</v>
      </c>
      <c r="AD974" s="240" t="str">
        <f t="shared" si="126"/>
        <v>OK</v>
      </c>
      <c r="AE974" s="240" t="str">
        <f t="shared" si="127"/>
        <v>OK</v>
      </c>
      <c r="AF974" s="240" t="str" cm="1">
        <f t="array" aca="1" ref="AF974" ca="1" xml:space="preserve">
IF(AND($G974&lt;&gt;"",$F974=""),"ERROR",
IF(OR($F974:$G974="",AND($G974="",$F974&lt;&gt;"")),"OK",
IF(COUNTIF(INDIRECT(IFERROR(LEFT($F974,FIND(" ",$F974)-1),$F974)), $G974)&gt;0, "OK", "ERROR")))</f>
        <v>OK</v>
      </c>
    </row>
    <row r="975" spans="1:32" s="240" customFormat="1">
      <c r="A975" s="48"/>
      <c r="B975" s="31"/>
      <c r="C975" s="48"/>
      <c r="D975" s="47"/>
      <c r="E975" s="47"/>
      <c r="F975" s="31"/>
      <c r="G975" s="31"/>
      <c r="H975" s="31"/>
      <c r="I975" s="47"/>
      <c r="J975" s="31"/>
      <c r="K975" s="47"/>
      <c r="L975" s="47"/>
      <c r="M975" s="47"/>
      <c r="N975" s="31"/>
      <c r="O975" s="47"/>
      <c r="P975" s="31"/>
      <c r="Q975" s="31"/>
      <c r="R975" s="31"/>
      <c r="S975" s="31"/>
      <c r="T975" s="270">
        <f t="shared" si="120"/>
        <v>0</v>
      </c>
      <c r="U975" s="270">
        <f t="shared" si="121"/>
        <v>0</v>
      </c>
      <c r="V975" s="31"/>
      <c r="X975" s="240" t="str">
        <f t="shared" si="122"/>
        <v>OK</v>
      </c>
      <c r="Y975" s="240" t="str">
        <f t="shared" si="123"/>
        <v>OK</v>
      </c>
      <c r="Z975" s="240" t="str">
        <f t="shared" si="124"/>
        <v>OK</v>
      </c>
      <c r="AA975" s="240" t="str" cm="1">
        <f t="array" ref="AA975">IF(OR(AND(J975="Not accepted",N975:O975&lt;&gt;"",$S975=""),AND(J975="Accepted",S975="")),"ERROR","OK")</f>
        <v>OK</v>
      </c>
      <c r="AB975" s="240" t="str">
        <f t="shared" si="125"/>
        <v>OK</v>
      </c>
      <c r="AC975" s="240" t="str" cm="1">
        <f t="array" ref="AC975">IF(AND(F975:H975&lt;&gt;"",I975=""),"ERROR","OK")</f>
        <v>OK</v>
      </c>
      <c r="AD975" s="240" t="str">
        <f t="shared" si="126"/>
        <v>OK</v>
      </c>
      <c r="AE975" s="240" t="str">
        <f t="shared" si="127"/>
        <v>OK</v>
      </c>
      <c r="AF975" s="240" t="str" cm="1">
        <f t="array" aca="1" ref="AF975" ca="1" xml:space="preserve">
IF(AND($G975&lt;&gt;"",$F975=""),"ERROR",
IF(OR($F975:$G975="",AND($G975="",$F975&lt;&gt;"")),"OK",
IF(COUNTIF(INDIRECT(IFERROR(LEFT($F975,FIND(" ",$F975)-1),$F975)), $G975)&gt;0, "OK", "ERROR")))</f>
        <v>OK</v>
      </c>
    </row>
    <row r="976" spans="1:32" s="240" customFormat="1">
      <c r="A976" s="48"/>
      <c r="B976" s="31"/>
      <c r="C976" s="48"/>
      <c r="D976" s="47"/>
      <c r="E976" s="47"/>
      <c r="F976" s="31"/>
      <c r="G976" s="31"/>
      <c r="H976" s="31"/>
      <c r="I976" s="47"/>
      <c r="J976" s="31"/>
      <c r="K976" s="47"/>
      <c r="L976" s="47"/>
      <c r="M976" s="47"/>
      <c r="N976" s="31"/>
      <c r="O976" s="47"/>
      <c r="P976" s="31"/>
      <c r="Q976" s="31"/>
      <c r="R976" s="31"/>
      <c r="S976" s="31"/>
      <c r="T976" s="270">
        <f t="shared" si="120"/>
        <v>0</v>
      </c>
      <c r="U976" s="270">
        <f t="shared" si="121"/>
        <v>0</v>
      </c>
      <c r="V976" s="31"/>
      <c r="X976" s="240" t="str">
        <f t="shared" si="122"/>
        <v>OK</v>
      </c>
      <c r="Y976" s="240" t="str">
        <f t="shared" si="123"/>
        <v>OK</v>
      </c>
      <c r="Z976" s="240" t="str">
        <f t="shared" si="124"/>
        <v>OK</v>
      </c>
      <c r="AA976" s="240" t="str" cm="1">
        <f t="array" ref="AA976">IF(OR(AND(J976="Not accepted",N976:O976&lt;&gt;"",$S976=""),AND(J976="Accepted",S976="")),"ERROR","OK")</f>
        <v>OK</v>
      </c>
      <c r="AB976" s="240" t="str">
        <f t="shared" si="125"/>
        <v>OK</v>
      </c>
      <c r="AC976" s="240" t="str" cm="1">
        <f t="array" ref="AC976">IF(AND(F976:H976&lt;&gt;"",I976=""),"ERROR","OK")</f>
        <v>OK</v>
      </c>
      <c r="AD976" s="240" t="str">
        <f t="shared" si="126"/>
        <v>OK</v>
      </c>
      <c r="AE976" s="240" t="str">
        <f t="shared" si="127"/>
        <v>OK</v>
      </c>
      <c r="AF976" s="240" t="str" cm="1">
        <f t="array" aca="1" ref="AF976" ca="1" xml:space="preserve">
IF(AND($G976&lt;&gt;"",$F976=""),"ERROR",
IF(OR($F976:$G976="",AND($G976="",$F976&lt;&gt;"")),"OK",
IF(COUNTIF(INDIRECT(IFERROR(LEFT($F976,FIND(" ",$F976)-1),$F976)), $G976)&gt;0, "OK", "ERROR")))</f>
        <v>OK</v>
      </c>
    </row>
    <row r="977" spans="1:32" s="240" customFormat="1">
      <c r="A977" s="48"/>
      <c r="B977" s="31"/>
      <c r="C977" s="48"/>
      <c r="D977" s="47"/>
      <c r="E977" s="47"/>
      <c r="F977" s="31"/>
      <c r="G977" s="31"/>
      <c r="H977" s="31"/>
      <c r="I977" s="47"/>
      <c r="J977" s="31"/>
      <c r="K977" s="47"/>
      <c r="L977" s="47"/>
      <c r="M977" s="47"/>
      <c r="N977" s="31"/>
      <c r="O977" s="47"/>
      <c r="P977" s="31"/>
      <c r="Q977" s="31"/>
      <c r="R977" s="31"/>
      <c r="S977" s="31"/>
      <c r="T977" s="270">
        <f t="shared" si="120"/>
        <v>0</v>
      </c>
      <c r="U977" s="270">
        <f t="shared" si="121"/>
        <v>0</v>
      </c>
      <c r="V977" s="31"/>
      <c r="X977" s="240" t="str">
        <f t="shared" si="122"/>
        <v>OK</v>
      </c>
      <c r="Y977" s="240" t="str">
        <f t="shared" si="123"/>
        <v>OK</v>
      </c>
      <c r="Z977" s="240" t="str">
        <f t="shared" si="124"/>
        <v>OK</v>
      </c>
      <c r="AA977" s="240" t="str" cm="1">
        <f t="array" ref="AA977">IF(OR(AND(J977="Not accepted",N977:O977&lt;&gt;"",$S977=""),AND(J977="Accepted",S977="")),"ERROR","OK")</f>
        <v>OK</v>
      </c>
      <c r="AB977" s="240" t="str">
        <f t="shared" si="125"/>
        <v>OK</v>
      </c>
      <c r="AC977" s="240" t="str" cm="1">
        <f t="array" ref="AC977">IF(AND(F977:H977&lt;&gt;"",I977=""),"ERROR","OK")</f>
        <v>OK</v>
      </c>
      <c r="AD977" s="240" t="str">
        <f t="shared" si="126"/>
        <v>OK</v>
      </c>
      <c r="AE977" s="240" t="str">
        <f t="shared" si="127"/>
        <v>OK</v>
      </c>
      <c r="AF977" s="240" t="str" cm="1">
        <f t="array" aca="1" ref="AF977" ca="1" xml:space="preserve">
IF(AND($G977&lt;&gt;"",$F977=""),"ERROR",
IF(OR($F977:$G977="",AND($G977="",$F977&lt;&gt;"")),"OK",
IF(COUNTIF(INDIRECT(IFERROR(LEFT($F977,FIND(" ",$F977)-1),$F977)), $G977)&gt;0, "OK", "ERROR")))</f>
        <v>OK</v>
      </c>
    </row>
    <row r="978" spans="1:32" s="240" customFormat="1">
      <c r="A978" s="48"/>
      <c r="B978" s="31"/>
      <c r="C978" s="48"/>
      <c r="D978" s="47"/>
      <c r="E978" s="47"/>
      <c r="F978" s="31"/>
      <c r="G978" s="31"/>
      <c r="H978" s="31"/>
      <c r="I978" s="47"/>
      <c r="J978" s="31"/>
      <c r="K978" s="47"/>
      <c r="L978" s="47"/>
      <c r="M978" s="47"/>
      <c r="N978" s="31"/>
      <c r="O978" s="47"/>
      <c r="P978" s="31"/>
      <c r="Q978" s="31"/>
      <c r="R978" s="31"/>
      <c r="S978" s="31"/>
      <c r="T978" s="270">
        <f t="shared" si="120"/>
        <v>0</v>
      </c>
      <c r="U978" s="270">
        <f t="shared" si="121"/>
        <v>0</v>
      </c>
      <c r="V978" s="31"/>
      <c r="X978" s="240" t="str">
        <f t="shared" si="122"/>
        <v>OK</v>
      </c>
      <c r="Y978" s="240" t="str">
        <f t="shared" si="123"/>
        <v>OK</v>
      </c>
      <c r="Z978" s="240" t="str">
        <f t="shared" si="124"/>
        <v>OK</v>
      </c>
      <c r="AA978" s="240" t="str" cm="1">
        <f t="array" ref="AA978">IF(OR(AND(J978="Not accepted",N978:O978&lt;&gt;"",$S978=""),AND(J978="Accepted",S978="")),"ERROR","OK")</f>
        <v>OK</v>
      </c>
      <c r="AB978" s="240" t="str">
        <f t="shared" si="125"/>
        <v>OK</v>
      </c>
      <c r="AC978" s="240" t="str" cm="1">
        <f t="array" ref="AC978">IF(AND(F978:H978&lt;&gt;"",I978=""),"ERROR","OK")</f>
        <v>OK</v>
      </c>
      <c r="AD978" s="240" t="str">
        <f t="shared" si="126"/>
        <v>OK</v>
      </c>
      <c r="AE978" s="240" t="str">
        <f t="shared" si="127"/>
        <v>OK</v>
      </c>
      <c r="AF978" s="240" t="str" cm="1">
        <f t="array" aca="1" ref="AF978" ca="1" xml:space="preserve">
IF(AND($G978&lt;&gt;"",$F978=""),"ERROR",
IF(OR($F978:$G978="",AND($G978="",$F978&lt;&gt;"")),"OK",
IF(COUNTIF(INDIRECT(IFERROR(LEFT($F978,FIND(" ",$F978)-1),$F978)), $G978)&gt;0, "OK", "ERROR")))</f>
        <v>OK</v>
      </c>
    </row>
    <row r="979" spans="1:32" s="240" customFormat="1">
      <c r="A979" s="48"/>
      <c r="B979" s="31"/>
      <c r="C979" s="48"/>
      <c r="D979" s="47"/>
      <c r="E979" s="47"/>
      <c r="F979" s="31"/>
      <c r="G979" s="31"/>
      <c r="H979" s="31"/>
      <c r="I979" s="47"/>
      <c r="J979" s="31"/>
      <c r="K979" s="47"/>
      <c r="L979" s="47"/>
      <c r="M979" s="47"/>
      <c r="N979" s="31"/>
      <c r="O979" s="47"/>
      <c r="P979" s="31"/>
      <c r="Q979" s="31"/>
      <c r="R979" s="31"/>
      <c r="S979" s="31"/>
      <c r="T979" s="270">
        <f t="shared" si="120"/>
        <v>0</v>
      </c>
      <c r="U979" s="270">
        <f t="shared" si="121"/>
        <v>0</v>
      </c>
      <c r="V979" s="31"/>
      <c r="X979" s="240" t="str">
        <f t="shared" si="122"/>
        <v>OK</v>
      </c>
      <c r="Y979" s="240" t="str">
        <f t="shared" si="123"/>
        <v>OK</v>
      </c>
      <c r="Z979" s="240" t="str">
        <f t="shared" si="124"/>
        <v>OK</v>
      </c>
      <c r="AA979" s="240" t="str" cm="1">
        <f t="array" ref="AA979">IF(OR(AND(J979="Not accepted",N979:O979&lt;&gt;"",$S979=""),AND(J979="Accepted",S979="")),"ERROR","OK")</f>
        <v>OK</v>
      </c>
      <c r="AB979" s="240" t="str">
        <f t="shared" si="125"/>
        <v>OK</v>
      </c>
      <c r="AC979" s="240" t="str" cm="1">
        <f t="array" ref="AC979">IF(AND(F979:H979&lt;&gt;"",I979=""),"ERROR","OK")</f>
        <v>OK</v>
      </c>
      <c r="AD979" s="240" t="str">
        <f t="shared" si="126"/>
        <v>OK</v>
      </c>
      <c r="AE979" s="240" t="str">
        <f t="shared" si="127"/>
        <v>OK</v>
      </c>
      <c r="AF979" s="240" t="str" cm="1">
        <f t="array" aca="1" ref="AF979" ca="1" xml:space="preserve">
IF(AND($G979&lt;&gt;"",$F979=""),"ERROR",
IF(OR($F979:$G979="",AND($G979="",$F979&lt;&gt;"")),"OK",
IF(COUNTIF(INDIRECT(IFERROR(LEFT($F979,FIND(" ",$F979)-1),$F979)), $G979)&gt;0, "OK", "ERROR")))</f>
        <v>OK</v>
      </c>
    </row>
    <row r="980" spans="1:32" s="240" customFormat="1">
      <c r="A980" s="48"/>
      <c r="B980" s="31"/>
      <c r="C980" s="48"/>
      <c r="D980" s="47"/>
      <c r="E980" s="47"/>
      <c r="F980" s="31"/>
      <c r="G980" s="31"/>
      <c r="H980" s="31"/>
      <c r="I980" s="47"/>
      <c r="J980" s="31"/>
      <c r="K980" s="47"/>
      <c r="L980" s="47"/>
      <c r="M980" s="47"/>
      <c r="N980" s="31"/>
      <c r="O980" s="47"/>
      <c r="P980" s="31"/>
      <c r="Q980" s="31"/>
      <c r="R980" s="31"/>
      <c r="S980" s="31"/>
      <c r="T980" s="270">
        <f t="shared" si="120"/>
        <v>0</v>
      </c>
      <c r="U980" s="270">
        <f t="shared" si="121"/>
        <v>0</v>
      </c>
      <c r="V980" s="31"/>
      <c r="X980" s="240" t="str">
        <f t="shared" si="122"/>
        <v>OK</v>
      </c>
      <c r="Y980" s="240" t="str">
        <f t="shared" si="123"/>
        <v>OK</v>
      </c>
      <c r="Z980" s="240" t="str">
        <f t="shared" si="124"/>
        <v>OK</v>
      </c>
      <c r="AA980" s="240" t="str" cm="1">
        <f t="array" ref="AA980">IF(OR(AND(J980="Not accepted",N980:O980&lt;&gt;"",$S980=""),AND(J980="Accepted",S980="")),"ERROR","OK")</f>
        <v>OK</v>
      </c>
      <c r="AB980" s="240" t="str">
        <f t="shared" si="125"/>
        <v>OK</v>
      </c>
      <c r="AC980" s="240" t="str" cm="1">
        <f t="array" ref="AC980">IF(AND(F980:H980&lt;&gt;"",I980=""),"ERROR","OK")</f>
        <v>OK</v>
      </c>
      <c r="AD980" s="240" t="str">
        <f t="shared" si="126"/>
        <v>OK</v>
      </c>
      <c r="AE980" s="240" t="str">
        <f t="shared" si="127"/>
        <v>OK</v>
      </c>
      <c r="AF980" s="240" t="str" cm="1">
        <f t="array" aca="1" ref="AF980" ca="1" xml:space="preserve">
IF(AND($G980&lt;&gt;"",$F980=""),"ERROR",
IF(OR($F980:$G980="",AND($G980="",$F980&lt;&gt;"")),"OK",
IF(COUNTIF(INDIRECT(IFERROR(LEFT($F980,FIND(" ",$F980)-1),$F980)), $G980)&gt;0, "OK", "ERROR")))</f>
        <v>OK</v>
      </c>
    </row>
    <row r="981" spans="1:32" s="240" customFormat="1">
      <c r="A981" s="48"/>
      <c r="B981" s="31"/>
      <c r="C981" s="48"/>
      <c r="D981" s="47"/>
      <c r="E981" s="47"/>
      <c r="F981" s="31"/>
      <c r="G981" s="31"/>
      <c r="H981" s="31"/>
      <c r="I981" s="47"/>
      <c r="J981" s="31"/>
      <c r="K981" s="47"/>
      <c r="L981" s="47"/>
      <c r="M981" s="47"/>
      <c r="N981" s="31"/>
      <c r="O981" s="47"/>
      <c r="P981" s="31"/>
      <c r="Q981" s="31"/>
      <c r="R981" s="31"/>
      <c r="S981" s="31"/>
      <c r="T981" s="270">
        <f t="shared" si="120"/>
        <v>0</v>
      </c>
      <c r="U981" s="270">
        <f t="shared" si="121"/>
        <v>0</v>
      </c>
      <c r="V981" s="31"/>
      <c r="X981" s="240" t="str">
        <f t="shared" si="122"/>
        <v>OK</v>
      </c>
      <c r="Y981" s="240" t="str">
        <f t="shared" si="123"/>
        <v>OK</v>
      </c>
      <c r="Z981" s="240" t="str">
        <f t="shared" si="124"/>
        <v>OK</v>
      </c>
      <c r="AA981" s="240" t="str" cm="1">
        <f t="array" ref="AA981">IF(OR(AND(J981="Not accepted",N981:O981&lt;&gt;"",$S981=""),AND(J981="Accepted",S981="")),"ERROR","OK")</f>
        <v>OK</v>
      </c>
      <c r="AB981" s="240" t="str">
        <f t="shared" si="125"/>
        <v>OK</v>
      </c>
      <c r="AC981" s="240" t="str" cm="1">
        <f t="array" ref="AC981">IF(AND(F981:H981&lt;&gt;"",I981=""),"ERROR","OK")</f>
        <v>OK</v>
      </c>
      <c r="AD981" s="240" t="str">
        <f t="shared" si="126"/>
        <v>OK</v>
      </c>
      <c r="AE981" s="240" t="str">
        <f t="shared" si="127"/>
        <v>OK</v>
      </c>
      <c r="AF981" s="240" t="str" cm="1">
        <f t="array" aca="1" ref="AF981" ca="1" xml:space="preserve">
IF(AND($G981&lt;&gt;"",$F981=""),"ERROR",
IF(OR($F981:$G981="",AND($G981="",$F981&lt;&gt;"")),"OK",
IF(COUNTIF(INDIRECT(IFERROR(LEFT($F981,FIND(" ",$F981)-1),$F981)), $G981)&gt;0, "OK", "ERROR")))</f>
        <v>OK</v>
      </c>
    </row>
    <row r="982" spans="1:32" s="240" customFormat="1">
      <c r="A982" s="48"/>
      <c r="B982" s="31"/>
      <c r="C982" s="48"/>
      <c r="D982" s="47"/>
      <c r="E982" s="47"/>
      <c r="F982" s="31"/>
      <c r="G982" s="31"/>
      <c r="H982" s="31"/>
      <c r="I982" s="47"/>
      <c r="J982" s="31"/>
      <c r="K982" s="47"/>
      <c r="L982" s="47"/>
      <c r="M982" s="47"/>
      <c r="N982" s="31"/>
      <c r="O982" s="47"/>
      <c r="P982" s="31"/>
      <c r="Q982" s="31"/>
      <c r="R982" s="31"/>
      <c r="S982" s="31"/>
      <c r="T982" s="270">
        <f t="shared" si="120"/>
        <v>0</v>
      </c>
      <c r="U982" s="270">
        <f t="shared" si="121"/>
        <v>0</v>
      </c>
      <c r="V982" s="31"/>
      <c r="X982" s="240" t="str">
        <f t="shared" si="122"/>
        <v>OK</v>
      </c>
      <c r="Y982" s="240" t="str">
        <f t="shared" si="123"/>
        <v>OK</v>
      </c>
      <c r="Z982" s="240" t="str">
        <f t="shared" si="124"/>
        <v>OK</v>
      </c>
      <c r="AA982" s="240" t="str" cm="1">
        <f t="array" ref="AA982">IF(OR(AND(J982="Not accepted",N982:O982&lt;&gt;"",$S982=""),AND(J982="Accepted",S982="")),"ERROR","OK")</f>
        <v>OK</v>
      </c>
      <c r="AB982" s="240" t="str">
        <f t="shared" si="125"/>
        <v>OK</v>
      </c>
      <c r="AC982" s="240" t="str" cm="1">
        <f t="array" ref="AC982">IF(AND(F982:H982&lt;&gt;"",I982=""),"ERROR","OK")</f>
        <v>OK</v>
      </c>
      <c r="AD982" s="240" t="str">
        <f t="shared" si="126"/>
        <v>OK</v>
      </c>
      <c r="AE982" s="240" t="str">
        <f t="shared" si="127"/>
        <v>OK</v>
      </c>
      <c r="AF982" s="240" t="str" cm="1">
        <f t="array" aca="1" ref="AF982" ca="1" xml:space="preserve">
IF(AND($G982&lt;&gt;"",$F982=""),"ERROR",
IF(OR($F982:$G982="",AND($G982="",$F982&lt;&gt;"")),"OK",
IF(COUNTIF(INDIRECT(IFERROR(LEFT($F982,FIND(" ",$F982)-1),$F982)), $G982)&gt;0, "OK", "ERROR")))</f>
        <v>OK</v>
      </c>
    </row>
    <row r="983" spans="1:32" s="240" customFormat="1">
      <c r="A983" s="48"/>
      <c r="B983" s="31"/>
      <c r="C983" s="48"/>
      <c r="D983" s="47"/>
      <c r="E983" s="47"/>
      <c r="F983" s="31"/>
      <c r="G983" s="31"/>
      <c r="H983" s="31"/>
      <c r="I983" s="47"/>
      <c r="J983" s="31"/>
      <c r="K983" s="47"/>
      <c r="L983" s="47"/>
      <c r="M983" s="47"/>
      <c r="N983" s="31"/>
      <c r="O983" s="47"/>
      <c r="P983" s="31"/>
      <c r="Q983" s="31"/>
      <c r="R983" s="31"/>
      <c r="S983" s="31"/>
      <c r="T983" s="270">
        <f t="shared" si="120"/>
        <v>0</v>
      </c>
      <c r="U983" s="270">
        <f t="shared" si="121"/>
        <v>0</v>
      </c>
      <c r="V983" s="31"/>
      <c r="X983" s="240" t="str">
        <f t="shared" si="122"/>
        <v>OK</v>
      </c>
      <c r="Y983" s="240" t="str">
        <f t="shared" si="123"/>
        <v>OK</v>
      </c>
      <c r="Z983" s="240" t="str">
        <f t="shared" si="124"/>
        <v>OK</v>
      </c>
      <c r="AA983" s="240" t="str" cm="1">
        <f t="array" ref="AA983">IF(OR(AND(J983="Not accepted",N983:O983&lt;&gt;"",$S983=""),AND(J983="Accepted",S983="")),"ERROR","OK")</f>
        <v>OK</v>
      </c>
      <c r="AB983" s="240" t="str">
        <f t="shared" si="125"/>
        <v>OK</v>
      </c>
      <c r="AC983" s="240" t="str" cm="1">
        <f t="array" ref="AC983">IF(AND(F983:H983&lt;&gt;"",I983=""),"ERROR","OK")</f>
        <v>OK</v>
      </c>
      <c r="AD983" s="240" t="str">
        <f t="shared" si="126"/>
        <v>OK</v>
      </c>
      <c r="AE983" s="240" t="str">
        <f t="shared" si="127"/>
        <v>OK</v>
      </c>
      <c r="AF983" s="240" t="str" cm="1">
        <f t="array" aca="1" ref="AF983" ca="1" xml:space="preserve">
IF(AND($G983&lt;&gt;"",$F983=""),"ERROR",
IF(OR($F983:$G983="",AND($G983="",$F983&lt;&gt;"")),"OK",
IF(COUNTIF(INDIRECT(IFERROR(LEFT($F983,FIND(" ",$F983)-1),$F983)), $G983)&gt;0, "OK", "ERROR")))</f>
        <v>OK</v>
      </c>
    </row>
    <row r="984" spans="1:32" s="240" customFormat="1">
      <c r="A984" s="48"/>
      <c r="B984" s="31"/>
      <c r="C984" s="48"/>
      <c r="D984" s="47"/>
      <c r="E984" s="47"/>
      <c r="F984" s="31"/>
      <c r="G984" s="31"/>
      <c r="H984" s="31"/>
      <c r="I984" s="47"/>
      <c r="J984" s="31"/>
      <c r="K984" s="47"/>
      <c r="L984" s="47"/>
      <c r="M984" s="47"/>
      <c r="N984" s="31"/>
      <c r="O984" s="47"/>
      <c r="P984" s="31"/>
      <c r="Q984" s="31"/>
      <c r="R984" s="31"/>
      <c r="S984" s="31"/>
      <c r="T984" s="270">
        <f t="shared" si="120"/>
        <v>0</v>
      </c>
      <c r="U984" s="270">
        <f t="shared" si="121"/>
        <v>0</v>
      </c>
      <c r="V984" s="31"/>
      <c r="X984" s="240" t="str">
        <f t="shared" si="122"/>
        <v>OK</v>
      </c>
      <c r="Y984" s="240" t="str">
        <f t="shared" si="123"/>
        <v>OK</v>
      </c>
      <c r="Z984" s="240" t="str">
        <f t="shared" si="124"/>
        <v>OK</v>
      </c>
      <c r="AA984" s="240" t="str" cm="1">
        <f t="array" ref="AA984">IF(OR(AND(J984="Not accepted",N984:O984&lt;&gt;"",$S984=""),AND(J984="Accepted",S984="")),"ERROR","OK")</f>
        <v>OK</v>
      </c>
      <c r="AB984" s="240" t="str">
        <f t="shared" si="125"/>
        <v>OK</v>
      </c>
      <c r="AC984" s="240" t="str" cm="1">
        <f t="array" ref="AC984">IF(AND(F984:H984&lt;&gt;"",I984=""),"ERROR","OK")</f>
        <v>OK</v>
      </c>
      <c r="AD984" s="240" t="str">
        <f t="shared" si="126"/>
        <v>OK</v>
      </c>
      <c r="AE984" s="240" t="str">
        <f t="shared" si="127"/>
        <v>OK</v>
      </c>
      <c r="AF984" s="240" t="str" cm="1">
        <f t="array" aca="1" ref="AF984" ca="1" xml:space="preserve">
IF(AND($G984&lt;&gt;"",$F984=""),"ERROR",
IF(OR($F984:$G984="",AND($G984="",$F984&lt;&gt;"")),"OK",
IF(COUNTIF(INDIRECT(IFERROR(LEFT($F984,FIND(" ",$F984)-1),$F984)), $G984)&gt;0, "OK", "ERROR")))</f>
        <v>OK</v>
      </c>
    </row>
    <row r="985" spans="1:32" s="240" customFormat="1">
      <c r="A985" s="48"/>
      <c r="B985" s="31"/>
      <c r="C985" s="48"/>
      <c r="D985" s="47"/>
      <c r="E985" s="47"/>
      <c r="F985" s="31"/>
      <c r="G985" s="31"/>
      <c r="H985" s="31"/>
      <c r="I985" s="47"/>
      <c r="J985" s="31"/>
      <c r="K985" s="47"/>
      <c r="L985" s="47"/>
      <c r="M985" s="47"/>
      <c r="N985" s="31"/>
      <c r="O985" s="47"/>
      <c r="P985" s="31"/>
      <c r="Q985" s="31"/>
      <c r="R985" s="31"/>
      <c r="S985" s="31"/>
      <c r="T985" s="270">
        <f t="shared" si="120"/>
        <v>0</v>
      </c>
      <c r="U985" s="270">
        <f t="shared" si="121"/>
        <v>0</v>
      </c>
      <c r="V985" s="31"/>
      <c r="X985" s="240" t="str">
        <f t="shared" si="122"/>
        <v>OK</v>
      </c>
      <c r="Y985" s="240" t="str">
        <f t="shared" si="123"/>
        <v>OK</v>
      </c>
      <c r="Z985" s="240" t="str">
        <f t="shared" si="124"/>
        <v>OK</v>
      </c>
      <c r="AA985" s="240" t="str" cm="1">
        <f t="array" ref="AA985">IF(OR(AND(J985="Not accepted",N985:O985&lt;&gt;"",$S985=""),AND(J985="Accepted",S985="")),"ERROR","OK")</f>
        <v>OK</v>
      </c>
      <c r="AB985" s="240" t="str">
        <f t="shared" si="125"/>
        <v>OK</v>
      </c>
      <c r="AC985" s="240" t="str" cm="1">
        <f t="array" ref="AC985">IF(AND(F985:H985&lt;&gt;"",I985=""),"ERROR","OK")</f>
        <v>OK</v>
      </c>
      <c r="AD985" s="240" t="str">
        <f t="shared" si="126"/>
        <v>OK</v>
      </c>
      <c r="AE985" s="240" t="str">
        <f t="shared" si="127"/>
        <v>OK</v>
      </c>
      <c r="AF985" s="240" t="str" cm="1">
        <f t="array" aca="1" ref="AF985" ca="1" xml:space="preserve">
IF(AND($G985&lt;&gt;"",$F985=""),"ERROR",
IF(OR($F985:$G985="",AND($G985="",$F985&lt;&gt;"")),"OK",
IF(COUNTIF(INDIRECT(IFERROR(LEFT($F985,FIND(" ",$F985)-1),$F985)), $G985)&gt;0, "OK", "ERROR")))</f>
        <v>OK</v>
      </c>
    </row>
    <row r="986" spans="1:32" s="240" customFormat="1">
      <c r="A986" s="48"/>
      <c r="B986" s="31"/>
      <c r="C986" s="48"/>
      <c r="D986" s="47"/>
      <c r="E986" s="47"/>
      <c r="F986" s="31"/>
      <c r="G986" s="31"/>
      <c r="H986" s="31"/>
      <c r="I986" s="47"/>
      <c r="J986" s="31"/>
      <c r="K986" s="47"/>
      <c r="L986" s="47"/>
      <c r="M986" s="47"/>
      <c r="N986" s="31"/>
      <c r="O986" s="47"/>
      <c r="P986" s="31"/>
      <c r="Q986" s="31"/>
      <c r="R986" s="31"/>
      <c r="S986" s="31"/>
      <c r="T986" s="270">
        <f t="shared" si="120"/>
        <v>0</v>
      </c>
      <c r="U986" s="270">
        <f t="shared" si="121"/>
        <v>0</v>
      </c>
      <c r="V986" s="31"/>
      <c r="X986" s="240" t="str">
        <f t="shared" si="122"/>
        <v>OK</v>
      </c>
      <c r="Y986" s="240" t="str">
        <f t="shared" si="123"/>
        <v>OK</v>
      </c>
      <c r="Z986" s="240" t="str">
        <f t="shared" si="124"/>
        <v>OK</v>
      </c>
      <c r="AA986" s="240" t="str" cm="1">
        <f t="array" ref="AA986">IF(OR(AND(J986="Not accepted",N986:O986&lt;&gt;"",$S986=""),AND(J986="Accepted",S986="")),"ERROR","OK")</f>
        <v>OK</v>
      </c>
      <c r="AB986" s="240" t="str">
        <f t="shared" si="125"/>
        <v>OK</v>
      </c>
      <c r="AC986" s="240" t="str" cm="1">
        <f t="array" ref="AC986">IF(AND(F986:H986&lt;&gt;"",I986=""),"ERROR","OK")</f>
        <v>OK</v>
      </c>
      <c r="AD986" s="240" t="str">
        <f t="shared" si="126"/>
        <v>OK</v>
      </c>
      <c r="AE986" s="240" t="str">
        <f t="shared" si="127"/>
        <v>OK</v>
      </c>
      <c r="AF986" s="240" t="str" cm="1">
        <f t="array" aca="1" ref="AF986" ca="1" xml:space="preserve">
IF(AND($G986&lt;&gt;"",$F986=""),"ERROR",
IF(OR($F986:$G986="",AND($G986="",$F986&lt;&gt;"")),"OK",
IF(COUNTIF(INDIRECT(IFERROR(LEFT($F986,FIND(" ",$F986)-1),$F986)), $G986)&gt;0, "OK", "ERROR")))</f>
        <v>OK</v>
      </c>
    </row>
    <row r="987" spans="1:32" s="240" customFormat="1">
      <c r="A987" s="48"/>
      <c r="B987" s="31"/>
      <c r="C987" s="48"/>
      <c r="D987" s="47"/>
      <c r="E987" s="47"/>
      <c r="F987" s="31"/>
      <c r="G987" s="31"/>
      <c r="H987" s="31"/>
      <c r="I987" s="47"/>
      <c r="J987" s="31"/>
      <c r="K987" s="47"/>
      <c r="L987" s="47"/>
      <c r="M987" s="47"/>
      <c r="N987" s="31"/>
      <c r="O987" s="47"/>
      <c r="P987" s="31"/>
      <c r="Q987" s="31"/>
      <c r="R987" s="31"/>
      <c r="S987" s="31"/>
      <c r="T987" s="270">
        <f t="shared" si="120"/>
        <v>0</v>
      </c>
      <c r="U987" s="270">
        <f t="shared" si="121"/>
        <v>0</v>
      </c>
      <c r="V987" s="31"/>
      <c r="X987" s="240" t="str">
        <f t="shared" si="122"/>
        <v>OK</v>
      </c>
      <c r="Y987" s="240" t="str">
        <f t="shared" si="123"/>
        <v>OK</v>
      </c>
      <c r="Z987" s="240" t="str">
        <f t="shared" si="124"/>
        <v>OK</v>
      </c>
      <c r="AA987" s="240" t="str" cm="1">
        <f t="array" ref="AA987">IF(OR(AND(J987="Not accepted",N987:O987&lt;&gt;"",$S987=""),AND(J987="Accepted",S987="")),"ERROR","OK")</f>
        <v>OK</v>
      </c>
      <c r="AB987" s="240" t="str">
        <f t="shared" si="125"/>
        <v>OK</v>
      </c>
      <c r="AC987" s="240" t="str" cm="1">
        <f t="array" ref="AC987">IF(AND(F987:H987&lt;&gt;"",I987=""),"ERROR","OK")</f>
        <v>OK</v>
      </c>
      <c r="AD987" s="240" t="str">
        <f t="shared" si="126"/>
        <v>OK</v>
      </c>
      <c r="AE987" s="240" t="str">
        <f t="shared" si="127"/>
        <v>OK</v>
      </c>
      <c r="AF987" s="240" t="str" cm="1">
        <f t="array" aca="1" ref="AF987" ca="1" xml:space="preserve">
IF(AND($G987&lt;&gt;"",$F987=""),"ERROR",
IF(OR($F987:$G987="",AND($G987="",$F987&lt;&gt;"")),"OK",
IF(COUNTIF(INDIRECT(IFERROR(LEFT($F987,FIND(" ",$F987)-1),$F987)), $G987)&gt;0, "OK", "ERROR")))</f>
        <v>OK</v>
      </c>
    </row>
    <row r="988" spans="1:32" s="240" customFormat="1">
      <c r="A988" s="48"/>
      <c r="B988" s="31"/>
      <c r="C988" s="48"/>
      <c r="D988" s="47"/>
      <c r="E988" s="47"/>
      <c r="F988" s="31"/>
      <c r="G988" s="31"/>
      <c r="H988" s="31"/>
      <c r="I988" s="47"/>
      <c r="J988" s="31"/>
      <c r="K988" s="47"/>
      <c r="L988" s="47"/>
      <c r="M988" s="47"/>
      <c r="N988" s="31"/>
      <c r="O988" s="47"/>
      <c r="P988" s="31"/>
      <c r="Q988" s="31"/>
      <c r="R988" s="31"/>
      <c r="S988" s="31"/>
      <c r="T988" s="270">
        <f t="shared" si="120"/>
        <v>0</v>
      </c>
      <c r="U988" s="270">
        <f t="shared" si="121"/>
        <v>0</v>
      </c>
      <c r="V988" s="31"/>
      <c r="X988" s="240" t="str">
        <f t="shared" si="122"/>
        <v>OK</v>
      </c>
      <c r="Y988" s="240" t="str">
        <f t="shared" si="123"/>
        <v>OK</v>
      </c>
      <c r="Z988" s="240" t="str">
        <f t="shared" si="124"/>
        <v>OK</v>
      </c>
      <c r="AA988" s="240" t="str" cm="1">
        <f t="array" ref="AA988">IF(OR(AND(J988="Not accepted",N988:O988&lt;&gt;"",$S988=""),AND(J988="Accepted",S988="")),"ERROR","OK")</f>
        <v>OK</v>
      </c>
      <c r="AB988" s="240" t="str">
        <f t="shared" si="125"/>
        <v>OK</v>
      </c>
      <c r="AC988" s="240" t="str" cm="1">
        <f t="array" ref="AC988">IF(AND(F988:H988&lt;&gt;"",I988=""),"ERROR","OK")</f>
        <v>OK</v>
      </c>
      <c r="AD988" s="240" t="str">
        <f t="shared" si="126"/>
        <v>OK</v>
      </c>
      <c r="AE988" s="240" t="str">
        <f t="shared" si="127"/>
        <v>OK</v>
      </c>
      <c r="AF988" s="240" t="str" cm="1">
        <f t="array" aca="1" ref="AF988" ca="1" xml:space="preserve">
IF(AND($G988&lt;&gt;"",$F988=""),"ERROR",
IF(OR($F988:$G988="",AND($G988="",$F988&lt;&gt;"")),"OK",
IF(COUNTIF(INDIRECT(IFERROR(LEFT($F988,FIND(" ",$F988)-1),$F988)), $G988)&gt;0, "OK", "ERROR")))</f>
        <v>OK</v>
      </c>
    </row>
    <row r="989" spans="1:32" s="240" customFormat="1">
      <c r="A989" s="48"/>
      <c r="B989" s="31"/>
      <c r="C989" s="48"/>
      <c r="D989" s="47"/>
      <c r="E989" s="47"/>
      <c r="F989" s="31"/>
      <c r="G989" s="31"/>
      <c r="H989" s="31"/>
      <c r="I989" s="47"/>
      <c r="J989" s="31"/>
      <c r="K989" s="47"/>
      <c r="L989" s="47"/>
      <c r="M989" s="47"/>
      <c r="N989" s="31"/>
      <c r="O989" s="47"/>
      <c r="P989" s="31"/>
      <c r="Q989" s="31"/>
      <c r="R989" s="31"/>
      <c r="S989" s="31"/>
      <c r="T989" s="270">
        <f t="shared" si="120"/>
        <v>0</v>
      </c>
      <c r="U989" s="270">
        <f t="shared" si="121"/>
        <v>0</v>
      </c>
      <c r="V989" s="31"/>
      <c r="X989" s="240" t="str">
        <f t="shared" si="122"/>
        <v>OK</v>
      </c>
      <c r="Y989" s="240" t="str">
        <f t="shared" si="123"/>
        <v>OK</v>
      </c>
      <c r="Z989" s="240" t="str">
        <f t="shared" si="124"/>
        <v>OK</v>
      </c>
      <c r="AA989" s="240" t="str" cm="1">
        <f t="array" ref="AA989">IF(OR(AND(J989="Not accepted",N989:O989&lt;&gt;"",$S989=""),AND(J989="Accepted",S989="")),"ERROR","OK")</f>
        <v>OK</v>
      </c>
      <c r="AB989" s="240" t="str">
        <f t="shared" si="125"/>
        <v>OK</v>
      </c>
      <c r="AC989" s="240" t="str" cm="1">
        <f t="array" ref="AC989">IF(AND(F989:H989&lt;&gt;"",I989=""),"ERROR","OK")</f>
        <v>OK</v>
      </c>
      <c r="AD989" s="240" t="str">
        <f t="shared" si="126"/>
        <v>OK</v>
      </c>
      <c r="AE989" s="240" t="str">
        <f t="shared" si="127"/>
        <v>OK</v>
      </c>
      <c r="AF989" s="240" t="str" cm="1">
        <f t="array" aca="1" ref="AF989" ca="1" xml:space="preserve">
IF(AND($G989&lt;&gt;"",$F989=""),"ERROR",
IF(OR($F989:$G989="",AND($G989="",$F989&lt;&gt;"")),"OK",
IF(COUNTIF(INDIRECT(IFERROR(LEFT($F989,FIND(" ",$F989)-1),$F989)), $G989)&gt;0, "OK", "ERROR")))</f>
        <v>OK</v>
      </c>
    </row>
    <row r="990" spans="1:32" s="240" customFormat="1">
      <c r="A990" s="48"/>
      <c r="B990" s="31"/>
      <c r="C990" s="48"/>
      <c r="D990" s="47"/>
      <c r="E990" s="47"/>
      <c r="F990" s="31"/>
      <c r="G990" s="31"/>
      <c r="H990" s="31"/>
      <c r="I990" s="47"/>
      <c r="J990" s="31"/>
      <c r="K990" s="47"/>
      <c r="L990" s="47"/>
      <c r="M990" s="47"/>
      <c r="N990" s="31"/>
      <c r="O990" s="47"/>
      <c r="P990" s="31"/>
      <c r="Q990" s="31"/>
      <c r="R990" s="31"/>
      <c r="S990" s="31"/>
      <c r="T990" s="270">
        <f t="shared" si="120"/>
        <v>0</v>
      </c>
      <c r="U990" s="270">
        <f t="shared" si="121"/>
        <v>0</v>
      </c>
      <c r="V990" s="31"/>
      <c r="X990" s="240" t="str">
        <f t="shared" si="122"/>
        <v>OK</v>
      </c>
      <c r="Y990" s="240" t="str">
        <f t="shared" si="123"/>
        <v>OK</v>
      </c>
      <c r="Z990" s="240" t="str">
        <f t="shared" si="124"/>
        <v>OK</v>
      </c>
      <c r="AA990" s="240" t="str" cm="1">
        <f t="array" ref="AA990">IF(OR(AND(J990="Not accepted",N990:O990&lt;&gt;"",$S990=""),AND(J990="Accepted",S990="")),"ERROR","OK")</f>
        <v>OK</v>
      </c>
      <c r="AB990" s="240" t="str">
        <f t="shared" si="125"/>
        <v>OK</v>
      </c>
      <c r="AC990" s="240" t="str" cm="1">
        <f t="array" ref="AC990">IF(AND(F990:H990&lt;&gt;"",I990=""),"ERROR","OK")</f>
        <v>OK</v>
      </c>
      <c r="AD990" s="240" t="str">
        <f t="shared" si="126"/>
        <v>OK</v>
      </c>
      <c r="AE990" s="240" t="str">
        <f t="shared" si="127"/>
        <v>OK</v>
      </c>
      <c r="AF990" s="240" t="str" cm="1">
        <f t="array" aca="1" ref="AF990" ca="1" xml:space="preserve">
IF(AND($G990&lt;&gt;"",$F990=""),"ERROR",
IF(OR($F990:$G990="",AND($G990="",$F990&lt;&gt;"")),"OK",
IF(COUNTIF(INDIRECT(IFERROR(LEFT($F990,FIND(" ",$F990)-1),$F990)), $G990)&gt;0, "OK", "ERROR")))</f>
        <v>OK</v>
      </c>
    </row>
    <row r="991" spans="1:32" s="240" customFormat="1">
      <c r="A991" s="48"/>
      <c r="B991" s="31"/>
      <c r="C991" s="48"/>
      <c r="D991" s="47"/>
      <c r="E991" s="47"/>
      <c r="F991" s="31"/>
      <c r="G991" s="31"/>
      <c r="H991" s="31"/>
      <c r="I991" s="47"/>
      <c r="J991" s="31"/>
      <c r="K991" s="47"/>
      <c r="L991" s="47"/>
      <c r="M991" s="47"/>
      <c r="N991" s="31"/>
      <c r="O991" s="47"/>
      <c r="P991" s="31"/>
      <c r="Q991" s="31"/>
      <c r="R991" s="31"/>
      <c r="S991" s="31"/>
      <c r="T991" s="270">
        <f t="shared" si="120"/>
        <v>0</v>
      </c>
      <c r="U991" s="270">
        <f t="shared" si="121"/>
        <v>0</v>
      </c>
      <c r="V991" s="31"/>
      <c r="X991" s="240" t="str">
        <f t="shared" si="122"/>
        <v>OK</v>
      </c>
      <c r="Y991" s="240" t="str">
        <f t="shared" si="123"/>
        <v>OK</v>
      </c>
      <c r="Z991" s="240" t="str">
        <f t="shared" si="124"/>
        <v>OK</v>
      </c>
      <c r="AA991" s="240" t="str" cm="1">
        <f t="array" ref="AA991">IF(OR(AND(J991="Not accepted",N991:O991&lt;&gt;"",$S991=""),AND(J991="Accepted",S991="")),"ERROR","OK")</f>
        <v>OK</v>
      </c>
      <c r="AB991" s="240" t="str">
        <f t="shared" si="125"/>
        <v>OK</v>
      </c>
      <c r="AC991" s="240" t="str" cm="1">
        <f t="array" ref="AC991">IF(AND(F991:H991&lt;&gt;"",I991=""),"ERROR","OK")</f>
        <v>OK</v>
      </c>
      <c r="AD991" s="240" t="str">
        <f t="shared" si="126"/>
        <v>OK</v>
      </c>
      <c r="AE991" s="240" t="str">
        <f t="shared" si="127"/>
        <v>OK</v>
      </c>
      <c r="AF991" s="240" t="str" cm="1">
        <f t="array" aca="1" ref="AF991" ca="1" xml:space="preserve">
IF(AND($G991&lt;&gt;"",$F991=""),"ERROR",
IF(OR($F991:$G991="",AND($G991="",$F991&lt;&gt;"")),"OK",
IF(COUNTIF(INDIRECT(IFERROR(LEFT($F991,FIND(" ",$F991)-1),$F991)), $G991)&gt;0, "OK", "ERROR")))</f>
        <v>OK</v>
      </c>
    </row>
    <row r="992" spans="1:32" s="240" customFormat="1">
      <c r="A992" s="48"/>
      <c r="B992" s="31"/>
      <c r="C992" s="48"/>
      <c r="D992" s="47"/>
      <c r="E992" s="47"/>
      <c r="F992" s="31"/>
      <c r="G992" s="31"/>
      <c r="H992" s="31"/>
      <c r="I992" s="47"/>
      <c r="J992" s="31"/>
      <c r="K992" s="47"/>
      <c r="L992" s="47"/>
      <c r="M992" s="47"/>
      <c r="N992" s="31"/>
      <c r="O992" s="47"/>
      <c r="P992" s="31"/>
      <c r="Q992" s="31"/>
      <c r="R992" s="31"/>
      <c r="S992" s="31"/>
      <c r="T992" s="270">
        <f t="shared" si="120"/>
        <v>0</v>
      </c>
      <c r="U992" s="270">
        <f t="shared" si="121"/>
        <v>0</v>
      </c>
      <c r="V992" s="31"/>
      <c r="X992" s="240" t="str">
        <f t="shared" si="122"/>
        <v>OK</v>
      </c>
      <c r="Y992" s="240" t="str">
        <f t="shared" si="123"/>
        <v>OK</v>
      </c>
      <c r="Z992" s="240" t="str">
        <f t="shared" si="124"/>
        <v>OK</v>
      </c>
      <c r="AA992" s="240" t="str" cm="1">
        <f t="array" ref="AA992">IF(OR(AND(J992="Not accepted",N992:O992&lt;&gt;"",$S992=""),AND(J992="Accepted",S992="")),"ERROR","OK")</f>
        <v>OK</v>
      </c>
      <c r="AB992" s="240" t="str">
        <f t="shared" si="125"/>
        <v>OK</v>
      </c>
      <c r="AC992" s="240" t="str" cm="1">
        <f t="array" ref="AC992">IF(AND(F992:H992&lt;&gt;"",I992=""),"ERROR","OK")</f>
        <v>OK</v>
      </c>
      <c r="AD992" s="240" t="str">
        <f t="shared" si="126"/>
        <v>OK</v>
      </c>
      <c r="AE992" s="240" t="str">
        <f t="shared" si="127"/>
        <v>OK</v>
      </c>
      <c r="AF992" s="240" t="str" cm="1">
        <f t="array" aca="1" ref="AF992" ca="1" xml:space="preserve">
IF(AND($G992&lt;&gt;"",$F992=""),"ERROR",
IF(OR($F992:$G992="",AND($G992="",$F992&lt;&gt;"")),"OK",
IF(COUNTIF(INDIRECT(IFERROR(LEFT($F992,FIND(" ",$F992)-1),$F992)), $G992)&gt;0, "OK", "ERROR")))</f>
        <v>OK</v>
      </c>
    </row>
    <row r="993" spans="1:32" s="240" customFormat="1">
      <c r="A993" s="48"/>
      <c r="B993" s="31"/>
      <c r="C993" s="48"/>
      <c r="D993" s="47"/>
      <c r="E993" s="47"/>
      <c r="F993" s="31"/>
      <c r="G993" s="31"/>
      <c r="H993" s="31"/>
      <c r="I993" s="47"/>
      <c r="J993" s="31"/>
      <c r="K993" s="47"/>
      <c r="L993" s="47"/>
      <c r="M993" s="47"/>
      <c r="N993" s="31"/>
      <c r="O993" s="47"/>
      <c r="P993" s="31"/>
      <c r="Q993" s="31"/>
      <c r="R993" s="31"/>
      <c r="S993" s="31"/>
      <c r="T993" s="270">
        <f t="shared" si="120"/>
        <v>0</v>
      </c>
      <c r="U993" s="270">
        <f t="shared" si="121"/>
        <v>0</v>
      </c>
      <c r="V993" s="31"/>
      <c r="X993" s="240" t="str">
        <f t="shared" si="122"/>
        <v>OK</v>
      </c>
      <c r="Y993" s="240" t="str">
        <f t="shared" si="123"/>
        <v>OK</v>
      </c>
      <c r="Z993" s="240" t="str">
        <f t="shared" si="124"/>
        <v>OK</v>
      </c>
      <c r="AA993" s="240" t="str" cm="1">
        <f t="array" ref="AA993">IF(OR(AND(J993="Not accepted",N993:O993&lt;&gt;"",$S993=""),AND(J993="Accepted",S993="")),"ERROR","OK")</f>
        <v>OK</v>
      </c>
      <c r="AB993" s="240" t="str">
        <f t="shared" si="125"/>
        <v>OK</v>
      </c>
      <c r="AC993" s="240" t="str" cm="1">
        <f t="array" ref="AC993">IF(AND(F993:H993&lt;&gt;"",I993=""),"ERROR","OK")</f>
        <v>OK</v>
      </c>
      <c r="AD993" s="240" t="str">
        <f t="shared" si="126"/>
        <v>OK</v>
      </c>
      <c r="AE993" s="240" t="str">
        <f t="shared" si="127"/>
        <v>OK</v>
      </c>
      <c r="AF993" s="240" t="str" cm="1">
        <f t="array" aca="1" ref="AF993" ca="1" xml:space="preserve">
IF(AND($G993&lt;&gt;"",$F993=""),"ERROR",
IF(OR($F993:$G993="",AND($G993="",$F993&lt;&gt;"")),"OK",
IF(COUNTIF(INDIRECT(IFERROR(LEFT($F993,FIND(" ",$F993)-1),$F993)), $G993)&gt;0, "OK", "ERROR")))</f>
        <v>OK</v>
      </c>
    </row>
    <row r="994" spans="1:32" s="240" customFormat="1">
      <c r="A994" s="48"/>
      <c r="B994" s="31"/>
      <c r="C994" s="48"/>
      <c r="D994" s="47"/>
      <c r="E994" s="47"/>
      <c r="F994" s="31"/>
      <c r="G994" s="31"/>
      <c r="H994" s="31"/>
      <c r="I994" s="47"/>
      <c r="J994" s="31"/>
      <c r="K994" s="47"/>
      <c r="L994" s="47"/>
      <c r="M994" s="47"/>
      <c r="N994" s="31"/>
      <c r="O994" s="47"/>
      <c r="P994" s="31"/>
      <c r="Q994" s="31"/>
      <c r="R994" s="31"/>
      <c r="S994" s="31"/>
      <c r="T994" s="270">
        <f t="shared" si="120"/>
        <v>0</v>
      </c>
      <c r="U994" s="270">
        <f t="shared" si="121"/>
        <v>0</v>
      </c>
      <c r="V994" s="31"/>
      <c r="X994" s="240" t="str">
        <f t="shared" si="122"/>
        <v>OK</v>
      </c>
      <c r="Y994" s="240" t="str">
        <f t="shared" si="123"/>
        <v>OK</v>
      </c>
      <c r="Z994" s="240" t="str">
        <f t="shared" si="124"/>
        <v>OK</v>
      </c>
      <c r="AA994" s="240" t="str" cm="1">
        <f t="array" ref="AA994">IF(OR(AND(J994="Not accepted",N994:O994&lt;&gt;"",$S994=""),AND(J994="Accepted",S994="")),"ERROR","OK")</f>
        <v>OK</v>
      </c>
      <c r="AB994" s="240" t="str">
        <f t="shared" si="125"/>
        <v>OK</v>
      </c>
      <c r="AC994" s="240" t="str" cm="1">
        <f t="array" ref="AC994">IF(AND(F994:H994&lt;&gt;"",I994=""),"ERROR","OK")</f>
        <v>OK</v>
      </c>
      <c r="AD994" s="240" t="str">
        <f t="shared" si="126"/>
        <v>OK</v>
      </c>
      <c r="AE994" s="240" t="str">
        <f t="shared" si="127"/>
        <v>OK</v>
      </c>
      <c r="AF994" s="240" t="str" cm="1">
        <f t="array" aca="1" ref="AF994" ca="1" xml:space="preserve">
IF(AND($G994&lt;&gt;"",$F994=""),"ERROR",
IF(OR($F994:$G994="",AND($G994="",$F994&lt;&gt;"")),"OK",
IF(COUNTIF(INDIRECT(IFERROR(LEFT($F994,FIND(" ",$F994)-1),$F994)), $G994)&gt;0, "OK", "ERROR")))</f>
        <v>OK</v>
      </c>
    </row>
    <row r="995" spans="1:32" s="240" customFormat="1">
      <c r="A995" s="48"/>
      <c r="B995" s="31"/>
      <c r="C995" s="48"/>
      <c r="D995" s="47"/>
      <c r="E995" s="47"/>
      <c r="F995" s="31"/>
      <c r="G995" s="31"/>
      <c r="H995" s="31"/>
      <c r="I995" s="47"/>
      <c r="J995" s="31"/>
      <c r="K995" s="47"/>
      <c r="L995" s="47"/>
      <c r="M995" s="47"/>
      <c r="N995" s="31"/>
      <c r="O995" s="47"/>
      <c r="P995" s="31"/>
      <c r="Q995" s="31"/>
      <c r="R995" s="31"/>
      <c r="S995" s="31"/>
      <c r="T995" s="270">
        <f t="shared" si="120"/>
        <v>0</v>
      </c>
      <c r="U995" s="270">
        <f t="shared" si="121"/>
        <v>0</v>
      </c>
      <c r="V995" s="31"/>
      <c r="X995" s="240" t="str">
        <f t="shared" si="122"/>
        <v>OK</v>
      </c>
      <c r="Y995" s="240" t="str">
        <f t="shared" si="123"/>
        <v>OK</v>
      </c>
      <c r="Z995" s="240" t="str">
        <f t="shared" si="124"/>
        <v>OK</v>
      </c>
      <c r="AA995" s="240" t="str" cm="1">
        <f t="array" ref="AA995">IF(OR(AND(J995="Not accepted",N995:O995&lt;&gt;"",$S995=""),AND(J995="Accepted",S995="")),"ERROR","OK")</f>
        <v>OK</v>
      </c>
      <c r="AB995" s="240" t="str">
        <f t="shared" si="125"/>
        <v>OK</v>
      </c>
      <c r="AC995" s="240" t="str" cm="1">
        <f t="array" ref="AC995">IF(AND(F995:H995&lt;&gt;"",I995=""),"ERROR","OK")</f>
        <v>OK</v>
      </c>
      <c r="AD995" s="240" t="str">
        <f t="shared" si="126"/>
        <v>OK</v>
      </c>
      <c r="AE995" s="240" t="str">
        <f t="shared" si="127"/>
        <v>OK</v>
      </c>
      <c r="AF995" s="240" t="str" cm="1">
        <f t="array" aca="1" ref="AF995" ca="1" xml:space="preserve">
IF(AND($G995&lt;&gt;"",$F995=""),"ERROR",
IF(OR($F995:$G995="",AND($G995="",$F995&lt;&gt;"")),"OK",
IF(COUNTIF(INDIRECT(IFERROR(LEFT($F995,FIND(" ",$F995)-1),$F995)), $G995)&gt;0, "OK", "ERROR")))</f>
        <v>OK</v>
      </c>
    </row>
    <row r="996" spans="1:32" s="240" customFormat="1">
      <c r="A996" s="48"/>
      <c r="B996" s="31"/>
      <c r="C996" s="48"/>
      <c r="D996" s="47"/>
      <c r="E996" s="47"/>
      <c r="F996" s="31"/>
      <c r="G996" s="31"/>
      <c r="H996" s="31"/>
      <c r="I996" s="47"/>
      <c r="J996" s="31"/>
      <c r="K996" s="47"/>
      <c r="L996" s="47"/>
      <c r="M996" s="47"/>
      <c r="N996" s="31"/>
      <c r="O996" s="47"/>
      <c r="P996" s="31"/>
      <c r="Q996" s="31"/>
      <c r="R996" s="31"/>
      <c r="S996" s="31"/>
      <c r="T996" s="270">
        <f t="shared" si="120"/>
        <v>0</v>
      </c>
      <c r="U996" s="270">
        <f t="shared" si="121"/>
        <v>0</v>
      </c>
      <c r="V996" s="31"/>
      <c r="X996" s="240" t="str">
        <f t="shared" si="122"/>
        <v>OK</v>
      </c>
      <c r="Y996" s="240" t="str">
        <f t="shared" si="123"/>
        <v>OK</v>
      </c>
      <c r="Z996" s="240" t="str">
        <f t="shared" si="124"/>
        <v>OK</v>
      </c>
      <c r="AA996" s="240" t="str" cm="1">
        <f t="array" ref="AA996">IF(OR(AND(J996="Not accepted",N996:O996&lt;&gt;"",$S996=""),AND(J996="Accepted",S996="")),"ERROR","OK")</f>
        <v>OK</v>
      </c>
      <c r="AB996" s="240" t="str">
        <f t="shared" si="125"/>
        <v>OK</v>
      </c>
      <c r="AC996" s="240" t="str" cm="1">
        <f t="array" ref="AC996">IF(AND(F996:H996&lt;&gt;"",I996=""),"ERROR","OK")</f>
        <v>OK</v>
      </c>
      <c r="AD996" s="240" t="str">
        <f t="shared" si="126"/>
        <v>OK</v>
      </c>
      <c r="AE996" s="240" t="str">
        <f t="shared" si="127"/>
        <v>OK</v>
      </c>
      <c r="AF996" s="240" t="str" cm="1">
        <f t="array" aca="1" ref="AF996" ca="1" xml:space="preserve">
IF(AND($G996&lt;&gt;"",$F996=""),"ERROR",
IF(OR($F996:$G996="",AND($G996="",$F996&lt;&gt;"")),"OK",
IF(COUNTIF(INDIRECT(IFERROR(LEFT($F996,FIND(" ",$F996)-1),$F996)), $G996)&gt;0, "OK", "ERROR")))</f>
        <v>OK</v>
      </c>
    </row>
    <row r="997" spans="1:32" s="240" customFormat="1">
      <c r="A997" s="48"/>
      <c r="B997" s="31"/>
      <c r="C997" s="48"/>
      <c r="D997" s="47"/>
      <c r="E997" s="47"/>
      <c r="F997" s="31"/>
      <c r="G997" s="31"/>
      <c r="H997" s="31"/>
      <c r="I997" s="47"/>
      <c r="J997" s="31"/>
      <c r="K997" s="47"/>
      <c r="L997" s="47"/>
      <c r="M997" s="47"/>
      <c r="N997" s="31"/>
      <c r="O997" s="47"/>
      <c r="P997" s="31"/>
      <c r="Q997" s="31"/>
      <c r="R997" s="31"/>
      <c r="S997" s="31"/>
      <c r="T997" s="270">
        <f t="shared" si="120"/>
        <v>0</v>
      </c>
      <c r="U997" s="270">
        <f t="shared" si="121"/>
        <v>0</v>
      </c>
      <c r="V997" s="31"/>
      <c r="X997" s="240" t="str">
        <f t="shared" si="122"/>
        <v>OK</v>
      </c>
      <c r="Y997" s="240" t="str">
        <f t="shared" si="123"/>
        <v>OK</v>
      </c>
      <c r="Z997" s="240" t="str">
        <f t="shared" si="124"/>
        <v>OK</v>
      </c>
      <c r="AA997" s="240" t="str" cm="1">
        <f t="array" ref="AA997">IF(OR(AND(J997="Not accepted",N997:O997&lt;&gt;"",$S997=""),AND(J997="Accepted",S997="")),"ERROR","OK")</f>
        <v>OK</v>
      </c>
      <c r="AB997" s="240" t="str">
        <f t="shared" si="125"/>
        <v>OK</v>
      </c>
      <c r="AC997" s="240" t="str" cm="1">
        <f t="array" ref="AC997">IF(AND(F997:H997&lt;&gt;"",I997=""),"ERROR","OK")</f>
        <v>OK</v>
      </c>
      <c r="AD997" s="240" t="str">
        <f t="shared" si="126"/>
        <v>OK</v>
      </c>
      <c r="AE997" s="240" t="str">
        <f t="shared" si="127"/>
        <v>OK</v>
      </c>
      <c r="AF997" s="240" t="str" cm="1">
        <f t="array" aca="1" ref="AF997" ca="1" xml:space="preserve">
IF(AND($G997&lt;&gt;"",$F997=""),"ERROR",
IF(OR($F997:$G997="",AND($G997="",$F997&lt;&gt;"")),"OK",
IF(COUNTIF(INDIRECT(IFERROR(LEFT($F997,FIND(" ",$F997)-1),$F997)), $G997)&gt;0, "OK", "ERROR")))</f>
        <v>OK</v>
      </c>
    </row>
    <row r="998" spans="1:32" s="240" customFormat="1">
      <c r="A998" s="48"/>
      <c r="B998" s="31"/>
      <c r="C998" s="48"/>
      <c r="D998" s="47"/>
      <c r="E998" s="47"/>
      <c r="F998" s="31"/>
      <c r="G998" s="31"/>
      <c r="H998" s="31"/>
      <c r="I998" s="47"/>
      <c r="J998" s="31"/>
      <c r="K998" s="47"/>
      <c r="L998" s="47"/>
      <c r="M998" s="47"/>
      <c r="N998" s="31"/>
      <c r="O998" s="47"/>
      <c r="P998" s="31"/>
      <c r="Q998" s="31"/>
      <c r="R998" s="31"/>
      <c r="S998" s="31"/>
      <c r="T998" s="270">
        <f t="shared" si="120"/>
        <v>0</v>
      </c>
      <c r="U998" s="270">
        <f t="shared" si="121"/>
        <v>0</v>
      </c>
      <c r="V998" s="31"/>
      <c r="X998" s="240" t="str">
        <f t="shared" si="122"/>
        <v>OK</v>
      </c>
      <c r="Y998" s="240" t="str">
        <f t="shared" si="123"/>
        <v>OK</v>
      </c>
      <c r="Z998" s="240" t="str">
        <f t="shared" si="124"/>
        <v>OK</v>
      </c>
      <c r="AA998" s="240" t="str" cm="1">
        <f t="array" ref="AA998">IF(OR(AND(J998="Not accepted",N998:O998&lt;&gt;"",$S998=""),AND(J998="Accepted",S998="")),"ERROR","OK")</f>
        <v>OK</v>
      </c>
      <c r="AB998" s="240" t="str">
        <f t="shared" si="125"/>
        <v>OK</v>
      </c>
      <c r="AC998" s="240" t="str" cm="1">
        <f t="array" ref="AC998">IF(AND(F998:H998&lt;&gt;"",I998=""),"ERROR","OK")</f>
        <v>OK</v>
      </c>
      <c r="AD998" s="240" t="str">
        <f t="shared" si="126"/>
        <v>OK</v>
      </c>
      <c r="AE998" s="240" t="str">
        <f t="shared" si="127"/>
        <v>OK</v>
      </c>
      <c r="AF998" s="240" t="str" cm="1">
        <f t="array" aca="1" ref="AF998" ca="1" xml:space="preserve">
IF(AND($G998&lt;&gt;"",$F998=""),"ERROR",
IF(OR($F998:$G998="",AND($G998="",$F998&lt;&gt;"")),"OK",
IF(COUNTIF(INDIRECT(IFERROR(LEFT($F998,FIND(" ",$F998)-1),$F998)), $G998)&gt;0, "OK", "ERROR")))</f>
        <v>OK</v>
      </c>
    </row>
    <row r="999" spans="1:32" s="240" customFormat="1">
      <c r="A999" s="48"/>
      <c r="B999" s="31"/>
      <c r="C999" s="48"/>
      <c r="D999" s="47"/>
      <c r="E999" s="47"/>
      <c r="F999" s="31"/>
      <c r="G999" s="31"/>
      <c r="H999" s="31"/>
      <c r="I999" s="47"/>
      <c r="J999" s="31"/>
      <c r="K999" s="47"/>
      <c r="L999" s="47"/>
      <c r="M999" s="47"/>
      <c r="N999" s="31"/>
      <c r="O999" s="47"/>
      <c r="P999" s="31"/>
      <c r="Q999" s="31"/>
      <c r="R999" s="31"/>
      <c r="S999" s="31"/>
      <c r="T999" s="270">
        <f t="shared" si="120"/>
        <v>0</v>
      </c>
      <c r="U999" s="270">
        <f t="shared" si="121"/>
        <v>0</v>
      </c>
      <c r="V999" s="31"/>
      <c r="X999" s="240" t="str">
        <f t="shared" si="122"/>
        <v>OK</v>
      </c>
      <c r="Y999" s="240" t="str">
        <f t="shared" si="123"/>
        <v>OK</v>
      </c>
      <c r="Z999" s="240" t="str">
        <f t="shared" si="124"/>
        <v>OK</v>
      </c>
      <c r="AA999" s="240" t="str" cm="1">
        <f t="array" ref="AA999">IF(OR(AND(J999="Not accepted",N999:O999&lt;&gt;"",$S999=""),AND(J999="Accepted",S999="")),"ERROR","OK")</f>
        <v>OK</v>
      </c>
      <c r="AB999" s="240" t="str">
        <f t="shared" si="125"/>
        <v>OK</v>
      </c>
      <c r="AC999" s="240" t="str" cm="1">
        <f t="array" ref="AC999">IF(AND(F999:H999&lt;&gt;"",I999=""),"ERROR","OK")</f>
        <v>OK</v>
      </c>
      <c r="AD999" s="240" t="str">
        <f t="shared" si="126"/>
        <v>OK</v>
      </c>
      <c r="AE999" s="240" t="str">
        <f t="shared" si="127"/>
        <v>OK</v>
      </c>
      <c r="AF999" s="240" t="str" cm="1">
        <f t="array" aca="1" ref="AF999" ca="1" xml:space="preserve">
IF(AND($G999&lt;&gt;"",$F999=""),"ERROR",
IF(OR($F999:$G999="",AND($G999="",$F999&lt;&gt;"")),"OK",
IF(COUNTIF(INDIRECT(IFERROR(LEFT($F999,FIND(" ",$F999)-1),$F999)), $G999)&gt;0, "OK", "ERROR")))</f>
        <v>OK</v>
      </c>
    </row>
    <row r="1000" spans="1:32" s="240" customFormat="1">
      <c r="A1000" s="48"/>
      <c r="B1000" s="31"/>
      <c r="C1000" s="48"/>
      <c r="D1000" s="47"/>
      <c r="E1000" s="47"/>
      <c r="F1000" s="31"/>
      <c r="G1000" s="31"/>
      <c r="H1000" s="31"/>
      <c r="I1000" s="47"/>
      <c r="J1000" s="31"/>
      <c r="K1000" s="47"/>
      <c r="L1000" s="47"/>
      <c r="M1000" s="47"/>
      <c r="N1000" s="31"/>
      <c r="O1000" s="47"/>
      <c r="P1000" s="31"/>
      <c r="Q1000" s="31"/>
      <c r="R1000" s="31"/>
      <c r="S1000" s="31"/>
      <c r="T1000" s="270">
        <f t="shared" si="120"/>
        <v>0</v>
      </c>
      <c r="U1000" s="270">
        <f t="shared" si="121"/>
        <v>0</v>
      </c>
      <c r="V1000" s="31"/>
      <c r="X1000" s="240" t="str">
        <f t="shared" si="122"/>
        <v>OK</v>
      </c>
      <c r="Y1000" s="240" t="str">
        <f t="shared" si="123"/>
        <v>OK</v>
      </c>
      <c r="Z1000" s="240" t="str">
        <f t="shared" si="124"/>
        <v>OK</v>
      </c>
      <c r="AA1000" s="240" t="str" cm="1">
        <f t="array" ref="AA1000">IF(OR(AND(J1000="Not accepted",N1000:O1000&lt;&gt;"",$S1000=""),AND(J1000="Accepted",S1000="")),"ERROR","OK")</f>
        <v>OK</v>
      </c>
      <c r="AB1000" s="240" t="str">
        <f t="shared" si="125"/>
        <v>OK</v>
      </c>
      <c r="AC1000" s="240" t="str" cm="1">
        <f t="array" ref="AC1000">IF(AND(F1000:H1000&lt;&gt;"",I1000=""),"ERROR","OK")</f>
        <v>OK</v>
      </c>
      <c r="AD1000" s="240" t="str">
        <f t="shared" si="126"/>
        <v>OK</v>
      </c>
      <c r="AE1000" s="240" t="str">
        <f t="shared" si="127"/>
        <v>OK</v>
      </c>
      <c r="AF1000" s="240" t="str" cm="1">
        <f t="array" aca="1" ref="AF1000" ca="1" xml:space="preserve">
IF(AND($G1000&lt;&gt;"",$F1000=""),"ERROR",
IF(OR($F1000:$G1000="",AND($G1000="",$F1000&lt;&gt;"")),"OK",
IF(COUNTIF(INDIRECT(IFERROR(LEFT($F1000,FIND(" ",$F1000)-1),$F1000)), $G1000)&gt;0, "OK", "ERROR")))</f>
        <v>OK</v>
      </c>
    </row>
    <row r="1001" spans="1:32" s="240" customFormat="1">
      <c r="A1001" s="48"/>
      <c r="B1001" s="31"/>
      <c r="C1001" s="48"/>
      <c r="D1001" s="47"/>
      <c r="E1001" s="47"/>
      <c r="F1001" s="31"/>
      <c r="G1001" s="31"/>
      <c r="H1001" s="31"/>
      <c r="I1001" s="47"/>
      <c r="J1001" s="31"/>
      <c r="K1001" s="47"/>
      <c r="L1001" s="47"/>
      <c r="M1001" s="47"/>
      <c r="N1001" s="31"/>
      <c r="O1001" s="47"/>
      <c r="P1001" s="31"/>
      <c r="Q1001" s="31"/>
      <c r="R1001" s="31"/>
      <c r="S1001" s="31"/>
      <c r="T1001" s="270">
        <f t="shared" si="120"/>
        <v>0</v>
      </c>
      <c r="U1001" s="270">
        <f t="shared" si="121"/>
        <v>0</v>
      </c>
      <c r="V1001" s="31"/>
      <c r="X1001" s="240" t="str">
        <f t="shared" si="122"/>
        <v>OK</v>
      </c>
      <c r="Y1001" s="240" t="str">
        <f t="shared" si="123"/>
        <v>OK</v>
      </c>
      <c r="Z1001" s="240" t="str">
        <f t="shared" si="124"/>
        <v>OK</v>
      </c>
      <c r="AA1001" s="240" t="str" cm="1">
        <f t="array" ref="AA1001">IF(OR(AND(J1001="Not accepted",N1001:O1001&lt;&gt;"",$S1001=""),AND(J1001="Accepted",S1001="")),"ERROR","OK")</f>
        <v>OK</v>
      </c>
      <c r="AB1001" s="240" t="str">
        <f t="shared" si="125"/>
        <v>OK</v>
      </c>
      <c r="AC1001" s="240" t="str" cm="1">
        <f t="array" ref="AC1001">IF(AND(F1001:H1001&lt;&gt;"",I1001=""),"ERROR","OK")</f>
        <v>OK</v>
      </c>
      <c r="AD1001" s="240" t="str">
        <f t="shared" si="126"/>
        <v>OK</v>
      </c>
      <c r="AE1001" s="240" t="str">
        <f t="shared" si="127"/>
        <v>OK</v>
      </c>
      <c r="AF1001" s="240" t="str" cm="1">
        <f t="array" aca="1" ref="AF1001" ca="1" xml:space="preserve">
IF(AND($G1001&lt;&gt;"",$F1001=""),"ERROR",
IF(OR($F1001:$G1001="",AND($G1001="",$F1001&lt;&gt;"")),"OK",
IF(COUNTIF(INDIRECT(IFERROR(LEFT($F1001,FIND(" ",$F1001)-1),$F1001)), $G1001)&gt;0, "OK", "ERROR")))</f>
        <v>OK</v>
      </c>
    </row>
    <row r="1002" spans="1:32" s="240" customFormat="1">
      <c r="A1002" s="48"/>
      <c r="B1002" s="31"/>
      <c r="C1002" s="48"/>
      <c r="D1002" s="47"/>
      <c r="E1002" s="47"/>
      <c r="F1002" s="31"/>
      <c r="G1002" s="31"/>
      <c r="H1002" s="31"/>
      <c r="I1002" s="47"/>
      <c r="J1002" s="31"/>
      <c r="K1002" s="47"/>
      <c r="L1002" s="47"/>
      <c r="M1002" s="47"/>
      <c r="N1002" s="31"/>
      <c r="O1002" s="47"/>
      <c r="P1002" s="31"/>
      <c r="Q1002" s="31"/>
      <c r="R1002" s="31"/>
      <c r="S1002" s="31"/>
      <c r="T1002" s="270">
        <f t="shared" si="120"/>
        <v>0</v>
      </c>
      <c r="U1002" s="270">
        <f t="shared" si="121"/>
        <v>0</v>
      </c>
      <c r="V1002" s="31"/>
      <c r="X1002" s="240" t="str">
        <f t="shared" si="122"/>
        <v>OK</v>
      </c>
      <c r="Y1002" s="240" t="str">
        <f t="shared" si="123"/>
        <v>OK</v>
      </c>
      <c r="Z1002" s="240" t="str">
        <f t="shared" si="124"/>
        <v>OK</v>
      </c>
      <c r="AA1002" s="240" t="str" cm="1">
        <f t="array" ref="AA1002">IF(OR(AND(J1002="Not accepted",N1002:O1002&lt;&gt;"",$S1002=""),AND(J1002="Accepted",S1002="")),"ERROR","OK")</f>
        <v>OK</v>
      </c>
      <c r="AB1002" s="240" t="str">
        <f t="shared" si="125"/>
        <v>OK</v>
      </c>
      <c r="AC1002" s="240" t="str" cm="1">
        <f t="array" ref="AC1002">IF(AND(F1002:H1002&lt;&gt;"",I1002=""),"ERROR","OK")</f>
        <v>OK</v>
      </c>
      <c r="AD1002" s="240" t="str">
        <f t="shared" si="126"/>
        <v>OK</v>
      </c>
      <c r="AE1002" s="240" t="str">
        <f t="shared" si="127"/>
        <v>OK</v>
      </c>
      <c r="AF1002" s="240" t="str" cm="1">
        <f t="array" aca="1" ref="AF1002" ca="1" xml:space="preserve">
IF(AND($G1002&lt;&gt;"",$F1002=""),"ERROR",
IF(OR($F1002:$G1002="",AND($G1002="",$F1002&lt;&gt;"")),"OK",
IF(COUNTIF(INDIRECT(IFERROR(LEFT($F1002,FIND(" ",$F1002)-1),$F1002)), $G1002)&gt;0, "OK", "ERROR")))</f>
        <v>OK</v>
      </c>
    </row>
    <row r="1003" spans="1:32" s="240" customFormat="1">
      <c r="A1003" s="48"/>
      <c r="B1003" s="31"/>
      <c r="C1003" s="48"/>
      <c r="D1003" s="47"/>
      <c r="E1003" s="47"/>
      <c r="F1003" s="31"/>
      <c r="G1003" s="31"/>
      <c r="H1003" s="31"/>
      <c r="I1003" s="47"/>
      <c r="J1003" s="31"/>
      <c r="K1003" s="47"/>
      <c r="L1003" s="47"/>
      <c r="M1003" s="47"/>
      <c r="N1003" s="31"/>
      <c r="O1003" s="47"/>
      <c r="P1003" s="31"/>
      <c r="Q1003" s="31"/>
      <c r="R1003" s="31"/>
      <c r="S1003" s="31"/>
      <c r="T1003" s="270">
        <f t="shared" si="120"/>
        <v>0</v>
      </c>
      <c r="U1003" s="270">
        <f t="shared" si="121"/>
        <v>0</v>
      </c>
      <c r="V1003" s="31"/>
      <c r="X1003" s="240" t="str">
        <f t="shared" si="122"/>
        <v>OK</v>
      </c>
      <c r="Y1003" s="240" t="str">
        <f t="shared" si="123"/>
        <v>OK</v>
      </c>
      <c r="Z1003" s="240" t="str">
        <f t="shared" si="124"/>
        <v>OK</v>
      </c>
      <c r="AA1003" s="240" t="str" cm="1">
        <f t="array" ref="AA1003">IF(OR(AND(J1003="Not accepted",N1003:O1003&lt;&gt;"",$S1003=""),AND(J1003="Accepted",S1003="")),"ERROR","OK")</f>
        <v>OK</v>
      </c>
      <c r="AB1003" s="240" t="str">
        <f t="shared" si="125"/>
        <v>OK</v>
      </c>
      <c r="AC1003" s="240" t="str" cm="1">
        <f t="array" ref="AC1003">IF(AND(F1003:H1003&lt;&gt;"",I1003=""),"ERROR","OK")</f>
        <v>OK</v>
      </c>
      <c r="AD1003" s="240" t="str">
        <f t="shared" si="126"/>
        <v>OK</v>
      </c>
      <c r="AE1003" s="240" t="str">
        <f t="shared" si="127"/>
        <v>OK</v>
      </c>
      <c r="AF1003" s="240" t="str" cm="1">
        <f t="array" aca="1" ref="AF1003" ca="1" xml:space="preserve">
IF(AND($G1003&lt;&gt;"",$F1003=""),"ERROR",
IF(OR($F1003:$G1003="",AND($G1003="",$F1003&lt;&gt;"")),"OK",
IF(COUNTIF(INDIRECT(IFERROR(LEFT($F1003,FIND(" ",$F1003)-1),$F1003)), $G1003)&gt;0, "OK", "ERROR")))</f>
        <v>OK</v>
      </c>
    </row>
    <row r="1004" spans="1:32" s="240" customFormat="1">
      <c r="A1004" s="48"/>
      <c r="B1004" s="31"/>
      <c r="C1004" s="48"/>
      <c r="D1004" s="47"/>
      <c r="E1004" s="47"/>
      <c r="F1004" s="31"/>
      <c r="G1004" s="31"/>
      <c r="H1004" s="31"/>
      <c r="I1004" s="47"/>
      <c r="J1004" s="31"/>
      <c r="K1004" s="47"/>
      <c r="L1004" s="47"/>
      <c r="M1004" s="47"/>
      <c r="N1004" s="31"/>
      <c r="O1004" s="47"/>
      <c r="P1004" s="31"/>
      <c r="Q1004" s="31"/>
      <c r="R1004" s="31"/>
      <c r="S1004" s="31"/>
      <c r="T1004" s="270">
        <f t="shared" si="120"/>
        <v>0</v>
      </c>
      <c r="U1004" s="270">
        <f t="shared" si="121"/>
        <v>0</v>
      </c>
      <c r="V1004" s="31"/>
      <c r="X1004" s="240" t="str">
        <f t="shared" si="122"/>
        <v>OK</v>
      </c>
      <c r="Y1004" s="240" t="str">
        <f t="shared" si="123"/>
        <v>OK</v>
      </c>
      <c r="Z1004" s="240" t="str">
        <f t="shared" si="124"/>
        <v>OK</v>
      </c>
      <c r="AA1004" s="240" t="str" cm="1">
        <f t="array" ref="AA1004">IF(OR(AND(J1004="Not accepted",N1004:O1004&lt;&gt;"",$S1004=""),AND(J1004="Accepted",S1004="")),"ERROR","OK")</f>
        <v>OK</v>
      </c>
      <c r="AB1004" s="240" t="str">
        <f t="shared" si="125"/>
        <v>OK</v>
      </c>
      <c r="AC1004" s="240" t="str" cm="1">
        <f t="array" ref="AC1004">IF(AND(F1004:H1004&lt;&gt;"",I1004=""),"ERROR","OK")</f>
        <v>OK</v>
      </c>
      <c r="AD1004" s="240" t="str">
        <f t="shared" si="126"/>
        <v>OK</v>
      </c>
      <c r="AE1004" s="240" t="str">
        <f t="shared" si="127"/>
        <v>OK</v>
      </c>
      <c r="AF1004" s="240" t="str" cm="1">
        <f t="array" aca="1" ref="AF1004" ca="1" xml:space="preserve">
IF(AND($G1004&lt;&gt;"",$F1004=""),"ERROR",
IF(OR($F1004:$G1004="",AND($G1004="",$F1004&lt;&gt;"")),"OK",
IF(COUNTIF(INDIRECT(IFERROR(LEFT($F1004,FIND(" ",$F1004)-1),$F1004)), $G1004)&gt;0, "OK", "ERROR")))</f>
        <v>OK</v>
      </c>
    </row>
    <row r="1005" spans="1:32" s="240" customFormat="1">
      <c r="A1005" s="48"/>
      <c r="B1005" s="31"/>
      <c r="C1005" s="48"/>
      <c r="D1005" s="47"/>
      <c r="E1005" s="47"/>
      <c r="F1005" s="31"/>
      <c r="G1005" s="31"/>
      <c r="H1005" s="31"/>
      <c r="I1005" s="47"/>
      <c r="J1005" s="31"/>
      <c r="K1005" s="47"/>
      <c r="L1005" s="47"/>
      <c r="M1005" s="47"/>
      <c r="N1005" s="31"/>
      <c r="O1005" s="47"/>
      <c r="P1005" s="31"/>
      <c r="Q1005" s="31"/>
      <c r="R1005" s="31"/>
      <c r="S1005" s="31"/>
      <c r="T1005" s="270">
        <f t="shared" si="120"/>
        <v>0</v>
      </c>
      <c r="U1005" s="270">
        <f t="shared" si="121"/>
        <v>0</v>
      </c>
      <c r="V1005" s="31"/>
      <c r="X1005" s="240" t="str">
        <f t="shared" si="122"/>
        <v>OK</v>
      </c>
      <c r="Y1005" s="240" t="str">
        <f t="shared" si="123"/>
        <v>OK</v>
      </c>
      <c r="Z1005" s="240" t="str">
        <f t="shared" si="124"/>
        <v>OK</v>
      </c>
      <c r="AA1005" s="240" t="str" cm="1">
        <f t="array" ref="AA1005">IF(OR(AND(J1005="Not accepted",N1005:O1005&lt;&gt;"",$S1005=""),AND(J1005="Accepted",S1005="")),"ERROR","OK")</f>
        <v>OK</v>
      </c>
      <c r="AB1005" s="240" t="str">
        <f t="shared" si="125"/>
        <v>OK</v>
      </c>
      <c r="AC1005" s="240" t="str" cm="1">
        <f t="array" ref="AC1005">IF(AND(F1005:H1005&lt;&gt;"",I1005=""),"ERROR","OK")</f>
        <v>OK</v>
      </c>
      <c r="AD1005" s="240" t="str">
        <f t="shared" si="126"/>
        <v>OK</v>
      </c>
      <c r="AE1005" s="240" t="str">
        <f t="shared" si="127"/>
        <v>OK</v>
      </c>
      <c r="AF1005" s="240" t="str" cm="1">
        <f t="array" aca="1" ref="AF1005" ca="1" xml:space="preserve">
IF(AND($G1005&lt;&gt;"",$F1005=""),"ERROR",
IF(OR($F1005:$G1005="",AND($G1005="",$F1005&lt;&gt;"")),"OK",
IF(COUNTIF(INDIRECT(IFERROR(LEFT($F1005,FIND(" ",$F1005)-1),$F1005)), $G1005)&gt;0, "OK", "ERROR")))</f>
        <v>OK</v>
      </c>
    </row>
    <row r="1006" spans="1:32" s="240" customFormat="1">
      <c r="A1006" s="48"/>
      <c r="B1006" s="31"/>
      <c r="C1006" s="48"/>
      <c r="D1006" s="47"/>
      <c r="E1006" s="47"/>
      <c r="F1006" s="31"/>
      <c r="G1006" s="31"/>
      <c r="H1006" s="31"/>
      <c r="I1006" s="47"/>
      <c r="J1006" s="31"/>
      <c r="K1006" s="47"/>
      <c r="L1006" s="47"/>
      <c r="M1006" s="47"/>
      <c r="N1006" s="31"/>
      <c r="O1006" s="47"/>
      <c r="P1006" s="31"/>
      <c r="Q1006" s="31"/>
      <c r="R1006" s="31"/>
      <c r="S1006" s="31"/>
      <c r="T1006" s="270">
        <f t="shared" si="120"/>
        <v>0</v>
      </c>
      <c r="U1006" s="270">
        <f t="shared" si="121"/>
        <v>0</v>
      </c>
      <c r="V1006" s="31"/>
      <c r="X1006" s="240" t="str">
        <f t="shared" si="122"/>
        <v>OK</v>
      </c>
      <c r="Y1006" s="240" t="str">
        <f t="shared" si="123"/>
        <v>OK</v>
      </c>
      <c r="Z1006" s="240" t="str">
        <f t="shared" si="124"/>
        <v>OK</v>
      </c>
      <c r="AA1006" s="240" t="str" cm="1">
        <f t="array" ref="AA1006">IF(OR(AND(J1006="Not accepted",N1006:O1006&lt;&gt;"",$S1006=""),AND(J1006="Accepted",S1006="")),"ERROR","OK")</f>
        <v>OK</v>
      </c>
      <c r="AB1006" s="240" t="str">
        <f t="shared" si="125"/>
        <v>OK</v>
      </c>
      <c r="AC1006" s="240" t="str" cm="1">
        <f t="array" ref="AC1006">IF(AND(F1006:H1006&lt;&gt;"",I1006=""),"ERROR","OK")</f>
        <v>OK</v>
      </c>
      <c r="AD1006" s="240" t="str">
        <f t="shared" si="126"/>
        <v>OK</v>
      </c>
      <c r="AE1006" s="240" t="str">
        <f t="shared" si="127"/>
        <v>OK</v>
      </c>
      <c r="AF1006" s="240" t="str" cm="1">
        <f t="array" aca="1" ref="AF1006" ca="1" xml:space="preserve">
IF(AND($G1006&lt;&gt;"",$F1006=""),"ERROR",
IF(OR($F1006:$G1006="",AND($G1006="",$F1006&lt;&gt;"")),"OK",
IF(COUNTIF(INDIRECT(IFERROR(LEFT($F1006,FIND(" ",$F1006)-1),$F1006)), $G1006)&gt;0, "OK", "ERROR")))</f>
        <v>OK</v>
      </c>
    </row>
    <row r="1007" spans="1:32" s="240" customFormat="1">
      <c r="A1007" s="48"/>
      <c r="B1007" s="31"/>
      <c r="C1007" s="48"/>
      <c r="D1007" s="47"/>
      <c r="E1007" s="47"/>
      <c r="F1007" s="31"/>
      <c r="G1007" s="31"/>
      <c r="H1007" s="31"/>
      <c r="I1007" s="47"/>
      <c r="J1007" s="31"/>
      <c r="K1007" s="47"/>
      <c r="L1007" s="47"/>
      <c r="M1007" s="47"/>
      <c r="N1007" s="31"/>
      <c r="O1007" s="47"/>
      <c r="P1007" s="31"/>
      <c r="Q1007" s="31"/>
      <c r="R1007" s="31"/>
      <c r="S1007" s="31"/>
      <c r="T1007" s="270">
        <f t="shared" si="120"/>
        <v>0</v>
      </c>
      <c r="U1007" s="270">
        <f t="shared" si="121"/>
        <v>0</v>
      </c>
      <c r="V1007" s="31"/>
      <c r="X1007" s="240" t="str">
        <f t="shared" si="122"/>
        <v>OK</v>
      </c>
      <c r="Y1007" s="240" t="str">
        <f t="shared" si="123"/>
        <v>OK</v>
      </c>
      <c r="Z1007" s="240" t="str">
        <f t="shared" si="124"/>
        <v>OK</v>
      </c>
      <c r="AA1007" s="240" t="str" cm="1">
        <f t="array" ref="AA1007">IF(OR(AND(J1007="Not accepted",N1007:O1007&lt;&gt;"",$S1007=""),AND(J1007="Accepted",S1007="")),"ERROR","OK")</f>
        <v>OK</v>
      </c>
      <c r="AB1007" s="240" t="str">
        <f t="shared" si="125"/>
        <v>OK</v>
      </c>
      <c r="AC1007" s="240" t="str" cm="1">
        <f t="array" ref="AC1007">IF(AND(F1007:H1007&lt;&gt;"",I1007=""),"ERROR","OK")</f>
        <v>OK</v>
      </c>
      <c r="AD1007" s="240" t="str">
        <f t="shared" si="126"/>
        <v>OK</v>
      </c>
      <c r="AE1007" s="240" t="str">
        <f t="shared" si="127"/>
        <v>OK</v>
      </c>
      <c r="AF1007" s="240" t="str" cm="1">
        <f t="array" aca="1" ref="AF1007" ca="1" xml:space="preserve">
IF(AND($G1007&lt;&gt;"",$F1007=""),"ERROR",
IF(OR($F1007:$G1007="",AND($G1007="",$F1007&lt;&gt;"")),"OK",
IF(COUNTIF(INDIRECT(IFERROR(LEFT($F1007,FIND(" ",$F1007)-1),$F1007)), $G1007)&gt;0, "OK", "ERROR")))</f>
        <v>OK</v>
      </c>
    </row>
    <row r="1008" spans="1:32" s="240" customFormat="1">
      <c r="A1008" s="48"/>
      <c r="B1008" s="31"/>
      <c r="C1008" s="48"/>
      <c r="D1008" s="47"/>
      <c r="E1008" s="47"/>
      <c r="F1008" s="31"/>
      <c r="G1008" s="31"/>
      <c r="H1008" s="31"/>
      <c r="I1008" s="47"/>
      <c r="J1008" s="31"/>
      <c r="K1008" s="47"/>
      <c r="L1008" s="47"/>
      <c r="M1008" s="47"/>
      <c r="N1008" s="31"/>
      <c r="O1008" s="47"/>
      <c r="P1008" s="31"/>
      <c r="Q1008" s="31"/>
      <c r="R1008" s="31"/>
      <c r="S1008" s="31"/>
      <c r="T1008" s="270">
        <f t="shared" si="120"/>
        <v>0</v>
      </c>
      <c r="U1008" s="270">
        <f t="shared" si="121"/>
        <v>0</v>
      </c>
      <c r="V1008" s="31"/>
      <c r="X1008" s="240" t="str">
        <f t="shared" si="122"/>
        <v>OK</v>
      </c>
      <c r="Y1008" s="240" t="str">
        <f t="shared" si="123"/>
        <v>OK</v>
      </c>
      <c r="Z1008" s="240" t="str">
        <f t="shared" si="124"/>
        <v>OK</v>
      </c>
      <c r="AA1008" s="240" t="str" cm="1">
        <f t="array" ref="AA1008">IF(OR(AND(J1008="Not accepted",N1008:O1008&lt;&gt;"",$S1008=""),AND(J1008="Accepted",S1008="")),"ERROR","OK")</f>
        <v>OK</v>
      </c>
      <c r="AB1008" s="240" t="str">
        <f t="shared" si="125"/>
        <v>OK</v>
      </c>
      <c r="AC1008" s="240" t="str" cm="1">
        <f t="array" ref="AC1008">IF(AND(F1008:H1008&lt;&gt;"",I1008=""),"ERROR","OK")</f>
        <v>OK</v>
      </c>
      <c r="AD1008" s="240" t="str">
        <f t="shared" si="126"/>
        <v>OK</v>
      </c>
      <c r="AE1008" s="240" t="str">
        <f t="shared" si="127"/>
        <v>OK</v>
      </c>
      <c r="AF1008" s="240" t="str" cm="1">
        <f t="array" aca="1" ref="AF1008" ca="1" xml:space="preserve">
IF(AND($G1008&lt;&gt;"",$F1008=""),"ERROR",
IF(OR($F1008:$G1008="",AND($G1008="",$F1008&lt;&gt;"")),"OK",
IF(COUNTIF(INDIRECT(IFERROR(LEFT($F1008,FIND(" ",$F1008)-1),$F1008)), $G1008)&gt;0, "OK", "ERROR")))</f>
        <v>OK</v>
      </c>
    </row>
    <row r="1009" spans="1:32" s="240" customFormat="1">
      <c r="A1009" s="48"/>
      <c r="B1009" s="31"/>
      <c r="C1009" s="48"/>
      <c r="D1009" s="47"/>
      <c r="E1009" s="47"/>
      <c r="F1009" s="31"/>
      <c r="G1009" s="31"/>
      <c r="H1009" s="31"/>
      <c r="I1009" s="47"/>
      <c r="J1009" s="31"/>
      <c r="K1009" s="47"/>
      <c r="L1009" s="47"/>
      <c r="M1009" s="47"/>
      <c r="N1009" s="31"/>
      <c r="O1009" s="47"/>
      <c r="P1009" s="31"/>
      <c r="Q1009" s="31"/>
      <c r="R1009" s="31"/>
      <c r="S1009" s="31"/>
      <c r="T1009" s="270">
        <f t="shared" si="120"/>
        <v>0</v>
      </c>
      <c r="U1009" s="270">
        <f t="shared" si="121"/>
        <v>0</v>
      </c>
      <c r="V1009" s="31"/>
      <c r="X1009" s="240" t="str">
        <f t="shared" si="122"/>
        <v>OK</v>
      </c>
      <c r="Y1009" s="240" t="str">
        <f t="shared" si="123"/>
        <v>OK</v>
      </c>
      <c r="Z1009" s="240" t="str">
        <f t="shared" si="124"/>
        <v>OK</v>
      </c>
      <c r="AA1009" s="240" t="str" cm="1">
        <f t="array" ref="AA1009">IF(OR(AND(J1009="Not accepted",N1009:O1009&lt;&gt;"",$S1009=""),AND(J1009="Accepted",S1009="")),"ERROR","OK")</f>
        <v>OK</v>
      </c>
      <c r="AB1009" s="240" t="str">
        <f t="shared" si="125"/>
        <v>OK</v>
      </c>
      <c r="AC1009" s="240" t="str" cm="1">
        <f t="array" ref="AC1009">IF(AND(F1009:H1009&lt;&gt;"",I1009=""),"ERROR","OK")</f>
        <v>OK</v>
      </c>
      <c r="AD1009" s="240" t="str">
        <f t="shared" si="126"/>
        <v>OK</v>
      </c>
      <c r="AE1009" s="240" t="str">
        <f t="shared" si="127"/>
        <v>OK</v>
      </c>
      <c r="AF1009" s="240" t="str" cm="1">
        <f t="array" aca="1" ref="AF1009" ca="1" xml:space="preserve">
IF(AND($G1009&lt;&gt;"",$F1009=""),"ERROR",
IF(OR($F1009:$G1009="",AND($G1009="",$F1009&lt;&gt;"")),"OK",
IF(COUNTIF(INDIRECT(IFERROR(LEFT($F1009,FIND(" ",$F1009)-1),$F1009)), $G1009)&gt;0, "OK", "ERROR")))</f>
        <v>OK</v>
      </c>
    </row>
    <row r="1010" spans="1:32" s="240" customFormat="1">
      <c r="A1010" s="48"/>
      <c r="B1010" s="31"/>
      <c r="C1010" s="48"/>
      <c r="D1010" s="47"/>
      <c r="E1010" s="47"/>
      <c r="F1010" s="31"/>
      <c r="G1010" s="31"/>
      <c r="H1010" s="31"/>
      <c r="I1010" s="47"/>
      <c r="J1010" s="31"/>
      <c r="K1010" s="47"/>
      <c r="L1010" s="47"/>
      <c r="M1010" s="47"/>
      <c r="N1010" s="31"/>
      <c r="O1010" s="47"/>
      <c r="P1010" s="31"/>
      <c r="Q1010" s="31"/>
      <c r="R1010" s="31"/>
      <c r="S1010" s="31"/>
      <c r="T1010" s="270">
        <f t="shared" si="120"/>
        <v>0</v>
      </c>
      <c r="U1010" s="270">
        <f t="shared" si="121"/>
        <v>0</v>
      </c>
      <c r="V1010" s="31"/>
      <c r="X1010" s="240" t="str">
        <f t="shared" si="122"/>
        <v>OK</v>
      </c>
      <c r="Y1010" s="240" t="str">
        <f t="shared" si="123"/>
        <v>OK</v>
      </c>
      <c r="Z1010" s="240" t="str">
        <f t="shared" si="124"/>
        <v>OK</v>
      </c>
      <c r="AA1010" s="240" t="str" cm="1">
        <f t="array" ref="AA1010">IF(OR(AND(J1010="Not accepted",N1010:O1010&lt;&gt;"",$S1010=""),AND(J1010="Accepted",S1010="")),"ERROR","OK")</f>
        <v>OK</v>
      </c>
      <c r="AB1010" s="240" t="str">
        <f t="shared" si="125"/>
        <v>OK</v>
      </c>
      <c r="AC1010" s="240" t="str" cm="1">
        <f t="array" ref="AC1010">IF(AND(F1010:H1010&lt;&gt;"",I1010=""),"ERROR","OK")</f>
        <v>OK</v>
      </c>
      <c r="AD1010" s="240" t="str">
        <f t="shared" si="126"/>
        <v>OK</v>
      </c>
      <c r="AE1010" s="240" t="str">
        <f t="shared" si="127"/>
        <v>OK</v>
      </c>
      <c r="AF1010" s="240" t="str" cm="1">
        <f t="array" aca="1" ref="AF1010" ca="1" xml:space="preserve">
IF(AND($G1010&lt;&gt;"",$F1010=""),"ERROR",
IF(OR($F1010:$G1010="",AND($G1010="",$F1010&lt;&gt;"")),"OK",
IF(COUNTIF(INDIRECT(IFERROR(LEFT($F1010,FIND(" ",$F1010)-1),$F1010)), $G1010)&gt;0, "OK", "ERROR")))</f>
        <v>OK</v>
      </c>
    </row>
    <row r="1011" spans="1:32" s="240" customFormat="1">
      <c r="A1011" s="48"/>
      <c r="B1011" s="31"/>
      <c r="C1011" s="48"/>
      <c r="D1011" s="47"/>
      <c r="E1011" s="47"/>
      <c r="F1011" s="31"/>
      <c r="G1011" s="31"/>
      <c r="H1011" s="31"/>
      <c r="I1011" s="47"/>
      <c r="J1011" s="31"/>
      <c r="K1011" s="47"/>
      <c r="L1011" s="47"/>
      <c r="M1011" s="47"/>
      <c r="N1011" s="31"/>
      <c r="O1011" s="47"/>
      <c r="P1011" s="31"/>
      <c r="Q1011" s="31"/>
      <c r="R1011" s="31"/>
      <c r="S1011" s="31"/>
      <c r="T1011" s="270">
        <f t="shared" si="120"/>
        <v>0</v>
      </c>
      <c r="U1011" s="270">
        <f t="shared" si="121"/>
        <v>0</v>
      </c>
      <c r="V1011" s="31"/>
      <c r="X1011" s="240" t="str">
        <f t="shared" si="122"/>
        <v>OK</v>
      </c>
      <c r="Y1011" s="240" t="str">
        <f t="shared" si="123"/>
        <v>OK</v>
      </c>
      <c r="Z1011" s="240" t="str">
        <f t="shared" si="124"/>
        <v>OK</v>
      </c>
      <c r="AA1011" s="240" t="str" cm="1">
        <f t="array" ref="AA1011">IF(OR(AND(J1011="Not accepted",N1011:O1011&lt;&gt;"",$S1011=""),AND(J1011="Accepted",S1011="")),"ERROR","OK")</f>
        <v>OK</v>
      </c>
      <c r="AB1011" s="240" t="str">
        <f t="shared" si="125"/>
        <v>OK</v>
      </c>
      <c r="AC1011" s="240" t="str" cm="1">
        <f t="array" ref="AC1011">IF(AND(F1011:H1011&lt;&gt;"",I1011=""),"ERROR","OK")</f>
        <v>OK</v>
      </c>
      <c r="AD1011" s="240" t="str">
        <f t="shared" si="126"/>
        <v>OK</v>
      </c>
      <c r="AE1011" s="240" t="str">
        <f t="shared" si="127"/>
        <v>OK</v>
      </c>
      <c r="AF1011" s="240" t="str" cm="1">
        <f t="array" aca="1" ref="AF1011" ca="1" xml:space="preserve">
IF(AND($G1011&lt;&gt;"",$F1011=""),"ERROR",
IF(OR($F1011:$G1011="",AND($G1011="",$F1011&lt;&gt;"")),"OK",
IF(COUNTIF(INDIRECT(IFERROR(LEFT($F1011,FIND(" ",$F1011)-1),$F1011)), $G1011)&gt;0, "OK", "ERROR")))</f>
        <v>OK</v>
      </c>
    </row>
    <row r="1012" spans="1:32" s="240" customFormat="1">
      <c r="A1012" s="48"/>
      <c r="B1012" s="31"/>
      <c r="C1012" s="48"/>
      <c r="D1012" s="47"/>
      <c r="E1012" s="47"/>
      <c r="F1012" s="31"/>
      <c r="G1012" s="31"/>
      <c r="H1012" s="31"/>
      <c r="I1012" s="47"/>
      <c r="J1012" s="31"/>
      <c r="K1012" s="47"/>
      <c r="L1012" s="47"/>
      <c r="M1012" s="47"/>
      <c r="N1012" s="31"/>
      <c r="O1012" s="47"/>
      <c r="P1012" s="31"/>
      <c r="Q1012" s="31"/>
      <c r="R1012" s="31"/>
      <c r="S1012" s="31"/>
      <c r="T1012" s="270">
        <f t="shared" si="120"/>
        <v>0</v>
      </c>
      <c r="U1012" s="270">
        <f t="shared" si="121"/>
        <v>0</v>
      </c>
      <c r="V1012" s="31"/>
      <c r="X1012" s="240" t="str">
        <f t="shared" si="122"/>
        <v>OK</v>
      </c>
      <c r="Y1012" s="240" t="str">
        <f t="shared" si="123"/>
        <v>OK</v>
      </c>
      <c r="Z1012" s="240" t="str">
        <f t="shared" si="124"/>
        <v>OK</v>
      </c>
      <c r="AA1012" s="240" t="str" cm="1">
        <f t="array" ref="AA1012">IF(OR(AND(J1012="Not accepted",N1012:O1012&lt;&gt;"",$S1012=""),AND(J1012="Accepted",S1012="")),"ERROR","OK")</f>
        <v>OK</v>
      </c>
      <c r="AB1012" s="240" t="str">
        <f t="shared" si="125"/>
        <v>OK</v>
      </c>
      <c r="AC1012" s="240" t="str" cm="1">
        <f t="array" ref="AC1012">IF(AND(F1012:H1012&lt;&gt;"",I1012=""),"ERROR","OK")</f>
        <v>OK</v>
      </c>
      <c r="AD1012" s="240" t="str">
        <f t="shared" si="126"/>
        <v>OK</v>
      </c>
      <c r="AE1012" s="240" t="str">
        <f t="shared" si="127"/>
        <v>OK</v>
      </c>
      <c r="AF1012" s="240" t="str" cm="1">
        <f t="array" aca="1" ref="AF1012" ca="1" xml:space="preserve">
IF(AND($G1012&lt;&gt;"",$F1012=""),"ERROR",
IF(OR($F1012:$G1012="",AND($G1012="",$F1012&lt;&gt;"")),"OK",
IF(COUNTIF(INDIRECT(IFERROR(LEFT($F1012,FIND(" ",$F1012)-1),$F1012)), $G1012)&gt;0, "OK", "ERROR")))</f>
        <v>OK</v>
      </c>
    </row>
    <row r="1013" spans="1:32" s="240" customFormat="1">
      <c r="A1013" s="48"/>
      <c r="B1013" s="31"/>
      <c r="C1013" s="48"/>
      <c r="D1013" s="47"/>
      <c r="E1013" s="47"/>
      <c r="F1013" s="31"/>
      <c r="G1013" s="31"/>
      <c r="H1013" s="31"/>
      <c r="I1013" s="47"/>
      <c r="J1013" s="31"/>
      <c r="K1013" s="47"/>
      <c r="L1013" s="47"/>
      <c r="M1013" s="47"/>
      <c r="N1013" s="31"/>
      <c r="O1013" s="47"/>
      <c r="P1013" s="31"/>
      <c r="Q1013" s="31"/>
      <c r="R1013" s="31"/>
      <c r="S1013" s="31"/>
      <c r="T1013" s="270">
        <f t="shared" si="120"/>
        <v>0</v>
      </c>
      <c r="U1013" s="270">
        <f t="shared" si="121"/>
        <v>0</v>
      </c>
      <c r="V1013" s="31"/>
      <c r="X1013" s="240" t="str">
        <f t="shared" si="122"/>
        <v>OK</v>
      </c>
      <c r="Y1013" s="240" t="str">
        <f t="shared" si="123"/>
        <v>OK</v>
      </c>
      <c r="Z1013" s="240" t="str">
        <f t="shared" si="124"/>
        <v>OK</v>
      </c>
      <c r="AA1013" s="240" t="str" cm="1">
        <f t="array" ref="AA1013">IF(OR(AND(J1013="Not accepted",N1013:O1013&lt;&gt;"",$S1013=""),AND(J1013="Accepted",S1013="")),"ERROR","OK")</f>
        <v>OK</v>
      </c>
      <c r="AB1013" s="240" t="str">
        <f t="shared" si="125"/>
        <v>OK</v>
      </c>
      <c r="AC1013" s="240" t="str" cm="1">
        <f t="array" ref="AC1013">IF(AND(F1013:H1013&lt;&gt;"",I1013=""),"ERROR","OK")</f>
        <v>OK</v>
      </c>
      <c r="AD1013" s="240" t="str">
        <f t="shared" si="126"/>
        <v>OK</v>
      </c>
      <c r="AE1013" s="240" t="str">
        <f t="shared" si="127"/>
        <v>OK</v>
      </c>
      <c r="AF1013" s="240" t="str" cm="1">
        <f t="array" aca="1" ref="AF1013" ca="1" xml:space="preserve">
IF(AND($G1013&lt;&gt;"",$F1013=""),"ERROR",
IF(OR($F1013:$G1013="",AND($G1013="",$F1013&lt;&gt;"")),"OK",
IF(COUNTIF(INDIRECT(IFERROR(LEFT($F1013,FIND(" ",$F1013)-1),$F1013)), $G1013)&gt;0, "OK", "ERROR")))</f>
        <v>OK</v>
      </c>
    </row>
    <row r="1014" spans="1:32" s="240" customFormat="1">
      <c r="A1014" s="48"/>
      <c r="B1014" s="31"/>
      <c r="C1014" s="48"/>
      <c r="D1014" s="47"/>
      <c r="E1014" s="47"/>
      <c r="F1014" s="31"/>
      <c r="G1014" s="31"/>
      <c r="H1014" s="31"/>
      <c r="I1014" s="47"/>
      <c r="J1014" s="31"/>
      <c r="K1014" s="47"/>
      <c r="L1014" s="47"/>
      <c r="M1014" s="47"/>
      <c r="N1014" s="31"/>
      <c r="O1014" s="47"/>
      <c r="P1014" s="31"/>
      <c r="Q1014" s="31"/>
      <c r="R1014" s="31"/>
      <c r="S1014" s="31"/>
      <c r="T1014" s="270">
        <f t="shared" si="120"/>
        <v>0</v>
      </c>
      <c r="U1014" s="270">
        <f t="shared" si="121"/>
        <v>0</v>
      </c>
      <c r="V1014" s="31"/>
      <c r="X1014" s="240" t="str">
        <f t="shared" si="122"/>
        <v>OK</v>
      </c>
      <c r="Y1014" s="240" t="str">
        <f t="shared" si="123"/>
        <v>OK</v>
      </c>
      <c r="Z1014" s="240" t="str">
        <f t="shared" si="124"/>
        <v>OK</v>
      </c>
      <c r="AA1014" s="240" t="str" cm="1">
        <f t="array" ref="AA1014">IF(OR(AND(J1014="Not accepted",N1014:O1014&lt;&gt;"",$S1014=""),AND(J1014="Accepted",S1014="")),"ERROR","OK")</f>
        <v>OK</v>
      </c>
      <c r="AB1014" s="240" t="str">
        <f t="shared" si="125"/>
        <v>OK</v>
      </c>
      <c r="AC1014" s="240" t="str" cm="1">
        <f t="array" ref="AC1014">IF(AND(F1014:H1014&lt;&gt;"",I1014=""),"ERROR","OK")</f>
        <v>OK</v>
      </c>
      <c r="AD1014" s="240" t="str">
        <f t="shared" si="126"/>
        <v>OK</v>
      </c>
      <c r="AE1014" s="240" t="str">
        <f t="shared" si="127"/>
        <v>OK</v>
      </c>
      <c r="AF1014" s="240" t="str" cm="1">
        <f t="array" aca="1" ref="AF1014" ca="1" xml:space="preserve">
IF(AND($G1014&lt;&gt;"",$F1014=""),"ERROR",
IF(OR($F1014:$G1014="",AND($G1014="",$F1014&lt;&gt;"")),"OK",
IF(COUNTIF(INDIRECT(IFERROR(LEFT($F1014,FIND(" ",$F1014)-1),$F1014)), $G1014)&gt;0, "OK", "ERROR")))</f>
        <v>OK</v>
      </c>
    </row>
    <row r="1015" spans="1:32" s="240" customFormat="1">
      <c r="A1015" s="48"/>
      <c r="B1015" s="31"/>
      <c r="C1015" s="48"/>
      <c r="D1015" s="47"/>
      <c r="E1015" s="47"/>
      <c r="F1015" s="31"/>
      <c r="G1015" s="31"/>
      <c r="H1015" s="31"/>
      <c r="I1015" s="47"/>
      <c r="J1015" s="31"/>
      <c r="K1015" s="47"/>
      <c r="L1015" s="47"/>
      <c r="M1015" s="47"/>
      <c r="N1015" s="31"/>
      <c r="O1015" s="47"/>
      <c r="P1015" s="31"/>
      <c r="Q1015" s="31"/>
      <c r="R1015" s="31"/>
      <c r="S1015" s="31"/>
      <c r="T1015" s="270">
        <f t="shared" si="120"/>
        <v>0</v>
      </c>
      <c r="U1015" s="270">
        <f t="shared" si="121"/>
        <v>0</v>
      </c>
      <c r="V1015" s="31"/>
      <c r="X1015" s="240" t="str">
        <f t="shared" si="122"/>
        <v>OK</v>
      </c>
      <c r="Y1015" s="240" t="str">
        <f t="shared" si="123"/>
        <v>OK</v>
      </c>
      <c r="Z1015" s="240" t="str">
        <f t="shared" si="124"/>
        <v>OK</v>
      </c>
      <c r="AA1015" s="240" t="str" cm="1">
        <f t="array" ref="AA1015">IF(OR(AND(J1015="Not accepted",N1015:O1015&lt;&gt;"",$S1015=""),AND(J1015="Accepted",S1015="")),"ERROR","OK")</f>
        <v>OK</v>
      </c>
      <c r="AB1015" s="240" t="str">
        <f t="shared" si="125"/>
        <v>OK</v>
      </c>
      <c r="AC1015" s="240" t="str" cm="1">
        <f t="array" ref="AC1015">IF(AND(F1015:H1015&lt;&gt;"",I1015=""),"ERROR","OK")</f>
        <v>OK</v>
      </c>
      <c r="AD1015" s="240" t="str">
        <f t="shared" si="126"/>
        <v>OK</v>
      </c>
      <c r="AE1015" s="240" t="str">
        <f t="shared" si="127"/>
        <v>OK</v>
      </c>
      <c r="AF1015" s="240" t="str" cm="1">
        <f t="array" aca="1" ref="AF1015" ca="1" xml:space="preserve">
IF(AND($G1015&lt;&gt;"",$F1015=""),"ERROR",
IF(OR($F1015:$G1015="",AND($G1015="",$F1015&lt;&gt;"")),"OK",
IF(COUNTIF(INDIRECT(IFERROR(LEFT($F1015,FIND(" ",$F1015)-1),$F1015)), $G1015)&gt;0, "OK", "ERROR")))</f>
        <v>OK</v>
      </c>
    </row>
    <row r="1016" spans="1:32" s="240" customFormat="1">
      <c r="A1016" s="48"/>
      <c r="B1016" s="31"/>
      <c r="C1016" s="48"/>
      <c r="D1016" s="47"/>
      <c r="E1016" s="47"/>
      <c r="F1016" s="31"/>
      <c r="G1016" s="31"/>
      <c r="H1016" s="31"/>
      <c r="I1016" s="47"/>
      <c r="J1016" s="31"/>
      <c r="K1016" s="47"/>
      <c r="L1016" s="47"/>
      <c r="M1016" s="47"/>
      <c r="N1016" s="31"/>
      <c r="O1016" s="47"/>
      <c r="P1016" s="31"/>
      <c r="Q1016" s="31"/>
      <c r="R1016" s="31"/>
      <c r="S1016" s="31"/>
      <c r="T1016" s="270">
        <f t="shared" si="120"/>
        <v>0</v>
      </c>
      <c r="U1016" s="270">
        <f t="shared" si="121"/>
        <v>0</v>
      </c>
      <c r="V1016" s="31"/>
      <c r="X1016" s="240" t="str">
        <f t="shared" si="122"/>
        <v>OK</v>
      </c>
      <c r="Y1016" s="240" t="str">
        <f t="shared" si="123"/>
        <v>OK</v>
      </c>
      <c r="Z1016" s="240" t="str">
        <f t="shared" si="124"/>
        <v>OK</v>
      </c>
      <c r="AA1016" s="240" t="str" cm="1">
        <f t="array" ref="AA1016">IF(OR(AND(J1016="Not accepted",N1016:O1016&lt;&gt;"",$S1016=""),AND(J1016="Accepted",S1016="")),"ERROR","OK")</f>
        <v>OK</v>
      </c>
      <c r="AB1016" s="240" t="str">
        <f t="shared" si="125"/>
        <v>OK</v>
      </c>
      <c r="AC1016" s="240" t="str" cm="1">
        <f t="array" ref="AC1016">IF(AND(F1016:H1016&lt;&gt;"",I1016=""),"ERROR","OK")</f>
        <v>OK</v>
      </c>
      <c r="AD1016" s="240" t="str">
        <f t="shared" si="126"/>
        <v>OK</v>
      </c>
      <c r="AE1016" s="240" t="str">
        <f t="shared" si="127"/>
        <v>OK</v>
      </c>
      <c r="AF1016" s="240" t="str" cm="1">
        <f t="array" aca="1" ref="AF1016" ca="1" xml:space="preserve">
IF(AND($G1016&lt;&gt;"",$F1016=""),"ERROR",
IF(OR($F1016:$G1016="",AND($G1016="",$F1016&lt;&gt;"")),"OK",
IF(COUNTIF(INDIRECT(IFERROR(LEFT($F1016,FIND(" ",$F1016)-1),$F1016)), $G1016)&gt;0, "OK", "ERROR")))</f>
        <v>OK</v>
      </c>
    </row>
    <row r="1017" spans="1:32" s="240" customFormat="1">
      <c r="A1017" s="48"/>
      <c r="B1017" s="31"/>
      <c r="C1017" s="48"/>
      <c r="D1017" s="47"/>
      <c r="E1017" s="47"/>
      <c r="F1017" s="31"/>
      <c r="G1017" s="31"/>
      <c r="H1017" s="31"/>
      <c r="I1017" s="47"/>
      <c r="J1017" s="31"/>
      <c r="K1017" s="47"/>
      <c r="L1017" s="47"/>
      <c r="M1017" s="47"/>
      <c r="N1017" s="31"/>
      <c r="O1017" s="47"/>
      <c r="P1017" s="31"/>
      <c r="Q1017" s="31"/>
      <c r="R1017" s="31"/>
      <c r="S1017" s="31"/>
      <c r="T1017" s="270">
        <f t="shared" si="120"/>
        <v>0</v>
      </c>
      <c r="U1017" s="270">
        <f t="shared" si="121"/>
        <v>0</v>
      </c>
      <c r="V1017" s="31"/>
      <c r="X1017" s="240" t="str">
        <f t="shared" si="122"/>
        <v>OK</v>
      </c>
      <c r="Y1017" s="240" t="str">
        <f t="shared" si="123"/>
        <v>OK</v>
      </c>
      <c r="Z1017" s="240" t="str">
        <f t="shared" si="124"/>
        <v>OK</v>
      </c>
      <c r="AA1017" s="240" t="str" cm="1">
        <f t="array" ref="AA1017">IF(OR(AND(J1017="Not accepted",N1017:O1017&lt;&gt;"",$S1017=""),AND(J1017="Accepted",S1017="")),"ERROR","OK")</f>
        <v>OK</v>
      </c>
      <c r="AB1017" s="240" t="str">
        <f t="shared" si="125"/>
        <v>OK</v>
      </c>
      <c r="AC1017" s="240" t="str" cm="1">
        <f t="array" ref="AC1017">IF(AND(F1017:H1017&lt;&gt;"",I1017=""),"ERROR","OK")</f>
        <v>OK</v>
      </c>
      <c r="AD1017" s="240" t="str">
        <f t="shared" si="126"/>
        <v>OK</v>
      </c>
      <c r="AE1017" s="240" t="str">
        <f t="shared" si="127"/>
        <v>OK</v>
      </c>
      <c r="AF1017" s="240" t="str" cm="1">
        <f t="array" aca="1" ref="AF1017" ca="1" xml:space="preserve">
IF(AND($G1017&lt;&gt;"",$F1017=""),"ERROR",
IF(OR($F1017:$G1017="",AND($G1017="",$F1017&lt;&gt;"")),"OK",
IF(COUNTIF(INDIRECT(IFERROR(LEFT($F1017,FIND(" ",$F1017)-1),$F1017)), $G1017)&gt;0, "OK", "ERROR")))</f>
        <v>OK</v>
      </c>
    </row>
    <row r="1018" spans="1:32" s="240" customFormat="1">
      <c r="A1018" s="48"/>
      <c r="B1018" s="31"/>
      <c r="C1018" s="48"/>
      <c r="D1018" s="47"/>
      <c r="E1018" s="47"/>
      <c r="F1018" s="31"/>
      <c r="G1018" s="31"/>
      <c r="H1018" s="31"/>
      <c r="I1018" s="47"/>
      <c r="J1018" s="31"/>
      <c r="K1018" s="47"/>
      <c r="L1018" s="47"/>
      <c r="M1018" s="47"/>
      <c r="N1018" s="31"/>
      <c r="O1018" s="47"/>
      <c r="P1018" s="31"/>
      <c r="Q1018" s="31"/>
      <c r="R1018" s="31"/>
      <c r="S1018" s="31"/>
      <c r="T1018" s="270">
        <f t="shared" si="120"/>
        <v>0</v>
      </c>
      <c r="U1018" s="270">
        <f t="shared" si="121"/>
        <v>0</v>
      </c>
      <c r="V1018" s="31"/>
      <c r="X1018" s="240" t="str">
        <f t="shared" si="122"/>
        <v>OK</v>
      </c>
      <c r="Y1018" s="240" t="str">
        <f t="shared" si="123"/>
        <v>OK</v>
      </c>
      <c r="Z1018" s="240" t="str">
        <f t="shared" si="124"/>
        <v>OK</v>
      </c>
      <c r="AA1018" s="240" t="str" cm="1">
        <f t="array" ref="AA1018">IF(OR(AND(J1018="Not accepted",N1018:O1018&lt;&gt;"",$S1018=""),AND(J1018="Accepted",S1018="")),"ERROR","OK")</f>
        <v>OK</v>
      </c>
      <c r="AB1018" s="240" t="str">
        <f t="shared" si="125"/>
        <v>OK</v>
      </c>
      <c r="AC1018" s="240" t="str" cm="1">
        <f t="array" ref="AC1018">IF(AND(F1018:H1018&lt;&gt;"",I1018=""),"ERROR","OK")</f>
        <v>OK</v>
      </c>
      <c r="AD1018" s="240" t="str">
        <f t="shared" si="126"/>
        <v>OK</v>
      </c>
      <c r="AE1018" s="240" t="str">
        <f t="shared" si="127"/>
        <v>OK</v>
      </c>
      <c r="AF1018" s="240" t="str" cm="1">
        <f t="array" aca="1" ref="AF1018" ca="1" xml:space="preserve">
IF(AND($G1018&lt;&gt;"",$F1018=""),"ERROR",
IF(OR($F1018:$G1018="",AND($G1018="",$F1018&lt;&gt;"")),"OK",
IF(COUNTIF(INDIRECT(IFERROR(LEFT($F1018,FIND(" ",$F1018)-1),$F1018)), $G1018)&gt;0, "OK", "ERROR")))</f>
        <v>OK</v>
      </c>
    </row>
    <row r="1019" spans="1:32" s="240" customFormat="1">
      <c r="A1019" s="48"/>
      <c r="B1019" s="31"/>
      <c r="C1019" s="48"/>
      <c r="D1019" s="47"/>
      <c r="E1019" s="47"/>
      <c r="F1019" s="31"/>
      <c r="G1019" s="31"/>
      <c r="H1019" s="31"/>
      <c r="I1019" s="47"/>
      <c r="J1019" s="31"/>
      <c r="K1019" s="47"/>
      <c r="L1019" s="47"/>
      <c r="M1019" s="47"/>
      <c r="N1019" s="31"/>
      <c r="O1019" s="47"/>
      <c r="P1019" s="31"/>
      <c r="Q1019" s="31"/>
      <c r="R1019" s="31"/>
      <c r="S1019" s="31"/>
      <c r="T1019" s="270">
        <f t="shared" si="120"/>
        <v>0</v>
      </c>
      <c r="U1019" s="270">
        <f t="shared" si="121"/>
        <v>0</v>
      </c>
      <c r="V1019" s="31"/>
      <c r="X1019" s="240" t="str">
        <f t="shared" si="122"/>
        <v>OK</v>
      </c>
      <c r="Y1019" s="240" t="str">
        <f t="shared" si="123"/>
        <v>OK</v>
      </c>
      <c r="Z1019" s="240" t="str">
        <f t="shared" si="124"/>
        <v>OK</v>
      </c>
      <c r="AA1019" s="240" t="str" cm="1">
        <f t="array" ref="AA1019">IF(OR(AND(J1019="Not accepted",N1019:O1019&lt;&gt;"",$S1019=""),AND(J1019="Accepted",S1019="")),"ERROR","OK")</f>
        <v>OK</v>
      </c>
      <c r="AB1019" s="240" t="str">
        <f t="shared" si="125"/>
        <v>OK</v>
      </c>
      <c r="AC1019" s="240" t="str" cm="1">
        <f t="array" ref="AC1019">IF(AND(F1019:H1019&lt;&gt;"",I1019=""),"ERROR","OK")</f>
        <v>OK</v>
      </c>
      <c r="AD1019" s="240" t="str">
        <f t="shared" si="126"/>
        <v>OK</v>
      </c>
      <c r="AE1019" s="240" t="str">
        <f t="shared" si="127"/>
        <v>OK</v>
      </c>
      <c r="AF1019" s="240" t="str" cm="1">
        <f t="array" aca="1" ref="AF1019" ca="1" xml:space="preserve">
IF(AND($G1019&lt;&gt;"",$F1019=""),"ERROR",
IF(OR($F1019:$G1019="",AND($G1019="",$F1019&lt;&gt;"")),"OK",
IF(COUNTIF(INDIRECT(IFERROR(LEFT($F1019,FIND(" ",$F1019)-1),$F1019)), $G1019)&gt;0, "OK", "ERROR")))</f>
        <v>OK</v>
      </c>
    </row>
    <row r="1020" spans="1:32" s="240" customFormat="1">
      <c r="A1020" s="48"/>
      <c r="B1020" s="31"/>
      <c r="C1020" s="48"/>
      <c r="D1020" s="47"/>
      <c r="E1020" s="47"/>
      <c r="F1020" s="31"/>
      <c r="G1020" s="31"/>
      <c r="H1020" s="31"/>
      <c r="I1020" s="47"/>
      <c r="J1020" s="31"/>
      <c r="K1020" s="47"/>
      <c r="L1020" s="47"/>
      <c r="M1020" s="47"/>
      <c r="N1020" s="31"/>
      <c r="O1020" s="47"/>
      <c r="P1020" s="31"/>
      <c r="Q1020" s="31"/>
      <c r="R1020" s="31"/>
      <c r="S1020" s="31"/>
      <c r="T1020" s="270">
        <f t="shared" si="120"/>
        <v>0</v>
      </c>
      <c r="U1020" s="270">
        <f t="shared" si="121"/>
        <v>0</v>
      </c>
      <c r="V1020" s="31"/>
      <c r="X1020" s="240" t="str">
        <f t="shared" si="122"/>
        <v>OK</v>
      </c>
      <c r="Y1020" s="240" t="str">
        <f t="shared" si="123"/>
        <v>OK</v>
      </c>
      <c r="Z1020" s="240" t="str">
        <f t="shared" si="124"/>
        <v>OK</v>
      </c>
      <c r="AA1020" s="240" t="str" cm="1">
        <f t="array" ref="AA1020">IF(OR(AND(J1020="Not accepted",N1020:O1020&lt;&gt;"",$S1020=""),AND(J1020="Accepted",S1020="")),"ERROR","OK")</f>
        <v>OK</v>
      </c>
      <c r="AB1020" s="240" t="str">
        <f t="shared" si="125"/>
        <v>OK</v>
      </c>
      <c r="AC1020" s="240" t="str" cm="1">
        <f t="array" ref="AC1020">IF(AND(F1020:H1020&lt;&gt;"",I1020=""),"ERROR","OK")</f>
        <v>OK</v>
      </c>
      <c r="AD1020" s="240" t="str">
        <f t="shared" si="126"/>
        <v>OK</v>
      </c>
      <c r="AE1020" s="240" t="str">
        <f t="shared" si="127"/>
        <v>OK</v>
      </c>
      <c r="AF1020" s="240" t="str" cm="1">
        <f t="array" aca="1" ref="AF1020" ca="1" xml:space="preserve">
IF(AND($G1020&lt;&gt;"",$F1020=""),"ERROR",
IF(OR($F1020:$G1020="",AND($G1020="",$F1020&lt;&gt;"")),"OK",
IF(COUNTIF(INDIRECT(IFERROR(LEFT($F1020,FIND(" ",$F1020)-1),$F1020)), $G1020)&gt;0, "OK", "ERROR")))</f>
        <v>OK</v>
      </c>
    </row>
    <row r="1021" spans="1:32" s="240" customFormat="1">
      <c r="A1021" s="48"/>
      <c r="B1021" s="31"/>
      <c r="C1021" s="48"/>
      <c r="D1021" s="47"/>
      <c r="E1021" s="47"/>
      <c r="F1021" s="31"/>
      <c r="G1021" s="31"/>
      <c r="H1021" s="31"/>
      <c r="I1021" s="47"/>
      <c r="J1021" s="31"/>
      <c r="K1021" s="47"/>
      <c r="L1021" s="47"/>
      <c r="M1021" s="47"/>
      <c r="N1021" s="31"/>
      <c r="O1021" s="47"/>
      <c r="P1021" s="31"/>
      <c r="Q1021" s="31"/>
      <c r="R1021" s="31"/>
      <c r="S1021" s="31"/>
      <c r="T1021" s="270">
        <f t="shared" si="120"/>
        <v>0</v>
      </c>
      <c r="U1021" s="270">
        <f t="shared" si="121"/>
        <v>0</v>
      </c>
      <c r="V1021" s="31"/>
      <c r="X1021" s="240" t="str">
        <f t="shared" si="122"/>
        <v>OK</v>
      </c>
      <c r="Y1021" s="240" t="str">
        <f t="shared" si="123"/>
        <v>OK</v>
      </c>
      <c r="Z1021" s="240" t="str">
        <f t="shared" si="124"/>
        <v>OK</v>
      </c>
      <c r="AA1021" s="240" t="str" cm="1">
        <f t="array" ref="AA1021">IF(OR(AND(J1021="Not accepted",N1021:O1021&lt;&gt;"",$S1021=""),AND(J1021="Accepted",S1021="")),"ERROR","OK")</f>
        <v>OK</v>
      </c>
      <c r="AB1021" s="240" t="str">
        <f t="shared" si="125"/>
        <v>OK</v>
      </c>
      <c r="AC1021" s="240" t="str" cm="1">
        <f t="array" ref="AC1021">IF(AND(F1021:H1021&lt;&gt;"",I1021=""),"ERROR","OK")</f>
        <v>OK</v>
      </c>
      <c r="AD1021" s="240" t="str">
        <f t="shared" si="126"/>
        <v>OK</v>
      </c>
      <c r="AE1021" s="240" t="str">
        <f t="shared" si="127"/>
        <v>OK</v>
      </c>
      <c r="AF1021" s="240" t="str" cm="1">
        <f t="array" aca="1" ref="AF1021" ca="1" xml:space="preserve">
IF(AND($G1021&lt;&gt;"",$F1021=""),"ERROR",
IF(OR($F1021:$G1021="",AND($G1021="",$F1021&lt;&gt;"")),"OK",
IF(COUNTIF(INDIRECT(IFERROR(LEFT($F1021,FIND(" ",$F1021)-1),$F1021)), $G1021)&gt;0, "OK", "ERROR")))</f>
        <v>OK</v>
      </c>
    </row>
    <row r="1022" spans="1:32" s="240" customFormat="1">
      <c r="A1022" s="48"/>
      <c r="B1022" s="31"/>
      <c r="C1022" s="48"/>
      <c r="D1022" s="47"/>
      <c r="E1022" s="47"/>
      <c r="F1022" s="31"/>
      <c r="G1022" s="31"/>
      <c r="H1022" s="31"/>
      <c r="I1022" s="47"/>
      <c r="J1022" s="31"/>
      <c r="K1022" s="47"/>
      <c r="L1022" s="47"/>
      <c r="M1022" s="47"/>
      <c r="N1022" s="31"/>
      <c r="O1022" s="47"/>
      <c r="P1022" s="31"/>
      <c r="Q1022" s="31"/>
      <c r="R1022" s="31"/>
      <c r="S1022" s="31"/>
      <c r="T1022" s="270">
        <f t="shared" si="120"/>
        <v>0</v>
      </c>
      <c r="U1022" s="270">
        <f t="shared" si="121"/>
        <v>0</v>
      </c>
      <c r="V1022" s="31"/>
      <c r="X1022" s="240" t="str">
        <f t="shared" si="122"/>
        <v>OK</v>
      </c>
      <c r="Y1022" s="240" t="str">
        <f t="shared" si="123"/>
        <v>OK</v>
      </c>
      <c r="Z1022" s="240" t="str">
        <f t="shared" si="124"/>
        <v>OK</v>
      </c>
      <c r="AA1022" s="240" t="str" cm="1">
        <f t="array" ref="AA1022">IF(OR(AND(J1022="Not accepted",N1022:O1022&lt;&gt;"",$S1022=""),AND(J1022="Accepted",S1022="")),"ERROR","OK")</f>
        <v>OK</v>
      </c>
      <c r="AB1022" s="240" t="str">
        <f t="shared" si="125"/>
        <v>OK</v>
      </c>
      <c r="AC1022" s="240" t="str" cm="1">
        <f t="array" ref="AC1022">IF(AND(F1022:H1022&lt;&gt;"",I1022=""),"ERROR","OK")</f>
        <v>OK</v>
      </c>
      <c r="AD1022" s="240" t="str">
        <f t="shared" si="126"/>
        <v>OK</v>
      </c>
      <c r="AE1022" s="240" t="str">
        <f t="shared" si="127"/>
        <v>OK</v>
      </c>
      <c r="AF1022" s="240" t="str" cm="1">
        <f t="array" aca="1" ref="AF1022" ca="1" xml:space="preserve">
IF(AND($G1022&lt;&gt;"",$F1022=""),"ERROR",
IF(OR($F1022:$G1022="",AND($G1022="",$F1022&lt;&gt;"")),"OK",
IF(COUNTIF(INDIRECT(IFERROR(LEFT($F1022,FIND(" ",$F1022)-1),$F1022)), $G1022)&gt;0, "OK", "ERROR")))</f>
        <v>OK</v>
      </c>
    </row>
    <row r="1023" spans="1:32" s="240" customFormat="1">
      <c r="A1023" s="48"/>
      <c r="B1023" s="31"/>
      <c r="C1023" s="48"/>
      <c r="D1023" s="47"/>
      <c r="E1023" s="47"/>
      <c r="F1023" s="31"/>
      <c r="G1023" s="31"/>
      <c r="H1023" s="31"/>
      <c r="I1023" s="47"/>
      <c r="J1023" s="31"/>
      <c r="K1023" s="47"/>
      <c r="L1023" s="47"/>
      <c r="M1023" s="47"/>
      <c r="N1023" s="31"/>
      <c r="O1023" s="47"/>
      <c r="P1023" s="31"/>
      <c r="Q1023" s="31"/>
      <c r="R1023" s="31"/>
      <c r="S1023" s="31"/>
      <c r="T1023" s="270">
        <f t="shared" si="120"/>
        <v>0</v>
      </c>
      <c r="U1023" s="270">
        <f t="shared" si="121"/>
        <v>0</v>
      </c>
      <c r="V1023" s="31"/>
      <c r="X1023" s="240" t="str">
        <f t="shared" si="122"/>
        <v>OK</v>
      </c>
      <c r="Y1023" s="240" t="str">
        <f t="shared" si="123"/>
        <v>OK</v>
      </c>
      <c r="Z1023" s="240" t="str">
        <f t="shared" si="124"/>
        <v>OK</v>
      </c>
      <c r="AA1023" s="240" t="str" cm="1">
        <f t="array" ref="AA1023">IF(OR(AND(J1023="Not accepted",N1023:O1023&lt;&gt;"",$S1023=""),AND(J1023="Accepted",S1023="")),"ERROR","OK")</f>
        <v>OK</v>
      </c>
      <c r="AB1023" s="240" t="str">
        <f t="shared" si="125"/>
        <v>OK</v>
      </c>
      <c r="AC1023" s="240" t="str" cm="1">
        <f t="array" ref="AC1023">IF(AND(F1023:H1023&lt;&gt;"",I1023=""),"ERROR","OK")</f>
        <v>OK</v>
      </c>
      <c r="AD1023" s="240" t="str">
        <f t="shared" si="126"/>
        <v>OK</v>
      </c>
      <c r="AE1023" s="240" t="str">
        <f t="shared" si="127"/>
        <v>OK</v>
      </c>
      <c r="AF1023" s="240" t="str" cm="1">
        <f t="array" aca="1" ref="AF1023" ca="1" xml:space="preserve">
IF(AND($G1023&lt;&gt;"",$F1023=""),"ERROR",
IF(OR($F1023:$G1023="",AND($G1023="",$F1023&lt;&gt;"")),"OK",
IF(COUNTIF(INDIRECT(IFERROR(LEFT($F1023,FIND(" ",$F1023)-1),$F1023)), $G1023)&gt;0, "OK", "ERROR")))</f>
        <v>OK</v>
      </c>
    </row>
    <row r="1024" spans="1:32" s="240" customFormat="1">
      <c r="A1024" s="48"/>
      <c r="B1024" s="31"/>
      <c r="C1024" s="48"/>
      <c r="D1024" s="47"/>
      <c r="E1024" s="47"/>
      <c r="F1024" s="31"/>
      <c r="G1024" s="31"/>
      <c r="H1024" s="31"/>
      <c r="I1024" s="47"/>
      <c r="J1024" s="31"/>
      <c r="K1024" s="47"/>
      <c r="L1024" s="47"/>
      <c r="M1024" s="47"/>
      <c r="N1024" s="31"/>
      <c r="O1024" s="47"/>
      <c r="P1024" s="31"/>
      <c r="Q1024" s="31"/>
      <c r="R1024" s="31"/>
      <c r="S1024" s="31"/>
      <c r="T1024" s="270">
        <f t="shared" si="120"/>
        <v>0</v>
      </c>
      <c r="U1024" s="270">
        <f t="shared" si="121"/>
        <v>0</v>
      </c>
      <c r="V1024" s="31"/>
      <c r="X1024" s="240" t="str">
        <f t="shared" si="122"/>
        <v>OK</v>
      </c>
      <c r="Y1024" s="240" t="str">
        <f t="shared" si="123"/>
        <v>OK</v>
      </c>
      <c r="Z1024" s="240" t="str">
        <f t="shared" si="124"/>
        <v>OK</v>
      </c>
      <c r="AA1024" s="240" t="str" cm="1">
        <f t="array" ref="AA1024">IF(OR(AND(J1024="Not accepted",N1024:O1024&lt;&gt;"",$S1024=""),AND(J1024="Accepted",S1024="")),"ERROR","OK")</f>
        <v>OK</v>
      </c>
      <c r="AB1024" s="240" t="str">
        <f t="shared" si="125"/>
        <v>OK</v>
      </c>
      <c r="AC1024" s="240" t="str" cm="1">
        <f t="array" ref="AC1024">IF(AND(F1024:H1024&lt;&gt;"",I1024=""),"ERROR","OK")</f>
        <v>OK</v>
      </c>
      <c r="AD1024" s="240" t="str">
        <f t="shared" si="126"/>
        <v>OK</v>
      </c>
      <c r="AE1024" s="240" t="str">
        <f t="shared" si="127"/>
        <v>OK</v>
      </c>
      <c r="AF1024" s="240" t="str" cm="1">
        <f t="array" aca="1" ref="AF1024" ca="1" xml:space="preserve">
IF(AND($G1024&lt;&gt;"",$F1024=""),"ERROR",
IF(OR($F1024:$G1024="",AND($G1024="",$F1024&lt;&gt;"")),"OK",
IF(COUNTIF(INDIRECT(IFERROR(LEFT($F1024,FIND(" ",$F1024)-1),$F1024)), $G1024)&gt;0, "OK", "ERROR")))</f>
        <v>OK</v>
      </c>
    </row>
    <row r="1025" spans="1:32" s="240" customFormat="1">
      <c r="A1025" s="48"/>
      <c r="B1025" s="31"/>
      <c r="C1025" s="48"/>
      <c r="D1025" s="47"/>
      <c r="E1025" s="47"/>
      <c r="F1025" s="31"/>
      <c r="G1025" s="31"/>
      <c r="H1025" s="31"/>
      <c r="I1025" s="47"/>
      <c r="J1025" s="31"/>
      <c r="K1025" s="47"/>
      <c r="L1025" s="47"/>
      <c r="M1025" s="47"/>
      <c r="N1025" s="31"/>
      <c r="O1025" s="47"/>
      <c r="P1025" s="31"/>
      <c r="Q1025" s="31"/>
      <c r="R1025" s="31"/>
      <c r="S1025" s="31"/>
      <c r="T1025" s="270">
        <f t="shared" si="120"/>
        <v>0</v>
      </c>
      <c r="U1025" s="270">
        <f t="shared" si="121"/>
        <v>0</v>
      </c>
      <c r="V1025" s="31"/>
      <c r="X1025" s="240" t="str">
        <f t="shared" si="122"/>
        <v>OK</v>
      </c>
      <c r="Y1025" s="240" t="str">
        <f t="shared" si="123"/>
        <v>OK</v>
      </c>
      <c r="Z1025" s="240" t="str">
        <f t="shared" si="124"/>
        <v>OK</v>
      </c>
      <c r="AA1025" s="240" t="str" cm="1">
        <f t="array" ref="AA1025">IF(OR(AND(J1025="Not accepted",N1025:O1025&lt;&gt;"",$S1025=""),AND(J1025="Accepted",S1025="")),"ERROR","OK")</f>
        <v>OK</v>
      </c>
      <c r="AB1025" s="240" t="str">
        <f t="shared" si="125"/>
        <v>OK</v>
      </c>
      <c r="AC1025" s="240" t="str" cm="1">
        <f t="array" ref="AC1025">IF(AND(F1025:H1025&lt;&gt;"",I1025=""),"ERROR","OK")</f>
        <v>OK</v>
      </c>
      <c r="AD1025" s="240" t="str">
        <f t="shared" si="126"/>
        <v>OK</v>
      </c>
      <c r="AE1025" s="240" t="str">
        <f t="shared" si="127"/>
        <v>OK</v>
      </c>
      <c r="AF1025" s="240" t="str" cm="1">
        <f t="array" aca="1" ref="AF1025" ca="1" xml:space="preserve">
IF(AND($G1025&lt;&gt;"",$F1025=""),"ERROR",
IF(OR($F1025:$G1025="",AND($G1025="",$F1025&lt;&gt;"")),"OK",
IF(COUNTIF(INDIRECT(IFERROR(LEFT($F1025,FIND(" ",$F1025)-1),$F1025)), $G1025)&gt;0, "OK", "ERROR")))</f>
        <v>OK</v>
      </c>
    </row>
    <row r="1026" spans="1:32" s="240" customFormat="1">
      <c r="A1026" s="48"/>
      <c r="B1026" s="31"/>
      <c r="C1026" s="48"/>
      <c r="D1026" s="47"/>
      <c r="E1026" s="47"/>
      <c r="F1026" s="31"/>
      <c r="G1026" s="31"/>
      <c r="H1026" s="31"/>
      <c r="I1026" s="47"/>
      <c r="J1026" s="31"/>
      <c r="K1026" s="47"/>
      <c r="L1026" s="47"/>
      <c r="M1026" s="47"/>
      <c r="N1026" s="31"/>
      <c r="O1026" s="47"/>
      <c r="P1026" s="31"/>
      <c r="Q1026" s="31"/>
      <c r="R1026" s="31"/>
      <c r="S1026" s="31"/>
      <c r="T1026" s="270">
        <f t="shared" si="120"/>
        <v>0</v>
      </c>
      <c r="U1026" s="270">
        <f t="shared" si="121"/>
        <v>0</v>
      </c>
      <c r="V1026" s="31"/>
      <c r="X1026" s="240" t="str">
        <f t="shared" si="122"/>
        <v>OK</v>
      </c>
      <c r="Y1026" s="240" t="str">
        <f t="shared" si="123"/>
        <v>OK</v>
      </c>
      <c r="Z1026" s="240" t="str">
        <f t="shared" si="124"/>
        <v>OK</v>
      </c>
      <c r="AA1026" s="240" t="str" cm="1">
        <f t="array" ref="AA1026">IF(OR(AND(J1026="Not accepted",N1026:O1026&lt;&gt;"",$S1026=""),AND(J1026="Accepted",S1026="")),"ERROR","OK")</f>
        <v>OK</v>
      </c>
      <c r="AB1026" s="240" t="str">
        <f t="shared" si="125"/>
        <v>OK</v>
      </c>
      <c r="AC1026" s="240" t="str" cm="1">
        <f t="array" ref="AC1026">IF(AND(F1026:H1026&lt;&gt;"",I1026=""),"ERROR","OK")</f>
        <v>OK</v>
      </c>
      <c r="AD1026" s="240" t="str">
        <f t="shared" si="126"/>
        <v>OK</v>
      </c>
      <c r="AE1026" s="240" t="str">
        <f t="shared" si="127"/>
        <v>OK</v>
      </c>
      <c r="AF1026" s="240" t="str" cm="1">
        <f t="array" aca="1" ref="AF1026" ca="1" xml:space="preserve">
IF(AND($G1026&lt;&gt;"",$F1026=""),"ERROR",
IF(OR($F1026:$G1026="",AND($G1026="",$F1026&lt;&gt;"")),"OK",
IF(COUNTIF(INDIRECT(IFERROR(LEFT($F1026,FIND(" ",$F1026)-1),$F1026)), $G1026)&gt;0, "OK", "ERROR")))</f>
        <v>OK</v>
      </c>
    </row>
    <row r="1027" spans="1:32" s="240" customFormat="1">
      <c r="A1027" s="48"/>
      <c r="B1027" s="31"/>
      <c r="C1027" s="48"/>
      <c r="D1027" s="47"/>
      <c r="E1027" s="47"/>
      <c r="F1027" s="31"/>
      <c r="G1027" s="31"/>
      <c r="H1027" s="31"/>
      <c r="I1027" s="47"/>
      <c r="J1027" s="31"/>
      <c r="K1027" s="47"/>
      <c r="L1027" s="47"/>
      <c r="M1027" s="47"/>
      <c r="N1027" s="31"/>
      <c r="O1027" s="47"/>
      <c r="P1027" s="31"/>
      <c r="Q1027" s="31"/>
      <c r="R1027" s="31"/>
      <c r="S1027" s="31"/>
      <c r="T1027" s="270">
        <f t="shared" si="120"/>
        <v>0</v>
      </c>
      <c r="U1027" s="270">
        <f t="shared" si="121"/>
        <v>0</v>
      </c>
      <c r="V1027" s="31"/>
      <c r="X1027" s="240" t="str">
        <f t="shared" si="122"/>
        <v>OK</v>
      </c>
      <c r="Y1027" s="240" t="str">
        <f t="shared" si="123"/>
        <v>OK</v>
      </c>
      <c r="Z1027" s="240" t="str">
        <f t="shared" si="124"/>
        <v>OK</v>
      </c>
      <c r="AA1027" s="240" t="str" cm="1">
        <f t="array" ref="AA1027">IF(OR(AND(J1027="Not accepted",N1027:O1027&lt;&gt;"",$S1027=""),AND(J1027="Accepted",S1027="")),"ERROR","OK")</f>
        <v>OK</v>
      </c>
      <c r="AB1027" s="240" t="str">
        <f t="shared" si="125"/>
        <v>OK</v>
      </c>
      <c r="AC1027" s="240" t="str" cm="1">
        <f t="array" ref="AC1027">IF(AND(F1027:H1027&lt;&gt;"",I1027=""),"ERROR","OK")</f>
        <v>OK</v>
      </c>
      <c r="AD1027" s="240" t="str">
        <f t="shared" si="126"/>
        <v>OK</v>
      </c>
      <c r="AE1027" s="240" t="str">
        <f t="shared" si="127"/>
        <v>OK</v>
      </c>
      <c r="AF1027" s="240" t="str" cm="1">
        <f t="array" aca="1" ref="AF1027" ca="1" xml:space="preserve">
IF(AND($G1027&lt;&gt;"",$F1027=""),"ERROR",
IF(OR($F1027:$G1027="",AND($G1027="",$F1027&lt;&gt;"")),"OK",
IF(COUNTIF(INDIRECT(IFERROR(LEFT($F1027,FIND(" ",$F1027)-1),$F1027)), $G1027)&gt;0, "OK", "ERROR")))</f>
        <v>OK</v>
      </c>
    </row>
    <row r="1028" spans="1:32" s="240" customFormat="1">
      <c r="A1028" s="48"/>
      <c r="B1028" s="31"/>
      <c r="C1028" s="48"/>
      <c r="D1028" s="47"/>
      <c r="E1028" s="47"/>
      <c r="F1028" s="31"/>
      <c r="G1028" s="31"/>
      <c r="H1028" s="31"/>
      <c r="I1028" s="47"/>
      <c r="J1028" s="31"/>
      <c r="K1028" s="47"/>
      <c r="L1028" s="47"/>
      <c r="M1028" s="47"/>
      <c r="N1028" s="31"/>
      <c r="O1028" s="47"/>
      <c r="P1028" s="31"/>
      <c r="Q1028" s="31"/>
      <c r="R1028" s="31"/>
      <c r="S1028" s="31"/>
      <c r="T1028" s="270">
        <f t="shared" si="120"/>
        <v>0</v>
      </c>
      <c r="U1028" s="270">
        <f t="shared" si="121"/>
        <v>0</v>
      </c>
      <c r="V1028" s="31"/>
      <c r="X1028" s="240" t="str">
        <f t="shared" si="122"/>
        <v>OK</v>
      </c>
      <c r="Y1028" s="240" t="str">
        <f t="shared" si="123"/>
        <v>OK</v>
      </c>
      <c r="Z1028" s="240" t="str">
        <f t="shared" si="124"/>
        <v>OK</v>
      </c>
      <c r="AA1028" s="240" t="str" cm="1">
        <f t="array" ref="AA1028">IF(OR(AND(J1028="Not accepted",N1028:O1028&lt;&gt;"",$S1028=""),AND(J1028="Accepted",S1028="")),"ERROR","OK")</f>
        <v>OK</v>
      </c>
      <c r="AB1028" s="240" t="str">
        <f t="shared" si="125"/>
        <v>OK</v>
      </c>
      <c r="AC1028" s="240" t="str" cm="1">
        <f t="array" ref="AC1028">IF(AND(F1028:H1028&lt;&gt;"",I1028=""),"ERROR","OK")</f>
        <v>OK</v>
      </c>
      <c r="AD1028" s="240" t="str">
        <f t="shared" si="126"/>
        <v>OK</v>
      </c>
      <c r="AE1028" s="240" t="str">
        <f t="shared" si="127"/>
        <v>OK</v>
      </c>
      <c r="AF1028" s="240" t="str" cm="1">
        <f t="array" aca="1" ref="AF1028" ca="1" xml:space="preserve">
IF(AND($G1028&lt;&gt;"",$F1028=""),"ERROR",
IF(OR($F1028:$G1028="",AND($G1028="",$F1028&lt;&gt;"")),"OK",
IF(COUNTIF(INDIRECT(IFERROR(LEFT($F1028,FIND(" ",$F1028)-1),$F1028)), $G1028)&gt;0, "OK", "ERROR")))</f>
        <v>OK</v>
      </c>
    </row>
    <row r="1029" spans="1:32" s="240" customFormat="1">
      <c r="A1029" s="48"/>
      <c r="B1029" s="31"/>
      <c r="C1029" s="48"/>
      <c r="D1029" s="47"/>
      <c r="E1029" s="47"/>
      <c r="F1029" s="31"/>
      <c r="G1029" s="31"/>
      <c r="H1029" s="31"/>
      <c r="I1029" s="47"/>
      <c r="J1029" s="31"/>
      <c r="K1029" s="47"/>
      <c r="L1029" s="47"/>
      <c r="M1029" s="47"/>
      <c r="N1029" s="31"/>
      <c r="O1029" s="47"/>
      <c r="P1029" s="31"/>
      <c r="Q1029" s="31"/>
      <c r="R1029" s="31"/>
      <c r="S1029" s="31"/>
      <c r="T1029" s="270">
        <f t="shared" ref="T1029:T1092" si="128">IF(OR($J1029="Accepted",ISBLANK($J1029)),IF(AND($G1029="Legacy Data",$Q1029="Legacy Data"),1,IF(OR($G1029="Legacy Data",$Q1029="Legacy Data"),1,0)),IF(OR($N1029="Agree with original translator",ISBLANK($N1029)),IF(AND($G1029="Source Text Data",$Q1029="Legacy Data"),1,IF(AND($G1029="Legacy Data",$Q1029="Legacy Data"),1,IF($Q1029="Legacy Data",1,0))),IF(AND($G1029="Legacy Data",$Q1029="Legacy Data"),1,IF(OR($Q1029="Legacy Data",ISBLANK($Q1029)),IF($G1029&lt;&gt;"Legacy Data",IF(AND($G1029="Source Text Data",$Q1029="Legacy Data"),1,0),1),0))))</f>
        <v>0</v>
      </c>
      <c r="U1029" s="270">
        <f t="shared" ref="U1029:U1092" si="129">IF(OR($J1029="Accepted",ISBLANK($J1029)),IF(AND($G1029="Source Text Data",$Q1029="Source Text Data"),1,IF(OR($G1029="Source Text Data",$Q1029="Source Text Data"),1,0)),IF(OR($N1029="Agree with original translator",ISBLANK($N1029)),IF(AND($G1029="Legacy Data",$Q1029="Source Text Data"),1,IF(AND($G1029="Source Text Data",$Q1029="Source Text Data"),1,IF($Q1029="Source Text Data",1,0))),IF(AND($G1029="Source Text Data",$Q1029="Source Text Data"),1,IF(OR($Q1029="Source Text Data",ISBLANK($Q1029)),IF($G1029&lt;&gt;"Source Text Data",IF(AND($G1029="Legacy Data",$Q1029="Source Text Data"),1,0),1),0))))</f>
        <v>0</v>
      </c>
      <c r="V1029" s="31"/>
      <c r="X1029" s="240" t="str">
        <f t="shared" ref="X1029:X1092" si="130">IF(AND(COUNTBLANK($F1029:$H1029)&lt;&gt;COLUMNS($F1029:$H1029),COUNTA($F1029:$H1029)&lt;&gt;COLUMNS($F1029:$H1029)),"ERROR","OK")</f>
        <v>OK</v>
      </c>
      <c r="Y1029" s="240" t="str">
        <f t="shared" ref="Y1029:Y1092" si="131">IF(AND($J1029="Not accepted",$K1029=""),"ERROR","OK")</f>
        <v>OK</v>
      </c>
      <c r="Z1029" s="240" t="str">
        <f t="shared" ref="Z1029:Z1092" si="132">IF(AND($F1029&lt;&gt;"",$J1029=""),"ERROR","OK")</f>
        <v>OK</v>
      </c>
      <c r="AA1029" s="240" t="str" cm="1">
        <f t="array" ref="AA1029">IF(OR(AND(J1029="Not accepted",N1029:O1029&lt;&gt;"",$S1029=""),AND(J1029="Accepted",S1029="")),"ERROR","OK")</f>
        <v>OK</v>
      </c>
      <c r="AB1029" s="240" t="str">
        <f t="shared" ref="AB1029:AB1092" si="133">IF(AND($S1029="Not Implemented",$V1029=""),"ERROR","OK")</f>
        <v>OK</v>
      </c>
      <c r="AC1029" s="240" t="str" cm="1">
        <f t="array" ref="AC1029">IF(AND(F1029:H1029&lt;&gt;"",I1029=""),"ERROR","OK")</f>
        <v>OK</v>
      </c>
      <c r="AD1029" s="240" t="str">
        <f t="shared" ref="AD1029:AD1092" si="134">IF(AND($N1029="",$J1029="Not accepted",$K1029&lt;&gt;""),"ERROR","OK")</f>
        <v>OK</v>
      </c>
      <c r="AE1029" s="240" t="str">
        <f t="shared" ref="AE1029:AE1092" si="135">IF(AND($O1029="",$N1029&lt;&gt;""),"ERROR","OK")</f>
        <v>OK</v>
      </c>
      <c r="AF1029" s="240" t="str" cm="1">
        <f t="array" aca="1" ref="AF1029" ca="1" xml:space="preserve">
IF(AND($G1029&lt;&gt;"",$F1029=""),"ERROR",
IF(OR($F1029:$G1029="",AND($G1029="",$F1029&lt;&gt;"")),"OK",
IF(COUNTIF(INDIRECT(IFERROR(LEFT($F1029,FIND(" ",$F1029)-1),$F1029)), $G1029)&gt;0, "OK", "ERROR")))</f>
        <v>OK</v>
      </c>
    </row>
    <row r="1030" spans="1:32" s="240" customFormat="1">
      <c r="A1030" s="48"/>
      <c r="B1030" s="31"/>
      <c r="C1030" s="48"/>
      <c r="D1030" s="47"/>
      <c r="E1030" s="47"/>
      <c r="F1030" s="31"/>
      <c r="G1030" s="31"/>
      <c r="H1030" s="31"/>
      <c r="I1030" s="47"/>
      <c r="J1030" s="31"/>
      <c r="K1030" s="47"/>
      <c r="L1030" s="47"/>
      <c r="M1030" s="47"/>
      <c r="N1030" s="31"/>
      <c r="O1030" s="47"/>
      <c r="P1030" s="31"/>
      <c r="Q1030" s="31"/>
      <c r="R1030" s="31"/>
      <c r="S1030" s="31"/>
      <c r="T1030" s="270">
        <f t="shared" si="128"/>
        <v>0</v>
      </c>
      <c r="U1030" s="270">
        <f t="shared" si="129"/>
        <v>0</v>
      </c>
      <c r="V1030" s="31"/>
      <c r="X1030" s="240" t="str">
        <f t="shared" si="130"/>
        <v>OK</v>
      </c>
      <c r="Y1030" s="240" t="str">
        <f t="shared" si="131"/>
        <v>OK</v>
      </c>
      <c r="Z1030" s="240" t="str">
        <f t="shared" si="132"/>
        <v>OK</v>
      </c>
      <c r="AA1030" s="240" t="str" cm="1">
        <f t="array" ref="AA1030">IF(OR(AND(J1030="Not accepted",N1030:O1030&lt;&gt;"",$S1030=""),AND(J1030="Accepted",S1030="")),"ERROR","OK")</f>
        <v>OK</v>
      </c>
      <c r="AB1030" s="240" t="str">
        <f t="shared" si="133"/>
        <v>OK</v>
      </c>
      <c r="AC1030" s="240" t="str" cm="1">
        <f t="array" ref="AC1030">IF(AND(F1030:H1030&lt;&gt;"",I1030=""),"ERROR","OK")</f>
        <v>OK</v>
      </c>
      <c r="AD1030" s="240" t="str">
        <f t="shared" si="134"/>
        <v>OK</v>
      </c>
      <c r="AE1030" s="240" t="str">
        <f t="shared" si="135"/>
        <v>OK</v>
      </c>
      <c r="AF1030" s="240" t="str" cm="1">
        <f t="array" aca="1" ref="AF1030" ca="1" xml:space="preserve">
IF(AND($G1030&lt;&gt;"",$F1030=""),"ERROR",
IF(OR($F1030:$G1030="",AND($G1030="",$F1030&lt;&gt;"")),"OK",
IF(COUNTIF(INDIRECT(IFERROR(LEFT($F1030,FIND(" ",$F1030)-1),$F1030)), $G1030)&gt;0, "OK", "ERROR")))</f>
        <v>OK</v>
      </c>
    </row>
    <row r="1031" spans="1:32" s="240" customFormat="1">
      <c r="A1031" s="48"/>
      <c r="B1031" s="31"/>
      <c r="C1031" s="48"/>
      <c r="D1031" s="47"/>
      <c r="E1031" s="47"/>
      <c r="F1031" s="31"/>
      <c r="G1031" s="31"/>
      <c r="H1031" s="31"/>
      <c r="I1031" s="47"/>
      <c r="J1031" s="31"/>
      <c r="K1031" s="47"/>
      <c r="L1031" s="47"/>
      <c r="M1031" s="47"/>
      <c r="N1031" s="31"/>
      <c r="O1031" s="47"/>
      <c r="P1031" s="31"/>
      <c r="Q1031" s="31"/>
      <c r="R1031" s="31"/>
      <c r="S1031" s="31"/>
      <c r="T1031" s="270">
        <f t="shared" si="128"/>
        <v>0</v>
      </c>
      <c r="U1031" s="270">
        <f t="shared" si="129"/>
        <v>0</v>
      </c>
      <c r="V1031" s="31"/>
      <c r="X1031" s="240" t="str">
        <f t="shared" si="130"/>
        <v>OK</v>
      </c>
      <c r="Y1031" s="240" t="str">
        <f t="shared" si="131"/>
        <v>OK</v>
      </c>
      <c r="Z1031" s="240" t="str">
        <f t="shared" si="132"/>
        <v>OK</v>
      </c>
      <c r="AA1031" s="240" t="str" cm="1">
        <f t="array" ref="AA1031">IF(OR(AND(J1031="Not accepted",N1031:O1031&lt;&gt;"",$S1031=""),AND(J1031="Accepted",S1031="")),"ERROR","OK")</f>
        <v>OK</v>
      </c>
      <c r="AB1031" s="240" t="str">
        <f t="shared" si="133"/>
        <v>OK</v>
      </c>
      <c r="AC1031" s="240" t="str" cm="1">
        <f t="array" ref="AC1031">IF(AND(F1031:H1031&lt;&gt;"",I1031=""),"ERROR","OK")</f>
        <v>OK</v>
      </c>
      <c r="AD1031" s="240" t="str">
        <f t="shared" si="134"/>
        <v>OK</v>
      </c>
      <c r="AE1031" s="240" t="str">
        <f t="shared" si="135"/>
        <v>OK</v>
      </c>
      <c r="AF1031" s="240" t="str" cm="1">
        <f t="array" aca="1" ref="AF1031" ca="1" xml:space="preserve">
IF(AND($G1031&lt;&gt;"",$F1031=""),"ERROR",
IF(OR($F1031:$G1031="",AND($G1031="",$F1031&lt;&gt;"")),"OK",
IF(COUNTIF(INDIRECT(IFERROR(LEFT($F1031,FIND(" ",$F1031)-1),$F1031)), $G1031)&gt;0, "OK", "ERROR")))</f>
        <v>OK</v>
      </c>
    </row>
    <row r="1032" spans="1:32" s="240" customFormat="1">
      <c r="A1032" s="48"/>
      <c r="B1032" s="31"/>
      <c r="C1032" s="48"/>
      <c r="D1032" s="47"/>
      <c r="E1032" s="47"/>
      <c r="F1032" s="31"/>
      <c r="G1032" s="31"/>
      <c r="H1032" s="31"/>
      <c r="I1032" s="47"/>
      <c r="J1032" s="31"/>
      <c r="K1032" s="47"/>
      <c r="L1032" s="47"/>
      <c r="M1032" s="47"/>
      <c r="N1032" s="31"/>
      <c r="O1032" s="47"/>
      <c r="P1032" s="31"/>
      <c r="Q1032" s="31"/>
      <c r="R1032" s="31"/>
      <c r="S1032" s="31"/>
      <c r="T1032" s="270">
        <f t="shared" si="128"/>
        <v>0</v>
      </c>
      <c r="U1032" s="270">
        <f t="shared" si="129"/>
        <v>0</v>
      </c>
      <c r="V1032" s="31"/>
      <c r="X1032" s="240" t="str">
        <f t="shared" si="130"/>
        <v>OK</v>
      </c>
      <c r="Y1032" s="240" t="str">
        <f t="shared" si="131"/>
        <v>OK</v>
      </c>
      <c r="Z1032" s="240" t="str">
        <f t="shared" si="132"/>
        <v>OK</v>
      </c>
      <c r="AA1032" s="240" t="str" cm="1">
        <f t="array" ref="AA1032">IF(OR(AND(J1032="Not accepted",N1032:O1032&lt;&gt;"",$S1032=""),AND(J1032="Accepted",S1032="")),"ERROR","OK")</f>
        <v>OK</v>
      </c>
      <c r="AB1032" s="240" t="str">
        <f t="shared" si="133"/>
        <v>OK</v>
      </c>
      <c r="AC1032" s="240" t="str" cm="1">
        <f t="array" ref="AC1032">IF(AND(F1032:H1032&lt;&gt;"",I1032=""),"ERROR","OK")</f>
        <v>OK</v>
      </c>
      <c r="AD1032" s="240" t="str">
        <f t="shared" si="134"/>
        <v>OK</v>
      </c>
      <c r="AE1032" s="240" t="str">
        <f t="shared" si="135"/>
        <v>OK</v>
      </c>
      <c r="AF1032" s="240" t="str" cm="1">
        <f t="array" aca="1" ref="AF1032" ca="1" xml:space="preserve">
IF(AND($G1032&lt;&gt;"",$F1032=""),"ERROR",
IF(OR($F1032:$G1032="",AND($G1032="",$F1032&lt;&gt;"")),"OK",
IF(COUNTIF(INDIRECT(IFERROR(LEFT($F1032,FIND(" ",$F1032)-1),$F1032)), $G1032)&gt;0, "OK", "ERROR")))</f>
        <v>OK</v>
      </c>
    </row>
    <row r="1033" spans="1:32" s="240" customFormat="1">
      <c r="A1033" s="48"/>
      <c r="B1033" s="31"/>
      <c r="C1033" s="48"/>
      <c r="D1033" s="47"/>
      <c r="E1033" s="47"/>
      <c r="F1033" s="31"/>
      <c r="G1033" s="31"/>
      <c r="H1033" s="31"/>
      <c r="I1033" s="47"/>
      <c r="J1033" s="31"/>
      <c r="K1033" s="47"/>
      <c r="L1033" s="47"/>
      <c r="M1033" s="47"/>
      <c r="N1033" s="31"/>
      <c r="O1033" s="47"/>
      <c r="P1033" s="31"/>
      <c r="Q1033" s="31"/>
      <c r="R1033" s="31"/>
      <c r="S1033" s="31"/>
      <c r="T1033" s="270">
        <f t="shared" si="128"/>
        <v>0</v>
      </c>
      <c r="U1033" s="270">
        <f t="shared" si="129"/>
        <v>0</v>
      </c>
      <c r="V1033" s="31"/>
      <c r="X1033" s="240" t="str">
        <f t="shared" si="130"/>
        <v>OK</v>
      </c>
      <c r="Y1033" s="240" t="str">
        <f t="shared" si="131"/>
        <v>OK</v>
      </c>
      <c r="Z1033" s="240" t="str">
        <f t="shared" si="132"/>
        <v>OK</v>
      </c>
      <c r="AA1033" s="240" t="str" cm="1">
        <f t="array" ref="AA1033">IF(OR(AND(J1033="Not accepted",N1033:O1033&lt;&gt;"",$S1033=""),AND(J1033="Accepted",S1033="")),"ERROR","OK")</f>
        <v>OK</v>
      </c>
      <c r="AB1033" s="240" t="str">
        <f t="shared" si="133"/>
        <v>OK</v>
      </c>
      <c r="AC1033" s="240" t="str" cm="1">
        <f t="array" ref="AC1033">IF(AND(F1033:H1033&lt;&gt;"",I1033=""),"ERROR","OK")</f>
        <v>OK</v>
      </c>
      <c r="AD1033" s="240" t="str">
        <f t="shared" si="134"/>
        <v>OK</v>
      </c>
      <c r="AE1033" s="240" t="str">
        <f t="shared" si="135"/>
        <v>OK</v>
      </c>
      <c r="AF1033" s="240" t="str" cm="1">
        <f t="array" aca="1" ref="AF1033" ca="1" xml:space="preserve">
IF(AND($G1033&lt;&gt;"",$F1033=""),"ERROR",
IF(OR($F1033:$G1033="",AND($G1033="",$F1033&lt;&gt;"")),"OK",
IF(COUNTIF(INDIRECT(IFERROR(LEFT($F1033,FIND(" ",$F1033)-1),$F1033)), $G1033)&gt;0, "OK", "ERROR")))</f>
        <v>OK</v>
      </c>
    </row>
    <row r="1034" spans="1:32" s="240" customFormat="1">
      <c r="A1034" s="48"/>
      <c r="B1034" s="31"/>
      <c r="C1034" s="48"/>
      <c r="D1034" s="47"/>
      <c r="E1034" s="47"/>
      <c r="F1034" s="31"/>
      <c r="G1034" s="31"/>
      <c r="H1034" s="31"/>
      <c r="I1034" s="47"/>
      <c r="J1034" s="31"/>
      <c r="K1034" s="47"/>
      <c r="L1034" s="47"/>
      <c r="M1034" s="47"/>
      <c r="N1034" s="31"/>
      <c r="O1034" s="47"/>
      <c r="P1034" s="31"/>
      <c r="Q1034" s="31"/>
      <c r="R1034" s="31"/>
      <c r="S1034" s="31"/>
      <c r="T1034" s="270">
        <f t="shared" si="128"/>
        <v>0</v>
      </c>
      <c r="U1034" s="270">
        <f t="shared" si="129"/>
        <v>0</v>
      </c>
      <c r="V1034" s="31"/>
      <c r="X1034" s="240" t="str">
        <f t="shared" si="130"/>
        <v>OK</v>
      </c>
      <c r="Y1034" s="240" t="str">
        <f t="shared" si="131"/>
        <v>OK</v>
      </c>
      <c r="Z1034" s="240" t="str">
        <f t="shared" si="132"/>
        <v>OK</v>
      </c>
      <c r="AA1034" s="240" t="str" cm="1">
        <f t="array" ref="AA1034">IF(OR(AND(J1034="Not accepted",N1034:O1034&lt;&gt;"",$S1034=""),AND(J1034="Accepted",S1034="")),"ERROR","OK")</f>
        <v>OK</v>
      </c>
      <c r="AB1034" s="240" t="str">
        <f t="shared" si="133"/>
        <v>OK</v>
      </c>
      <c r="AC1034" s="240" t="str" cm="1">
        <f t="array" ref="AC1034">IF(AND(F1034:H1034&lt;&gt;"",I1034=""),"ERROR","OK")</f>
        <v>OK</v>
      </c>
      <c r="AD1034" s="240" t="str">
        <f t="shared" si="134"/>
        <v>OK</v>
      </c>
      <c r="AE1034" s="240" t="str">
        <f t="shared" si="135"/>
        <v>OK</v>
      </c>
      <c r="AF1034" s="240" t="str" cm="1">
        <f t="array" aca="1" ref="AF1034" ca="1" xml:space="preserve">
IF(AND($G1034&lt;&gt;"",$F1034=""),"ERROR",
IF(OR($F1034:$G1034="",AND($G1034="",$F1034&lt;&gt;"")),"OK",
IF(COUNTIF(INDIRECT(IFERROR(LEFT($F1034,FIND(" ",$F1034)-1),$F1034)), $G1034)&gt;0, "OK", "ERROR")))</f>
        <v>OK</v>
      </c>
    </row>
    <row r="1035" spans="1:32" s="240" customFormat="1">
      <c r="A1035" s="48"/>
      <c r="B1035" s="31"/>
      <c r="C1035" s="48"/>
      <c r="D1035" s="47"/>
      <c r="E1035" s="47"/>
      <c r="F1035" s="31"/>
      <c r="G1035" s="31"/>
      <c r="H1035" s="31"/>
      <c r="I1035" s="47"/>
      <c r="J1035" s="31"/>
      <c r="K1035" s="47"/>
      <c r="L1035" s="47"/>
      <c r="M1035" s="47"/>
      <c r="N1035" s="31"/>
      <c r="O1035" s="47"/>
      <c r="P1035" s="31"/>
      <c r="Q1035" s="31"/>
      <c r="R1035" s="31"/>
      <c r="S1035" s="31"/>
      <c r="T1035" s="270">
        <f t="shared" si="128"/>
        <v>0</v>
      </c>
      <c r="U1035" s="270">
        <f t="shared" si="129"/>
        <v>0</v>
      </c>
      <c r="V1035" s="31"/>
      <c r="X1035" s="240" t="str">
        <f t="shared" si="130"/>
        <v>OK</v>
      </c>
      <c r="Y1035" s="240" t="str">
        <f t="shared" si="131"/>
        <v>OK</v>
      </c>
      <c r="Z1035" s="240" t="str">
        <f t="shared" si="132"/>
        <v>OK</v>
      </c>
      <c r="AA1035" s="240" t="str" cm="1">
        <f t="array" ref="AA1035">IF(OR(AND(J1035="Not accepted",N1035:O1035&lt;&gt;"",$S1035=""),AND(J1035="Accepted",S1035="")),"ERROR","OK")</f>
        <v>OK</v>
      </c>
      <c r="AB1035" s="240" t="str">
        <f t="shared" si="133"/>
        <v>OK</v>
      </c>
      <c r="AC1035" s="240" t="str" cm="1">
        <f t="array" ref="AC1035">IF(AND(F1035:H1035&lt;&gt;"",I1035=""),"ERROR","OK")</f>
        <v>OK</v>
      </c>
      <c r="AD1035" s="240" t="str">
        <f t="shared" si="134"/>
        <v>OK</v>
      </c>
      <c r="AE1035" s="240" t="str">
        <f t="shared" si="135"/>
        <v>OK</v>
      </c>
      <c r="AF1035" s="240" t="str" cm="1">
        <f t="array" aca="1" ref="AF1035" ca="1" xml:space="preserve">
IF(AND($G1035&lt;&gt;"",$F1035=""),"ERROR",
IF(OR($F1035:$G1035="",AND($G1035="",$F1035&lt;&gt;"")),"OK",
IF(COUNTIF(INDIRECT(IFERROR(LEFT($F1035,FIND(" ",$F1035)-1),$F1035)), $G1035)&gt;0, "OK", "ERROR")))</f>
        <v>OK</v>
      </c>
    </row>
    <row r="1036" spans="1:32" s="240" customFormat="1">
      <c r="A1036" s="48"/>
      <c r="B1036" s="31"/>
      <c r="C1036" s="48"/>
      <c r="D1036" s="47"/>
      <c r="E1036" s="47"/>
      <c r="F1036" s="31"/>
      <c r="G1036" s="31"/>
      <c r="H1036" s="31"/>
      <c r="I1036" s="47"/>
      <c r="J1036" s="31"/>
      <c r="K1036" s="47"/>
      <c r="L1036" s="47"/>
      <c r="M1036" s="47"/>
      <c r="N1036" s="31"/>
      <c r="O1036" s="47"/>
      <c r="P1036" s="31"/>
      <c r="Q1036" s="31"/>
      <c r="R1036" s="31"/>
      <c r="S1036" s="31"/>
      <c r="T1036" s="270">
        <f t="shared" si="128"/>
        <v>0</v>
      </c>
      <c r="U1036" s="270">
        <f t="shared" si="129"/>
        <v>0</v>
      </c>
      <c r="V1036" s="31"/>
      <c r="X1036" s="240" t="str">
        <f t="shared" si="130"/>
        <v>OK</v>
      </c>
      <c r="Y1036" s="240" t="str">
        <f t="shared" si="131"/>
        <v>OK</v>
      </c>
      <c r="Z1036" s="240" t="str">
        <f t="shared" si="132"/>
        <v>OK</v>
      </c>
      <c r="AA1036" s="240" t="str" cm="1">
        <f t="array" ref="AA1036">IF(OR(AND(J1036="Not accepted",N1036:O1036&lt;&gt;"",$S1036=""),AND(J1036="Accepted",S1036="")),"ERROR","OK")</f>
        <v>OK</v>
      </c>
      <c r="AB1036" s="240" t="str">
        <f t="shared" si="133"/>
        <v>OK</v>
      </c>
      <c r="AC1036" s="240" t="str" cm="1">
        <f t="array" ref="AC1036">IF(AND(F1036:H1036&lt;&gt;"",I1036=""),"ERROR","OK")</f>
        <v>OK</v>
      </c>
      <c r="AD1036" s="240" t="str">
        <f t="shared" si="134"/>
        <v>OK</v>
      </c>
      <c r="AE1036" s="240" t="str">
        <f t="shared" si="135"/>
        <v>OK</v>
      </c>
      <c r="AF1036" s="240" t="str" cm="1">
        <f t="array" aca="1" ref="AF1036" ca="1" xml:space="preserve">
IF(AND($G1036&lt;&gt;"",$F1036=""),"ERROR",
IF(OR($F1036:$G1036="",AND($G1036="",$F1036&lt;&gt;"")),"OK",
IF(COUNTIF(INDIRECT(IFERROR(LEFT($F1036,FIND(" ",$F1036)-1),$F1036)), $G1036)&gt;0, "OK", "ERROR")))</f>
        <v>OK</v>
      </c>
    </row>
    <row r="1037" spans="1:32" s="240" customFormat="1">
      <c r="A1037" s="48"/>
      <c r="B1037" s="31"/>
      <c r="C1037" s="48"/>
      <c r="D1037" s="47"/>
      <c r="E1037" s="47"/>
      <c r="F1037" s="31"/>
      <c r="G1037" s="31"/>
      <c r="H1037" s="31"/>
      <c r="I1037" s="47"/>
      <c r="J1037" s="31"/>
      <c r="K1037" s="47"/>
      <c r="L1037" s="47"/>
      <c r="M1037" s="47"/>
      <c r="N1037" s="31"/>
      <c r="O1037" s="47"/>
      <c r="P1037" s="31"/>
      <c r="Q1037" s="31"/>
      <c r="R1037" s="31"/>
      <c r="S1037" s="31"/>
      <c r="T1037" s="270">
        <f t="shared" si="128"/>
        <v>0</v>
      </c>
      <c r="U1037" s="270">
        <f t="shared" si="129"/>
        <v>0</v>
      </c>
      <c r="V1037" s="31"/>
      <c r="X1037" s="240" t="str">
        <f t="shared" si="130"/>
        <v>OK</v>
      </c>
      <c r="Y1037" s="240" t="str">
        <f t="shared" si="131"/>
        <v>OK</v>
      </c>
      <c r="Z1037" s="240" t="str">
        <f t="shared" si="132"/>
        <v>OK</v>
      </c>
      <c r="AA1037" s="240" t="str" cm="1">
        <f t="array" ref="AA1037">IF(OR(AND(J1037="Not accepted",N1037:O1037&lt;&gt;"",$S1037=""),AND(J1037="Accepted",S1037="")),"ERROR","OK")</f>
        <v>OK</v>
      </c>
      <c r="AB1037" s="240" t="str">
        <f t="shared" si="133"/>
        <v>OK</v>
      </c>
      <c r="AC1037" s="240" t="str" cm="1">
        <f t="array" ref="AC1037">IF(AND(F1037:H1037&lt;&gt;"",I1037=""),"ERROR","OK")</f>
        <v>OK</v>
      </c>
      <c r="AD1037" s="240" t="str">
        <f t="shared" si="134"/>
        <v>OK</v>
      </c>
      <c r="AE1037" s="240" t="str">
        <f t="shared" si="135"/>
        <v>OK</v>
      </c>
      <c r="AF1037" s="240" t="str" cm="1">
        <f t="array" aca="1" ref="AF1037" ca="1" xml:space="preserve">
IF(AND($G1037&lt;&gt;"",$F1037=""),"ERROR",
IF(OR($F1037:$G1037="",AND($G1037="",$F1037&lt;&gt;"")),"OK",
IF(COUNTIF(INDIRECT(IFERROR(LEFT($F1037,FIND(" ",$F1037)-1),$F1037)), $G1037)&gt;0, "OK", "ERROR")))</f>
        <v>OK</v>
      </c>
    </row>
    <row r="1038" spans="1:32" s="240" customFormat="1">
      <c r="A1038" s="48"/>
      <c r="B1038" s="31"/>
      <c r="C1038" s="48"/>
      <c r="D1038" s="47"/>
      <c r="E1038" s="47"/>
      <c r="F1038" s="31"/>
      <c r="G1038" s="31"/>
      <c r="H1038" s="31"/>
      <c r="I1038" s="47"/>
      <c r="J1038" s="31"/>
      <c r="K1038" s="47"/>
      <c r="L1038" s="47"/>
      <c r="M1038" s="47"/>
      <c r="N1038" s="31"/>
      <c r="O1038" s="47"/>
      <c r="P1038" s="31"/>
      <c r="Q1038" s="31"/>
      <c r="R1038" s="31"/>
      <c r="S1038" s="31"/>
      <c r="T1038" s="270">
        <f t="shared" si="128"/>
        <v>0</v>
      </c>
      <c r="U1038" s="270">
        <f t="shared" si="129"/>
        <v>0</v>
      </c>
      <c r="V1038" s="31"/>
      <c r="X1038" s="240" t="str">
        <f t="shared" si="130"/>
        <v>OK</v>
      </c>
      <c r="Y1038" s="240" t="str">
        <f t="shared" si="131"/>
        <v>OK</v>
      </c>
      <c r="Z1038" s="240" t="str">
        <f t="shared" si="132"/>
        <v>OK</v>
      </c>
      <c r="AA1038" s="240" t="str" cm="1">
        <f t="array" ref="AA1038">IF(OR(AND(J1038="Not accepted",N1038:O1038&lt;&gt;"",$S1038=""),AND(J1038="Accepted",S1038="")),"ERROR","OK")</f>
        <v>OK</v>
      </c>
      <c r="AB1038" s="240" t="str">
        <f t="shared" si="133"/>
        <v>OK</v>
      </c>
      <c r="AC1038" s="240" t="str" cm="1">
        <f t="array" ref="AC1038">IF(AND(F1038:H1038&lt;&gt;"",I1038=""),"ERROR","OK")</f>
        <v>OK</v>
      </c>
      <c r="AD1038" s="240" t="str">
        <f t="shared" si="134"/>
        <v>OK</v>
      </c>
      <c r="AE1038" s="240" t="str">
        <f t="shared" si="135"/>
        <v>OK</v>
      </c>
      <c r="AF1038" s="240" t="str" cm="1">
        <f t="array" aca="1" ref="AF1038" ca="1" xml:space="preserve">
IF(AND($G1038&lt;&gt;"",$F1038=""),"ERROR",
IF(OR($F1038:$G1038="",AND($G1038="",$F1038&lt;&gt;"")),"OK",
IF(COUNTIF(INDIRECT(IFERROR(LEFT($F1038,FIND(" ",$F1038)-1),$F1038)), $G1038)&gt;0, "OK", "ERROR")))</f>
        <v>OK</v>
      </c>
    </row>
    <row r="1039" spans="1:32" s="240" customFormat="1">
      <c r="A1039" s="48"/>
      <c r="B1039" s="31"/>
      <c r="C1039" s="48"/>
      <c r="D1039" s="47"/>
      <c r="E1039" s="47"/>
      <c r="F1039" s="31"/>
      <c r="G1039" s="31"/>
      <c r="H1039" s="31"/>
      <c r="I1039" s="47"/>
      <c r="J1039" s="31"/>
      <c r="K1039" s="47"/>
      <c r="L1039" s="47"/>
      <c r="M1039" s="47"/>
      <c r="N1039" s="31"/>
      <c r="O1039" s="47"/>
      <c r="P1039" s="31"/>
      <c r="Q1039" s="31"/>
      <c r="R1039" s="31"/>
      <c r="S1039" s="31"/>
      <c r="T1039" s="270">
        <f t="shared" si="128"/>
        <v>0</v>
      </c>
      <c r="U1039" s="270">
        <f t="shared" si="129"/>
        <v>0</v>
      </c>
      <c r="V1039" s="31"/>
      <c r="X1039" s="240" t="str">
        <f t="shared" si="130"/>
        <v>OK</v>
      </c>
      <c r="Y1039" s="240" t="str">
        <f t="shared" si="131"/>
        <v>OK</v>
      </c>
      <c r="Z1039" s="240" t="str">
        <f t="shared" si="132"/>
        <v>OK</v>
      </c>
      <c r="AA1039" s="240" t="str" cm="1">
        <f t="array" ref="AA1039">IF(OR(AND(J1039="Not accepted",N1039:O1039&lt;&gt;"",$S1039=""),AND(J1039="Accepted",S1039="")),"ERROR","OK")</f>
        <v>OK</v>
      </c>
      <c r="AB1039" s="240" t="str">
        <f t="shared" si="133"/>
        <v>OK</v>
      </c>
      <c r="AC1039" s="240" t="str" cm="1">
        <f t="array" ref="AC1039">IF(AND(F1039:H1039&lt;&gt;"",I1039=""),"ERROR","OK")</f>
        <v>OK</v>
      </c>
      <c r="AD1039" s="240" t="str">
        <f t="shared" si="134"/>
        <v>OK</v>
      </c>
      <c r="AE1039" s="240" t="str">
        <f t="shared" si="135"/>
        <v>OK</v>
      </c>
      <c r="AF1039" s="240" t="str" cm="1">
        <f t="array" aca="1" ref="AF1039" ca="1" xml:space="preserve">
IF(AND($G1039&lt;&gt;"",$F1039=""),"ERROR",
IF(OR($F1039:$G1039="",AND($G1039="",$F1039&lt;&gt;"")),"OK",
IF(COUNTIF(INDIRECT(IFERROR(LEFT($F1039,FIND(" ",$F1039)-1),$F1039)), $G1039)&gt;0, "OK", "ERROR")))</f>
        <v>OK</v>
      </c>
    </row>
    <row r="1040" spans="1:32" s="240" customFormat="1">
      <c r="A1040" s="48"/>
      <c r="B1040" s="31"/>
      <c r="C1040" s="48"/>
      <c r="D1040" s="47"/>
      <c r="E1040" s="47"/>
      <c r="F1040" s="31"/>
      <c r="G1040" s="31"/>
      <c r="H1040" s="31"/>
      <c r="I1040" s="47"/>
      <c r="J1040" s="31"/>
      <c r="K1040" s="47"/>
      <c r="L1040" s="47"/>
      <c r="M1040" s="47"/>
      <c r="N1040" s="31"/>
      <c r="O1040" s="47"/>
      <c r="P1040" s="31"/>
      <c r="Q1040" s="31"/>
      <c r="R1040" s="31"/>
      <c r="S1040" s="31"/>
      <c r="T1040" s="270">
        <f t="shared" si="128"/>
        <v>0</v>
      </c>
      <c r="U1040" s="270">
        <f t="shared" si="129"/>
        <v>0</v>
      </c>
      <c r="V1040" s="31"/>
      <c r="X1040" s="240" t="str">
        <f t="shared" si="130"/>
        <v>OK</v>
      </c>
      <c r="Y1040" s="240" t="str">
        <f t="shared" si="131"/>
        <v>OK</v>
      </c>
      <c r="Z1040" s="240" t="str">
        <f t="shared" si="132"/>
        <v>OK</v>
      </c>
      <c r="AA1040" s="240" t="str" cm="1">
        <f t="array" ref="AA1040">IF(OR(AND(J1040="Not accepted",N1040:O1040&lt;&gt;"",$S1040=""),AND(J1040="Accepted",S1040="")),"ERROR","OK")</f>
        <v>OK</v>
      </c>
      <c r="AB1040" s="240" t="str">
        <f t="shared" si="133"/>
        <v>OK</v>
      </c>
      <c r="AC1040" s="240" t="str" cm="1">
        <f t="array" ref="AC1040">IF(AND(F1040:H1040&lt;&gt;"",I1040=""),"ERROR","OK")</f>
        <v>OK</v>
      </c>
      <c r="AD1040" s="240" t="str">
        <f t="shared" si="134"/>
        <v>OK</v>
      </c>
      <c r="AE1040" s="240" t="str">
        <f t="shared" si="135"/>
        <v>OK</v>
      </c>
      <c r="AF1040" s="240" t="str" cm="1">
        <f t="array" aca="1" ref="AF1040" ca="1" xml:space="preserve">
IF(AND($G1040&lt;&gt;"",$F1040=""),"ERROR",
IF(OR($F1040:$G1040="",AND($G1040="",$F1040&lt;&gt;"")),"OK",
IF(COUNTIF(INDIRECT(IFERROR(LEFT($F1040,FIND(" ",$F1040)-1),$F1040)), $G1040)&gt;0, "OK", "ERROR")))</f>
        <v>OK</v>
      </c>
    </row>
    <row r="1041" spans="1:32" s="240" customFormat="1">
      <c r="A1041" s="48"/>
      <c r="B1041" s="31"/>
      <c r="C1041" s="48"/>
      <c r="D1041" s="47"/>
      <c r="E1041" s="47"/>
      <c r="F1041" s="31"/>
      <c r="G1041" s="31"/>
      <c r="H1041" s="31"/>
      <c r="I1041" s="47"/>
      <c r="J1041" s="31"/>
      <c r="K1041" s="47"/>
      <c r="L1041" s="47"/>
      <c r="M1041" s="47"/>
      <c r="N1041" s="31"/>
      <c r="O1041" s="47"/>
      <c r="P1041" s="31"/>
      <c r="Q1041" s="31"/>
      <c r="R1041" s="31"/>
      <c r="S1041" s="31"/>
      <c r="T1041" s="270">
        <f t="shared" si="128"/>
        <v>0</v>
      </c>
      <c r="U1041" s="270">
        <f t="shared" si="129"/>
        <v>0</v>
      </c>
      <c r="V1041" s="31"/>
      <c r="X1041" s="240" t="str">
        <f t="shared" si="130"/>
        <v>OK</v>
      </c>
      <c r="Y1041" s="240" t="str">
        <f t="shared" si="131"/>
        <v>OK</v>
      </c>
      <c r="Z1041" s="240" t="str">
        <f t="shared" si="132"/>
        <v>OK</v>
      </c>
      <c r="AA1041" s="240" t="str" cm="1">
        <f t="array" ref="AA1041">IF(OR(AND(J1041="Not accepted",N1041:O1041&lt;&gt;"",$S1041=""),AND(J1041="Accepted",S1041="")),"ERROR","OK")</f>
        <v>OK</v>
      </c>
      <c r="AB1041" s="240" t="str">
        <f t="shared" si="133"/>
        <v>OK</v>
      </c>
      <c r="AC1041" s="240" t="str" cm="1">
        <f t="array" ref="AC1041">IF(AND(F1041:H1041&lt;&gt;"",I1041=""),"ERROR","OK")</f>
        <v>OK</v>
      </c>
      <c r="AD1041" s="240" t="str">
        <f t="shared" si="134"/>
        <v>OK</v>
      </c>
      <c r="AE1041" s="240" t="str">
        <f t="shared" si="135"/>
        <v>OK</v>
      </c>
      <c r="AF1041" s="240" t="str" cm="1">
        <f t="array" aca="1" ref="AF1041" ca="1" xml:space="preserve">
IF(AND($G1041&lt;&gt;"",$F1041=""),"ERROR",
IF(OR($F1041:$G1041="",AND($G1041="",$F1041&lt;&gt;"")),"OK",
IF(COUNTIF(INDIRECT(IFERROR(LEFT($F1041,FIND(" ",$F1041)-1),$F1041)), $G1041)&gt;0, "OK", "ERROR")))</f>
        <v>OK</v>
      </c>
    </row>
    <row r="1042" spans="1:32" s="240" customFormat="1">
      <c r="A1042" s="48"/>
      <c r="B1042" s="31"/>
      <c r="C1042" s="48"/>
      <c r="D1042" s="47"/>
      <c r="E1042" s="47"/>
      <c r="F1042" s="31"/>
      <c r="G1042" s="31"/>
      <c r="H1042" s="31"/>
      <c r="I1042" s="47"/>
      <c r="J1042" s="31"/>
      <c r="K1042" s="47"/>
      <c r="L1042" s="47"/>
      <c r="M1042" s="47"/>
      <c r="N1042" s="31"/>
      <c r="O1042" s="47"/>
      <c r="P1042" s="31"/>
      <c r="Q1042" s="31"/>
      <c r="R1042" s="31"/>
      <c r="S1042" s="31"/>
      <c r="T1042" s="270">
        <f t="shared" si="128"/>
        <v>0</v>
      </c>
      <c r="U1042" s="270">
        <f t="shared" si="129"/>
        <v>0</v>
      </c>
      <c r="V1042" s="31"/>
      <c r="X1042" s="240" t="str">
        <f t="shared" si="130"/>
        <v>OK</v>
      </c>
      <c r="Y1042" s="240" t="str">
        <f t="shared" si="131"/>
        <v>OK</v>
      </c>
      <c r="Z1042" s="240" t="str">
        <f t="shared" si="132"/>
        <v>OK</v>
      </c>
      <c r="AA1042" s="240" t="str" cm="1">
        <f t="array" ref="AA1042">IF(OR(AND(J1042="Not accepted",N1042:O1042&lt;&gt;"",$S1042=""),AND(J1042="Accepted",S1042="")),"ERROR","OK")</f>
        <v>OK</v>
      </c>
      <c r="AB1042" s="240" t="str">
        <f t="shared" si="133"/>
        <v>OK</v>
      </c>
      <c r="AC1042" s="240" t="str" cm="1">
        <f t="array" ref="AC1042">IF(AND(F1042:H1042&lt;&gt;"",I1042=""),"ERROR","OK")</f>
        <v>OK</v>
      </c>
      <c r="AD1042" s="240" t="str">
        <f t="shared" si="134"/>
        <v>OK</v>
      </c>
      <c r="AE1042" s="240" t="str">
        <f t="shared" si="135"/>
        <v>OK</v>
      </c>
      <c r="AF1042" s="240" t="str" cm="1">
        <f t="array" aca="1" ref="AF1042" ca="1" xml:space="preserve">
IF(AND($G1042&lt;&gt;"",$F1042=""),"ERROR",
IF(OR($F1042:$G1042="",AND($G1042="",$F1042&lt;&gt;"")),"OK",
IF(COUNTIF(INDIRECT(IFERROR(LEFT($F1042,FIND(" ",$F1042)-1),$F1042)), $G1042)&gt;0, "OK", "ERROR")))</f>
        <v>OK</v>
      </c>
    </row>
    <row r="1043" spans="1:32" s="240" customFormat="1">
      <c r="A1043" s="48"/>
      <c r="B1043" s="31"/>
      <c r="C1043" s="48"/>
      <c r="D1043" s="47"/>
      <c r="E1043" s="47"/>
      <c r="F1043" s="31"/>
      <c r="G1043" s="31"/>
      <c r="H1043" s="31"/>
      <c r="I1043" s="47"/>
      <c r="J1043" s="31"/>
      <c r="K1043" s="47"/>
      <c r="L1043" s="47"/>
      <c r="M1043" s="47"/>
      <c r="N1043" s="31"/>
      <c r="O1043" s="47"/>
      <c r="P1043" s="31"/>
      <c r="Q1043" s="31"/>
      <c r="R1043" s="31"/>
      <c r="S1043" s="31"/>
      <c r="T1043" s="270">
        <f t="shared" si="128"/>
        <v>0</v>
      </c>
      <c r="U1043" s="270">
        <f t="shared" si="129"/>
        <v>0</v>
      </c>
      <c r="V1043" s="31"/>
      <c r="X1043" s="240" t="str">
        <f t="shared" si="130"/>
        <v>OK</v>
      </c>
      <c r="Y1043" s="240" t="str">
        <f t="shared" si="131"/>
        <v>OK</v>
      </c>
      <c r="Z1043" s="240" t="str">
        <f t="shared" si="132"/>
        <v>OK</v>
      </c>
      <c r="AA1043" s="240" t="str" cm="1">
        <f t="array" ref="AA1043">IF(OR(AND(J1043="Not accepted",N1043:O1043&lt;&gt;"",$S1043=""),AND(J1043="Accepted",S1043="")),"ERROR","OK")</f>
        <v>OK</v>
      </c>
      <c r="AB1043" s="240" t="str">
        <f t="shared" si="133"/>
        <v>OK</v>
      </c>
      <c r="AC1043" s="240" t="str" cm="1">
        <f t="array" ref="AC1043">IF(AND(F1043:H1043&lt;&gt;"",I1043=""),"ERROR","OK")</f>
        <v>OK</v>
      </c>
      <c r="AD1043" s="240" t="str">
        <f t="shared" si="134"/>
        <v>OK</v>
      </c>
      <c r="AE1043" s="240" t="str">
        <f t="shared" si="135"/>
        <v>OK</v>
      </c>
      <c r="AF1043" s="240" t="str" cm="1">
        <f t="array" aca="1" ref="AF1043" ca="1" xml:space="preserve">
IF(AND($G1043&lt;&gt;"",$F1043=""),"ERROR",
IF(OR($F1043:$G1043="",AND($G1043="",$F1043&lt;&gt;"")),"OK",
IF(COUNTIF(INDIRECT(IFERROR(LEFT($F1043,FIND(" ",$F1043)-1),$F1043)), $G1043)&gt;0, "OK", "ERROR")))</f>
        <v>OK</v>
      </c>
    </row>
    <row r="1044" spans="1:32" s="240" customFormat="1">
      <c r="A1044" s="48"/>
      <c r="B1044" s="31"/>
      <c r="C1044" s="48"/>
      <c r="D1044" s="47"/>
      <c r="E1044" s="47"/>
      <c r="F1044" s="31"/>
      <c r="G1044" s="31"/>
      <c r="H1044" s="31"/>
      <c r="I1044" s="47"/>
      <c r="J1044" s="31"/>
      <c r="K1044" s="47"/>
      <c r="L1044" s="47"/>
      <c r="M1044" s="47"/>
      <c r="N1044" s="31"/>
      <c r="O1044" s="47"/>
      <c r="P1044" s="31"/>
      <c r="Q1044" s="31"/>
      <c r="R1044" s="31"/>
      <c r="S1044" s="31"/>
      <c r="T1044" s="270">
        <f t="shared" si="128"/>
        <v>0</v>
      </c>
      <c r="U1044" s="270">
        <f t="shared" si="129"/>
        <v>0</v>
      </c>
      <c r="V1044" s="31"/>
      <c r="X1044" s="240" t="str">
        <f t="shared" si="130"/>
        <v>OK</v>
      </c>
      <c r="Y1044" s="240" t="str">
        <f t="shared" si="131"/>
        <v>OK</v>
      </c>
      <c r="Z1044" s="240" t="str">
        <f t="shared" si="132"/>
        <v>OK</v>
      </c>
      <c r="AA1044" s="240" t="str" cm="1">
        <f t="array" ref="AA1044">IF(OR(AND(J1044="Not accepted",N1044:O1044&lt;&gt;"",$S1044=""),AND(J1044="Accepted",S1044="")),"ERROR","OK")</f>
        <v>OK</v>
      </c>
      <c r="AB1044" s="240" t="str">
        <f t="shared" si="133"/>
        <v>OK</v>
      </c>
      <c r="AC1044" s="240" t="str" cm="1">
        <f t="array" ref="AC1044">IF(AND(F1044:H1044&lt;&gt;"",I1044=""),"ERROR","OK")</f>
        <v>OK</v>
      </c>
      <c r="AD1044" s="240" t="str">
        <f t="shared" si="134"/>
        <v>OK</v>
      </c>
      <c r="AE1044" s="240" t="str">
        <f t="shared" si="135"/>
        <v>OK</v>
      </c>
      <c r="AF1044" s="240" t="str" cm="1">
        <f t="array" aca="1" ref="AF1044" ca="1" xml:space="preserve">
IF(AND($G1044&lt;&gt;"",$F1044=""),"ERROR",
IF(OR($F1044:$G1044="",AND($G1044="",$F1044&lt;&gt;"")),"OK",
IF(COUNTIF(INDIRECT(IFERROR(LEFT($F1044,FIND(" ",$F1044)-1),$F1044)), $G1044)&gt;0, "OK", "ERROR")))</f>
        <v>OK</v>
      </c>
    </row>
    <row r="1045" spans="1:32" s="240" customFormat="1">
      <c r="A1045" s="48"/>
      <c r="B1045" s="31"/>
      <c r="C1045" s="48"/>
      <c r="D1045" s="47"/>
      <c r="E1045" s="47"/>
      <c r="F1045" s="31"/>
      <c r="G1045" s="31"/>
      <c r="H1045" s="31"/>
      <c r="I1045" s="47"/>
      <c r="J1045" s="31"/>
      <c r="K1045" s="47"/>
      <c r="L1045" s="47"/>
      <c r="M1045" s="47"/>
      <c r="N1045" s="31"/>
      <c r="O1045" s="47"/>
      <c r="P1045" s="31"/>
      <c r="Q1045" s="31"/>
      <c r="R1045" s="31"/>
      <c r="S1045" s="31"/>
      <c r="T1045" s="270">
        <f t="shared" si="128"/>
        <v>0</v>
      </c>
      <c r="U1045" s="270">
        <f t="shared" si="129"/>
        <v>0</v>
      </c>
      <c r="V1045" s="31"/>
      <c r="X1045" s="240" t="str">
        <f t="shared" si="130"/>
        <v>OK</v>
      </c>
      <c r="Y1045" s="240" t="str">
        <f t="shared" si="131"/>
        <v>OK</v>
      </c>
      <c r="Z1045" s="240" t="str">
        <f t="shared" si="132"/>
        <v>OK</v>
      </c>
      <c r="AA1045" s="240" t="str" cm="1">
        <f t="array" ref="AA1045">IF(OR(AND(J1045="Not accepted",N1045:O1045&lt;&gt;"",$S1045=""),AND(J1045="Accepted",S1045="")),"ERROR","OK")</f>
        <v>OK</v>
      </c>
      <c r="AB1045" s="240" t="str">
        <f t="shared" si="133"/>
        <v>OK</v>
      </c>
      <c r="AC1045" s="240" t="str" cm="1">
        <f t="array" ref="AC1045">IF(AND(F1045:H1045&lt;&gt;"",I1045=""),"ERROR","OK")</f>
        <v>OK</v>
      </c>
      <c r="AD1045" s="240" t="str">
        <f t="shared" si="134"/>
        <v>OK</v>
      </c>
      <c r="AE1045" s="240" t="str">
        <f t="shared" si="135"/>
        <v>OK</v>
      </c>
      <c r="AF1045" s="240" t="str" cm="1">
        <f t="array" aca="1" ref="AF1045" ca="1" xml:space="preserve">
IF(AND($G1045&lt;&gt;"",$F1045=""),"ERROR",
IF(OR($F1045:$G1045="",AND($G1045="",$F1045&lt;&gt;"")),"OK",
IF(COUNTIF(INDIRECT(IFERROR(LEFT($F1045,FIND(" ",$F1045)-1),$F1045)), $G1045)&gt;0, "OK", "ERROR")))</f>
        <v>OK</v>
      </c>
    </row>
    <row r="1046" spans="1:32" s="240" customFormat="1">
      <c r="A1046" s="48"/>
      <c r="B1046" s="31"/>
      <c r="C1046" s="48"/>
      <c r="D1046" s="47"/>
      <c r="E1046" s="47"/>
      <c r="F1046" s="31"/>
      <c r="G1046" s="31"/>
      <c r="H1046" s="31"/>
      <c r="I1046" s="47"/>
      <c r="J1046" s="31"/>
      <c r="K1046" s="47"/>
      <c r="L1046" s="47"/>
      <c r="M1046" s="47"/>
      <c r="N1046" s="31"/>
      <c r="O1046" s="47"/>
      <c r="P1046" s="31"/>
      <c r="Q1046" s="31"/>
      <c r="R1046" s="31"/>
      <c r="S1046" s="31"/>
      <c r="T1046" s="270">
        <f t="shared" si="128"/>
        <v>0</v>
      </c>
      <c r="U1046" s="270">
        <f t="shared" si="129"/>
        <v>0</v>
      </c>
      <c r="V1046" s="31"/>
      <c r="X1046" s="240" t="str">
        <f t="shared" si="130"/>
        <v>OK</v>
      </c>
      <c r="Y1046" s="240" t="str">
        <f t="shared" si="131"/>
        <v>OK</v>
      </c>
      <c r="Z1046" s="240" t="str">
        <f t="shared" si="132"/>
        <v>OK</v>
      </c>
      <c r="AA1046" s="240" t="str" cm="1">
        <f t="array" ref="AA1046">IF(OR(AND(J1046="Not accepted",N1046:O1046&lt;&gt;"",$S1046=""),AND(J1046="Accepted",S1046="")),"ERROR","OK")</f>
        <v>OK</v>
      </c>
      <c r="AB1046" s="240" t="str">
        <f t="shared" si="133"/>
        <v>OK</v>
      </c>
      <c r="AC1046" s="240" t="str" cm="1">
        <f t="array" ref="AC1046">IF(AND(F1046:H1046&lt;&gt;"",I1046=""),"ERROR","OK")</f>
        <v>OK</v>
      </c>
      <c r="AD1046" s="240" t="str">
        <f t="shared" si="134"/>
        <v>OK</v>
      </c>
      <c r="AE1046" s="240" t="str">
        <f t="shared" si="135"/>
        <v>OK</v>
      </c>
      <c r="AF1046" s="240" t="str" cm="1">
        <f t="array" aca="1" ref="AF1046" ca="1" xml:space="preserve">
IF(AND($G1046&lt;&gt;"",$F1046=""),"ERROR",
IF(OR($F1046:$G1046="",AND($G1046="",$F1046&lt;&gt;"")),"OK",
IF(COUNTIF(INDIRECT(IFERROR(LEFT($F1046,FIND(" ",$F1046)-1),$F1046)), $G1046)&gt;0, "OK", "ERROR")))</f>
        <v>OK</v>
      </c>
    </row>
    <row r="1047" spans="1:32" s="240" customFormat="1">
      <c r="A1047" s="48"/>
      <c r="B1047" s="31"/>
      <c r="C1047" s="48"/>
      <c r="D1047" s="47"/>
      <c r="E1047" s="47"/>
      <c r="F1047" s="31"/>
      <c r="G1047" s="31"/>
      <c r="H1047" s="31"/>
      <c r="I1047" s="47"/>
      <c r="J1047" s="31"/>
      <c r="K1047" s="47"/>
      <c r="L1047" s="47"/>
      <c r="M1047" s="47"/>
      <c r="N1047" s="31"/>
      <c r="O1047" s="47"/>
      <c r="P1047" s="31"/>
      <c r="Q1047" s="31"/>
      <c r="R1047" s="31"/>
      <c r="S1047" s="31"/>
      <c r="T1047" s="270">
        <f t="shared" si="128"/>
        <v>0</v>
      </c>
      <c r="U1047" s="270">
        <f t="shared" si="129"/>
        <v>0</v>
      </c>
      <c r="V1047" s="31"/>
      <c r="X1047" s="240" t="str">
        <f t="shared" si="130"/>
        <v>OK</v>
      </c>
      <c r="Y1047" s="240" t="str">
        <f t="shared" si="131"/>
        <v>OK</v>
      </c>
      <c r="Z1047" s="240" t="str">
        <f t="shared" si="132"/>
        <v>OK</v>
      </c>
      <c r="AA1047" s="240" t="str" cm="1">
        <f t="array" ref="AA1047">IF(OR(AND(J1047="Not accepted",N1047:O1047&lt;&gt;"",$S1047=""),AND(J1047="Accepted",S1047="")),"ERROR","OK")</f>
        <v>OK</v>
      </c>
      <c r="AB1047" s="240" t="str">
        <f t="shared" si="133"/>
        <v>OK</v>
      </c>
      <c r="AC1047" s="240" t="str" cm="1">
        <f t="array" ref="AC1047">IF(AND(F1047:H1047&lt;&gt;"",I1047=""),"ERROR","OK")</f>
        <v>OK</v>
      </c>
      <c r="AD1047" s="240" t="str">
        <f t="shared" si="134"/>
        <v>OK</v>
      </c>
      <c r="AE1047" s="240" t="str">
        <f t="shared" si="135"/>
        <v>OK</v>
      </c>
      <c r="AF1047" s="240" t="str" cm="1">
        <f t="array" aca="1" ref="AF1047" ca="1" xml:space="preserve">
IF(AND($G1047&lt;&gt;"",$F1047=""),"ERROR",
IF(OR($F1047:$G1047="",AND($G1047="",$F1047&lt;&gt;"")),"OK",
IF(COUNTIF(INDIRECT(IFERROR(LEFT($F1047,FIND(" ",$F1047)-1),$F1047)), $G1047)&gt;0, "OK", "ERROR")))</f>
        <v>OK</v>
      </c>
    </row>
    <row r="1048" spans="1:32" s="240" customFormat="1">
      <c r="A1048" s="48"/>
      <c r="B1048" s="31"/>
      <c r="C1048" s="48"/>
      <c r="D1048" s="47"/>
      <c r="E1048" s="47"/>
      <c r="F1048" s="31"/>
      <c r="G1048" s="31"/>
      <c r="H1048" s="31"/>
      <c r="I1048" s="47"/>
      <c r="J1048" s="31"/>
      <c r="K1048" s="47"/>
      <c r="L1048" s="47"/>
      <c r="M1048" s="47"/>
      <c r="N1048" s="31"/>
      <c r="O1048" s="47"/>
      <c r="P1048" s="31"/>
      <c r="Q1048" s="31"/>
      <c r="R1048" s="31"/>
      <c r="S1048" s="31"/>
      <c r="T1048" s="270">
        <f t="shared" si="128"/>
        <v>0</v>
      </c>
      <c r="U1048" s="270">
        <f t="shared" si="129"/>
        <v>0</v>
      </c>
      <c r="V1048" s="31"/>
      <c r="X1048" s="240" t="str">
        <f t="shared" si="130"/>
        <v>OK</v>
      </c>
      <c r="Y1048" s="240" t="str">
        <f t="shared" si="131"/>
        <v>OK</v>
      </c>
      <c r="Z1048" s="240" t="str">
        <f t="shared" si="132"/>
        <v>OK</v>
      </c>
      <c r="AA1048" s="240" t="str" cm="1">
        <f t="array" ref="AA1048">IF(OR(AND(J1048="Not accepted",N1048:O1048&lt;&gt;"",$S1048=""),AND(J1048="Accepted",S1048="")),"ERROR","OK")</f>
        <v>OK</v>
      </c>
      <c r="AB1048" s="240" t="str">
        <f t="shared" si="133"/>
        <v>OK</v>
      </c>
      <c r="AC1048" s="240" t="str" cm="1">
        <f t="array" ref="AC1048">IF(AND(F1048:H1048&lt;&gt;"",I1048=""),"ERROR","OK")</f>
        <v>OK</v>
      </c>
      <c r="AD1048" s="240" t="str">
        <f t="shared" si="134"/>
        <v>OK</v>
      </c>
      <c r="AE1048" s="240" t="str">
        <f t="shared" si="135"/>
        <v>OK</v>
      </c>
      <c r="AF1048" s="240" t="str" cm="1">
        <f t="array" aca="1" ref="AF1048" ca="1" xml:space="preserve">
IF(AND($G1048&lt;&gt;"",$F1048=""),"ERROR",
IF(OR($F1048:$G1048="",AND($G1048="",$F1048&lt;&gt;"")),"OK",
IF(COUNTIF(INDIRECT(IFERROR(LEFT($F1048,FIND(" ",$F1048)-1),$F1048)), $G1048)&gt;0, "OK", "ERROR")))</f>
        <v>OK</v>
      </c>
    </row>
    <row r="1049" spans="1:32" s="240" customFormat="1">
      <c r="A1049" s="48"/>
      <c r="B1049" s="31"/>
      <c r="C1049" s="48"/>
      <c r="D1049" s="47"/>
      <c r="E1049" s="47"/>
      <c r="F1049" s="31"/>
      <c r="G1049" s="31"/>
      <c r="H1049" s="31"/>
      <c r="I1049" s="47"/>
      <c r="J1049" s="31"/>
      <c r="K1049" s="47"/>
      <c r="L1049" s="47"/>
      <c r="M1049" s="47"/>
      <c r="N1049" s="31"/>
      <c r="O1049" s="47"/>
      <c r="P1049" s="31"/>
      <c r="Q1049" s="31"/>
      <c r="R1049" s="31"/>
      <c r="S1049" s="31"/>
      <c r="T1049" s="270">
        <f t="shared" si="128"/>
        <v>0</v>
      </c>
      <c r="U1049" s="270">
        <f t="shared" si="129"/>
        <v>0</v>
      </c>
      <c r="V1049" s="31"/>
      <c r="X1049" s="240" t="str">
        <f t="shared" si="130"/>
        <v>OK</v>
      </c>
      <c r="Y1049" s="240" t="str">
        <f t="shared" si="131"/>
        <v>OK</v>
      </c>
      <c r="Z1049" s="240" t="str">
        <f t="shared" si="132"/>
        <v>OK</v>
      </c>
      <c r="AA1049" s="240" t="str" cm="1">
        <f t="array" ref="AA1049">IF(OR(AND(J1049="Not accepted",N1049:O1049&lt;&gt;"",$S1049=""),AND(J1049="Accepted",S1049="")),"ERROR","OK")</f>
        <v>OK</v>
      </c>
      <c r="AB1049" s="240" t="str">
        <f t="shared" si="133"/>
        <v>OK</v>
      </c>
      <c r="AC1049" s="240" t="str" cm="1">
        <f t="array" ref="AC1049">IF(AND(F1049:H1049&lt;&gt;"",I1049=""),"ERROR","OK")</f>
        <v>OK</v>
      </c>
      <c r="AD1049" s="240" t="str">
        <f t="shared" si="134"/>
        <v>OK</v>
      </c>
      <c r="AE1049" s="240" t="str">
        <f t="shared" si="135"/>
        <v>OK</v>
      </c>
      <c r="AF1049" s="240" t="str" cm="1">
        <f t="array" aca="1" ref="AF1049" ca="1" xml:space="preserve">
IF(AND($G1049&lt;&gt;"",$F1049=""),"ERROR",
IF(OR($F1049:$G1049="",AND($G1049="",$F1049&lt;&gt;"")),"OK",
IF(COUNTIF(INDIRECT(IFERROR(LEFT($F1049,FIND(" ",$F1049)-1),$F1049)), $G1049)&gt;0, "OK", "ERROR")))</f>
        <v>OK</v>
      </c>
    </row>
    <row r="1050" spans="1:32" s="240" customFormat="1">
      <c r="A1050" s="48"/>
      <c r="B1050" s="31"/>
      <c r="C1050" s="48"/>
      <c r="D1050" s="47"/>
      <c r="E1050" s="47"/>
      <c r="F1050" s="31"/>
      <c r="G1050" s="31"/>
      <c r="H1050" s="31"/>
      <c r="I1050" s="47"/>
      <c r="J1050" s="31"/>
      <c r="K1050" s="47"/>
      <c r="L1050" s="47"/>
      <c r="M1050" s="47"/>
      <c r="N1050" s="31"/>
      <c r="O1050" s="47"/>
      <c r="P1050" s="31"/>
      <c r="Q1050" s="31"/>
      <c r="R1050" s="31"/>
      <c r="S1050" s="31"/>
      <c r="T1050" s="270">
        <f t="shared" si="128"/>
        <v>0</v>
      </c>
      <c r="U1050" s="270">
        <f t="shared" si="129"/>
        <v>0</v>
      </c>
      <c r="V1050" s="31"/>
      <c r="X1050" s="240" t="str">
        <f t="shared" si="130"/>
        <v>OK</v>
      </c>
      <c r="Y1050" s="240" t="str">
        <f t="shared" si="131"/>
        <v>OK</v>
      </c>
      <c r="Z1050" s="240" t="str">
        <f t="shared" si="132"/>
        <v>OK</v>
      </c>
      <c r="AA1050" s="240" t="str" cm="1">
        <f t="array" ref="AA1050">IF(OR(AND(J1050="Not accepted",N1050:O1050&lt;&gt;"",$S1050=""),AND(J1050="Accepted",S1050="")),"ERROR","OK")</f>
        <v>OK</v>
      </c>
      <c r="AB1050" s="240" t="str">
        <f t="shared" si="133"/>
        <v>OK</v>
      </c>
      <c r="AC1050" s="240" t="str" cm="1">
        <f t="array" ref="AC1050">IF(AND(F1050:H1050&lt;&gt;"",I1050=""),"ERROR","OK")</f>
        <v>OK</v>
      </c>
      <c r="AD1050" s="240" t="str">
        <f t="shared" si="134"/>
        <v>OK</v>
      </c>
      <c r="AE1050" s="240" t="str">
        <f t="shared" si="135"/>
        <v>OK</v>
      </c>
      <c r="AF1050" s="240" t="str" cm="1">
        <f t="array" aca="1" ref="AF1050" ca="1" xml:space="preserve">
IF(AND($G1050&lt;&gt;"",$F1050=""),"ERROR",
IF(OR($F1050:$G1050="",AND($G1050="",$F1050&lt;&gt;"")),"OK",
IF(COUNTIF(INDIRECT(IFERROR(LEFT($F1050,FIND(" ",$F1050)-1),$F1050)), $G1050)&gt;0, "OK", "ERROR")))</f>
        <v>OK</v>
      </c>
    </row>
    <row r="1051" spans="1:32" s="240" customFormat="1">
      <c r="A1051" s="48"/>
      <c r="B1051" s="31"/>
      <c r="C1051" s="48"/>
      <c r="D1051" s="47"/>
      <c r="E1051" s="47"/>
      <c r="F1051" s="31"/>
      <c r="G1051" s="31"/>
      <c r="H1051" s="31"/>
      <c r="I1051" s="47"/>
      <c r="J1051" s="31"/>
      <c r="K1051" s="47"/>
      <c r="L1051" s="47"/>
      <c r="M1051" s="47"/>
      <c r="N1051" s="31"/>
      <c r="O1051" s="47"/>
      <c r="P1051" s="31"/>
      <c r="Q1051" s="31"/>
      <c r="R1051" s="31"/>
      <c r="S1051" s="31"/>
      <c r="T1051" s="270">
        <f t="shared" si="128"/>
        <v>0</v>
      </c>
      <c r="U1051" s="270">
        <f t="shared" si="129"/>
        <v>0</v>
      </c>
      <c r="V1051" s="31"/>
      <c r="X1051" s="240" t="str">
        <f t="shared" si="130"/>
        <v>OK</v>
      </c>
      <c r="Y1051" s="240" t="str">
        <f t="shared" si="131"/>
        <v>OK</v>
      </c>
      <c r="Z1051" s="240" t="str">
        <f t="shared" si="132"/>
        <v>OK</v>
      </c>
      <c r="AA1051" s="240" t="str" cm="1">
        <f t="array" ref="AA1051">IF(OR(AND(J1051="Not accepted",N1051:O1051&lt;&gt;"",$S1051=""),AND(J1051="Accepted",S1051="")),"ERROR","OK")</f>
        <v>OK</v>
      </c>
      <c r="AB1051" s="240" t="str">
        <f t="shared" si="133"/>
        <v>OK</v>
      </c>
      <c r="AC1051" s="240" t="str" cm="1">
        <f t="array" ref="AC1051">IF(AND(F1051:H1051&lt;&gt;"",I1051=""),"ERROR","OK")</f>
        <v>OK</v>
      </c>
      <c r="AD1051" s="240" t="str">
        <f t="shared" si="134"/>
        <v>OK</v>
      </c>
      <c r="AE1051" s="240" t="str">
        <f t="shared" si="135"/>
        <v>OK</v>
      </c>
      <c r="AF1051" s="240" t="str" cm="1">
        <f t="array" aca="1" ref="AF1051" ca="1" xml:space="preserve">
IF(AND($G1051&lt;&gt;"",$F1051=""),"ERROR",
IF(OR($F1051:$G1051="",AND($G1051="",$F1051&lt;&gt;"")),"OK",
IF(COUNTIF(INDIRECT(IFERROR(LEFT($F1051,FIND(" ",$F1051)-1),$F1051)), $G1051)&gt;0, "OK", "ERROR")))</f>
        <v>OK</v>
      </c>
    </row>
    <row r="1052" spans="1:32" s="240" customFormat="1">
      <c r="A1052" s="48"/>
      <c r="B1052" s="31"/>
      <c r="C1052" s="48"/>
      <c r="D1052" s="47"/>
      <c r="E1052" s="47"/>
      <c r="F1052" s="31"/>
      <c r="G1052" s="31"/>
      <c r="H1052" s="31"/>
      <c r="I1052" s="47"/>
      <c r="J1052" s="31"/>
      <c r="K1052" s="47"/>
      <c r="L1052" s="47"/>
      <c r="M1052" s="47"/>
      <c r="N1052" s="31"/>
      <c r="O1052" s="47"/>
      <c r="P1052" s="31"/>
      <c r="Q1052" s="31"/>
      <c r="R1052" s="31"/>
      <c r="S1052" s="31"/>
      <c r="T1052" s="270">
        <f t="shared" si="128"/>
        <v>0</v>
      </c>
      <c r="U1052" s="270">
        <f t="shared" si="129"/>
        <v>0</v>
      </c>
      <c r="V1052" s="31"/>
      <c r="X1052" s="240" t="str">
        <f t="shared" si="130"/>
        <v>OK</v>
      </c>
      <c r="Y1052" s="240" t="str">
        <f t="shared" si="131"/>
        <v>OK</v>
      </c>
      <c r="Z1052" s="240" t="str">
        <f t="shared" si="132"/>
        <v>OK</v>
      </c>
      <c r="AA1052" s="240" t="str" cm="1">
        <f t="array" ref="AA1052">IF(OR(AND(J1052="Not accepted",N1052:O1052&lt;&gt;"",$S1052=""),AND(J1052="Accepted",S1052="")),"ERROR","OK")</f>
        <v>OK</v>
      </c>
      <c r="AB1052" s="240" t="str">
        <f t="shared" si="133"/>
        <v>OK</v>
      </c>
      <c r="AC1052" s="240" t="str" cm="1">
        <f t="array" ref="AC1052">IF(AND(F1052:H1052&lt;&gt;"",I1052=""),"ERROR","OK")</f>
        <v>OK</v>
      </c>
      <c r="AD1052" s="240" t="str">
        <f t="shared" si="134"/>
        <v>OK</v>
      </c>
      <c r="AE1052" s="240" t="str">
        <f t="shared" si="135"/>
        <v>OK</v>
      </c>
      <c r="AF1052" s="240" t="str" cm="1">
        <f t="array" aca="1" ref="AF1052" ca="1" xml:space="preserve">
IF(AND($G1052&lt;&gt;"",$F1052=""),"ERROR",
IF(OR($F1052:$G1052="",AND($G1052="",$F1052&lt;&gt;"")),"OK",
IF(COUNTIF(INDIRECT(IFERROR(LEFT($F1052,FIND(" ",$F1052)-1),$F1052)), $G1052)&gt;0, "OK", "ERROR")))</f>
        <v>OK</v>
      </c>
    </row>
    <row r="1053" spans="1:32" s="240" customFormat="1">
      <c r="A1053" s="48"/>
      <c r="B1053" s="31"/>
      <c r="C1053" s="48"/>
      <c r="D1053" s="47"/>
      <c r="E1053" s="47"/>
      <c r="F1053" s="31"/>
      <c r="G1053" s="31"/>
      <c r="H1053" s="31"/>
      <c r="I1053" s="47"/>
      <c r="J1053" s="31"/>
      <c r="K1053" s="47"/>
      <c r="L1053" s="47"/>
      <c r="M1053" s="47"/>
      <c r="N1053" s="31"/>
      <c r="O1053" s="47"/>
      <c r="P1053" s="31"/>
      <c r="Q1053" s="31"/>
      <c r="R1053" s="31"/>
      <c r="S1053" s="31"/>
      <c r="T1053" s="270">
        <f t="shared" si="128"/>
        <v>0</v>
      </c>
      <c r="U1053" s="270">
        <f t="shared" si="129"/>
        <v>0</v>
      </c>
      <c r="V1053" s="31"/>
      <c r="X1053" s="240" t="str">
        <f t="shared" si="130"/>
        <v>OK</v>
      </c>
      <c r="Y1053" s="240" t="str">
        <f t="shared" si="131"/>
        <v>OK</v>
      </c>
      <c r="Z1053" s="240" t="str">
        <f t="shared" si="132"/>
        <v>OK</v>
      </c>
      <c r="AA1053" s="240" t="str" cm="1">
        <f t="array" ref="AA1053">IF(OR(AND(J1053="Not accepted",N1053:O1053&lt;&gt;"",$S1053=""),AND(J1053="Accepted",S1053="")),"ERROR","OK")</f>
        <v>OK</v>
      </c>
      <c r="AB1053" s="240" t="str">
        <f t="shared" si="133"/>
        <v>OK</v>
      </c>
      <c r="AC1053" s="240" t="str" cm="1">
        <f t="array" ref="AC1053">IF(AND(F1053:H1053&lt;&gt;"",I1053=""),"ERROR","OK")</f>
        <v>OK</v>
      </c>
      <c r="AD1053" s="240" t="str">
        <f t="shared" si="134"/>
        <v>OK</v>
      </c>
      <c r="AE1053" s="240" t="str">
        <f t="shared" si="135"/>
        <v>OK</v>
      </c>
      <c r="AF1053" s="240" t="str" cm="1">
        <f t="array" aca="1" ref="AF1053" ca="1" xml:space="preserve">
IF(AND($G1053&lt;&gt;"",$F1053=""),"ERROR",
IF(OR($F1053:$G1053="",AND($G1053="",$F1053&lt;&gt;"")),"OK",
IF(COUNTIF(INDIRECT(IFERROR(LEFT($F1053,FIND(" ",$F1053)-1),$F1053)), $G1053)&gt;0, "OK", "ERROR")))</f>
        <v>OK</v>
      </c>
    </row>
    <row r="1054" spans="1:32" s="240" customFormat="1">
      <c r="A1054" s="48"/>
      <c r="B1054" s="31"/>
      <c r="C1054" s="48"/>
      <c r="D1054" s="47"/>
      <c r="E1054" s="47"/>
      <c r="F1054" s="31"/>
      <c r="G1054" s="31"/>
      <c r="H1054" s="31"/>
      <c r="I1054" s="47"/>
      <c r="J1054" s="31"/>
      <c r="K1054" s="47"/>
      <c r="L1054" s="47"/>
      <c r="M1054" s="47"/>
      <c r="N1054" s="31"/>
      <c r="O1054" s="47"/>
      <c r="P1054" s="31"/>
      <c r="Q1054" s="31"/>
      <c r="R1054" s="31"/>
      <c r="S1054" s="31"/>
      <c r="T1054" s="270">
        <f t="shared" si="128"/>
        <v>0</v>
      </c>
      <c r="U1054" s="270">
        <f t="shared" si="129"/>
        <v>0</v>
      </c>
      <c r="V1054" s="31"/>
      <c r="X1054" s="240" t="str">
        <f t="shared" si="130"/>
        <v>OK</v>
      </c>
      <c r="Y1054" s="240" t="str">
        <f t="shared" si="131"/>
        <v>OK</v>
      </c>
      <c r="Z1054" s="240" t="str">
        <f t="shared" si="132"/>
        <v>OK</v>
      </c>
      <c r="AA1054" s="240" t="str" cm="1">
        <f t="array" ref="AA1054">IF(OR(AND(J1054="Not accepted",N1054:O1054&lt;&gt;"",$S1054=""),AND(J1054="Accepted",S1054="")),"ERROR","OK")</f>
        <v>OK</v>
      </c>
      <c r="AB1054" s="240" t="str">
        <f t="shared" si="133"/>
        <v>OK</v>
      </c>
      <c r="AC1054" s="240" t="str" cm="1">
        <f t="array" ref="AC1054">IF(AND(F1054:H1054&lt;&gt;"",I1054=""),"ERROR","OK")</f>
        <v>OK</v>
      </c>
      <c r="AD1054" s="240" t="str">
        <f t="shared" si="134"/>
        <v>OK</v>
      </c>
      <c r="AE1054" s="240" t="str">
        <f t="shared" si="135"/>
        <v>OK</v>
      </c>
      <c r="AF1054" s="240" t="str" cm="1">
        <f t="array" aca="1" ref="AF1054" ca="1" xml:space="preserve">
IF(AND($G1054&lt;&gt;"",$F1054=""),"ERROR",
IF(OR($F1054:$G1054="",AND($G1054="",$F1054&lt;&gt;"")),"OK",
IF(COUNTIF(INDIRECT(IFERROR(LEFT($F1054,FIND(" ",$F1054)-1),$F1054)), $G1054)&gt;0, "OK", "ERROR")))</f>
        <v>OK</v>
      </c>
    </row>
    <row r="1055" spans="1:32" s="240" customFormat="1">
      <c r="A1055" s="48"/>
      <c r="B1055" s="31"/>
      <c r="C1055" s="48"/>
      <c r="D1055" s="47"/>
      <c r="E1055" s="47"/>
      <c r="F1055" s="31"/>
      <c r="G1055" s="31"/>
      <c r="H1055" s="31"/>
      <c r="I1055" s="47"/>
      <c r="J1055" s="31"/>
      <c r="K1055" s="47"/>
      <c r="L1055" s="47"/>
      <c r="M1055" s="47"/>
      <c r="N1055" s="31"/>
      <c r="O1055" s="47"/>
      <c r="P1055" s="31"/>
      <c r="Q1055" s="31"/>
      <c r="R1055" s="31"/>
      <c r="S1055" s="31"/>
      <c r="T1055" s="270">
        <f t="shared" si="128"/>
        <v>0</v>
      </c>
      <c r="U1055" s="270">
        <f t="shared" si="129"/>
        <v>0</v>
      </c>
      <c r="V1055" s="31"/>
      <c r="X1055" s="240" t="str">
        <f t="shared" si="130"/>
        <v>OK</v>
      </c>
      <c r="Y1055" s="240" t="str">
        <f t="shared" si="131"/>
        <v>OK</v>
      </c>
      <c r="Z1055" s="240" t="str">
        <f t="shared" si="132"/>
        <v>OK</v>
      </c>
      <c r="AA1055" s="240" t="str" cm="1">
        <f t="array" ref="AA1055">IF(OR(AND(J1055="Not accepted",N1055:O1055&lt;&gt;"",$S1055=""),AND(J1055="Accepted",S1055="")),"ERROR","OK")</f>
        <v>OK</v>
      </c>
      <c r="AB1055" s="240" t="str">
        <f t="shared" si="133"/>
        <v>OK</v>
      </c>
      <c r="AC1055" s="240" t="str" cm="1">
        <f t="array" ref="AC1055">IF(AND(F1055:H1055&lt;&gt;"",I1055=""),"ERROR","OK")</f>
        <v>OK</v>
      </c>
      <c r="AD1055" s="240" t="str">
        <f t="shared" si="134"/>
        <v>OK</v>
      </c>
      <c r="AE1055" s="240" t="str">
        <f t="shared" si="135"/>
        <v>OK</v>
      </c>
      <c r="AF1055" s="240" t="str" cm="1">
        <f t="array" aca="1" ref="AF1055" ca="1" xml:space="preserve">
IF(AND($G1055&lt;&gt;"",$F1055=""),"ERROR",
IF(OR($F1055:$G1055="",AND($G1055="",$F1055&lt;&gt;"")),"OK",
IF(COUNTIF(INDIRECT(IFERROR(LEFT($F1055,FIND(" ",$F1055)-1),$F1055)), $G1055)&gt;0, "OK", "ERROR")))</f>
        <v>OK</v>
      </c>
    </row>
    <row r="1056" spans="1:32" s="240" customFormat="1">
      <c r="A1056" s="48"/>
      <c r="B1056" s="31"/>
      <c r="C1056" s="48"/>
      <c r="D1056" s="47"/>
      <c r="E1056" s="47"/>
      <c r="F1056" s="31"/>
      <c r="G1056" s="31"/>
      <c r="H1056" s="31"/>
      <c r="I1056" s="47"/>
      <c r="J1056" s="31"/>
      <c r="K1056" s="47"/>
      <c r="L1056" s="47"/>
      <c r="M1056" s="47"/>
      <c r="N1056" s="31"/>
      <c r="O1056" s="47"/>
      <c r="P1056" s="31"/>
      <c r="Q1056" s="31"/>
      <c r="R1056" s="31"/>
      <c r="S1056" s="31"/>
      <c r="T1056" s="270">
        <f t="shared" si="128"/>
        <v>0</v>
      </c>
      <c r="U1056" s="270">
        <f t="shared" si="129"/>
        <v>0</v>
      </c>
      <c r="V1056" s="31"/>
      <c r="X1056" s="240" t="str">
        <f t="shared" si="130"/>
        <v>OK</v>
      </c>
      <c r="Y1056" s="240" t="str">
        <f t="shared" si="131"/>
        <v>OK</v>
      </c>
      <c r="Z1056" s="240" t="str">
        <f t="shared" si="132"/>
        <v>OK</v>
      </c>
      <c r="AA1056" s="240" t="str" cm="1">
        <f t="array" ref="AA1056">IF(OR(AND(J1056="Not accepted",N1056:O1056&lt;&gt;"",$S1056=""),AND(J1056="Accepted",S1056="")),"ERROR","OK")</f>
        <v>OK</v>
      </c>
      <c r="AB1056" s="240" t="str">
        <f t="shared" si="133"/>
        <v>OK</v>
      </c>
      <c r="AC1056" s="240" t="str" cm="1">
        <f t="array" ref="AC1056">IF(AND(F1056:H1056&lt;&gt;"",I1056=""),"ERROR","OK")</f>
        <v>OK</v>
      </c>
      <c r="AD1056" s="240" t="str">
        <f t="shared" si="134"/>
        <v>OK</v>
      </c>
      <c r="AE1056" s="240" t="str">
        <f t="shared" si="135"/>
        <v>OK</v>
      </c>
      <c r="AF1056" s="240" t="str" cm="1">
        <f t="array" aca="1" ref="AF1056" ca="1" xml:space="preserve">
IF(AND($G1056&lt;&gt;"",$F1056=""),"ERROR",
IF(OR($F1056:$G1056="",AND($G1056="",$F1056&lt;&gt;"")),"OK",
IF(COUNTIF(INDIRECT(IFERROR(LEFT($F1056,FIND(" ",$F1056)-1),$F1056)), $G1056)&gt;0, "OK", "ERROR")))</f>
        <v>OK</v>
      </c>
    </row>
    <row r="1057" spans="1:32" s="240" customFormat="1">
      <c r="A1057" s="48"/>
      <c r="B1057" s="31"/>
      <c r="C1057" s="48"/>
      <c r="D1057" s="47"/>
      <c r="E1057" s="47"/>
      <c r="F1057" s="31"/>
      <c r="G1057" s="31"/>
      <c r="H1057" s="31"/>
      <c r="I1057" s="47"/>
      <c r="J1057" s="31"/>
      <c r="K1057" s="47"/>
      <c r="L1057" s="47"/>
      <c r="M1057" s="47"/>
      <c r="N1057" s="31"/>
      <c r="O1057" s="47"/>
      <c r="P1057" s="31"/>
      <c r="Q1057" s="31"/>
      <c r="R1057" s="31"/>
      <c r="S1057" s="31"/>
      <c r="T1057" s="270">
        <f t="shared" si="128"/>
        <v>0</v>
      </c>
      <c r="U1057" s="270">
        <f t="shared" si="129"/>
        <v>0</v>
      </c>
      <c r="V1057" s="31"/>
      <c r="X1057" s="240" t="str">
        <f t="shared" si="130"/>
        <v>OK</v>
      </c>
      <c r="Y1057" s="240" t="str">
        <f t="shared" si="131"/>
        <v>OK</v>
      </c>
      <c r="Z1057" s="240" t="str">
        <f t="shared" si="132"/>
        <v>OK</v>
      </c>
      <c r="AA1057" s="240" t="str" cm="1">
        <f t="array" ref="AA1057">IF(OR(AND(J1057="Not accepted",N1057:O1057&lt;&gt;"",$S1057=""),AND(J1057="Accepted",S1057="")),"ERROR","OK")</f>
        <v>OK</v>
      </c>
      <c r="AB1057" s="240" t="str">
        <f t="shared" si="133"/>
        <v>OK</v>
      </c>
      <c r="AC1057" s="240" t="str" cm="1">
        <f t="array" ref="AC1057">IF(AND(F1057:H1057&lt;&gt;"",I1057=""),"ERROR","OK")</f>
        <v>OK</v>
      </c>
      <c r="AD1057" s="240" t="str">
        <f t="shared" si="134"/>
        <v>OK</v>
      </c>
      <c r="AE1057" s="240" t="str">
        <f t="shared" si="135"/>
        <v>OK</v>
      </c>
      <c r="AF1057" s="240" t="str" cm="1">
        <f t="array" aca="1" ref="AF1057" ca="1" xml:space="preserve">
IF(AND($G1057&lt;&gt;"",$F1057=""),"ERROR",
IF(OR($F1057:$G1057="",AND($G1057="",$F1057&lt;&gt;"")),"OK",
IF(COUNTIF(INDIRECT(IFERROR(LEFT($F1057,FIND(" ",$F1057)-1),$F1057)), $G1057)&gt;0, "OK", "ERROR")))</f>
        <v>OK</v>
      </c>
    </row>
    <row r="1058" spans="1:32" s="240" customFormat="1">
      <c r="A1058" s="48"/>
      <c r="B1058" s="31"/>
      <c r="C1058" s="48"/>
      <c r="D1058" s="47"/>
      <c r="E1058" s="47"/>
      <c r="F1058" s="31"/>
      <c r="G1058" s="31"/>
      <c r="H1058" s="31"/>
      <c r="I1058" s="47"/>
      <c r="J1058" s="31"/>
      <c r="K1058" s="47"/>
      <c r="L1058" s="47"/>
      <c r="M1058" s="47"/>
      <c r="N1058" s="31"/>
      <c r="O1058" s="47"/>
      <c r="P1058" s="31"/>
      <c r="Q1058" s="31"/>
      <c r="R1058" s="31"/>
      <c r="S1058" s="31"/>
      <c r="T1058" s="270">
        <f t="shared" si="128"/>
        <v>0</v>
      </c>
      <c r="U1058" s="270">
        <f t="shared" si="129"/>
        <v>0</v>
      </c>
      <c r="V1058" s="31"/>
      <c r="X1058" s="240" t="str">
        <f t="shared" si="130"/>
        <v>OK</v>
      </c>
      <c r="Y1058" s="240" t="str">
        <f t="shared" si="131"/>
        <v>OK</v>
      </c>
      <c r="Z1058" s="240" t="str">
        <f t="shared" si="132"/>
        <v>OK</v>
      </c>
      <c r="AA1058" s="240" t="str" cm="1">
        <f t="array" ref="AA1058">IF(OR(AND(J1058="Not accepted",N1058:O1058&lt;&gt;"",$S1058=""),AND(J1058="Accepted",S1058="")),"ERROR","OK")</f>
        <v>OK</v>
      </c>
      <c r="AB1058" s="240" t="str">
        <f t="shared" si="133"/>
        <v>OK</v>
      </c>
      <c r="AC1058" s="240" t="str" cm="1">
        <f t="array" ref="AC1058">IF(AND(F1058:H1058&lt;&gt;"",I1058=""),"ERROR","OK")</f>
        <v>OK</v>
      </c>
      <c r="AD1058" s="240" t="str">
        <f t="shared" si="134"/>
        <v>OK</v>
      </c>
      <c r="AE1058" s="240" t="str">
        <f t="shared" si="135"/>
        <v>OK</v>
      </c>
      <c r="AF1058" s="240" t="str" cm="1">
        <f t="array" aca="1" ref="AF1058" ca="1" xml:space="preserve">
IF(AND($G1058&lt;&gt;"",$F1058=""),"ERROR",
IF(OR($F1058:$G1058="",AND($G1058="",$F1058&lt;&gt;"")),"OK",
IF(COUNTIF(INDIRECT(IFERROR(LEFT($F1058,FIND(" ",$F1058)-1),$F1058)), $G1058)&gt;0, "OK", "ERROR")))</f>
        <v>OK</v>
      </c>
    </row>
    <row r="1059" spans="1:32" s="240" customFormat="1">
      <c r="A1059" s="48"/>
      <c r="B1059" s="31"/>
      <c r="C1059" s="48"/>
      <c r="D1059" s="47"/>
      <c r="E1059" s="47"/>
      <c r="F1059" s="31"/>
      <c r="G1059" s="31"/>
      <c r="H1059" s="31"/>
      <c r="I1059" s="47"/>
      <c r="J1059" s="31"/>
      <c r="K1059" s="47"/>
      <c r="L1059" s="47"/>
      <c r="M1059" s="47"/>
      <c r="N1059" s="31"/>
      <c r="O1059" s="47"/>
      <c r="P1059" s="31"/>
      <c r="Q1059" s="31"/>
      <c r="R1059" s="31"/>
      <c r="S1059" s="31"/>
      <c r="T1059" s="270">
        <f t="shared" si="128"/>
        <v>0</v>
      </c>
      <c r="U1059" s="270">
        <f t="shared" si="129"/>
        <v>0</v>
      </c>
      <c r="V1059" s="31"/>
      <c r="X1059" s="240" t="str">
        <f t="shared" si="130"/>
        <v>OK</v>
      </c>
      <c r="Y1059" s="240" t="str">
        <f t="shared" si="131"/>
        <v>OK</v>
      </c>
      <c r="Z1059" s="240" t="str">
        <f t="shared" si="132"/>
        <v>OK</v>
      </c>
      <c r="AA1059" s="240" t="str" cm="1">
        <f t="array" ref="AA1059">IF(OR(AND(J1059="Not accepted",N1059:O1059&lt;&gt;"",$S1059=""),AND(J1059="Accepted",S1059="")),"ERROR","OK")</f>
        <v>OK</v>
      </c>
      <c r="AB1059" s="240" t="str">
        <f t="shared" si="133"/>
        <v>OK</v>
      </c>
      <c r="AC1059" s="240" t="str" cm="1">
        <f t="array" ref="AC1059">IF(AND(F1059:H1059&lt;&gt;"",I1059=""),"ERROR","OK")</f>
        <v>OK</v>
      </c>
      <c r="AD1059" s="240" t="str">
        <f t="shared" si="134"/>
        <v>OK</v>
      </c>
      <c r="AE1059" s="240" t="str">
        <f t="shared" si="135"/>
        <v>OK</v>
      </c>
      <c r="AF1059" s="240" t="str" cm="1">
        <f t="array" aca="1" ref="AF1059" ca="1" xml:space="preserve">
IF(AND($G1059&lt;&gt;"",$F1059=""),"ERROR",
IF(OR($F1059:$G1059="",AND($G1059="",$F1059&lt;&gt;"")),"OK",
IF(COUNTIF(INDIRECT(IFERROR(LEFT($F1059,FIND(" ",$F1059)-1),$F1059)), $G1059)&gt;0, "OK", "ERROR")))</f>
        <v>OK</v>
      </c>
    </row>
    <row r="1060" spans="1:32" s="240" customFormat="1">
      <c r="A1060" s="48"/>
      <c r="B1060" s="31"/>
      <c r="C1060" s="48"/>
      <c r="D1060" s="47"/>
      <c r="E1060" s="47"/>
      <c r="F1060" s="31"/>
      <c r="G1060" s="31"/>
      <c r="H1060" s="31"/>
      <c r="I1060" s="47"/>
      <c r="J1060" s="31"/>
      <c r="K1060" s="47"/>
      <c r="L1060" s="47"/>
      <c r="M1060" s="47"/>
      <c r="N1060" s="31"/>
      <c r="O1060" s="47"/>
      <c r="P1060" s="31"/>
      <c r="Q1060" s="31"/>
      <c r="R1060" s="31"/>
      <c r="S1060" s="31"/>
      <c r="T1060" s="270">
        <f t="shared" si="128"/>
        <v>0</v>
      </c>
      <c r="U1060" s="270">
        <f t="shared" si="129"/>
        <v>0</v>
      </c>
      <c r="V1060" s="31"/>
      <c r="X1060" s="240" t="str">
        <f t="shared" si="130"/>
        <v>OK</v>
      </c>
      <c r="Y1060" s="240" t="str">
        <f t="shared" si="131"/>
        <v>OK</v>
      </c>
      <c r="Z1060" s="240" t="str">
        <f t="shared" si="132"/>
        <v>OK</v>
      </c>
      <c r="AA1060" s="240" t="str" cm="1">
        <f t="array" ref="AA1060">IF(OR(AND(J1060="Not accepted",N1060:O1060&lt;&gt;"",$S1060=""),AND(J1060="Accepted",S1060="")),"ERROR","OK")</f>
        <v>OK</v>
      </c>
      <c r="AB1060" s="240" t="str">
        <f t="shared" si="133"/>
        <v>OK</v>
      </c>
      <c r="AC1060" s="240" t="str" cm="1">
        <f t="array" ref="AC1060">IF(AND(F1060:H1060&lt;&gt;"",I1060=""),"ERROR","OK")</f>
        <v>OK</v>
      </c>
      <c r="AD1060" s="240" t="str">
        <f t="shared" si="134"/>
        <v>OK</v>
      </c>
      <c r="AE1060" s="240" t="str">
        <f t="shared" si="135"/>
        <v>OK</v>
      </c>
      <c r="AF1060" s="240" t="str" cm="1">
        <f t="array" aca="1" ref="AF1060" ca="1" xml:space="preserve">
IF(AND($G1060&lt;&gt;"",$F1060=""),"ERROR",
IF(OR($F1060:$G1060="",AND($G1060="",$F1060&lt;&gt;"")),"OK",
IF(COUNTIF(INDIRECT(IFERROR(LEFT($F1060,FIND(" ",$F1060)-1),$F1060)), $G1060)&gt;0, "OK", "ERROR")))</f>
        <v>OK</v>
      </c>
    </row>
    <row r="1061" spans="1:32" s="240" customFormat="1">
      <c r="A1061" s="48"/>
      <c r="B1061" s="31"/>
      <c r="C1061" s="48"/>
      <c r="D1061" s="47"/>
      <c r="E1061" s="47"/>
      <c r="F1061" s="31"/>
      <c r="G1061" s="31"/>
      <c r="H1061" s="31"/>
      <c r="I1061" s="47"/>
      <c r="J1061" s="31"/>
      <c r="K1061" s="47"/>
      <c r="L1061" s="47"/>
      <c r="M1061" s="47"/>
      <c r="N1061" s="31"/>
      <c r="O1061" s="47"/>
      <c r="P1061" s="31"/>
      <c r="Q1061" s="31"/>
      <c r="R1061" s="31"/>
      <c r="S1061" s="31"/>
      <c r="T1061" s="270">
        <f t="shared" si="128"/>
        <v>0</v>
      </c>
      <c r="U1061" s="270">
        <f t="shared" si="129"/>
        <v>0</v>
      </c>
      <c r="V1061" s="31"/>
      <c r="X1061" s="240" t="str">
        <f t="shared" si="130"/>
        <v>OK</v>
      </c>
      <c r="Y1061" s="240" t="str">
        <f t="shared" si="131"/>
        <v>OK</v>
      </c>
      <c r="Z1061" s="240" t="str">
        <f t="shared" si="132"/>
        <v>OK</v>
      </c>
      <c r="AA1061" s="240" t="str" cm="1">
        <f t="array" ref="AA1061">IF(OR(AND(J1061="Not accepted",N1061:O1061&lt;&gt;"",$S1061=""),AND(J1061="Accepted",S1061="")),"ERROR","OK")</f>
        <v>OK</v>
      </c>
      <c r="AB1061" s="240" t="str">
        <f t="shared" si="133"/>
        <v>OK</v>
      </c>
      <c r="AC1061" s="240" t="str" cm="1">
        <f t="array" ref="AC1061">IF(AND(F1061:H1061&lt;&gt;"",I1061=""),"ERROR","OK")</f>
        <v>OK</v>
      </c>
      <c r="AD1061" s="240" t="str">
        <f t="shared" si="134"/>
        <v>OK</v>
      </c>
      <c r="AE1061" s="240" t="str">
        <f t="shared" si="135"/>
        <v>OK</v>
      </c>
      <c r="AF1061" s="240" t="str" cm="1">
        <f t="array" aca="1" ref="AF1061" ca="1" xml:space="preserve">
IF(AND($G1061&lt;&gt;"",$F1061=""),"ERROR",
IF(OR($F1061:$G1061="",AND($G1061="",$F1061&lt;&gt;"")),"OK",
IF(COUNTIF(INDIRECT(IFERROR(LEFT($F1061,FIND(" ",$F1061)-1),$F1061)), $G1061)&gt;0, "OK", "ERROR")))</f>
        <v>OK</v>
      </c>
    </row>
    <row r="1062" spans="1:32" s="240" customFormat="1">
      <c r="A1062" s="48"/>
      <c r="B1062" s="31"/>
      <c r="C1062" s="48"/>
      <c r="D1062" s="47"/>
      <c r="E1062" s="47"/>
      <c r="F1062" s="31"/>
      <c r="G1062" s="31"/>
      <c r="H1062" s="31"/>
      <c r="I1062" s="47"/>
      <c r="J1062" s="31"/>
      <c r="K1062" s="47"/>
      <c r="L1062" s="47"/>
      <c r="M1062" s="47"/>
      <c r="N1062" s="31"/>
      <c r="O1062" s="47"/>
      <c r="P1062" s="31"/>
      <c r="Q1062" s="31"/>
      <c r="R1062" s="31"/>
      <c r="S1062" s="31"/>
      <c r="T1062" s="270">
        <f t="shared" si="128"/>
        <v>0</v>
      </c>
      <c r="U1062" s="270">
        <f t="shared" si="129"/>
        <v>0</v>
      </c>
      <c r="V1062" s="31"/>
      <c r="X1062" s="240" t="str">
        <f t="shared" si="130"/>
        <v>OK</v>
      </c>
      <c r="Y1062" s="240" t="str">
        <f t="shared" si="131"/>
        <v>OK</v>
      </c>
      <c r="Z1062" s="240" t="str">
        <f t="shared" si="132"/>
        <v>OK</v>
      </c>
      <c r="AA1062" s="240" t="str" cm="1">
        <f t="array" ref="AA1062">IF(OR(AND(J1062="Not accepted",N1062:O1062&lt;&gt;"",$S1062=""),AND(J1062="Accepted",S1062="")),"ERROR","OK")</f>
        <v>OK</v>
      </c>
      <c r="AB1062" s="240" t="str">
        <f t="shared" si="133"/>
        <v>OK</v>
      </c>
      <c r="AC1062" s="240" t="str" cm="1">
        <f t="array" ref="AC1062">IF(AND(F1062:H1062&lt;&gt;"",I1062=""),"ERROR","OK")</f>
        <v>OK</v>
      </c>
      <c r="AD1062" s="240" t="str">
        <f t="shared" si="134"/>
        <v>OK</v>
      </c>
      <c r="AE1062" s="240" t="str">
        <f t="shared" si="135"/>
        <v>OK</v>
      </c>
      <c r="AF1062" s="240" t="str" cm="1">
        <f t="array" aca="1" ref="AF1062" ca="1" xml:space="preserve">
IF(AND($G1062&lt;&gt;"",$F1062=""),"ERROR",
IF(OR($F1062:$G1062="",AND($G1062="",$F1062&lt;&gt;"")),"OK",
IF(COUNTIF(INDIRECT(IFERROR(LEFT($F1062,FIND(" ",$F1062)-1),$F1062)), $G1062)&gt;0, "OK", "ERROR")))</f>
        <v>OK</v>
      </c>
    </row>
    <row r="1063" spans="1:32" s="240" customFormat="1">
      <c r="A1063" s="48"/>
      <c r="B1063" s="31"/>
      <c r="C1063" s="48"/>
      <c r="D1063" s="47"/>
      <c r="E1063" s="47"/>
      <c r="F1063" s="31"/>
      <c r="G1063" s="31"/>
      <c r="H1063" s="31"/>
      <c r="I1063" s="47"/>
      <c r="J1063" s="31"/>
      <c r="K1063" s="47"/>
      <c r="L1063" s="47"/>
      <c r="M1063" s="47"/>
      <c r="N1063" s="31"/>
      <c r="O1063" s="47"/>
      <c r="P1063" s="31"/>
      <c r="Q1063" s="31"/>
      <c r="R1063" s="31"/>
      <c r="S1063" s="31"/>
      <c r="T1063" s="270">
        <f t="shared" si="128"/>
        <v>0</v>
      </c>
      <c r="U1063" s="270">
        <f t="shared" si="129"/>
        <v>0</v>
      </c>
      <c r="V1063" s="31"/>
      <c r="X1063" s="240" t="str">
        <f t="shared" si="130"/>
        <v>OK</v>
      </c>
      <c r="Y1063" s="240" t="str">
        <f t="shared" si="131"/>
        <v>OK</v>
      </c>
      <c r="Z1063" s="240" t="str">
        <f t="shared" si="132"/>
        <v>OK</v>
      </c>
      <c r="AA1063" s="240" t="str" cm="1">
        <f t="array" ref="AA1063">IF(OR(AND(J1063="Not accepted",N1063:O1063&lt;&gt;"",$S1063=""),AND(J1063="Accepted",S1063="")),"ERROR","OK")</f>
        <v>OK</v>
      </c>
      <c r="AB1063" s="240" t="str">
        <f t="shared" si="133"/>
        <v>OK</v>
      </c>
      <c r="AC1063" s="240" t="str" cm="1">
        <f t="array" ref="AC1063">IF(AND(F1063:H1063&lt;&gt;"",I1063=""),"ERROR","OK")</f>
        <v>OK</v>
      </c>
      <c r="AD1063" s="240" t="str">
        <f t="shared" si="134"/>
        <v>OK</v>
      </c>
      <c r="AE1063" s="240" t="str">
        <f t="shared" si="135"/>
        <v>OK</v>
      </c>
      <c r="AF1063" s="240" t="str" cm="1">
        <f t="array" aca="1" ref="AF1063" ca="1" xml:space="preserve">
IF(AND($G1063&lt;&gt;"",$F1063=""),"ERROR",
IF(OR($F1063:$G1063="",AND($G1063="",$F1063&lt;&gt;"")),"OK",
IF(COUNTIF(INDIRECT(IFERROR(LEFT($F1063,FIND(" ",$F1063)-1),$F1063)), $G1063)&gt;0, "OK", "ERROR")))</f>
        <v>OK</v>
      </c>
    </row>
    <row r="1064" spans="1:32" s="240" customFormat="1">
      <c r="A1064" s="48"/>
      <c r="B1064" s="31"/>
      <c r="C1064" s="48"/>
      <c r="D1064" s="47"/>
      <c r="E1064" s="47"/>
      <c r="F1064" s="31"/>
      <c r="G1064" s="31"/>
      <c r="H1064" s="31"/>
      <c r="I1064" s="47"/>
      <c r="J1064" s="31"/>
      <c r="K1064" s="47"/>
      <c r="L1064" s="47"/>
      <c r="M1064" s="47"/>
      <c r="N1064" s="31"/>
      <c r="O1064" s="47"/>
      <c r="P1064" s="31"/>
      <c r="Q1064" s="31"/>
      <c r="R1064" s="31"/>
      <c r="S1064" s="31"/>
      <c r="T1064" s="270">
        <f t="shared" si="128"/>
        <v>0</v>
      </c>
      <c r="U1064" s="270">
        <f t="shared" si="129"/>
        <v>0</v>
      </c>
      <c r="V1064" s="31"/>
      <c r="X1064" s="240" t="str">
        <f t="shared" si="130"/>
        <v>OK</v>
      </c>
      <c r="Y1064" s="240" t="str">
        <f t="shared" si="131"/>
        <v>OK</v>
      </c>
      <c r="Z1064" s="240" t="str">
        <f t="shared" si="132"/>
        <v>OK</v>
      </c>
      <c r="AA1064" s="240" t="str" cm="1">
        <f t="array" ref="AA1064">IF(OR(AND(J1064="Not accepted",N1064:O1064&lt;&gt;"",$S1064=""),AND(J1064="Accepted",S1064="")),"ERROR","OK")</f>
        <v>OK</v>
      </c>
      <c r="AB1064" s="240" t="str">
        <f t="shared" si="133"/>
        <v>OK</v>
      </c>
      <c r="AC1064" s="240" t="str" cm="1">
        <f t="array" ref="AC1064">IF(AND(F1064:H1064&lt;&gt;"",I1064=""),"ERROR","OK")</f>
        <v>OK</v>
      </c>
      <c r="AD1064" s="240" t="str">
        <f t="shared" si="134"/>
        <v>OK</v>
      </c>
      <c r="AE1064" s="240" t="str">
        <f t="shared" si="135"/>
        <v>OK</v>
      </c>
      <c r="AF1064" s="240" t="str" cm="1">
        <f t="array" aca="1" ref="AF1064" ca="1" xml:space="preserve">
IF(AND($G1064&lt;&gt;"",$F1064=""),"ERROR",
IF(OR($F1064:$G1064="",AND($G1064="",$F1064&lt;&gt;"")),"OK",
IF(COUNTIF(INDIRECT(IFERROR(LEFT($F1064,FIND(" ",$F1064)-1),$F1064)), $G1064)&gt;0, "OK", "ERROR")))</f>
        <v>OK</v>
      </c>
    </row>
    <row r="1065" spans="1:32" s="240" customFormat="1">
      <c r="A1065" s="48"/>
      <c r="B1065" s="31"/>
      <c r="C1065" s="48"/>
      <c r="D1065" s="47"/>
      <c r="E1065" s="47"/>
      <c r="F1065" s="31"/>
      <c r="G1065" s="31"/>
      <c r="H1065" s="31"/>
      <c r="I1065" s="47"/>
      <c r="J1065" s="31"/>
      <c r="K1065" s="47"/>
      <c r="L1065" s="47"/>
      <c r="M1065" s="47"/>
      <c r="N1065" s="31"/>
      <c r="O1065" s="47"/>
      <c r="P1065" s="31"/>
      <c r="Q1065" s="31"/>
      <c r="R1065" s="31"/>
      <c r="S1065" s="31"/>
      <c r="T1065" s="270">
        <f t="shared" si="128"/>
        <v>0</v>
      </c>
      <c r="U1065" s="270">
        <f t="shared" si="129"/>
        <v>0</v>
      </c>
      <c r="V1065" s="31"/>
      <c r="X1065" s="240" t="str">
        <f t="shared" si="130"/>
        <v>OK</v>
      </c>
      <c r="Y1065" s="240" t="str">
        <f t="shared" si="131"/>
        <v>OK</v>
      </c>
      <c r="Z1065" s="240" t="str">
        <f t="shared" si="132"/>
        <v>OK</v>
      </c>
      <c r="AA1065" s="240" t="str" cm="1">
        <f t="array" ref="AA1065">IF(OR(AND(J1065="Not accepted",N1065:O1065&lt;&gt;"",$S1065=""),AND(J1065="Accepted",S1065="")),"ERROR","OK")</f>
        <v>OK</v>
      </c>
      <c r="AB1065" s="240" t="str">
        <f t="shared" si="133"/>
        <v>OK</v>
      </c>
      <c r="AC1065" s="240" t="str" cm="1">
        <f t="array" ref="AC1065">IF(AND(F1065:H1065&lt;&gt;"",I1065=""),"ERROR","OK")</f>
        <v>OK</v>
      </c>
      <c r="AD1065" s="240" t="str">
        <f t="shared" si="134"/>
        <v>OK</v>
      </c>
      <c r="AE1065" s="240" t="str">
        <f t="shared" si="135"/>
        <v>OK</v>
      </c>
      <c r="AF1065" s="240" t="str" cm="1">
        <f t="array" aca="1" ref="AF1065" ca="1" xml:space="preserve">
IF(AND($G1065&lt;&gt;"",$F1065=""),"ERROR",
IF(OR($F1065:$G1065="",AND($G1065="",$F1065&lt;&gt;"")),"OK",
IF(COUNTIF(INDIRECT(IFERROR(LEFT($F1065,FIND(" ",$F1065)-1),$F1065)), $G1065)&gt;0, "OK", "ERROR")))</f>
        <v>OK</v>
      </c>
    </row>
    <row r="1066" spans="1:32" s="240" customFormat="1">
      <c r="A1066" s="48"/>
      <c r="B1066" s="31"/>
      <c r="C1066" s="48"/>
      <c r="D1066" s="47"/>
      <c r="E1066" s="47"/>
      <c r="F1066" s="31"/>
      <c r="G1066" s="31"/>
      <c r="H1066" s="31"/>
      <c r="I1066" s="47"/>
      <c r="J1066" s="31"/>
      <c r="K1066" s="47"/>
      <c r="L1066" s="47"/>
      <c r="M1066" s="47"/>
      <c r="N1066" s="31"/>
      <c r="O1066" s="47"/>
      <c r="P1066" s="31"/>
      <c r="Q1066" s="31"/>
      <c r="R1066" s="31"/>
      <c r="S1066" s="31"/>
      <c r="T1066" s="270">
        <f t="shared" si="128"/>
        <v>0</v>
      </c>
      <c r="U1066" s="270">
        <f t="shared" si="129"/>
        <v>0</v>
      </c>
      <c r="V1066" s="31"/>
      <c r="X1066" s="240" t="str">
        <f t="shared" si="130"/>
        <v>OK</v>
      </c>
      <c r="Y1066" s="240" t="str">
        <f t="shared" si="131"/>
        <v>OK</v>
      </c>
      <c r="Z1066" s="240" t="str">
        <f t="shared" si="132"/>
        <v>OK</v>
      </c>
      <c r="AA1066" s="240" t="str" cm="1">
        <f t="array" ref="AA1066">IF(OR(AND(J1066="Not accepted",N1066:O1066&lt;&gt;"",$S1066=""),AND(J1066="Accepted",S1066="")),"ERROR","OK")</f>
        <v>OK</v>
      </c>
      <c r="AB1066" s="240" t="str">
        <f t="shared" si="133"/>
        <v>OK</v>
      </c>
      <c r="AC1066" s="240" t="str" cm="1">
        <f t="array" ref="AC1066">IF(AND(F1066:H1066&lt;&gt;"",I1066=""),"ERROR","OK")</f>
        <v>OK</v>
      </c>
      <c r="AD1066" s="240" t="str">
        <f t="shared" si="134"/>
        <v>OK</v>
      </c>
      <c r="AE1066" s="240" t="str">
        <f t="shared" si="135"/>
        <v>OK</v>
      </c>
      <c r="AF1066" s="240" t="str" cm="1">
        <f t="array" aca="1" ref="AF1066" ca="1" xml:space="preserve">
IF(AND($G1066&lt;&gt;"",$F1066=""),"ERROR",
IF(OR($F1066:$G1066="",AND($G1066="",$F1066&lt;&gt;"")),"OK",
IF(COUNTIF(INDIRECT(IFERROR(LEFT($F1066,FIND(" ",$F1066)-1),$F1066)), $G1066)&gt;0, "OK", "ERROR")))</f>
        <v>OK</v>
      </c>
    </row>
    <row r="1067" spans="1:32" s="240" customFormat="1">
      <c r="A1067" s="48"/>
      <c r="B1067" s="31"/>
      <c r="C1067" s="48"/>
      <c r="D1067" s="47"/>
      <c r="E1067" s="47"/>
      <c r="F1067" s="31"/>
      <c r="G1067" s="31"/>
      <c r="H1067" s="31"/>
      <c r="I1067" s="47"/>
      <c r="J1067" s="31"/>
      <c r="K1067" s="47"/>
      <c r="L1067" s="47"/>
      <c r="M1067" s="47"/>
      <c r="N1067" s="31"/>
      <c r="O1067" s="47"/>
      <c r="P1067" s="31"/>
      <c r="Q1067" s="31"/>
      <c r="R1067" s="31"/>
      <c r="S1067" s="31"/>
      <c r="T1067" s="270">
        <f t="shared" si="128"/>
        <v>0</v>
      </c>
      <c r="U1067" s="270">
        <f t="shared" si="129"/>
        <v>0</v>
      </c>
      <c r="V1067" s="31"/>
      <c r="X1067" s="240" t="str">
        <f t="shared" si="130"/>
        <v>OK</v>
      </c>
      <c r="Y1067" s="240" t="str">
        <f t="shared" si="131"/>
        <v>OK</v>
      </c>
      <c r="Z1067" s="240" t="str">
        <f t="shared" si="132"/>
        <v>OK</v>
      </c>
      <c r="AA1067" s="240" t="str" cm="1">
        <f t="array" ref="AA1067">IF(OR(AND(J1067="Not accepted",N1067:O1067&lt;&gt;"",$S1067=""),AND(J1067="Accepted",S1067="")),"ERROR","OK")</f>
        <v>OK</v>
      </c>
      <c r="AB1067" s="240" t="str">
        <f t="shared" si="133"/>
        <v>OK</v>
      </c>
      <c r="AC1067" s="240" t="str" cm="1">
        <f t="array" ref="AC1067">IF(AND(F1067:H1067&lt;&gt;"",I1067=""),"ERROR","OK")</f>
        <v>OK</v>
      </c>
      <c r="AD1067" s="240" t="str">
        <f t="shared" si="134"/>
        <v>OK</v>
      </c>
      <c r="AE1067" s="240" t="str">
        <f t="shared" si="135"/>
        <v>OK</v>
      </c>
      <c r="AF1067" s="240" t="str" cm="1">
        <f t="array" aca="1" ref="AF1067" ca="1" xml:space="preserve">
IF(AND($G1067&lt;&gt;"",$F1067=""),"ERROR",
IF(OR($F1067:$G1067="",AND($G1067="",$F1067&lt;&gt;"")),"OK",
IF(COUNTIF(INDIRECT(IFERROR(LEFT($F1067,FIND(" ",$F1067)-1),$F1067)), $G1067)&gt;0, "OK", "ERROR")))</f>
        <v>OK</v>
      </c>
    </row>
    <row r="1068" spans="1:32" s="240" customFormat="1">
      <c r="A1068" s="48"/>
      <c r="B1068" s="31"/>
      <c r="C1068" s="48"/>
      <c r="D1068" s="47"/>
      <c r="E1068" s="47"/>
      <c r="F1068" s="31"/>
      <c r="G1068" s="31"/>
      <c r="H1068" s="31"/>
      <c r="I1068" s="47"/>
      <c r="J1068" s="31"/>
      <c r="K1068" s="47"/>
      <c r="L1068" s="47"/>
      <c r="M1068" s="47"/>
      <c r="N1068" s="31"/>
      <c r="O1068" s="47"/>
      <c r="P1068" s="31"/>
      <c r="Q1068" s="31"/>
      <c r="R1068" s="31"/>
      <c r="S1068" s="31"/>
      <c r="T1068" s="270">
        <f t="shared" si="128"/>
        <v>0</v>
      </c>
      <c r="U1068" s="270">
        <f t="shared" si="129"/>
        <v>0</v>
      </c>
      <c r="V1068" s="31"/>
      <c r="X1068" s="240" t="str">
        <f t="shared" si="130"/>
        <v>OK</v>
      </c>
      <c r="Y1068" s="240" t="str">
        <f t="shared" si="131"/>
        <v>OK</v>
      </c>
      <c r="Z1068" s="240" t="str">
        <f t="shared" si="132"/>
        <v>OK</v>
      </c>
      <c r="AA1068" s="240" t="str" cm="1">
        <f t="array" ref="AA1068">IF(OR(AND(J1068="Not accepted",N1068:O1068&lt;&gt;"",$S1068=""),AND(J1068="Accepted",S1068="")),"ERROR","OK")</f>
        <v>OK</v>
      </c>
      <c r="AB1068" s="240" t="str">
        <f t="shared" si="133"/>
        <v>OK</v>
      </c>
      <c r="AC1068" s="240" t="str" cm="1">
        <f t="array" ref="AC1068">IF(AND(F1068:H1068&lt;&gt;"",I1068=""),"ERROR","OK")</f>
        <v>OK</v>
      </c>
      <c r="AD1068" s="240" t="str">
        <f t="shared" si="134"/>
        <v>OK</v>
      </c>
      <c r="AE1068" s="240" t="str">
        <f t="shared" si="135"/>
        <v>OK</v>
      </c>
      <c r="AF1068" s="240" t="str" cm="1">
        <f t="array" aca="1" ref="AF1068" ca="1" xml:space="preserve">
IF(AND($G1068&lt;&gt;"",$F1068=""),"ERROR",
IF(OR($F1068:$G1068="",AND($G1068="",$F1068&lt;&gt;"")),"OK",
IF(COUNTIF(INDIRECT(IFERROR(LEFT($F1068,FIND(" ",$F1068)-1),$F1068)), $G1068)&gt;0, "OK", "ERROR")))</f>
        <v>OK</v>
      </c>
    </row>
    <row r="1069" spans="1:32" s="240" customFormat="1">
      <c r="A1069" s="48"/>
      <c r="B1069" s="31"/>
      <c r="C1069" s="48"/>
      <c r="D1069" s="47"/>
      <c r="E1069" s="47"/>
      <c r="F1069" s="31"/>
      <c r="G1069" s="31"/>
      <c r="H1069" s="31"/>
      <c r="I1069" s="47"/>
      <c r="J1069" s="31"/>
      <c r="K1069" s="47"/>
      <c r="L1069" s="47"/>
      <c r="M1069" s="47"/>
      <c r="N1069" s="31"/>
      <c r="O1069" s="47"/>
      <c r="P1069" s="31"/>
      <c r="Q1069" s="31"/>
      <c r="R1069" s="31"/>
      <c r="S1069" s="31"/>
      <c r="T1069" s="270">
        <f t="shared" si="128"/>
        <v>0</v>
      </c>
      <c r="U1069" s="270">
        <f t="shared" si="129"/>
        <v>0</v>
      </c>
      <c r="V1069" s="31"/>
      <c r="X1069" s="240" t="str">
        <f t="shared" si="130"/>
        <v>OK</v>
      </c>
      <c r="Y1069" s="240" t="str">
        <f t="shared" si="131"/>
        <v>OK</v>
      </c>
      <c r="Z1069" s="240" t="str">
        <f t="shared" si="132"/>
        <v>OK</v>
      </c>
      <c r="AA1069" s="240" t="str" cm="1">
        <f t="array" ref="AA1069">IF(OR(AND(J1069="Not accepted",N1069:O1069&lt;&gt;"",$S1069=""),AND(J1069="Accepted",S1069="")),"ERROR","OK")</f>
        <v>OK</v>
      </c>
      <c r="AB1069" s="240" t="str">
        <f t="shared" si="133"/>
        <v>OK</v>
      </c>
      <c r="AC1069" s="240" t="str" cm="1">
        <f t="array" ref="AC1069">IF(AND(F1069:H1069&lt;&gt;"",I1069=""),"ERROR","OK")</f>
        <v>OK</v>
      </c>
      <c r="AD1069" s="240" t="str">
        <f t="shared" si="134"/>
        <v>OK</v>
      </c>
      <c r="AE1069" s="240" t="str">
        <f t="shared" si="135"/>
        <v>OK</v>
      </c>
      <c r="AF1069" s="240" t="str" cm="1">
        <f t="array" aca="1" ref="AF1069" ca="1" xml:space="preserve">
IF(AND($G1069&lt;&gt;"",$F1069=""),"ERROR",
IF(OR($F1069:$G1069="",AND($G1069="",$F1069&lt;&gt;"")),"OK",
IF(COUNTIF(INDIRECT(IFERROR(LEFT($F1069,FIND(" ",$F1069)-1),$F1069)), $G1069)&gt;0, "OK", "ERROR")))</f>
        <v>OK</v>
      </c>
    </row>
    <row r="1070" spans="1:32" s="240" customFormat="1">
      <c r="A1070" s="48"/>
      <c r="B1070" s="31"/>
      <c r="C1070" s="48"/>
      <c r="D1070" s="47"/>
      <c r="E1070" s="47"/>
      <c r="F1070" s="31"/>
      <c r="G1070" s="31"/>
      <c r="H1070" s="31"/>
      <c r="I1070" s="47"/>
      <c r="J1070" s="31"/>
      <c r="K1070" s="47"/>
      <c r="L1070" s="47"/>
      <c r="M1070" s="47"/>
      <c r="N1070" s="31"/>
      <c r="O1070" s="47"/>
      <c r="P1070" s="31"/>
      <c r="Q1070" s="31"/>
      <c r="R1070" s="31"/>
      <c r="S1070" s="31"/>
      <c r="T1070" s="270">
        <f t="shared" si="128"/>
        <v>0</v>
      </c>
      <c r="U1070" s="270">
        <f t="shared" si="129"/>
        <v>0</v>
      </c>
      <c r="V1070" s="31"/>
      <c r="X1070" s="240" t="str">
        <f t="shared" si="130"/>
        <v>OK</v>
      </c>
      <c r="Y1070" s="240" t="str">
        <f t="shared" si="131"/>
        <v>OK</v>
      </c>
      <c r="Z1070" s="240" t="str">
        <f t="shared" si="132"/>
        <v>OK</v>
      </c>
      <c r="AA1070" s="240" t="str" cm="1">
        <f t="array" ref="AA1070">IF(OR(AND(J1070="Not accepted",N1070:O1070&lt;&gt;"",$S1070=""),AND(J1070="Accepted",S1070="")),"ERROR","OK")</f>
        <v>OK</v>
      </c>
      <c r="AB1070" s="240" t="str">
        <f t="shared" si="133"/>
        <v>OK</v>
      </c>
      <c r="AC1070" s="240" t="str" cm="1">
        <f t="array" ref="AC1070">IF(AND(F1070:H1070&lt;&gt;"",I1070=""),"ERROR","OK")</f>
        <v>OK</v>
      </c>
      <c r="AD1070" s="240" t="str">
        <f t="shared" si="134"/>
        <v>OK</v>
      </c>
      <c r="AE1070" s="240" t="str">
        <f t="shared" si="135"/>
        <v>OK</v>
      </c>
      <c r="AF1070" s="240" t="str" cm="1">
        <f t="array" aca="1" ref="AF1070" ca="1" xml:space="preserve">
IF(AND($G1070&lt;&gt;"",$F1070=""),"ERROR",
IF(OR($F1070:$G1070="",AND($G1070="",$F1070&lt;&gt;"")),"OK",
IF(COUNTIF(INDIRECT(IFERROR(LEFT($F1070,FIND(" ",$F1070)-1),$F1070)), $G1070)&gt;0, "OK", "ERROR")))</f>
        <v>OK</v>
      </c>
    </row>
    <row r="1071" spans="1:32" s="240" customFormat="1">
      <c r="A1071" s="48"/>
      <c r="B1071" s="31"/>
      <c r="C1071" s="48"/>
      <c r="D1071" s="47"/>
      <c r="E1071" s="47"/>
      <c r="F1071" s="31"/>
      <c r="G1071" s="31"/>
      <c r="H1071" s="31"/>
      <c r="I1071" s="47"/>
      <c r="J1071" s="31"/>
      <c r="K1071" s="47"/>
      <c r="L1071" s="47"/>
      <c r="M1071" s="47"/>
      <c r="N1071" s="31"/>
      <c r="O1071" s="47"/>
      <c r="P1071" s="31"/>
      <c r="Q1071" s="31"/>
      <c r="R1071" s="31"/>
      <c r="S1071" s="31"/>
      <c r="T1071" s="270">
        <f t="shared" si="128"/>
        <v>0</v>
      </c>
      <c r="U1071" s="270">
        <f t="shared" si="129"/>
        <v>0</v>
      </c>
      <c r="V1071" s="31"/>
      <c r="X1071" s="240" t="str">
        <f t="shared" si="130"/>
        <v>OK</v>
      </c>
      <c r="Y1071" s="240" t="str">
        <f t="shared" si="131"/>
        <v>OK</v>
      </c>
      <c r="Z1071" s="240" t="str">
        <f t="shared" si="132"/>
        <v>OK</v>
      </c>
      <c r="AA1071" s="240" t="str" cm="1">
        <f t="array" ref="AA1071">IF(OR(AND(J1071="Not accepted",N1071:O1071&lt;&gt;"",$S1071=""),AND(J1071="Accepted",S1071="")),"ERROR","OK")</f>
        <v>OK</v>
      </c>
      <c r="AB1071" s="240" t="str">
        <f t="shared" si="133"/>
        <v>OK</v>
      </c>
      <c r="AC1071" s="240" t="str" cm="1">
        <f t="array" ref="AC1071">IF(AND(F1071:H1071&lt;&gt;"",I1071=""),"ERROR","OK")</f>
        <v>OK</v>
      </c>
      <c r="AD1071" s="240" t="str">
        <f t="shared" si="134"/>
        <v>OK</v>
      </c>
      <c r="AE1071" s="240" t="str">
        <f t="shared" si="135"/>
        <v>OK</v>
      </c>
      <c r="AF1071" s="240" t="str" cm="1">
        <f t="array" aca="1" ref="AF1071" ca="1" xml:space="preserve">
IF(AND($G1071&lt;&gt;"",$F1071=""),"ERROR",
IF(OR($F1071:$G1071="",AND($G1071="",$F1071&lt;&gt;"")),"OK",
IF(COUNTIF(INDIRECT(IFERROR(LEFT($F1071,FIND(" ",$F1071)-1),$F1071)), $G1071)&gt;0, "OK", "ERROR")))</f>
        <v>OK</v>
      </c>
    </row>
    <row r="1072" spans="1:32" s="240" customFormat="1">
      <c r="A1072" s="48"/>
      <c r="B1072" s="31"/>
      <c r="C1072" s="48"/>
      <c r="D1072" s="47"/>
      <c r="E1072" s="47"/>
      <c r="F1072" s="31"/>
      <c r="G1072" s="31"/>
      <c r="H1072" s="31"/>
      <c r="I1072" s="47"/>
      <c r="J1072" s="31"/>
      <c r="K1072" s="47"/>
      <c r="L1072" s="47"/>
      <c r="M1072" s="47"/>
      <c r="N1072" s="31"/>
      <c r="O1072" s="47"/>
      <c r="P1072" s="31"/>
      <c r="Q1072" s="31"/>
      <c r="R1072" s="31"/>
      <c r="S1072" s="31"/>
      <c r="T1072" s="270">
        <f t="shared" si="128"/>
        <v>0</v>
      </c>
      <c r="U1072" s="270">
        <f t="shared" si="129"/>
        <v>0</v>
      </c>
      <c r="V1072" s="31"/>
      <c r="X1072" s="240" t="str">
        <f t="shared" si="130"/>
        <v>OK</v>
      </c>
      <c r="Y1072" s="240" t="str">
        <f t="shared" si="131"/>
        <v>OK</v>
      </c>
      <c r="Z1072" s="240" t="str">
        <f t="shared" si="132"/>
        <v>OK</v>
      </c>
      <c r="AA1072" s="240" t="str" cm="1">
        <f t="array" ref="AA1072">IF(OR(AND(J1072="Not accepted",N1072:O1072&lt;&gt;"",$S1072=""),AND(J1072="Accepted",S1072="")),"ERROR","OK")</f>
        <v>OK</v>
      </c>
      <c r="AB1072" s="240" t="str">
        <f t="shared" si="133"/>
        <v>OK</v>
      </c>
      <c r="AC1072" s="240" t="str" cm="1">
        <f t="array" ref="AC1072">IF(AND(F1072:H1072&lt;&gt;"",I1072=""),"ERROR","OK")</f>
        <v>OK</v>
      </c>
      <c r="AD1072" s="240" t="str">
        <f t="shared" si="134"/>
        <v>OK</v>
      </c>
      <c r="AE1072" s="240" t="str">
        <f t="shared" si="135"/>
        <v>OK</v>
      </c>
      <c r="AF1072" s="240" t="str" cm="1">
        <f t="array" aca="1" ref="AF1072" ca="1" xml:space="preserve">
IF(AND($G1072&lt;&gt;"",$F1072=""),"ERROR",
IF(OR($F1072:$G1072="",AND($G1072="",$F1072&lt;&gt;"")),"OK",
IF(COUNTIF(INDIRECT(IFERROR(LEFT($F1072,FIND(" ",$F1072)-1),$F1072)), $G1072)&gt;0, "OK", "ERROR")))</f>
        <v>OK</v>
      </c>
    </row>
    <row r="1073" spans="1:32" s="240" customFormat="1">
      <c r="A1073" s="48"/>
      <c r="B1073" s="31"/>
      <c r="C1073" s="48"/>
      <c r="D1073" s="47"/>
      <c r="E1073" s="47"/>
      <c r="F1073" s="31"/>
      <c r="G1073" s="31"/>
      <c r="H1073" s="31"/>
      <c r="I1073" s="47"/>
      <c r="J1073" s="31"/>
      <c r="K1073" s="47"/>
      <c r="L1073" s="47"/>
      <c r="M1073" s="47"/>
      <c r="N1073" s="31"/>
      <c r="O1073" s="47"/>
      <c r="P1073" s="31"/>
      <c r="Q1073" s="31"/>
      <c r="R1073" s="31"/>
      <c r="S1073" s="31"/>
      <c r="T1073" s="270">
        <f t="shared" si="128"/>
        <v>0</v>
      </c>
      <c r="U1073" s="270">
        <f t="shared" si="129"/>
        <v>0</v>
      </c>
      <c r="V1073" s="31"/>
      <c r="X1073" s="240" t="str">
        <f t="shared" si="130"/>
        <v>OK</v>
      </c>
      <c r="Y1073" s="240" t="str">
        <f t="shared" si="131"/>
        <v>OK</v>
      </c>
      <c r="Z1073" s="240" t="str">
        <f t="shared" si="132"/>
        <v>OK</v>
      </c>
      <c r="AA1073" s="240" t="str" cm="1">
        <f t="array" ref="AA1073">IF(OR(AND(J1073="Not accepted",N1073:O1073&lt;&gt;"",$S1073=""),AND(J1073="Accepted",S1073="")),"ERROR","OK")</f>
        <v>OK</v>
      </c>
      <c r="AB1073" s="240" t="str">
        <f t="shared" si="133"/>
        <v>OK</v>
      </c>
      <c r="AC1073" s="240" t="str" cm="1">
        <f t="array" ref="AC1073">IF(AND(F1073:H1073&lt;&gt;"",I1073=""),"ERROR","OK")</f>
        <v>OK</v>
      </c>
      <c r="AD1073" s="240" t="str">
        <f t="shared" si="134"/>
        <v>OK</v>
      </c>
      <c r="AE1073" s="240" t="str">
        <f t="shared" si="135"/>
        <v>OK</v>
      </c>
      <c r="AF1073" s="240" t="str" cm="1">
        <f t="array" aca="1" ref="AF1073" ca="1" xml:space="preserve">
IF(AND($G1073&lt;&gt;"",$F1073=""),"ERROR",
IF(OR($F1073:$G1073="",AND($G1073="",$F1073&lt;&gt;"")),"OK",
IF(COUNTIF(INDIRECT(IFERROR(LEFT($F1073,FIND(" ",$F1073)-1),$F1073)), $G1073)&gt;0, "OK", "ERROR")))</f>
        <v>OK</v>
      </c>
    </row>
    <row r="1074" spans="1:32" s="240" customFormat="1">
      <c r="A1074" s="48"/>
      <c r="B1074" s="31"/>
      <c r="C1074" s="48"/>
      <c r="D1074" s="47"/>
      <c r="E1074" s="47"/>
      <c r="F1074" s="31"/>
      <c r="G1074" s="31"/>
      <c r="H1074" s="31"/>
      <c r="I1074" s="47"/>
      <c r="J1074" s="31"/>
      <c r="K1074" s="47"/>
      <c r="L1074" s="47"/>
      <c r="M1074" s="47"/>
      <c r="N1074" s="31"/>
      <c r="O1074" s="47"/>
      <c r="P1074" s="31"/>
      <c r="Q1074" s="31"/>
      <c r="R1074" s="31"/>
      <c r="S1074" s="31"/>
      <c r="T1074" s="270">
        <f t="shared" si="128"/>
        <v>0</v>
      </c>
      <c r="U1074" s="270">
        <f t="shared" si="129"/>
        <v>0</v>
      </c>
      <c r="V1074" s="31"/>
      <c r="X1074" s="240" t="str">
        <f t="shared" si="130"/>
        <v>OK</v>
      </c>
      <c r="Y1074" s="240" t="str">
        <f t="shared" si="131"/>
        <v>OK</v>
      </c>
      <c r="Z1074" s="240" t="str">
        <f t="shared" si="132"/>
        <v>OK</v>
      </c>
      <c r="AA1074" s="240" t="str" cm="1">
        <f t="array" ref="AA1074">IF(OR(AND(J1074="Not accepted",N1074:O1074&lt;&gt;"",$S1074=""),AND(J1074="Accepted",S1074="")),"ERROR","OK")</f>
        <v>OK</v>
      </c>
      <c r="AB1074" s="240" t="str">
        <f t="shared" si="133"/>
        <v>OK</v>
      </c>
      <c r="AC1074" s="240" t="str" cm="1">
        <f t="array" ref="AC1074">IF(AND(F1074:H1074&lt;&gt;"",I1074=""),"ERROR","OK")</f>
        <v>OK</v>
      </c>
      <c r="AD1074" s="240" t="str">
        <f t="shared" si="134"/>
        <v>OK</v>
      </c>
      <c r="AE1074" s="240" t="str">
        <f t="shared" si="135"/>
        <v>OK</v>
      </c>
      <c r="AF1074" s="240" t="str" cm="1">
        <f t="array" aca="1" ref="AF1074" ca="1" xml:space="preserve">
IF(AND($G1074&lt;&gt;"",$F1074=""),"ERROR",
IF(OR($F1074:$G1074="",AND($G1074="",$F1074&lt;&gt;"")),"OK",
IF(COUNTIF(INDIRECT(IFERROR(LEFT($F1074,FIND(" ",$F1074)-1),$F1074)), $G1074)&gt;0, "OK", "ERROR")))</f>
        <v>OK</v>
      </c>
    </row>
    <row r="1075" spans="1:32" s="240" customFormat="1">
      <c r="A1075" s="48"/>
      <c r="B1075" s="31"/>
      <c r="C1075" s="48"/>
      <c r="D1075" s="47"/>
      <c r="E1075" s="47"/>
      <c r="F1075" s="31"/>
      <c r="G1075" s="31"/>
      <c r="H1075" s="31"/>
      <c r="I1075" s="47"/>
      <c r="J1075" s="31"/>
      <c r="K1075" s="47"/>
      <c r="L1075" s="47"/>
      <c r="M1075" s="47"/>
      <c r="N1075" s="31"/>
      <c r="O1075" s="47"/>
      <c r="P1075" s="31"/>
      <c r="Q1075" s="31"/>
      <c r="R1075" s="31"/>
      <c r="S1075" s="31"/>
      <c r="T1075" s="270">
        <f t="shared" si="128"/>
        <v>0</v>
      </c>
      <c r="U1075" s="270">
        <f t="shared" si="129"/>
        <v>0</v>
      </c>
      <c r="V1075" s="31"/>
      <c r="X1075" s="240" t="str">
        <f t="shared" si="130"/>
        <v>OK</v>
      </c>
      <c r="Y1075" s="240" t="str">
        <f t="shared" si="131"/>
        <v>OK</v>
      </c>
      <c r="Z1075" s="240" t="str">
        <f t="shared" si="132"/>
        <v>OK</v>
      </c>
      <c r="AA1075" s="240" t="str" cm="1">
        <f t="array" ref="AA1075">IF(OR(AND(J1075="Not accepted",N1075:O1075&lt;&gt;"",$S1075=""),AND(J1075="Accepted",S1075="")),"ERROR","OK")</f>
        <v>OK</v>
      </c>
      <c r="AB1075" s="240" t="str">
        <f t="shared" si="133"/>
        <v>OK</v>
      </c>
      <c r="AC1075" s="240" t="str" cm="1">
        <f t="array" ref="AC1075">IF(AND(F1075:H1075&lt;&gt;"",I1075=""),"ERROR","OK")</f>
        <v>OK</v>
      </c>
      <c r="AD1075" s="240" t="str">
        <f t="shared" si="134"/>
        <v>OK</v>
      </c>
      <c r="AE1075" s="240" t="str">
        <f t="shared" si="135"/>
        <v>OK</v>
      </c>
      <c r="AF1075" s="240" t="str" cm="1">
        <f t="array" aca="1" ref="AF1075" ca="1" xml:space="preserve">
IF(AND($G1075&lt;&gt;"",$F1075=""),"ERROR",
IF(OR($F1075:$G1075="",AND($G1075="",$F1075&lt;&gt;"")),"OK",
IF(COUNTIF(INDIRECT(IFERROR(LEFT($F1075,FIND(" ",$F1075)-1),$F1075)), $G1075)&gt;0, "OK", "ERROR")))</f>
        <v>OK</v>
      </c>
    </row>
    <row r="1076" spans="1:32" s="240" customFormat="1">
      <c r="A1076" s="48"/>
      <c r="B1076" s="31"/>
      <c r="C1076" s="48"/>
      <c r="D1076" s="47"/>
      <c r="E1076" s="47"/>
      <c r="F1076" s="31"/>
      <c r="G1076" s="31"/>
      <c r="H1076" s="31"/>
      <c r="I1076" s="47"/>
      <c r="J1076" s="31"/>
      <c r="K1076" s="47"/>
      <c r="L1076" s="47"/>
      <c r="M1076" s="47"/>
      <c r="N1076" s="31"/>
      <c r="O1076" s="47"/>
      <c r="P1076" s="31"/>
      <c r="Q1076" s="31"/>
      <c r="R1076" s="31"/>
      <c r="S1076" s="31"/>
      <c r="T1076" s="270">
        <f t="shared" si="128"/>
        <v>0</v>
      </c>
      <c r="U1076" s="270">
        <f t="shared" si="129"/>
        <v>0</v>
      </c>
      <c r="V1076" s="31"/>
      <c r="X1076" s="240" t="str">
        <f t="shared" si="130"/>
        <v>OK</v>
      </c>
      <c r="Y1076" s="240" t="str">
        <f t="shared" si="131"/>
        <v>OK</v>
      </c>
      <c r="Z1076" s="240" t="str">
        <f t="shared" si="132"/>
        <v>OK</v>
      </c>
      <c r="AA1076" s="240" t="str" cm="1">
        <f t="array" ref="AA1076">IF(OR(AND(J1076="Not accepted",N1076:O1076&lt;&gt;"",$S1076=""),AND(J1076="Accepted",S1076="")),"ERROR","OK")</f>
        <v>OK</v>
      </c>
      <c r="AB1076" s="240" t="str">
        <f t="shared" si="133"/>
        <v>OK</v>
      </c>
      <c r="AC1076" s="240" t="str" cm="1">
        <f t="array" ref="AC1076">IF(AND(F1076:H1076&lt;&gt;"",I1076=""),"ERROR","OK")</f>
        <v>OK</v>
      </c>
      <c r="AD1076" s="240" t="str">
        <f t="shared" si="134"/>
        <v>OK</v>
      </c>
      <c r="AE1076" s="240" t="str">
        <f t="shared" si="135"/>
        <v>OK</v>
      </c>
      <c r="AF1076" s="240" t="str" cm="1">
        <f t="array" aca="1" ref="AF1076" ca="1" xml:space="preserve">
IF(AND($G1076&lt;&gt;"",$F1076=""),"ERROR",
IF(OR($F1076:$G1076="",AND($G1076="",$F1076&lt;&gt;"")),"OK",
IF(COUNTIF(INDIRECT(IFERROR(LEFT($F1076,FIND(" ",$F1076)-1),$F1076)), $G1076)&gt;0, "OK", "ERROR")))</f>
        <v>OK</v>
      </c>
    </row>
    <row r="1077" spans="1:32" s="240" customFormat="1">
      <c r="A1077" s="48"/>
      <c r="B1077" s="31"/>
      <c r="C1077" s="48"/>
      <c r="D1077" s="47"/>
      <c r="E1077" s="47"/>
      <c r="F1077" s="31"/>
      <c r="G1077" s="31"/>
      <c r="H1077" s="31"/>
      <c r="I1077" s="47"/>
      <c r="J1077" s="31"/>
      <c r="K1077" s="47"/>
      <c r="L1077" s="47"/>
      <c r="M1077" s="47"/>
      <c r="N1077" s="31"/>
      <c r="O1077" s="47"/>
      <c r="P1077" s="31"/>
      <c r="Q1077" s="31"/>
      <c r="R1077" s="31"/>
      <c r="S1077" s="31"/>
      <c r="T1077" s="270">
        <f t="shared" si="128"/>
        <v>0</v>
      </c>
      <c r="U1077" s="270">
        <f t="shared" si="129"/>
        <v>0</v>
      </c>
      <c r="V1077" s="31"/>
      <c r="X1077" s="240" t="str">
        <f t="shared" si="130"/>
        <v>OK</v>
      </c>
      <c r="Y1077" s="240" t="str">
        <f t="shared" si="131"/>
        <v>OK</v>
      </c>
      <c r="Z1077" s="240" t="str">
        <f t="shared" si="132"/>
        <v>OK</v>
      </c>
      <c r="AA1077" s="240" t="str" cm="1">
        <f t="array" ref="AA1077">IF(OR(AND(J1077="Not accepted",N1077:O1077&lt;&gt;"",$S1077=""),AND(J1077="Accepted",S1077="")),"ERROR","OK")</f>
        <v>OK</v>
      </c>
      <c r="AB1077" s="240" t="str">
        <f t="shared" si="133"/>
        <v>OK</v>
      </c>
      <c r="AC1077" s="240" t="str" cm="1">
        <f t="array" ref="AC1077">IF(AND(F1077:H1077&lt;&gt;"",I1077=""),"ERROR","OK")</f>
        <v>OK</v>
      </c>
      <c r="AD1077" s="240" t="str">
        <f t="shared" si="134"/>
        <v>OK</v>
      </c>
      <c r="AE1077" s="240" t="str">
        <f t="shared" si="135"/>
        <v>OK</v>
      </c>
      <c r="AF1077" s="240" t="str" cm="1">
        <f t="array" aca="1" ref="AF1077" ca="1" xml:space="preserve">
IF(AND($G1077&lt;&gt;"",$F1077=""),"ERROR",
IF(OR($F1077:$G1077="",AND($G1077="",$F1077&lt;&gt;"")),"OK",
IF(COUNTIF(INDIRECT(IFERROR(LEFT($F1077,FIND(" ",$F1077)-1),$F1077)), $G1077)&gt;0, "OK", "ERROR")))</f>
        <v>OK</v>
      </c>
    </row>
    <row r="1078" spans="1:32" s="240" customFormat="1">
      <c r="A1078" s="48"/>
      <c r="B1078" s="31"/>
      <c r="C1078" s="48"/>
      <c r="D1078" s="47"/>
      <c r="E1078" s="47"/>
      <c r="F1078" s="31"/>
      <c r="G1078" s="31"/>
      <c r="H1078" s="31"/>
      <c r="I1078" s="47"/>
      <c r="J1078" s="31"/>
      <c r="K1078" s="47"/>
      <c r="L1078" s="47"/>
      <c r="M1078" s="47"/>
      <c r="N1078" s="31"/>
      <c r="O1078" s="47"/>
      <c r="P1078" s="31"/>
      <c r="Q1078" s="31"/>
      <c r="R1078" s="31"/>
      <c r="S1078" s="31"/>
      <c r="T1078" s="270">
        <f t="shared" si="128"/>
        <v>0</v>
      </c>
      <c r="U1078" s="270">
        <f t="shared" si="129"/>
        <v>0</v>
      </c>
      <c r="V1078" s="31"/>
      <c r="X1078" s="240" t="str">
        <f t="shared" si="130"/>
        <v>OK</v>
      </c>
      <c r="Y1078" s="240" t="str">
        <f t="shared" si="131"/>
        <v>OK</v>
      </c>
      <c r="Z1078" s="240" t="str">
        <f t="shared" si="132"/>
        <v>OK</v>
      </c>
      <c r="AA1078" s="240" t="str" cm="1">
        <f t="array" ref="AA1078">IF(OR(AND(J1078="Not accepted",N1078:O1078&lt;&gt;"",$S1078=""),AND(J1078="Accepted",S1078="")),"ERROR","OK")</f>
        <v>OK</v>
      </c>
      <c r="AB1078" s="240" t="str">
        <f t="shared" si="133"/>
        <v>OK</v>
      </c>
      <c r="AC1078" s="240" t="str" cm="1">
        <f t="array" ref="AC1078">IF(AND(F1078:H1078&lt;&gt;"",I1078=""),"ERROR","OK")</f>
        <v>OK</v>
      </c>
      <c r="AD1078" s="240" t="str">
        <f t="shared" si="134"/>
        <v>OK</v>
      </c>
      <c r="AE1078" s="240" t="str">
        <f t="shared" si="135"/>
        <v>OK</v>
      </c>
      <c r="AF1078" s="240" t="str" cm="1">
        <f t="array" aca="1" ref="AF1078" ca="1" xml:space="preserve">
IF(AND($G1078&lt;&gt;"",$F1078=""),"ERROR",
IF(OR($F1078:$G1078="",AND($G1078="",$F1078&lt;&gt;"")),"OK",
IF(COUNTIF(INDIRECT(IFERROR(LEFT($F1078,FIND(" ",$F1078)-1),$F1078)), $G1078)&gt;0, "OK", "ERROR")))</f>
        <v>OK</v>
      </c>
    </row>
    <row r="1079" spans="1:32" s="240" customFormat="1">
      <c r="A1079" s="48"/>
      <c r="B1079" s="31"/>
      <c r="C1079" s="48"/>
      <c r="D1079" s="47"/>
      <c r="E1079" s="47"/>
      <c r="F1079" s="31"/>
      <c r="G1079" s="31"/>
      <c r="H1079" s="31"/>
      <c r="I1079" s="47"/>
      <c r="J1079" s="31"/>
      <c r="K1079" s="47"/>
      <c r="L1079" s="47"/>
      <c r="M1079" s="47"/>
      <c r="N1079" s="31"/>
      <c r="O1079" s="47"/>
      <c r="P1079" s="31"/>
      <c r="Q1079" s="31"/>
      <c r="R1079" s="31"/>
      <c r="S1079" s="31"/>
      <c r="T1079" s="270">
        <f t="shared" si="128"/>
        <v>0</v>
      </c>
      <c r="U1079" s="270">
        <f t="shared" si="129"/>
        <v>0</v>
      </c>
      <c r="V1079" s="31"/>
      <c r="X1079" s="240" t="str">
        <f t="shared" si="130"/>
        <v>OK</v>
      </c>
      <c r="Y1079" s="240" t="str">
        <f t="shared" si="131"/>
        <v>OK</v>
      </c>
      <c r="Z1079" s="240" t="str">
        <f t="shared" si="132"/>
        <v>OK</v>
      </c>
      <c r="AA1079" s="240" t="str" cm="1">
        <f t="array" ref="AA1079">IF(OR(AND(J1079="Not accepted",N1079:O1079&lt;&gt;"",$S1079=""),AND(J1079="Accepted",S1079="")),"ERROR","OK")</f>
        <v>OK</v>
      </c>
      <c r="AB1079" s="240" t="str">
        <f t="shared" si="133"/>
        <v>OK</v>
      </c>
      <c r="AC1079" s="240" t="str" cm="1">
        <f t="array" ref="AC1079">IF(AND(F1079:H1079&lt;&gt;"",I1079=""),"ERROR","OK")</f>
        <v>OK</v>
      </c>
      <c r="AD1079" s="240" t="str">
        <f t="shared" si="134"/>
        <v>OK</v>
      </c>
      <c r="AE1079" s="240" t="str">
        <f t="shared" si="135"/>
        <v>OK</v>
      </c>
      <c r="AF1079" s="240" t="str" cm="1">
        <f t="array" aca="1" ref="AF1079" ca="1" xml:space="preserve">
IF(AND($G1079&lt;&gt;"",$F1079=""),"ERROR",
IF(OR($F1079:$G1079="",AND($G1079="",$F1079&lt;&gt;"")),"OK",
IF(COUNTIF(INDIRECT(IFERROR(LEFT($F1079,FIND(" ",$F1079)-1),$F1079)), $G1079)&gt;0, "OK", "ERROR")))</f>
        <v>OK</v>
      </c>
    </row>
    <row r="1080" spans="1:32" s="240" customFormat="1">
      <c r="A1080" s="48"/>
      <c r="B1080" s="31"/>
      <c r="C1080" s="48"/>
      <c r="D1080" s="47"/>
      <c r="E1080" s="47"/>
      <c r="F1080" s="31"/>
      <c r="G1080" s="31"/>
      <c r="H1080" s="31"/>
      <c r="I1080" s="47"/>
      <c r="J1080" s="31"/>
      <c r="K1080" s="47"/>
      <c r="L1080" s="47"/>
      <c r="M1080" s="47"/>
      <c r="N1080" s="31"/>
      <c r="O1080" s="47"/>
      <c r="P1080" s="31"/>
      <c r="Q1080" s="31"/>
      <c r="R1080" s="31"/>
      <c r="S1080" s="31"/>
      <c r="T1080" s="270">
        <f t="shared" si="128"/>
        <v>0</v>
      </c>
      <c r="U1080" s="270">
        <f t="shared" si="129"/>
        <v>0</v>
      </c>
      <c r="V1080" s="31"/>
      <c r="X1080" s="240" t="str">
        <f t="shared" si="130"/>
        <v>OK</v>
      </c>
      <c r="Y1080" s="240" t="str">
        <f t="shared" si="131"/>
        <v>OK</v>
      </c>
      <c r="Z1080" s="240" t="str">
        <f t="shared" si="132"/>
        <v>OK</v>
      </c>
      <c r="AA1080" s="240" t="str" cm="1">
        <f t="array" ref="AA1080">IF(OR(AND(J1080="Not accepted",N1080:O1080&lt;&gt;"",$S1080=""),AND(J1080="Accepted",S1080="")),"ERROR","OK")</f>
        <v>OK</v>
      </c>
      <c r="AB1080" s="240" t="str">
        <f t="shared" si="133"/>
        <v>OK</v>
      </c>
      <c r="AC1080" s="240" t="str" cm="1">
        <f t="array" ref="AC1080">IF(AND(F1080:H1080&lt;&gt;"",I1080=""),"ERROR","OK")</f>
        <v>OK</v>
      </c>
      <c r="AD1080" s="240" t="str">
        <f t="shared" si="134"/>
        <v>OK</v>
      </c>
      <c r="AE1080" s="240" t="str">
        <f t="shared" si="135"/>
        <v>OK</v>
      </c>
      <c r="AF1080" s="240" t="str" cm="1">
        <f t="array" aca="1" ref="AF1080" ca="1" xml:space="preserve">
IF(AND($G1080&lt;&gt;"",$F1080=""),"ERROR",
IF(OR($F1080:$G1080="",AND($G1080="",$F1080&lt;&gt;"")),"OK",
IF(COUNTIF(INDIRECT(IFERROR(LEFT($F1080,FIND(" ",$F1080)-1),$F1080)), $G1080)&gt;0, "OK", "ERROR")))</f>
        <v>OK</v>
      </c>
    </row>
    <row r="1081" spans="1:32" s="240" customFormat="1">
      <c r="A1081" s="48"/>
      <c r="B1081" s="31"/>
      <c r="C1081" s="48"/>
      <c r="D1081" s="47"/>
      <c r="E1081" s="47"/>
      <c r="F1081" s="31"/>
      <c r="G1081" s="31"/>
      <c r="H1081" s="31"/>
      <c r="I1081" s="47"/>
      <c r="J1081" s="31"/>
      <c r="K1081" s="47"/>
      <c r="L1081" s="47"/>
      <c r="M1081" s="47"/>
      <c r="N1081" s="31"/>
      <c r="O1081" s="47"/>
      <c r="P1081" s="31"/>
      <c r="Q1081" s="31"/>
      <c r="R1081" s="31"/>
      <c r="S1081" s="31"/>
      <c r="T1081" s="270">
        <f t="shared" si="128"/>
        <v>0</v>
      </c>
      <c r="U1081" s="270">
        <f t="shared" si="129"/>
        <v>0</v>
      </c>
      <c r="V1081" s="31"/>
      <c r="X1081" s="240" t="str">
        <f t="shared" si="130"/>
        <v>OK</v>
      </c>
      <c r="Y1081" s="240" t="str">
        <f t="shared" si="131"/>
        <v>OK</v>
      </c>
      <c r="Z1081" s="240" t="str">
        <f t="shared" si="132"/>
        <v>OK</v>
      </c>
      <c r="AA1081" s="240" t="str" cm="1">
        <f t="array" ref="AA1081">IF(OR(AND(J1081="Not accepted",N1081:O1081&lt;&gt;"",$S1081=""),AND(J1081="Accepted",S1081="")),"ERROR","OK")</f>
        <v>OK</v>
      </c>
      <c r="AB1081" s="240" t="str">
        <f t="shared" si="133"/>
        <v>OK</v>
      </c>
      <c r="AC1081" s="240" t="str" cm="1">
        <f t="array" ref="AC1081">IF(AND(F1081:H1081&lt;&gt;"",I1081=""),"ERROR","OK")</f>
        <v>OK</v>
      </c>
      <c r="AD1081" s="240" t="str">
        <f t="shared" si="134"/>
        <v>OK</v>
      </c>
      <c r="AE1081" s="240" t="str">
        <f t="shared" si="135"/>
        <v>OK</v>
      </c>
      <c r="AF1081" s="240" t="str" cm="1">
        <f t="array" aca="1" ref="AF1081" ca="1" xml:space="preserve">
IF(AND($G1081&lt;&gt;"",$F1081=""),"ERROR",
IF(OR($F1081:$G1081="",AND($G1081="",$F1081&lt;&gt;"")),"OK",
IF(COUNTIF(INDIRECT(IFERROR(LEFT($F1081,FIND(" ",$F1081)-1),$F1081)), $G1081)&gt;0, "OK", "ERROR")))</f>
        <v>OK</v>
      </c>
    </row>
    <row r="1082" spans="1:32" s="240" customFormat="1">
      <c r="A1082" s="48"/>
      <c r="B1082" s="31"/>
      <c r="C1082" s="48"/>
      <c r="D1082" s="47"/>
      <c r="E1082" s="47"/>
      <c r="F1082" s="31"/>
      <c r="G1082" s="31"/>
      <c r="H1082" s="31"/>
      <c r="I1082" s="47"/>
      <c r="J1082" s="31"/>
      <c r="K1082" s="47"/>
      <c r="L1082" s="47"/>
      <c r="M1082" s="47"/>
      <c r="N1082" s="31"/>
      <c r="O1082" s="47"/>
      <c r="P1082" s="31"/>
      <c r="Q1082" s="31"/>
      <c r="R1082" s="31"/>
      <c r="S1082" s="31"/>
      <c r="T1082" s="270">
        <f t="shared" si="128"/>
        <v>0</v>
      </c>
      <c r="U1082" s="270">
        <f t="shared" si="129"/>
        <v>0</v>
      </c>
      <c r="V1082" s="31"/>
      <c r="X1082" s="240" t="str">
        <f t="shared" si="130"/>
        <v>OK</v>
      </c>
      <c r="Y1082" s="240" t="str">
        <f t="shared" si="131"/>
        <v>OK</v>
      </c>
      <c r="Z1082" s="240" t="str">
        <f t="shared" si="132"/>
        <v>OK</v>
      </c>
      <c r="AA1082" s="240" t="str" cm="1">
        <f t="array" ref="AA1082">IF(OR(AND(J1082="Not accepted",N1082:O1082&lt;&gt;"",$S1082=""),AND(J1082="Accepted",S1082="")),"ERROR","OK")</f>
        <v>OK</v>
      </c>
      <c r="AB1082" s="240" t="str">
        <f t="shared" si="133"/>
        <v>OK</v>
      </c>
      <c r="AC1082" s="240" t="str" cm="1">
        <f t="array" ref="AC1082">IF(AND(F1082:H1082&lt;&gt;"",I1082=""),"ERROR","OK")</f>
        <v>OK</v>
      </c>
      <c r="AD1082" s="240" t="str">
        <f t="shared" si="134"/>
        <v>OK</v>
      </c>
      <c r="AE1082" s="240" t="str">
        <f t="shared" si="135"/>
        <v>OK</v>
      </c>
      <c r="AF1082" s="240" t="str" cm="1">
        <f t="array" aca="1" ref="AF1082" ca="1" xml:space="preserve">
IF(AND($G1082&lt;&gt;"",$F1082=""),"ERROR",
IF(OR($F1082:$G1082="",AND($G1082="",$F1082&lt;&gt;"")),"OK",
IF(COUNTIF(INDIRECT(IFERROR(LEFT($F1082,FIND(" ",$F1082)-1),$F1082)), $G1082)&gt;0, "OK", "ERROR")))</f>
        <v>OK</v>
      </c>
    </row>
    <row r="1083" spans="1:32" s="240" customFormat="1">
      <c r="A1083" s="48"/>
      <c r="B1083" s="31"/>
      <c r="C1083" s="48"/>
      <c r="D1083" s="47"/>
      <c r="E1083" s="47"/>
      <c r="F1083" s="31"/>
      <c r="G1083" s="31"/>
      <c r="H1083" s="31"/>
      <c r="I1083" s="47"/>
      <c r="J1083" s="31"/>
      <c r="K1083" s="47"/>
      <c r="L1083" s="47"/>
      <c r="M1083" s="47"/>
      <c r="N1083" s="31"/>
      <c r="O1083" s="47"/>
      <c r="P1083" s="31"/>
      <c r="Q1083" s="31"/>
      <c r="R1083" s="31"/>
      <c r="S1083" s="31"/>
      <c r="T1083" s="270">
        <f t="shared" si="128"/>
        <v>0</v>
      </c>
      <c r="U1083" s="270">
        <f t="shared" si="129"/>
        <v>0</v>
      </c>
      <c r="V1083" s="31"/>
      <c r="X1083" s="240" t="str">
        <f t="shared" si="130"/>
        <v>OK</v>
      </c>
      <c r="Y1083" s="240" t="str">
        <f t="shared" si="131"/>
        <v>OK</v>
      </c>
      <c r="Z1083" s="240" t="str">
        <f t="shared" si="132"/>
        <v>OK</v>
      </c>
      <c r="AA1083" s="240" t="str" cm="1">
        <f t="array" ref="AA1083">IF(OR(AND(J1083="Not accepted",N1083:O1083&lt;&gt;"",$S1083=""),AND(J1083="Accepted",S1083="")),"ERROR","OK")</f>
        <v>OK</v>
      </c>
      <c r="AB1083" s="240" t="str">
        <f t="shared" si="133"/>
        <v>OK</v>
      </c>
      <c r="AC1083" s="240" t="str" cm="1">
        <f t="array" ref="AC1083">IF(AND(F1083:H1083&lt;&gt;"",I1083=""),"ERROR","OK")</f>
        <v>OK</v>
      </c>
      <c r="AD1083" s="240" t="str">
        <f t="shared" si="134"/>
        <v>OK</v>
      </c>
      <c r="AE1083" s="240" t="str">
        <f t="shared" si="135"/>
        <v>OK</v>
      </c>
      <c r="AF1083" s="240" t="str" cm="1">
        <f t="array" aca="1" ref="AF1083" ca="1" xml:space="preserve">
IF(AND($G1083&lt;&gt;"",$F1083=""),"ERROR",
IF(OR($F1083:$G1083="",AND($G1083="",$F1083&lt;&gt;"")),"OK",
IF(COUNTIF(INDIRECT(IFERROR(LEFT($F1083,FIND(" ",$F1083)-1),$F1083)), $G1083)&gt;0, "OK", "ERROR")))</f>
        <v>OK</v>
      </c>
    </row>
    <row r="1084" spans="1:32" s="240" customFormat="1">
      <c r="A1084" s="48"/>
      <c r="B1084" s="31"/>
      <c r="C1084" s="48"/>
      <c r="D1084" s="47"/>
      <c r="E1084" s="47"/>
      <c r="F1084" s="31"/>
      <c r="G1084" s="31"/>
      <c r="H1084" s="31"/>
      <c r="I1084" s="47"/>
      <c r="J1084" s="31"/>
      <c r="K1084" s="47"/>
      <c r="L1084" s="47"/>
      <c r="M1084" s="47"/>
      <c r="N1084" s="31"/>
      <c r="O1084" s="47"/>
      <c r="P1084" s="31"/>
      <c r="Q1084" s="31"/>
      <c r="R1084" s="31"/>
      <c r="S1084" s="31"/>
      <c r="T1084" s="270">
        <f t="shared" si="128"/>
        <v>0</v>
      </c>
      <c r="U1084" s="270">
        <f t="shared" si="129"/>
        <v>0</v>
      </c>
      <c r="V1084" s="31"/>
      <c r="X1084" s="240" t="str">
        <f t="shared" si="130"/>
        <v>OK</v>
      </c>
      <c r="Y1084" s="240" t="str">
        <f t="shared" si="131"/>
        <v>OK</v>
      </c>
      <c r="Z1084" s="240" t="str">
        <f t="shared" si="132"/>
        <v>OK</v>
      </c>
      <c r="AA1084" s="240" t="str" cm="1">
        <f t="array" ref="AA1084">IF(OR(AND(J1084="Not accepted",N1084:O1084&lt;&gt;"",$S1084=""),AND(J1084="Accepted",S1084="")),"ERROR","OK")</f>
        <v>OK</v>
      </c>
      <c r="AB1084" s="240" t="str">
        <f t="shared" si="133"/>
        <v>OK</v>
      </c>
      <c r="AC1084" s="240" t="str" cm="1">
        <f t="array" ref="AC1084">IF(AND(F1084:H1084&lt;&gt;"",I1084=""),"ERROR","OK")</f>
        <v>OK</v>
      </c>
      <c r="AD1084" s="240" t="str">
        <f t="shared" si="134"/>
        <v>OK</v>
      </c>
      <c r="AE1084" s="240" t="str">
        <f t="shared" si="135"/>
        <v>OK</v>
      </c>
      <c r="AF1084" s="240" t="str" cm="1">
        <f t="array" aca="1" ref="AF1084" ca="1" xml:space="preserve">
IF(AND($G1084&lt;&gt;"",$F1084=""),"ERROR",
IF(OR($F1084:$G1084="",AND($G1084="",$F1084&lt;&gt;"")),"OK",
IF(COUNTIF(INDIRECT(IFERROR(LEFT($F1084,FIND(" ",$F1084)-1),$F1084)), $G1084)&gt;0, "OK", "ERROR")))</f>
        <v>OK</v>
      </c>
    </row>
    <row r="1085" spans="1:32" s="240" customFormat="1">
      <c r="A1085" s="48"/>
      <c r="B1085" s="31"/>
      <c r="C1085" s="48"/>
      <c r="D1085" s="47"/>
      <c r="E1085" s="47"/>
      <c r="F1085" s="31"/>
      <c r="G1085" s="31"/>
      <c r="H1085" s="31"/>
      <c r="I1085" s="47"/>
      <c r="J1085" s="31"/>
      <c r="K1085" s="47"/>
      <c r="L1085" s="47"/>
      <c r="M1085" s="47"/>
      <c r="N1085" s="31"/>
      <c r="O1085" s="47"/>
      <c r="P1085" s="31"/>
      <c r="Q1085" s="31"/>
      <c r="R1085" s="31"/>
      <c r="S1085" s="31"/>
      <c r="T1085" s="270">
        <f t="shared" si="128"/>
        <v>0</v>
      </c>
      <c r="U1085" s="270">
        <f t="shared" si="129"/>
        <v>0</v>
      </c>
      <c r="V1085" s="31"/>
      <c r="X1085" s="240" t="str">
        <f t="shared" si="130"/>
        <v>OK</v>
      </c>
      <c r="Y1085" s="240" t="str">
        <f t="shared" si="131"/>
        <v>OK</v>
      </c>
      <c r="Z1085" s="240" t="str">
        <f t="shared" si="132"/>
        <v>OK</v>
      </c>
      <c r="AA1085" s="240" t="str" cm="1">
        <f t="array" ref="AA1085">IF(OR(AND(J1085="Not accepted",N1085:O1085&lt;&gt;"",$S1085=""),AND(J1085="Accepted",S1085="")),"ERROR","OK")</f>
        <v>OK</v>
      </c>
      <c r="AB1085" s="240" t="str">
        <f t="shared" si="133"/>
        <v>OK</v>
      </c>
      <c r="AC1085" s="240" t="str" cm="1">
        <f t="array" ref="AC1085">IF(AND(F1085:H1085&lt;&gt;"",I1085=""),"ERROR","OK")</f>
        <v>OK</v>
      </c>
      <c r="AD1085" s="240" t="str">
        <f t="shared" si="134"/>
        <v>OK</v>
      </c>
      <c r="AE1085" s="240" t="str">
        <f t="shared" si="135"/>
        <v>OK</v>
      </c>
      <c r="AF1085" s="240" t="str" cm="1">
        <f t="array" aca="1" ref="AF1085" ca="1" xml:space="preserve">
IF(AND($G1085&lt;&gt;"",$F1085=""),"ERROR",
IF(OR($F1085:$G1085="",AND($G1085="",$F1085&lt;&gt;"")),"OK",
IF(COUNTIF(INDIRECT(IFERROR(LEFT($F1085,FIND(" ",$F1085)-1),$F1085)), $G1085)&gt;0, "OK", "ERROR")))</f>
        <v>OK</v>
      </c>
    </row>
    <row r="1086" spans="1:32" s="240" customFormat="1">
      <c r="A1086" s="48"/>
      <c r="B1086" s="31"/>
      <c r="C1086" s="48"/>
      <c r="D1086" s="47"/>
      <c r="E1086" s="47"/>
      <c r="F1086" s="31"/>
      <c r="G1086" s="31"/>
      <c r="H1086" s="31"/>
      <c r="I1086" s="47"/>
      <c r="J1086" s="31"/>
      <c r="K1086" s="47"/>
      <c r="L1086" s="47"/>
      <c r="M1086" s="47"/>
      <c r="N1086" s="31"/>
      <c r="O1086" s="47"/>
      <c r="P1086" s="31"/>
      <c r="Q1086" s="31"/>
      <c r="R1086" s="31"/>
      <c r="S1086" s="31"/>
      <c r="T1086" s="270">
        <f t="shared" si="128"/>
        <v>0</v>
      </c>
      <c r="U1086" s="270">
        <f t="shared" si="129"/>
        <v>0</v>
      </c>
      <c r="V1086" s="31"/>
      <c r="X1086" s="240" t="str">
        <f t="shared" si="130"/>
        <v>OK</v>
      </c>
      <c r="Y1086" s="240" t="str">
        <f t="shared" si="131"/>
        <v>OK</v>
      </c>
      <c r="Z1086" s="240" t="str">
        <f t="shared" si="132"/>
        <v>OK</v>
      </c>
      <c r="AA1086" s="240" t="str" cm="1">
        <f t="array" ref="AA1086">IF(OR(AND(J1086="Not accepted",N1086:O1086&lt;&gt;"",$S1086=""),AND(J1086="Accepted",S1086="")),"ERROR","OK")</f>
        <v>OK</v>
      </c>
      <c r="AB1086" s="240" t="str">
        <f t="shared" si="133"/>
        <v>OK</v>
      </c>
      <c r="AC1086" s="240" t="str" cm="1">
        <f t="array" ref="AC1086">IF(AND(F1086:H1086&lt;&gt;"",I1086=""),"ERROR","OK")</f>
        <v>OK</v>
      </c>
      <c r="AD1086" s="240" t="str">
        <f t="shared" si="134"/>
        <v>OK</v>
      </c>
      <c r="AE1086" s="240" t="str">
        <f t="shared" si="135"/>
        <v>OK</v>
      </c>
      <c r="AF1086" s="240" t="str" cm="1">
        <f t="array" aca="1" ref="AF1086" ca="1" xml:space="preserve">
IF(AND($G1086&lt;&gt;"",$F1086=""),"ERROR",
IF(OR($F1086:$G1086="",AND($G1086="",$F1086&lt;&gt;"")),"OK",
IF(COUNTIF(INDIRECT(IFERROR(LEFT($F1086,FIND(" ",$F1086)-1),$F1086)), $G1086)&gt;0, "OK", "ERROR")))</f>
        <v>OK</v>
      </c>
    </row>
    <row r="1087" spans="1:32" s="240" customFormat="1">
      <c r="A1087" s="48"/>
      <c r="B1087" s="31"/>
      <c r="C1087" s="48"/>
      <c r="D1087" s="47"/>
      <c r="E1087" s="47"/>
      <c r="F1087" s="31"/>
      <c r="G1087" s="31"/>
      <c r="H1087" s="31"/>
      <c r="I1087" s="47"/>
      <c r="J1087" s="31"/>
      <c r="K1087" s="47"/>
      <c r="L1087" s="47"/>
      <c r="M1087" s="47"/>
      <c r="N1087" s="31"/>
      <c r="O1087" s="47"/>
      <c r="P1087" s="31"/>
      <c r="Q1087" s="31"/>
      <c r="R1087" s="31"/>
      <c r="S1087" s="31"/>
      <c r="T1087" s="270">
        <f t="shared" si="128"/>
        <v>0</v>
      </c>
      <c r="U1087" s="270">
        <f t="shared" si="129"/>
        <v>0</v>
      </c>
      <c r="V1087" s="31"/>
      <c r="X1087" s="240" t="str">
        <f t="shared" si="130"/>
        <v>OK</v>
      </c>
      <c r="Y1087" s="240" t="str">
        <f t="shared" si="131"/>
        <v>OK</v>
      </c>
      <c r="Z1087" s="240" t="str">
        <f t="shared" si="132"/>
        <v>OK</v>
      </c>
      <c r="AA1087" s="240" t="str" cm="1">
        <f t="array" ref="AA1087">IF(OR(AND(J1087="Not accepted",N1087:O1087&lt;&gt;"",$S1087=""),AND(J1087="Accepted",S1087="")),"ERROR","OK")</f>
        <v>OK</v>
      </c>
      <c r="AB1087" s="240" t="str">
        <f t="shared" si="133"/>
        <v>OK</v>
      </c>
      <c r="AC1087" s="240" t="str" cm="1">
        <f t="array" ref="AC1087">IF(AND(F1087:H1087&lt;&gt;"",I1087=""),"ERROR","OK")</f>
        <v>OK</v>
      </c>
      <c r="AD1087" s="240" t="str">
        <f t="shared" si="134"/>
        <v>OK</v>
      </c>
      <c r="AE1087" s="240" t="str">
        <f t="shared" si="135"/>
        <v>OK</v>
      </c>
      <c r="AF1087" s="240" t="str" cm="1">
        <f t="array" aca="1" ref="AF1087" ca="1" xml:space="preserve">
IF(AND($G1087&lt;&gt;"",$F1087=""),"ERROR",
IF(OR($F1087:$G1087="",AND($G1087="",$F1087&lt;&gt;"")),"OK",
IF(COUNTIF(INDIRECT(IFERROR(LEFT($F1087,FIND(" ",$F1087)-1),$F1087)), $G1087)&gt;0, "OK", "ERROR")))</f>
        <v>OK</v>
      </c>
    </row>
    <row r="1088" spans="1:32" s="240" customFormat="1">
      <c r="A1088" s="48"/>
      <c r="B1088" s="31"/>
      <c r="C1088" s="48"/>
      <c r="D1088" s="47"/>
      <c r="E1088" s="47"/>
      <c r="F1088" s="31"/>
      <c r="G1088" s="31"/>
      <c r="H1088" s="31"/>
      <c r="I1088" s="47"/>
      <c r="J1088" s="31"/>
      <c r="K1088" s="47"/>
      <c r="L1088" s="47"/>
      <c r="M1088" s="47"/>
      <c r="N1088" s="31"/>
      <c r="O1088" s="47"/>
      <c r="P1088" s="31"/>
      <c r="Q1088" s="31"/>
      <c r="R1088" s="31"/>
      <c r="S1088" s="31"/>
      <c r="T1088" s="270">
        <f t="shared" si="128"/>
        <v>0</v>
      </c>
      <c r="U1088" s="270">
        <f t="shared" si="129"/>
        <v>0</v>
      </c>
      <c r="V1088" s="31"/>
      <c r="X1088" s="240" t="str">
        <f t="shared" si="130"/>
        <v>OK</v>
      </c>
      <c r="Y1088" s="240" t="str">
        <f t="shared" si="131"/>
        <v>OK</v>
      </c>
      <c r="Z1088" s="240" t="str">
        <f t="shared" si="132"/>
        <v>OK</v>
      </c>
      <c r="AA1088" s="240" t="str" cm="1">
        <f t="array" ref="AA1088">IF(OR(AND(J1088="Not accepted",N1088:O1088&lt;&gt;"",$S1088=""),AND(J1088="Accepted",S1088="")),"ERROR","OK")</f>
        <v>OK</v>
      </c>
      <c r="AB1088" s="240" t="str">
        <f t="shared" si="133"/>
        <v>OK</v>
      </c>
      <c r="AC1088" s="240" t="str" cm="1">
        <f t="array" ref="AC1088">IF(AND(F1088:H1088&lt;&gt;"",I1088=""),"ERROR","OK")</f>
        <v>OK</v>
      </c>
      <c r="AD1088" s="240" t="str">
        <f t="shared" si="134"/>
        <v>OK</v>
      </c>
      <c r="AE1088" s="240" t="str">
        <f t="shared" si="135"/>
        <v>OK</v>
      </c>
      <c r="AF1088" s="240" t="str" cm="1">
        <f t="array" aca="1" ref="AF1088" ca="1" xml:space="preserve">
IF(AND($G1088&lt;&gt;"",$F1088=""),"ERROR",
IF(OR($F1088:$G1088="",AND($G1088="",$F1088&lt;&gt;"")),"OK",
IF(COUNTIF(INDIRECT(IFERROR(LEFT($F1088,FIND(" ",$F1088)-1),$F1088)), $G1088)&gt;0, "OK", "ERROR")))</f>
        <v>OK</v>
      </c>
    </row>
    <row r="1089" spans="1:32" s="240" customFormat="1">
      <c r="A1089" s="48"/>
      <c r="B1089" s="31"/>
      <c r="C1089" s="48"/>
      <c r="D1089" s="47"/>
      <c r="E1089" s="47"/>
      <c r="F1089" s="31"/>
      <c r="G1089" s="31"/>
      <c r="H1089" s="31"/>
      <c r="I1089" s="47"/>
      <c r="J1089" s="31"/>
      <c r="K1089" s="47"/>
      <c r="L1089" s="47"/>
      <c r="M1089" s="47"/>
      <c r="N1089" s="31"/>
      <c r="O1089" s="47"/>
      <c r="P1089" s="31"/>
      <c r="Q1089" s="31"/>
      <c r="R1089" s="31"/>
      <c r="S1089" s="31"/>
      <c r="T1089" s="270">
        <f t="shared" si="128"/>
        <v>0</v>
      </c>
      <c r="U1089" s="270">
        <f t="shared" si="129"/>
        <v>0</v>
      </c>
      <c r="V1089" s="31"/>
      <c r="X1089" s="240" t="str">
        <f t="shared" si="130"/>
        <v>OK</v>
      </c>
      <c r="Y1089" s="240" t="str">
        <f t="shared" si="131"/>
        <v>OK</v>
      </c>
      <c r="Z1089" s="240" t="str">
        <f t="shared" si="132"/>
        <v>OK</v>
      </c>
      <c r="AA1089" s="240" t="str" cm="1">
        <f t="array" ref="AA1089">IF(OR(AND(J1089="Not accepted",N1089:O1089&lt;&gt;"",$S1089=""),AND(J1089="Accepted",S1089="")),"ERROR","OK")</f>
        <v>OK</v>
      </c>
      <c r="AB1089" s="240" t="str">
        <f t="shared" si="133"/>
        <v>OK</v>
      </c>
      <c r="AC1089" s="240" t="str" cm="1">
        <f t="array" ref="AC1089">IF(AND(F1089:H1089&lt;&gt;"",I1089=""),"ERROR","OK")</f>
        <v>OK</v>
      </c>
      <c r="AD1089" s="240" t="str">
        <f t="shared" si="134"/>
        <v>OK</v>
      </c>
      <c r="AE1089" s="240" t="str">
        <f t="shared" si="135"/>
        <v>OK</v>
      </c>
      <c r="AF1089" s="240" t="str" cm="1">
        <f t="array" aca="1" ref="AF1089" ca="1" xml:space="preserve">
IF(AND($G1089&lt;&gt;"",$F1089=""),"ERROR",
IF(OR($F1089:$G1089="",AND($G1089="",$F1089&lt;&gt;"")),"OK",
IF(COUNTIF(INDIRECT(IFERROR(LEFT($F1089,FIND(" ",$F1089)-1),$F1089)), $G1089)&gt;0, "OK", "ERROR")))</f>
        <v>OK</v>
      </c>
    </row>
    <row r="1090" spans="1:32" s="240" customFormat="1">
      <c r="A1090" s="48"/>
      <c r="B1090" s="31"/>
      <c r="C1090" s="48"/>
      <c r="D1090" s="47"/>
      <c r="E1090" s="47"/>
      <c r="F1090" s="31"/>
      <c r="G1090" s="31"/>
      <c r="H1090" s="31"/>
      <c r="I1090" s="47"/>
      <c r="J1090" s="31"/>
      <c r="K1090" s="47"/>
      <c r="L1090" s="47"/>
      <c r="M1090" s="47"/>
      <c r="N1090" s="31"/>
      <c r="O1090" s="47"/>
      <c r="P1090" s="31"/>
      <c r="Q1090" s="31"/>
      <c r="R1090" s="31"/>
      <c r="S1090" s="31"/>
      <c r="T1090" s="270">
        <f t="shared" si="128"/>
        <v>0</v>
      </c>
      <c r="U1090" s="270">
        <f t="shared" si="129"/>
        <v>0</v>
      </c>
      <c r="V1090" s="31"/>
      <c r="X1090" s="240" t="str">
        <f t="shared" si="130"/>
        <v>OK</v>
      </c>
      <c r="Y1090" s="240" t="str">
        <f t="shared" si="131"/>
        <v>OK</v>
      </c>
      <c r="Z1090" s="240" t="str">
        <f t="shared" si="132"/>
        <v>OK</v>
      </c>
      <c r="AA1090" s="240" t="str" cm="1">
        <f t="array" ref="AA1090">IF(OR(AND(J1090="Not accepted",N1090:O1090&lt;&gt;"",$S1090=""),AND(J1090="Accepted",S1090="")),"ERROR","OK")</f>
        <v>OK</v>
      </c>
      <c r="AB1090" s="240" t="str">
        <f t="shared" si="133"/>
        <v>OK</v>
      </c>
      <c r="AC1090" s="240" t="str" cm="1">
        <f t="array" ref="AC1090">IF(AND(F1090:H1090&lt;&gt;"",I1090=""),"ERROR","OK")</f>
        <v>OK</v>
      </c>
      <c r="AD1090" s="240" t="str">
        <f t="shared" si="134"/>
        <v>OK</v>
      </c>
      <c r="AE1090" s="240" t="str">
        <f t="shared" si="135"/>
        <v>OK</v>
      </c>
      <c r="AF1090" s="240" t="str" cm="1">
        <f t="array" aca="1" ref="AF1090" ca="1" xml:space="preserve">
IF(AND($G1090&lt;&gt;"",$F1090=""),"ERROR",
IF(OR($F1090:$G1090="",AND($G1090="",$F1090&lt;&gt;"")),"OK",
IF(COUNTIF(INDIRECT(IFERROR(LEFT($F1090,FIND(" ",$F1090)-1),$F1090)), $G1090)&gt;0, "OK", "ERROR")))</f>
        <v>OK</v>
      </c>
    </row>
    <row r="1091" spans="1:32" s="240" customFormat="1">
      <c r="A1091" s="48"/>
      <c r="B1091" s="31"/>
      <c r="C1091" s="48"/>
      <c r="D1091" s="47"/>
      <c r="E1091" s="47"/>
      <c r="F1091" s="31"/>
      <c r="G1091" s="31"/>
      <c r="H1091" s="31"/>
      <c r="I1091" s="47"/>
      <c r="J1091" s="31"/>
      <c r="K1091" s="47"/>
      <c r="L1091" s="47"/>
      <c r="M1091" s="47"/>
      <c r="N1091" s="31"/>
      <c r="O1091" s="47"/>
      <c r="P1091" s="31"/>
      <c r="Q1091" s="31"/>
      <c r="R1091" s="31"/>
      <c r="S1091" s="31"/>
      <c r="T1091" s="270">
        <f t="shared" si="128"/>
        <v>0</v>
      </c>
      <c r="U1091" s="270">
        <f t="shared" si="129"/>
        <v>0</v>
      </c>
      <c r="V1091" s="31"/>
      <c r="X1091" s="240" t="str">
        <f t="shared" si="130"/>
        <v>OK</v>
      </c>
      <c r="Y1091" s="240" t="str">
        <f t="shared" si="131"/>
        <v>OK</v>
      </c>
      <c r="Z1091" s="240" t="str">
        <f t="shared" si="132"/>
        <v>OK</v>
      </c>
      <c r="AA1091" s="240" t="str" cm="1">
        <f t="array" ref="AA1091">IF(OR(AND(J1091="Not accepted",N1091:O1091&lt;&gt;"",$S1091=""),AND(J1091="Accepted",S1091="")),"ERROR","OK")</f>
        <v>OK</v>
      </c>
      <c r="AB1091" s="240" t="str">
        <f t="shared" si="133"/>
        <v>OK</v>
      </c>
      <c r="AC1091" s="240" t="str" cm="1">
        <f t="array" ref="AC1091">IF(AND(F1091:H1091&lt;&gt;"",I1091=""),"ERROR","OK")</f>
        <v>OK</v>
      </c>
      <c r="AD1091" s="240" t="str">
        <f t="shared" si="134"/>
        <v>OK</v>
      </c>
      <c r="AE1091" s="240" t="str">
        <f t="shared" si="135"/>
        <v>OK</v>
      </c>
      <c r="AF1091" s="240" t="str" cm="1">
        <f t="array" aca="1" ref="AF1091" ca="1" xml:space="preserve">
IF(AND($G1091&lt;&gt;"",$F1091=""),"ERROR",
IF(OR($F1091:$G1091="",AND($G1091="",$F1091&lt;&gt;"")),"OK",
IF(COUNTIF(INDIRECT(IFERROR(LEFT($F1091,FIND(" ",$F1091)-1),$F1091)), $G1091)&gt;0, "OK", "ERROR")))</f>
        <v>OK</v>
      </c>
    </row>
    <row r="1092" spans="1:32" s="240" customFormat="1">
      <c r="A1092" s="48"/>
      <c r="B1092" s="31"/>
      <c r="C1092" s="48"/>
      <c r="D1092" s="47"/>
      <c r="E1092" s="47"/>
      <c r="F1092" s="31"/>
      <c r="G1092" s="31"/>
      <c r="H1092" s="31"/>
      <c r="I1092" s="47"/>
      <c r="J1092" s="31"/>
      <c r="K1092" s="47"/>
      <c r="L1092" s="47"/>
      <c r="M1092" s="47"/>
      <c r="N1092" s="31"/>
      <c r="O1092" s="47"/>
      <c r="P1092" s="31"/>
      <c r="Q1092" s="31"/>
      <c r="R1092" s="31"/>
      <c r="S1092" s="31"/>
      <c r="T1092" s="270">
        <f t="shared" si="128"/>
        <v>0</v>
      </c>
      <c r="U1092" s="270">
        <f t="shared" si="129"/>
        <v>0</v>
      </c>
      <c r="V1092" s="31"/>
      <c r="X1092" s="240" t="str">
        <f t="shared" si="130"/>
        <v>OK</v>
      </c>
      <c r="Y1092" s="240" t="str">
        <f t="shared" si="131"/>
        <v>OK</v>
      </c>
      <c r="Z1092" s="240" t="str">
        <f t="shared" si="132"/>
        <v>OK</v>
      </c>
      <c r="AA1092" s="240" t="str" cm="1">
        <f t="array" ref="AA1092">IF(OR(AND(J1092="Not accepted",N1092:O1092&lt;&gt;"",$S1092=""),AND(J1092="Accepted",S1092="")),"ERROR","OK")</f>
        <v>OK</v>
      </c>
      <c r="AB1092" s="240" t="str">
        <f t="shared" si="133"/>
        <v>OK</v>
      </c>
      <c r="AC1092" s="240" t="str" cm="1">
        <f t="array" ref="AC1092">IF(AND(F1092:H1092&lt;&gt;"",I1092=""),"ERROR","OK")</f>
        <v>OK</v>
      </c>
      <c r="AD1092" s="240" t="str">
        <f t="shared" si="134"/>
        <v>OK</v>
      </c>
      <c r="AE1092" s="240" t="str">
        <f t="shared" si="135"/>
        <v>OK</v>
      </c>
      <c r="AF1092" s="240" t="str" cm="1">
        <f t="array" aca="1" ref="AF1092" ca="1" xml:space="preserve">
IF(AND($G1092&lt;&gt;"",$F1092=""),"ERROR",
IF(OR($F1092:$G1092="",AND($G1092="",$F1092&lt;&gt;"")),"OK",
IF(COUNTIF(INDIRECT(IFERROR(LEFT($F1092,FIND(" ",$F1092)-1),$F1092)), $G1092)&gt;0, "OK", "ERROR")))</f>
        <v>OK</v>
      </c>
    </row>
    <row r="1093" spans="1:32" s="240" customFormat="1">
      <c r="A1093" s="48"/>
      <c r="B1093" s="31"/>
      <c r="C1093" s="48"/>
      <c r="D1093" s="47"/>
      <c r="E1093" s="47"/>
      <c r="F1093" s="31"/>
      <c r="G1093" s="31"/>
      <c r="H1093" s="31"/>
      <c r="I1093" s="47"/>
      <c r="J1093" s="31"/>
      <c r="K1093" s="47"/>
      <c r="L1093" s="47"/>
      <c r="M1093" s="47"/>
      <c r="N1093" s="31"/>
      <c r="O1093" s="47"/>
      <c r="P1093" s="31"/>
      <c r="Q1093" s="31"/>
      <c r="R1093" s="31"/>
      <c r="S1093" s="31"/>
      <c r="T1093" s="270">
        <f t="shared" ref="T1093:T1156" si="136">IF(OR($J1093="Accepted",ISBLANK($J1093)),IF(AND($G1093="Legacy Data",$Q1093="Legacy Data"),1,IF(OR($G1093="Legacy Data",$Q1093="Legacy Data"),1,0)),IF(OR($N1093="Agree with original translator",ISBLANK($N1093)),IF(AND($G1093="Source Text Data",$Q1093="Legacy Data"),1,IF(AND($G1093="Legacy Data",$Q1093="Legacy Data"),1,IF($Q1093="Legacy Data",1,0))),IF(AND($G1093="Legacy Data",$Q1093="Legacy Data"),1,IF(OR($Q1093="Legacy Data",ISBLANK($Q1093)),IF($G1093&lt;&gt;"Legacy Data",IF(AND($G1093="Source Text Data",$Q1093="Legacy Data"),1,0),1),0))))</f>
        <v>0</v>
      </c>
      <c r="U1093" s="270">
        <f t="shared" ref="U1093:U1156" si="137">IF(OR($J1093="Accepted",ISBLANK($J1093)),IF(AND($G1093="Source Text Data",$Q1093="Source Text Data"),1,IF(OR($G1093="Source Text Data",$Q1093="Source Text Data"),1,0)),IF(OR($N1093="Agree with original translator",ISBLANK($N1093)),IF(AND($G1093="Legacy Data",$Q1093="Source Text Data"),1,IF(AND($G1093="Source Text Data",$Q1093="Source Text Data"),1,IF($Q1093="Source Text Data",1,0))),IF(AND($G1093="Source Text Data",$Q1093="Source Text Data"),1,IF(OR($Q1093="Source Text Data",ISBLANK($Q1093)),IF($G1093&lt;&gt;"Source Text Data",IF(AND($G1093="Legacy Data",$Q1093="Source Text Data"),1,0),1),0))))</f>
        <v>0</v>
      </c>
      <c r="V1093" s="31"/>
      <c r="X1093" s="240" t="str">
        <f t="shared" ref="X1093:X1156" si="138">IF(AND(COUNTBLANK($F1093:$H1093)&lt;&gt;COLUMNS($F1093:$H1093),COUNTA($F1093:$H1093)&lt;&gt;COLUMNS($F1093:$H1093)),"ERROR","OK")</f>
        <v>OK</v>
      </c>
      <c r="Y1093" s="240" t="str">
        <f t="shared" ref="Y1093:Y1156" si="139">IF(AND($J1093="Not accepted",$K1093=""),"ERROR","OK")</f>
        <v>OK</v>
      </c>
      <c r="Z1093" s="240" t="str">
        <f t="shared" ref="Z1093:Z1156" si="140">IF(AND($F1093&lt;&gt;"",$J1093=""),"ERROR","OK")</f>
        <v>OK</v>
      </c>
      <c r="AA1093" s="240" t="str" cm="1">
        <f t="array" ref="AA1093">IF(OR(AND(J1093="Not accepted",N1093:O1093&lt;&gt;"",$S1093=""),AND(J1093="Accepted",S1093="")),"ERROR","OK")</f>
        <v>OK</v>
      </c>
      <c r="AB1093" s="240" t="str">
        <f t="shared" ref="AB1093:AB1156" si="141">IF(AND($S1093="Not Implemented",$V1093=""),"ERROR","OK")</f>
        <v>OK</v>
      </c>
      <c r="AC1093" s="240" t="str" cm="1">
        <f t="array" ref="AC1093">IF(AND(F1093:H1093&lt;&gt;"",I1093=""),"ERROR","OK")</f>
        <v>OK</v>
      </c>
      <c r="AD1093" s="240" t="str">
        <f t="shared" ref="AD1093:AD1156" si="142">IF(AND($N1093="",$J1093="Not accepted",$K1093&lt;&gt;""),"ERROR","OK")</f>
        <v>OK</v>
      </c>
      <c r="AE1093" s="240" t="str">
        <f t="shared" ref="AE1093:AE1156" si="143">IF(AND($O1093="",$N1093&lt;&gt;""),"ERROR","OK")</f>
        <v>OK</v>
      </c>
      <c r="AF1093" s="240" t="str" cm="1">
        <f t="array" aca="1" ref="AF1093" ca="1" xml:space="preserve">
IF(AND($G1093&lt;&gt;"",$F1093=""),"ERROR",
IF(OR($F1093:$G1093="",AND($G1093="",$F1093&lt;&gt;"")),"OK",
IF(COUNTIF(INDIRECT(IFERROR(LEFT($F1093,FIND(" ",$F1093)-1),$F1093)), $G1093)&gt;0, "OK", "ERROR")))</f>
        <v>OK</v>
      </c>
    </row>
    <row r="1094" spans="1:32" s="240" customFormat="1">
      <c r="A1094" s="48"/>
      <c r="B1094" s="31"/>
      <c r="C1094" s="48"/>
      <c r="D1094" s="47"/>
      <c r="E1094" s="47"/>
      <c r="F1094" s="31"/>
      <c r="G1094" s="31"/>
      <c r="H1094" s="31"/>
      <c r="I1094" s="47"/>
      <c r="J1094" s="31"/>
      <c r="K1094" s="47"/>
      <c r="L1094" s="47"/>
      <c r="M1094" s="47"/>
      <c r="N1094" s="31"/>
      <c r="O1094" s="47"/>
      <c r="P1094" s="31"/>
      <c r="Q1094" s="31"/>
      <c r="R1094" s="31"/>
      <c r="S1094" s="31"/>
      <c r="T1094" s="270">
        <f t="shared" si="136"/>
        <v>0</v>
      </c>
      <c r="U1094" s="270">
        <f t="shared" si="137"/>
        <v>0</v>
      </c>
      <c r="V1094" s="31"/>
      <c r="X1094" s="240" t="str">
        <f t="shared" si="138"/>
        <v>OK</v>
      </c>
      <c r="Y1094" s="240" t="str">
        <f t="shared" si="139"/>
        <v>OK</v>
      </c>
      <c r="Z1094" s="240" t="str">
        <f t="shared" si="140"/>
        <v>OK</v>
      </c>
      <c r="AA1094" s="240" t="str" cm="1">
        <f t="array" ref="AA1094">IF(OR(AND(J1094="Not accepted",N1094:O1094&lt;&gt;"",$S1094=""),AND(J1094="Accepted",S1094="")),"ERROR","OK")</f>
        <v>OK</v>
      </c>
      <c r="AB1094" s="240" t="str">
        <f t="shared" si="141"/>
        <v>OK</v>
      </c>
      <c r="AC1094" s="240" t="str" cm="1">
        <f t="array" ref="AC1094">IF(AND(F1094:H1094&lt;&gt;"",I1094=""),"ERROR","OK")</f>
        <v>OK</v>
      </c>
      <c r="AD1094" s="240" t="str">
        <f t="shared" si="142"/>
        <v>OK</v>
      </c>
      <c r="AE1094" s="240" t="str">
        <f t="shared" si="143"/>
        <v>OK</v>
      </c>
      <c r="AF1094" s="240" t="str" cm="1">
        <f t="array" aca="1" ref="AF1094" ca="1" xml:space="preserve">
IF(AND($G1094&lt;&gt;"",$F1094=""),"ERROR",
IF(OR($F1094:$G1094="",AND($G1094="",$F1094&lt;&gt;"")),"OK",
IF(COUNTIF(INDIRECT(IFERROR(LEFT($F1094,FIND(" ",$F1094)-1),$F1094)), $G1094)&gt;0, "OK", "ERROR")))</f>
        <v>OK</v>
      </c>
    </row>
    <row r="1095" spans="1:32" s="240" customFormat="1">
      <c r="A1095" s="48"/>
      <c r="B1095" s="31"/>
      <c r="C1095" s="48"/>
      <c r="D1095" s="47"/>
      <c r="E1095" s="47"/>
      <c r="F1095" s="31"/>
      <c r="G1095" s="31"/>
      <c r="H1095" s="31"/>
      <c r="I1095" s="47"/>
      <c r="J1095" s="31"/>
      <c r="K1095" s="47"/>
      <c r="L1095" s="47"/>
      <c r="M1095" s="47"/>
      <c r="N1095" s="31"/>
      <c r="O1095" s="47"/>
      <c r="P1095" s="31"/>
      <c r="Q1095" s="31"/>
      <c r="R1095" s="31"/>
      <c r="S1095" s="31"/>
      <c r="T1095" s="270">
        <f t="shared" si="136"/>
        <v>0</v>
      </c>
      <c r="U1095" s="270">
        <f t="shared" si="137"/>
        <v>0</v>
      </c>
      <c r="V1095" s="31"/>
      <c r="X1095" s="240" t="str">
        <f t="shared" si="138"/>
        <v>OK</v>
      </c>
      <c r="Y1095" s="240" t="str">
        <f t="shared" si="139"/>
        <v>OK</v>
      </c>
      <c r="Z1095" s="240" t="str">
        <f t="shared" si="140"/>
        <v>OK</v>
      </c>
      <c r="AA1095" s="240" t="str" cm="1">
        <f t="array" ref="AA1095">IF(OR(AND(J1095="Not accepted",N1095:O1095&lt;&gt;"",$S1095=""),AND(J1095="Accepted",S1095="")),"ERROR","OK")</f>
        <v>OK</v>
      </c>
      <c r="AB1095" s="240" t="str">
        <f t="shared" si="141"/>
        <v>OK</v>
      </c>
      <c r="AC1095" s="240" t="str" cm="1">
        <f t="array" ref="AC1095">IF(AND(F1095:H1095&lt;&gt;"",I1095=""),"ERROR","OK")</f>
        <v>OK</v>
      </c>
      <c r="AD1095" s="240" t="str">
        <f t="shared" si="142"/>
        <v>OK</v>
      </c>
      <c r="AE1095" s="240" t="str">
        <f t="shared" si="143"/>
        <v>OK</v>
      </c>
      <c r="AF1095" s="240" t="str" cm="1">
        <f t="array" aca="1" ref="AF1095" ca="1" xml:space="preserve">
IF(AND($G1095&lt;&gt;"",$F1095=""),"ERROR",
IF(OR($F1095:$G1095="",AND($G1095="",$F1095&lt;&gt;"")),"OK",
IF(COUNTIF(INDIRECT(IFERROR(LEFT($F1095,FIND(" ",$F1095)-1),$F1095)), $G1095)&gt;0, "OK", "ERROR")))</f>
        <v>OK</v>
      </c>
    </row>
    <row r="1096" spans="1:32" s="240" customFormat="1">
      <c r="A1096" s="48"/>
      <c r="B1096" s="31"/>
      <c r="C1096" s="48"/>
      <c r="D1096" s="47"/>
      <c r="E1096" s="47"/>
      <c r="F1096" s="31"/>
      <c r="G1096" s="31"/>
      <c r="H1096" s="31"/>
      <c r="I1096" s="47"/>
      <c r="J1096" s="31"/>
      <c r="K1096" s="47"/>
      <c r="L1096" s="47"/>
      <c r="M1096" s="47"/>
      <c r="N1096" s="31"/>
      <c r="O1096" s="47"/>
      <c r="P1096" s="31"/>
      <c r="Q1096" s="31"/>
      <c r="R1096" s="31"/>
      <c r="S1096" s="31"/>
      <c r="T1096" s="270">
        <f t="shared" si="136"/>
        <v>0</v>
      </c>
      <c r="U1096" s="270">
        <f t="shared" si="137"/>
        <v>0</v>
      </c>
      <c r="V1096" s="31"/>
      <c r="X1096" s="240" t="str">
        <f t="shared" si="138"/>
        <v>OK</v>
      </c>
      <c r="Y1096" s="240" t="str">
        <f t="shared" si="139"/>
        <v>OK</v>
      </c>
      <c r="Z1096" s="240" t="str">
        <f t="shared" si="140"/>
        <v>OK</v>
      </c>
      <c r="AA1096" s="240" t="str" cm="1">
        <f t="array" ref="AA1096">IF(OR(AND(J1096="Not accepted",N1096:O1096&lt;&gt;"",$S1096=""),AND(J1096="Accepted",S1096="")),"ERROR","OK")</f>
        <v>OK</v>
      </c>
      <c r="AB1096" s="240" t="str">
        <f t="shared" si="141"/>
        <v>OK</v>
      </c>
      <c r="AC1096" s="240" t="str" cm="1">
        <f t="array" ref="AC1096">IF(AND(F1096:H1096&lt;&gt;"",I1096=""),"ERROR","OK")</f>
        <v>OK</v>
      </c>
      <c r="AD1096" s="240" t="str">
        <f t="shared" si="142"/>
        <v>OK</v>
      </c>
      <c r="AE1096" s="240" t="str">
        <f t="shared" si="143"/>
        <v>OK</v>
      </c>
      <c r="AF1096" s="240" t="str" cm="1">
        <f t="array" aca="1" ref="AF1096" ca="1" xml:space="preserve">
IF(AND($G1096&lt;&gt;"",$F1096=""),"ERROR",
IF(OR($F1096:$G1096="",AND($G1096="",$F1096&lt;&gt;"")),"OK",
IF(COUNTIF(INDIRECT(IFERROR(LEFT($F1096,FIND(" ",$F1096)-1),$F1096)), $G1096)&gt;0, "OK", "ERROR")))</f>
        <v>OK</v>
      </c>
    </row>
    <row r="1097" spans="1:32" s="240" customFormat="1">
      <c r="A1097" s="48"/>
      <c r="B1097" s="31"/>
      <c r="C1097" s="48"/>
      <c r="D1097" s="47"/>
      <c r="E1097" s="47"/>
      <c r="F1097" s="31"/>
      <c r="G1097" s="31"/>
      <c r="H1097" s="31"/>
      <c r="I1097" s="47"/>
      <c r="J1097" s="31"/>
      <c r="K1097" s="47"/>
      <c r="L1097" s="47"/>
      <c r="M1097" s="47"/>
      <c r="N1097" s="31"/>
      <c r="O1097" s="47"/>
      <c r="P1097" s="31"/>
      <c r="Q1097" s="31"/>
      <c r="R1097" s="31"/>
      <c r="S1097" s="31"/>
      <c r="T1097" s="270">
        <f t="shared" si="136"/>
        <v>0</v>
      </c>
      <c r="U1097" s="270">
        <f t="shared" si="137"/>
        <v>0</v>
      </c>
      <c r="V1097" s="31"/>
      <c r="X1097" s="240" t="str">
        <f t="shared" si="138"/>
        <v>OK</v>
      </c>
      <c r="Y1097" s="240" t="str">
        <f t="shared" si="139"/>
        <v>OK</v>
      </c>
      <c r="Z1097" s="240" t="str">
        <f t="shared" si="140"/>
        <v>OK</v>
      </c>
      <c r="AA1097" s="240" t="str" cm="1">
        <f t="array" ref="AA1097">IF(OR(AND(J1097="Not accepted",N1097:O1097&lt;&gt;"",$S1097=""),AND(J1097="Accepted",S1097="")),"ERROR","OK")</f>
        <v>OK</v>
      </c>
      <c r="AB1097" s="240" t="str">
        <f t="shared" si="141"/>
        <v>OK</v>
      </c>
      <c r="AC1097" s="240" t="str" cm="1">
        <f t="array" ref="AC1097">IF(AND(F1097:H1097&lt;&gt;"",I1097=""),"ERROR","OK")</f>
        <v>OK</v>
      </c>
      <c r="AD1097" s="240" t="str">
        <f t="shared" si="142"/>
        <v>OK</v>
      </c>
      <c r="AE1097" s="240" t="str">
        <f t="shared" si="143"/>
        <v>OK</v>
      </c>
      <c r="AF1097" s="240" t="str" cm="1">
        <f t="array" aca="1" ref="AF1097" ca="1" xml:space="preserve">
IF(AND($G1097&lt;&gt;"",$F1097=""),"ERROR",
IF(OR($F1097:$G1097="",AND($G1097="",$F1097&lt;&gt;"")),"OK",
IF(COUNTIF(INDIRECT(IFERROR(LEFT($F1097,FIND(" ",$F1097)-1),$F1097)), $G1097)&gt;0, "OK", "ERROR")))</f>
        <v>OK</v>
      </c>
    </row>
    <row r="1098" spans="1:32" s="240" customFormat="1">
      <c r="A1098" s="48"/>
      <c r="B1098" s="31"/>
      <c r="C1098" s="48"/>
      <c r="D1098" s="47"/>
      <c r="E1098" s="47"/>
      <c r="F1098" s="31"/>
      <c r="G1098" s="31"/>
      <c r="H1098" s="31"/>
      <c r="I1098" s="47"/>
      <c r="J1098" s="31"/>
      <c r="K1098" s="47"/>
      <c r="L1098" s="47"/>
      <c r="M1098" s="47"/>
      <c r="N1098" s="31"/>
      <c r="O1098" s="47"/>
      <c r="P1098" s="31"/>
      <c r="Q1098" s="31"/>
      <c r="R1098" s="31"/>
      <c r="S1098" s="31"/>
      <c r="T1098" s="270">
        <f t="shared" si="136"/>
        <v>0</v>
      </c>
      <c r="U1098" s="270">
        <f t="shared" si="137"/>
        <v>0</v>
      </c>
      <c r="V1098" s="31"/>
      <c r="X1098" s="240" t="str">
        <f t="shared" si="138"/>
        <v>OK</v>
      </c>
      <c r="Y1098" s="240" t="str">
        <f t="shared" si="139"/>
        <v>OK</v>
      </c>
      <c r="Z1098" s="240" t="str">
        <f t="shared" si="140"/>
        <v>OK</v>
      </c>
      <c r="AA1098" s="240" t="str" cm="1">
        <f t="array" ref="AA1098">IF(OR(AND(J1098="Not accepted",N1098:O1098&lt;&gt;"",$S1098=""),AND(J1098="Accepted",S1098="")),"ERROR","OK")</f>
        <v>OK</v>
      </c>
      <c r="AB1098" s="240" t="str">
        <f t="shared" si="141"/>
        <v>OK</v>
      </c>
      <c r="AC1098" s="240" t="str" cm="1">
        <f t="array" ref="AC1098">IF(AND(F1098:H1098&lt;&gt;"",I1098=""),"ERROR","OK")</f>
        <v>OK</v>
      </c>
      <c r="AD1098" s="240" t="str">
        <f t="shared" si="142"/>
        <v>OK</v>
      </c>
      <c r="AE1098" s="240" t="str">
        <f t="shared" si="143"/>
        <v>OK</v>
      </c>
      <c r="AF1098" s="240" t="str" cm="1">
        <f t="array" aca="1" ref="AF1098" ca="1" xml:space="preserve">
IF(AND($G1098&lt;&gt;"",$F1098=""),"ERROR",
IF(OR($F1098:$G1098="",AND($G1098="",$F1098&lt;&gt;"")),"OK",
IF(COUNTIF(INDIRECT(IFERROR(LEFT($F1098,FIND(" ",$F1098)-1),$F1098)), $G1098)&gt;0, "OK", "ERROR")))</f>
        <v>OK</v>
      </c>
    </row>
    <row r="1099" spans="1:32" s="240" customFormat="1">
      <c r="A1099" s="48"/>
      <c r="B1099" s="31"/>
      <c r="C1099" s="48"/>
      <c r="D1099" s="47"/>
      <c r="E1099" s="47"/>
      <c r="F1099" s="31"/>
      <c r="G1099" s="31"/>
      <c r="H1099" s="31"/>
      <c r="I1099" s="47"/>
      <c r="J1099" s="31"/>
      <c r="K1099" s="47"/>
      <c r="L1099" s="47"/>
      <c r="M1099" s="47"/>
      <c r="N1099" s="31"/>
      <c r="O1099" s="47"/>
      <c r="P1099" s="31"/>
      <c r="Q1099" s="31"/>
      <c r="R1099" s="31"/>
      <c r="S1099" s="31"/>
      <c r="T1099" s="270">
        <f t="shared" si="136"/>
        <v>0</v>
      </c>
      <c r="U1099" s="270">
        <f t="shared" si="137"/>
        <v>0</v>
      </c>
      <c r="V1099" s="31"/>
      <c r="X1099" s="240" t="str">
        <f t="shared" si="138"/>
        <v>OK</v>
      </c>
      <c r="Y1099" s="240" t="str">
        <f t="shared" si="139"/>
        <v>OK</v>
      </c>
      <c r="Z1099" s="240" t="str">
        <f t="shared" si="140"/>
        <v>OK</v>
      </c>
      <c r="AA1099" s="240" t="str" cm="1">
        <f t="array" ref="AA1099">IF(OR(AND(J1099="Not accepted",N1099:O1099&lt;&gt;"",$S1099=""),AND(J1099="Accepted",S1099="")),"ERROR","OK")</f>
        <v>OK</v>
      </c>
      <c r="AB1099" s="240" t="str">
        <f t="shared" si="141"/>
        <v>OK</v>
      </c>
      <c r="AC1099" s="240" t="str" cm="1">
        <f t="array" ref="AC1099">IF(AND(F1099:H1099&lt;&gt;"",I1099=""),"ERROR","OK")</f>
        <v>OK</v>
      </c>
      <c r="AD1099" s="240" t="str">
        <f t="shared" si="142"/>
        <v>OK</v>
      </c>
      <c r="AE1099" s="240" t="str">
        <f t="shared" si="143"/>
        <v>OK</v>
      </c>
      <c r="AF1099" s="240" t="str" cm="1">
        <f t="array" aca="1" ref="AF1099" ca="1" xml:space="preserve">
IF(AND($G1099&lt;&gt;"",$F1099=""),"ERROR",
IF(OR($F1099:$G1099="",AND($G1099="",$F1099&lt;&gt;"")),"OK",
IF(COUNTIF(INDIRECT(IFERROR(LEFT($F1099,FIND(" ",$F1099)-1),$F1099)), $G1099)&gt;0, "OK", "ERROR")))</f>
        <v>OK</v>
      </c>
    </row>
    <row r="1100" spans="1:32" s="240" customFormat="1">
      <c r="A1100" s="48"/>
      <c r="B1100" s="31"/>
      <c r="C1100" s="48"/>
      <c r="D1100" s="47"/>
      <c r="E1100" s="47"/>
      <c r="F1100" s="31"/>
      <c r="G1100" s="31"/>
      <c r="H1100" s="31"/>
      <c r="I1100" s="47"/>
      <c r="J1100" s="31"/>
      <c r="K1100" s="47"/>
      <c r="L1100" s="47"/>
      <c r="M1100" s="47"/>
      <c r="N1100" s="31"/>
      <c r="O1100" s="47"/>
      <c r="P1100" s="31"/>
      <c r="Q1100" s="31"/>
      <c r="R1100" s="31"/>
      <c r="S1100" s="31"/>
      <c r="T1100" s="270">
        <f t="shared" si="136"/>
        <v>0</v>
      </c>
      <c r="U1100" s="270">
        <f t="shared" si="137"/>
        <v>0</v>
      </c>
      <c r="V1100" s="31"/>
      <c r="X1100" s="240" t="str">
        <f t="shared" si="138"/>
        <v>OK</v>
      </c>
      <c r="Y1100" s="240" t="str">
        <f t="shared" si="139"/>
        <v>OK</v>
      </c>
      <c r="Z1100" s="240" t="str">
        <f t="shared" si="140"/>
        <v>OK</v>
      </c>
      <c r="AA1100" s="240" t="str" cm="1">
        <f t="array" ref="AA1100">IF(OR(AND(J1100="Not accepted",N1100:O1100&lt;&gt;"",$S1100=""),AND(J1100="Accepted",S1100="")),"ERROR","OK")</f>
        <v>OK</v>
      </c>
      <c r="AB1100" s="240" t="str">
        <f t="shared" si="141"/>
        <v>OK</v>
      </c>
      <c r="AC1100" s="240" t="str" cm="1">
        <f t="array" ref="AC1100">IF(AND(F1100:H1100&lt;&gt;"",I1100=""),"ERROR","OK")</f>
        <v>OK</v>
      </c>
      <c r="AD1100" s="240" t="str">
        <f t="shared" si="142"/>
        <v>OK</v>
      </c>
      <c r="AE1100" s="240" t="str">
        <f t="shared" si="143"/>
        <v>OK</v>
      </c>
      <c r="AF1100" s="240" t="str" cm="1">
        <f t="array" aca="1" ref="AF1100" ca="1" xml:space="preserve">
IF(AND($G1100&lt;&gt;"",$F1100=""),"ERROR",
IF(OR($F1100:$G1100="",AND($G1100="",$F1100&lt;&gt;"")),"OK",
IF(COUNTIF(INDIRECT(IFERROR(LEFT($F1100,FIND(" ",$F1100)-1),$F1100)), $G1100)&gt;0, "OK", "ERROR")))</f>
        <v>OK</v>
      </c>
    </row>
    <row r="1101" spans="1:32" s="240" customFormat="1">
      <c r="A1101" s="48"/>
      <c r="B1101" s="31"/>
      <c r="C1101" s="48"/>
      <c r="D1101" s="47"/>
      <c r="E1101" s="47"/>
      <c r="F1101" s="31"/>
      <c r="G1101" s="31"/>
      <c r="H1101" s="31"/>
      <c r="I1101" s="47"/>
      <c r="J1101" s="31"/>
      <c r="K1101" s="47"/>
      <c r="L1101" s="47"/>
      <c r="M1101" s="47"/>
      <c r="N1101" s="31"/>
      <c r="O1101" s="47"/>
      <c r="P1101" s="31"/>
      <c r="Q1101" s="31"/>
      <c r="R1101" s="31"/>
      <c r="S1101" s="31"/>
      <c r="T1101" s="270">
        <f t="shared" si="136"/>
        <v>0</v>
      </c>
      <c r="U1101" s="270">
        <f t="shared" si="137"/>
        <v>0</v>
      </c>
      <c r="V1101" s="31"/>
      <c r="X1101" s="240" t="str">
        <f t="shared" si="138"/>
        <v>OK</v>
      </c>
      <c r="Y1101" s="240" t="str">
        <f t="shared" si="139"/>
        <v>OK</v>
      </c>
      <c r="Z1101" s="240" t="str">
        <f t="shared" si="140"/>
        <v>OK</v>
      </c>
      <c r="AA1101" s="240" t="str" cm="1">
        <f t="array" ref="AA1101">IF(OR(AND(J1101="Not accepted",N1101:O1101&lt;&gt;"",$S1101=""),AND(J1101="Accepted",S1101="")),"ERROR","OK")</f>
        <v>OK</v>
      </c>
      <c r="AB1101" s="240" t="str">
        <f t="shared" si="141"/>
        <v>OK</v>
      </c>
      <c r="AC1101" s="240" t="str" cm="1">
        <f t="array" ref="AC1101">IF(AND(F1101:H1101&lt;&gt;"",I1101=""),"ERROR","OK")</f>
        <v>OK</v>
      </c>
      <c r="AD1101" s="240" t="str">
        <f t="shared" si="142"/>
        <v>OK</v>
      </c>
      <c r="AE1101" s="240" t="str">
        <f t="shared" si="143"/>
        <v>OK</v>
      </c>
      <c r="AF1101" s="240" t="str" cm="1">
        <f t="array" aca="1" ref="AF1101" ca="1" xml:space="preserve">
IF(AND($G1101&lt;&gt;"",$F1101=""),"ERROR",
IF(OR($F1101:$G1101="",AND($G1101="",$F1101&lt;&gt;"")),"OK",
IF(COUNTIF(INDIRECT(IFERROR(LEFT($F1101,FIND(" ",$F1101)-1),$F1101)), $G1101)&gt;0, "OK", "ERROR")))</f>
        <v>OK</v>
      </c>
    </row>
    <row r="1102" spans="1:32" s="240" customFormat="1">
      <c r="A1102" s="48"/>
      <c r="B1102" s="31"/>
      <c r="C1102" s="48"/>
      <c r="D1102" s="47"/>
      <c r="E1102" s="47"/>
      <c r="F1102" s="31"/>
      <c r="G1102" s="31"/>
      <c r="H1102" s="31"/>
      <c r="I1102" s="47"/>
      <c r="J1102" s="31"/>
      <c r="K1102" s="47"/>
      <c r="L1102" s="47"/>
      <c r="M1102" s="47"/>
      <c r="N1102" s="31"/>
      <c r="O1102" s="47"/>
      <c r="P1102" s="31"/>
      <c r="Q1102" s="31"/>
      <c r="R1102" s="31"/>
      <c r="S1102" s="31"/>
      <c r="T1102" s="270">
        <f t="shared" si="136"/>
        <v>0</v>
      </c>
      <c r="U1102" s="270">
        <f t="shared" si="137"/>
        <v>0</v>
      </c>
      <c r="V1102" s="31"/>
      <c r="X1102" s="240" t="str">
        <f t="shared" si="138"/>
        <v>OK</v>
      </c>
      <c r="Y1102" s="240" t="str">
        <f t="shared" si="139"/>
        <v>OK</v>
      </c>
      <c r="Z1102" s="240" t="str">
        <f t="shared" si="140"/>
        <v>OK</v>
      </c>
      <c r="AA1102" s="240" t="str" cm="1">
        <f t="array" ref="AA1102">IF(OR(AND(J1102="Not accepted",N1102:O1102&lt;&gt;"",$S1102=""),AND(J1102="Accepted",S1102="")),"ERROR","OK")</f>
        <v>OK</v>
      </c>
      <c r="AB1102" s="240" t="str">
        <f t="shared" si="141"/>
        <v>OK</v>
      </c>
      <c r="AC1102" s="240" t="str" cm="1">
        <f t="array" ref="AC1102">IF(AND(F1102:H1102&lt;&gt;"",I1102=""),"ERROR","OK")</f>
        <v>OK</v>
      </c>
      <c r="AD1102" s="240" t="str">
        <f t="shared" si="142"/>
        <v>OK</v>
      </c>
      <c r="AE1102" s="240" t="str">
        <f t="shared" si="143"/>
        <v>OK</v>
      </c>
      <c r="AF1102" s="240" t="str" cm="1">
        <f t="array" aca="1" ref="AF1102" ca="1" xml:space="preserve">
IF(AND($G1102&lt;&gt;"",$F1102=""),"ERROR",
IF(OR($F1102:$G1102="",AND($G1102="",$F1102&lt;&gt;"")),"OK",
IF(COUNTIF(INDIRECT(IFERROR(LEFT($F1102,FIND(" ",$F1102)-1),$F1102)), $G1102)&gt;0, "OK", "ERROR")))</f>
        <v>OK</v>
      </c>
    </row>
    <row r="1103" spans="1:32" s="240" customFormat="1">
      <c r="A1103" s="48"/>
      <c r="B1103" s="31"/>
      <c r="C1103" s="48"/>
      <c r="D1103" s="47"/>
      <c r="E1103" s="47"/>
      <c r="F1103" s="31"/>
      <c r="G1103" s="31"/>
      <c r="H1103" s="31"/>
      <c r="I1103" s="47"/>
      <c r="J1103" s="31"/>
      <c r="K1103" s="47"/>
      <c r="L1103" s="47"/>
      <c r="M1103" s="47"/>
      <c r="N1103" s="31"/>
      <c r="O1103" s="47"/>
      <c r="P1103" s="31"/>
      <c r="Q1103" s="31"/>
      <c r="R1103" s="31"/>
      <c r="S1103" s="31"/>
      <c r="T1103" s="270">
        <f t="shared" si="136"/>
        <v>0</v>
      </c>
      <c r="U1103" s="270">
        <f t="shared" si="137"/>
        <v>0</v>
      </c>
      <c r="V1103" s="31"/>
      <c r="X1103" s="240" t="str">
        <f t="shared" si="138"/>
        <v>OK</v>
      </c>
      <c r="Y1103" s="240" t="str">
        <f t="shared" si="139"/>
        <v>OK</v>
      </c>
      <c r="Z1103" s="240" t="str">
        <f t="shared" si="140"/>
        <v>OK</v>
      </c>
      <c r="AA1103" s="240" t="str" cm="1">
        <f t="array" ref="AA1103">IF(OR(AND(J1103="Not accepted",N1103:O1103&lt;&gt;"",$S1103=""),AND(J1103="Accepted",S1103="")),"ERROR","OK")</f>
        <v>OK</v>
      </c>
      <c r="AB1103" s="240" t="str">
        <f t="shared" si="141"/>
        <v>OK</v>
      </c>
      <c r="AC1103" s="240" t="str" cm="1">
        <f t="array" ref="AC1103">IF(AND(F1103:H1103&lt;&gt;"",I1103=""),"ERROR","OK")</f>
        <v>OK</v>
      </c>
      <c r="AD1103" s="240" t="str">
        <f t="shared" si="142"/>
        <v>OK</v>
      </c>
      <c r="AE1103" s="240" t="str">
        <f t="shared" si="143"/>
        <v>OK</v>
      </c>
      <c r="AF1103" s="240" t="str" cm="1">
        <f t="array" aca="1" ref="AF1103" ca="1" xml:space="preserve">
IF(AND($G1103&lt;&gt;"",$F1103=""),"ERROR",
IF(OR($F1103:$G1103="",AND($G1103="",$F1103&lt;&gt;"")),"OK",
IF(COUNTIF(INDIRECT(IFERROR(LEFT($F1103,FIND(" ",$F1103)-1),$F1103)), $G1103)&gt;0, "OK", "ERROR")))</f>
        <v>OK</v>
      </c>
    </row>
    <row r="1104" spans="1:32" s="240" customFormat="1">
      <c r="A1104" s="48"/>
      <c r="B1104" s="31"/>
      <c r="C1104" s="48"/>
      <c r="D1104" s="47"/>
      <c r="E1104" s="47"/>
      <c r="F1104" s="31"/>
      <c r="G1104" s="31"/>
      <c r="H1104" s="31"/>
      <c r="I1104" s="47"/>
      <c r="J1104" s="31"/>
      <c r="K1104" s="47"/>
      <c r="L1104" s="47"/>
      <c r="M1104" s="47"/>
      <c r="N1104" s="31"/>
      <c r="O1104" s="47"/>
      <c r="P1104" s="31"/>
      <c r="Q1104" s="31"/>
      <c r="R1104" s="31"/>
      <c r="S1104" s="31"/>
      <c r="T1104" s="270">
        <f t="shared" si="136"/>
        <v>0</v>
      </c>
      <c r="U1104" s="270">
        <f t="shared" si="137"/>
        <v>0</v>
      </c>
      <c r="V1104" s="31"/>
      <c r="X1104" s="240" t="str">
        <f t="shared" si="138"/>
        <v>OK</v>
      </c>
      <c r="Y1104" s="240" t="str">
        <f t="shared" si="139"/>
        <v>OK</v>
      </c>
      <c r="Z1104" s="240" t="str">
        <f t="shared" si="140"/>
        <v>OK</v>
      </c>
      <c r="AA1104" s="240" t="str" cm="1">
        <f t="array" ref="AA1104">IF(OR(AND(J1104="Not accepted",N1104:O1104&lt;&gt;"",$S1104=""),AND(J1104="Accepted",S1104="")),"ERROR","OK")</f>
        <v>OK</v>
      </c>
      <c r="AB1104" s="240" t="str">
        <f t="shared" si="141"/>
        <v>OK</v>
      </c>
      <c r="AC1104" s="240" t="str" cm="1">
        <f t="array" ref="AC1104">IF(AND(F1104:H1104&lt;&gt;"",I1104=""),"ERROR","OK")</f>
        <v>OK</v>
      </c>
      <c r="AD1104" s="240" t="str">
        <f t="shared" si="142"/>
        <v>OK</v>
      </c>
      <c r="AE1104" s="240" t="str">
        <f t="shared" si="143"/>
        <v>OK</v>
      </c>
      <c r="AF1104" s="240" t="str" cm="1">
        <f t="array" aca="1" ref="AF1104" ca="1" xml:space="preserve">
IF(AND($G1104&lt;&gt;"",$F1104=""),"ERROR",
IF(OR($F1104:$G1104="",AND($G1104="",$F1104&lt;&gt;"")),"OK",
IF(COUNTIF(INDIRECT(IFERROR(LEFT($F1104,FIND(" ",$F1104)-1),$F1104)), $G1104)&gt;0, "OK", "ERROR")))</f>
        <v>OK</v>
      </c>
    </row>
    <row r="1105" spans="1:32" s="240" customFormat="1">
      <c r="A1105" s="48"/>
      <c r="B1105" s="31"/>
      <c r="C1105" s="48"/>
      <c r="D1105" s="47"/>
      <c r="E1105" s="47"/>
      <c r="F1105" s="31"/>
      <c r="G1105" s="31"/>
      <c r="H1105" s="31"/>
      <c r="I1105" s="47"/>
      <c r="J1105" s="31"/>
      <c r="K1105" s="47"/>
      <c r="L1105" s="47"/>
      <c r="M1105" s="47"/>
      <c r="N1105" s="31"/>
      <c r="O1105" s="47"/>
      <c r="P1105" s="31"/>
      <c r="Q1105" s="31"/>
      <c r="R1105" s="31"/>
      <c r="S1105" s="31"/>
      <c r="T1105" s="270">
        <f t="shared" si="136"/>
        <v>0</v>
      </c>
      <c r="U1105" s="270">
        <f t="shared" si="137"/>
        <v>0</v>
      </c>
      <c r="V1105" s="31"/>
      <c r="X1105" s="240" t="str">
        <f t="shared" si="138"/>
        <v>OK</v>
      </c>
      <c r="Y1105" s="240" t="str">
        <f t="shared" si="139"/>
        <v>OK</v>
      </c>
      <c r="Z1105" s="240" t="str">
        <f t="shared" si="140"/>
        <v>OK</v>
      </c>
      <c r="AA1105" s="240" t="str" cm="1">
        <f t="array" ref="AA1105">IF(OR(AND(J1105="Not accepted",N1105:O1105&lt;&gt;"",$S1105=""),AND(J1105="Accepted",S1105="")),"ERROR","OK")</f>
        <v>OK</v>
      </c>
      <c r="AB1105" s="240" t="str">
        <f t="shared" si="141"/>
        <v>OK</v>
      </c>
      <c r="AC1105" s="240" t="str" cm="1">
        <f t="array" ref="AC1105">IF(AND(F1105:H1105&lt;&gt;"",I1105=""),"ERROR","OK")</f>
        <v>OK</v>
      </c>
      <c r="AD1105" s="240" t="str">
        <f t="shared" si="142"/>
        <v>OK</v>
      </c>
      <c r="AE1105" s="240" t="str">
        <f t="shared" si="143"/>
        <v>OK</v>
      </c>
      <c r="AF1105" s="240" t="str" cm="1">
        <f t="array" aca="1" ref="AF1105" ca="1" xml:space="preserve">
IF(AND($G1105&lt;&gt;"",$F1105=""),"ERROR",
IF(OR($F1105:$G1105="",AND($G1105="",$F1105&lt;&gt;"")),"OK",
IF(COUNTIF(INDIRECT(IFERROR(LEFT($F1105,FIND(" ",$F1105)-1),$F1105)), $G1105)&gt;0, "OK", "ERROR")))</f>
        <v>OK</v>
      </c>
    </row>
    <row r="1106" spans="1:32" s="240" customFormat="1">
      <c r="A1106" s="48"/>
      <c r="B1106" s="31"/>
      <c r="C1106" s="48"/>
      <c r="D1106" s="47"/>
      <c r="E1106" s="47"/>
      <c r="F1106" s="31"/>
      <c r="G1106" s="31"/>
      <c r="H1106" s="31"/>
      <c r="I1106" s="47"/>
      <c r="J1106" s="31"/>
      <c r="K1106" s="47"/>
      <c r="L1106" s="47"/>
      <c r="M1106" s="47"/>
      <c r="N1106" s="31"/>
      <c r="O1106" s="47"/>
      <c r="P1106" s="31"/>
      <c r="Q1106" s="31"/>
      <c r="R1106" s="31"/>
      <c r="S1106" s="31"/>
      <c r="T1106" s="270">
        <f t="shared" si="136"/>
        <v>0</v>
      </c>
      <c r="U1106" s="270">
        <f t="shared" si="137"/>
        <v>0</v>
      </c>
      <c r="V1106" s="31"/>
      <c r="X1106" s="240" t="str">
        <f t="shared" si="138"/>
        <v>OK</v>
      </c>
      <c r="Y1106" s="240" t="str">
        <f t="shared" si="139"/>
        <v>OK</v>
      </c>
      <c r="Z1106" s="240" t="str">
        <f t="shared" si="140"/>
        <v>OK</v>
      </c>
      <c r="AA1106" s="240" t="str" cm="1">
        <f t="array" ref="AA1106">IF(OR(AND(J1106="Not accepted",N1106:O1106&lt;&gt;"",$S1106=""),AND(J1106="Accepted",S1106="")),"ERROR","OK")</f>
        <v>OK</v>
      </c>
      <c r="AB1106" s="240" t="str">
        <f t="shared" si="141"/>
        <v>OK</v>
      </c>
      <c r="AC1106" s="240" t="str" cm="1">
        <f t="array" ref="AC1106">IF(AND(F1106:H1106&lt;&gt;"",I1106=""),"ERROR","OK")</f>
        <v>OK</v>
      </c>
      <c r="AD1106" s="240" t="str">
        <f t="shared" si="142"/>
        <v>OK</v>
      </c>
      <c r="AE1106" s="240" t="str">
        <f t="shared" si="143"/>
        <v>OK</v>
      </c>
      <c r="AF1106" s="240" t="str" cm="1">
        <f t="array" aca="1" ref="AF1106" ca="1" xml:space="preserve">
IF(AND($G1106&lt;&gt;"",$F1106=""),"ERROR",
IF(OR($F1106:$G1106="",AND($G1106="",$F1106&lt;&gt;"")),"OK",
IF(COUNTIF(INDIRECT(IFERROR(LEFT($F1106,FIND(" ",$F1106)-1),$F1106)), $G1106)&gt;0, "OK", "ERROR")))</f>
        <v>OK</v>
      </c>
    </row>
    <row r="1107" spans="1:32" s="240" customFormat="1">
      <c r="A1107" s="48"/>
      <c r="B1107" s="31"/>
      <c r="C1107" s="48"/>
      <c r="D1107" s="47"/>
      <c r="E1107" s="47"/>
      <c r="F1107" s="31"/>
      <c r="G1107" s="31"/>
      <c r="H1107" s="31"/>
      <c r="I1107" s="47"/>
      <c r="J1107" s="31"/>
      <c r="K1107" s="47"/>
      <c r="L1107" s="47"/>
      <c r="M1107" s="47"/>
      <c r="N1107" s="31"/>
      <c r="O1107" s="47"/>
      <c r="P1107" s="31"/>
      <c r="Q1107" s="31"/>
      <c r="R1107" s="31"/>
      <c r="S1107" s="31"/>
      <c r="T1107" s="270">
        <f t="shared" si="136"/>
        <v>0</v>
      </c>
      <c r="U1107" s="270">
        <f t="shared" si="137"/>
        <v>0</v>
      </c>
      <c r="V1107" s="31"/>
      <c r="X1107" s="240" t="str">
        <f t="shared" si="138"/>
        <v>OK</v>
      </c>
      <c r="Y1107" s="240" t="str">
        <f t="shared" si="139"/>
        <v>OK</v>
      </c>
      <c r="Z1107" s="240" t="str">
        <f t="shared" si="140"/>
        <v>OK</v>
      </c>
      <c r="AA1107" s="240" t="str" cm="1">
        <f t="array" ref="AA1107">IF(OR(AND(J1107="Not accepted",N1107:O1107&lt;&gt;"",$S1107=""),AND(J1107="Accepted",S1107="")),"ERROR","OK")</f>
        <v>OK</v>
      </c>
      <c r="AB1107" s="240" t="str">
        <f t="shared" si="141"/>
        <v>OK</v>
      </c>
      <c r="AC1107" s="240" t="str" cm="1">
        <f t="array" ref="AC1107">IF(AND(F1107:H1107&lt;&gt;"",I1107=""),"ERROR","OK")</f>
        <v>OK</v>
      </c>
      <c r="AD1107" s="240" t="str">
        <f t="shared" si="142"/>
        <v>OK</v>
      </c>
      <c r="AE1107" s="240" t="str">
        <f t="shared" si="143"/>
        <v>OK</v>
      </c>
      <c r="AF1107" s="240" t="str" cm="1">
        <f t="array" aca="1" ref="AF1107" ca="1" xml:space="preserve">
IF(AND($G1107&lt;&gt;"",$F1107=""),"ERROR",
IF(OR($F1107:$G1107="",AND($G1107="",$F1107&lt;&gt;"")),"OK",
IF(COUNTIF(INDIRECT(IFERROR(LEFT($F1107,FIND(" ",$F1107)-1),$F1107)), $G1107)&gt;0, "OK", "ERROR")))</f>
        <v>OK</v>
      </c>
    </row>
    <row r="1108" spans="1:32" s="240" customFormat="1">
      <c r="A1108" s="48"/>
      <c r="B1108" s="31"/>
      <c r="C1108" s="48"/>
      <c r="D1108" s="47"/>
      <c r="E1108" s="47"/>
      <c r="F1108" s="31"/>
      <c r="G1108" s="31"/>
      <c r="H1108" s="31"/>
      <c r="I1108" s="47"/>
      <c r="J1108" s="31"/>
      <c r="K1108" s="47"/>
      <c r="L1108" s="47"/>
      <c r="M1108" s="47"/>
      <c r="N1108" s="31"/>
      <c r="O1108" s="47"/>
      <c r="P1108" s="31"/>
      <c r="Q1108" s="31"/>
      <c r="R1108" s="31"/>
      <c r="S1108" s="31"/>
      <c r="T1108" s="270">
        <f t="shared" si="136"/>
        <v>0</v>
      </c>
      <c r="U1108" s="270">
        <f t="shared" si="137"/>
        <v>0</v>
      </c>
      <c r="V1108" s="31"/>
      <c r="X1108" s="240" t="str">
        <f t="shared" si="138"/>
        <v>OK</v>
      </c>
      <c r="Y1108" s="240" t="str">
        <f t="shared" si="139"/>
        <v>OK</v>
      </c>
      <c r="Z1108" s="240" t="str">
        <f t="shared" si="140"/>
        <v>OK</v>
      </c>
      <c r="AA1108" s="240" t="str" cm="1">
        <f t="array" ref="AA1108">IF(OR(AND(J1108="Not accepted",N1108:O1108&lt;&gt;"",$S1108=""),AND(J1108="Accepted",S1108="")),"ERROR","OK")</f>
        <v>OK</v>
      </c>
      <c r="AB1108" s="240" t="str">
        <f t="shared" si="141"/>
        <v>OK</v>
      </c>
      <c r="AC1108" s="240" t="str" cm="1">
        <f t="array" ref="AC1108">IF(AND(F1108:H1108&lt;&gt;"",I1108=""),"ERROR","OK")</f>
        <v>OK</v>
      </c>
      <c r="AD1108" s="240" t="str">
        <f t="shared" si="142"/>
        <v>OK</v>
      </c>
      <c r="AE1108" s="240" t="str">
        <f t="shared" si="143"/>
        <v>OK</v>
      </c>
      <c r="AF1108" s="240" t="str" cm="1">
        <f t="array" aca="1" ref="AF1108" ca="1" xml:space="preserve">
IF(AND($G1108&lt;&gt;"",$F1108=""),"ERROR",
IF(OR($F1108:$G1108="",AND($G1108="",$F1108&lt;&gt;"")),"OK",
IF(COUNTIF(INDIRECT(IFERROR(LEFT($F1108,FIND(" ",$F1108)-1),$F1108)), $G1108)&gt;0, "OK", "ERROR")))</f>
        <v>OK</v>
      </c>
    </row>
    <row r="1109" spans="1:32" s="240" customFormat="1">
      <c r="A1109" s="48"/>
      <c r="B1109" s="31"/>
      <c r="C1109" s="48"/>
      <c r="D1109" s="47"/>
      <c r="E1109" s="47"/>
      <c r="F1109" s="31"/>
      <c r="G1109" s="31"/>
      <c r="H1109" s="31"/>
      <c r="I1109" s="47"/>
      <c r="J1109" s="31"/>
      <c r="K1109" s="47"/>
      <c r="L1109" s="47"/>
      <c r="M1109" s="47"/>
      <c r="N1109" s="31"/>
      <c r="O1109" s="47"/>
      <c r="P1109" s="31"/>
      <c r="Q1109" s="31"/>
      <c r="R1109" s="31"/>
      <c r="S1109" s="31"/>
      <c r="T1109" s="270">
        <f t="shared" si="136"/>
        <v>0</v>
      </c>
      <c r="U1109" s="270">
        <f t="shared" si="137"/>
        <v>0</v>
      </c>
      <c r="V1109" s="31"/>
      <c r="X1109" s="240" t="str">
        <f t="shared" si="138"/>
        <v>OK</v>
      </c>
      <c r="Y1109" s="240" t="str">
        <f t="shared" si="139"/>
        <v>OK</v>
      </c>
      <c r="Z1109" s="240" t="str">
        <f t="shared" si="140"/>
        <v>OK</v>
      </c>
      <c r="AA1109" s="240" t="str" cm="1">
        <f t="array" ref="AA1109">IF(OR(AND(J1109="Not accepted",N1109:O1109&lt;&gt;"",$S1109=""),AND(J1109="Accepted",S1109="")),"ERROR","OK")</f>
        <v>OK</v>
      </c>
      <c r="AB1109" s="240" t="str">
        <f t="shared" si="141"/>
        <v>OK</v>
      </c>
      <c r="AC1109" s="240" t="str" cm="1">
        <f t="array" ref="AC1109">IF(AND(F1109:H1109&lt;&gt;"",I1109=""),"ERROR","OK")</f>
        <v>OK</v>
      </c>
      <c r="AD1109" s="240" t="str">
        <f t="shared" si="142"/>
        <v>OK</v>
      </c>
      <c r="AE1109" s="240" t="str">
        <f t="shared" si="143"/>
        <v>OK</v>
      </c>
      <c r="AF1109" s="240" t="str" cm="1">
        <f t="array" aca="1" ref="AF1109" ca="1" xml:space="preserve">
IF(AND($G1109&lt;&gt;"",$F1109=""),"ERROR",
IF(OR($F1109:$G1109="",AND($G1109="",$F1109&lt;&gt;"")),"OK",
IF(COUNTIF(INDIRECT(IFERROR(LEFT($F1109,FIND(" ",$F1109)-1),$F1109)), $G1109)&gt;0, "OK", "ERROR")))</f>
        <v>OK</v>
      </c>
    </row>
    <row r="1110" spans="1:32" s="240" customFormat="1">
      <c r="A1110" s="48"/>
      <c r="B1110" s="31"/>
      <c r="C1110" s="48"/>
      <c r="D1110" s="47"/>
      <c r="E1110" s="47"/>
      <c r="F1110" s="31"/>
      <c r="G1110" s="31"/>
      <c r="H1110" s="31"/>
      <c r="I1110" s="47"/>
      <c r="J1110" s="31"/>
      <c r="K1110" s="47"/>
      <c r="L1110" s="47"/>
      <c r="M1110" s="47"/>
      <c r="N1110" s="31"/>
      <c r="O1110" s="47"/>
      <c r="P1110" s="31"/>
      <c r="Q1110" s="31"/>
      <c r="R1110" s="31"/>
      <c r="S1110" s="31"/>
      <c r="T1110" s="270">
        <f t="shared" si="136"/>
        <v>0</v>
      </c>
      <c r="U1110" s="270">
        <f t="shared" si="137"/>
        <v>0</v>
      </c>
      <c r="V1110" s="31"/>
      <c r="X1110" s="240" t="str">
        <f t="shared" si="138"/>
        <v>OK</v>
      </c>
      <c r="Y1110" s="240" t="str">
        <f t="shared" si="139"/>
        <v>OK</v>
      </c>
      <c r="Z1110" s="240" t="str">
        <f t="shared" si="140"/>
        <v>OK</v>
      </c>
      <c r="AA1110" s="240" t="str" cm="1">
        <f t="array" ref="AA1110">IF(OR(AND(J1110="Not accepted",N1110:O1110&lt;&gt;"",$S1110=""),AND(J1110="Accepted",S1110="")),"ERROR","OK")</f>
        <v>OK</v>
      </c>
      <c r="AB1110" s="240" t="str">
        <f t="shared" si="141"/>
        <v>OK</v>
      </c>
      <c r="AC1110" s="240" t="str" cm="1">
        <f t="array" ref="AC1110">IF(AND(F1110:H1110&lt;&gt;"",I1110=""),"ERROR","OK")</f>
        <v>OK</v>
      </c>
      <c r="AD1110" s="240" t="str">
        <f t="shared" si="142"/>
        <v>OK</v>
      </c>
      <c r="AE1110" s="240" t="str">
        <f t="shared" si="143"/>
        <v>OK</v>
      </c>
      <c r="AF1110" s="240" t="str" cm="1">
        <f t="array" aca="1" ref="AF1110" ca="1" xml:space="preserve">
IF(AND($G1110&lt;&gt;"",$F1110=""),"ERROR",
IF(OR($F1110:$G1110="",AND($G1110="",$F1110&lt;&gt;"")),"OK",
IF(COUNTIF(INDIRECT(IFERROR(LEFT($F1110,FIND(" ",$F1110)-1),$F1110)), $G1110)&gt;0, "OK", "ERROR")))</f>
        <v>OK</v>
      </c>
    </row>
    <row r="1111" spans="1:32" s="240" customFormat="1">
      <c r="A1111" s="48"/>
      <c r="B1111" s="31"/>
      <c r="C1111" s="48"/>
      <c r="D1111" s="47"/>
      <c r="E1111" s="47"/>
      <c r="F1111" s="31"/>
      <c r="G1111" s="31"/>
      <c r="H1111" s="31"/>
      <c r="I1111" s="47"/>
      <c r="J1111" s="31"/>
      <c r="K1111" s="47"/>
      <c r="L1111" s="47"/>
      <c r="M1111" s="47"/>
      <c r="N1111" s="31"/>
      <c r="O1111" s="47"/>
      <c r="P1111" s="31"/>
      <c r="Q1111" s="31"/>
      <c r="R1111" s="31"/>
      <c r="S1111" s="31"/>
      <c r="T1111" s="270">
        <f t="shared" si="136"/>
        <v>0</v>
      </c>
      <c r="U1111" s="270">
        <f t="shared" si="137"/>
        <v>0</v>
      </c>
      <c r="V1111" s="31"/>
      <c r="X1111" s="240" t="str">
        <f t="shared" si="138"/>
        <v>OK</v>
      </c>
      <c r="Y1111" s="240" t="str">
        <f t="shared" si="139"/>
        <v>OK</v>
      </c>
      <c r="Z1111" s="240" t="str">
        <f t="shared" si="140"/>
        <v>OK</v>
      </c>
      <c r="AA1111" s="240" t="str" cm="1">
        <f t="array" ref="AA1111">IF(OR(AND(J1111="Not accepted",N1111:O1111&lt;&gt;"",$S1111=""),AND(J1111="Accepted",S1111="")),"ERROR","OK")</f>
        <v>OK</v>
      </c>
      <c r="AB1111" s="240" t="str">
        <f t="shared" si="141"/>
        <v>OK</v>
      </c>
      <c r="AC1111" s="240" t="str" cm="1">
        <f t="array" ref="AC1111">IF(AND(F1111:H1111&lt;&gt;"",I1111=""),"ERROR","OK")</f>
        <v>OK</v>
      </c>
      <c r="AD1111" s="240" t="str">
        <f t="shared" si="142"/>
        <v>OK</v>
      </c>
      <c r="AE1111" s="240" t="str">
        <f t="shared" si="143"/>
        <v>OK</v>
      </c>
      <c r="AF1111" s="240" t="str" cm="1">
        <f t="array" aca="1" ref="AF1111" ca="1" xml:space="preserve">
IF(AND($G1111&lt;&gt;"",$F1111=""),"ERROR",
IF(OR($F1111:$G1111="",AND($G1111="",$F1111&lt;&gt;"")),"OK",
IF(COUNTIF(INDIRECT(IFERROR(LEFT($F1111,FIND(" ",$F1111)-1),$F1111)), $G1111)&gt;0, "OK", "ERROR")))</f>
        <v>OK</v>
      </c>
    </row>
    <row r="1112" spans="1:32" s="240" customFormat="1">
      <c r="A1112" s="48"/>
      <c r="B1112" s="31"/>
      <c r="C1112" s="48"/>
      <c r="D1112" s="47"/>
      <c r="E1112" s="47"/>
      <c r="F1112" s="31"/>
      <c r="G1112" s="31"/>
      <c r="H1112" s="31"/>
      <c r="I1112" s="47"/>
      <c r="J1112" s="31"/>
      <c r="K1112" s="47"/>
      <c r="L1112" s="47"/>
      <c r="M1112" s="47"/>
      <c r="N1112" s="31"/>
      <c r="O1112" s="47"/>
      <c r="P1112" s="31"/>
      <c r="Q1112" s="31"/>
      <c r="R1112" s="31"/>
      <c r="S1112" s="31"/>
      <c r="T1112" s="270">
        <f t="shared" si="136"/>
        <v>0</v>
      </c>
      <c r="U1112" s="270">
        <f t="shared" si="137"/>
        <v>0</v>
      </c>
      <c r="V1112" s="31"/>
      <c r="X1112" s="240" t="str">
        <f t="shared" si="138"/>
        <v>OK</v>
      </c>
      <c r="Y1112" s="240" t="str">
        <f t="shared" si="139"/>
        <v>OK</v>
      </c>
      <c r="Z1112" s="240" t="str">
        <f t="shared" si="140"/>
        <v>OK</v>
      </c>
      <c r="AA1112" s="240" t="str" cm="1">
        <f t="array" ref="AA1112">IF(OR(AND(J1112="Not accepted",N1112:O1112&lt;&gt;"",$S1112=""),AND(J1112="Accepted",S1112="")),"ERROR","OK")</f>
        <v>OK</v>
      </c>
      <c r="AB1112" s="240" t="str">
        <f t="shared" si="141"/>
        <v>OK</v>
      </c>
      <c r="AC1112" s="240" t="str" cm="1">
        <f t="array" ref="AC1112">IF(AND(F1112:H1112&lt;&gt;"",I1112=""),"ERROR","OK")</f>
        <v>OK</v>
      </c>
      <c r="AD1112" s="240" t="str">
        <f t="shared" si="142"/>
        <v>OK</v>
      </c>
      <c r="AE1112" s="240" t="str">
        <f t="shared" si="143"/>
        <v>OK</v>
      </c>
      <c r="AF1112" s="240" t="str" cm="1">
        <f t="array" aca="1" ref="AF1112" ca="1" xml:space="preserve">
IF(AND($G1112&lt;&gt;"",$F1112=""),"ERROR",
IF(OR($F1112:$G1112="",AND($G1112="",$F1112&lt;&gt;"")),"OK",
IF(COUNTIF(INDIRECT(IFERROR(LEFT($F1112,FIND(" ",$F1112)-1),$F1112)), $G1112)&gt;0, "OK", "ERROR")))</f>
        <v>OK</v>
      </c>
    </row>
    <row r="1113" spans="1:32" s="240" customFormat="1">
      <c r="A1113" s="48"/>
      <c r="B1113" s="31"/>
      <c r="C1113" s="48"/>
      <c r="D1113" s="47"/>
      <c r="E1113" s="47"/>
      <c r="F1113" s="31"/>
      <c r="G1113" s="31"/>
      <c r="H1113" s="31"/>
      <c r="I1113" s="47"/>
      <c r="J1113" s="31"/>
      <c r="K1113" s="47"/>
      <c r="L1113" s="47"/>
      <c r="M1113" s="47"/>
      <c r="N1113" s="31"/>
      <c r="O1113" s="47"/>
      <c r="P1113" s="31"/>
      <c r="Q1113" s="31"/>
      <c r="R1113" s="31"/>
      <c r="S1113" s="31"/>
      <c r="T1113" s="270">
        <f t="shared" si="136"/>
        <v>0</v>
      </c>
      <c r="U1113" s="270">
        <f t="shared" si="137"/>
        <v>0</v>
      </c>
      <c r="V1113" s="31"/>
      <c r="X1113" s="240" t="str">
        <f t="shared" si="138"/>
        <v>OK</v>
      </c>
      <c r="Y1113" s="240" t="str">
        <f t="shared" si="139"/>
        <v>OK</v>
      </c>
      <c r="Z1113" s="240" t="str">
        <f t="shared" si="140"/>
        <v>OK</v>
      </c>
      <c r="AA1113" s="240" t="str" cm="1">
        <f t="array" ref="AA1113">IF(OR(AND(J1113="Not accepted",N1113:O1113&lt;&gt;"",$S1113=""),AND(J1113="Accepted",S1113="")),"ERROR","OK")</f>
        <v>OK</v>
      </c>
      <c r="AB1113" s="240" t="str">
        <f t="shared" si="141"/>
        <v>OK</v>
      </c>
      <c r="AC1113" s="240" t="str" cm="1">
        <f t="array" ref="AC1113">IF(AND(F1113:H1113&lt;&gt;"",I1113=""),"ERROR","OK")</f>
        <v>OK</v>
      </c>
      <c r="AD1113" s="240" t="str">
        <f t="shared" si="142"/>
        <v>OK</v>
      </c>
      <c r="AE1113" s="240" t="str">
        <f t="shared" si="143"/>
        <v>OK</v>
      </c>
      <c r="AF1113" s="240" t="str" cm="1">
        <f t="array" aca="1" ref="AF1113" ca="1" xml:space="preserve">
IF(AND($G1113&lt;&gt;"",$F1113=""),"ERROR",
IF(OR($F1113:$G1113="",AND($G1113="",$F1113&lt;&gt;"")),"OK",
IF(COUNTIF(INDIRECT(IFERROR(LEFT($F1113,FIND(" ",$F1113)-1),$F1113)), $G1113)&gt;0, "OK", "ERROR")))</f>
        <v>OK</v>
      </c>
    </row>
    <row r="1114" spans="1:32" s="240" customFormat="1">
      <c r="A1114" s="48"/>
      <c r="B1114" s="31"/>
      <c r="C1114" s="48"/>
      <c r="D1114" s="47"/>
      <c r="E1114" s="47"/>
      <c r="F1114" s="31"/>
      <c r="G1114" s="31"/>
      <c r="H1114" s="31"/>
      <c r="I1114" s="47"/>
      <c r="J1114" s="31"/>
      <c r="K1114" s="47"/>
      <c r="L1114" s="47"/>
      <c r="M1114" s="47"/>
      <c r="N1114" s="31"/>
      <c r="O1114" s="47"/>
      <c r="P1114" s="31"/>
      <c r="Q1114" s="31"/>
      <c r="R1114" s="31"/>
      <c r="S1114" s="31"/>
      <c r="T1114" s="270">
        <f t="shared" si="136"/>
        <v>0</v>
      </c>
      <c r="U1114" s="270">
        <f t="shared" si="137"/>
        <v>0</v>
      </c>
      <c r="V1114" s="31"/>
      <c r="X1114" s="240" t="str">
        <f t="shared" si="138"/>
        <v>OK</v>
      </c>
      <c r="Y1114" s="240" t="str">
        <f t="shared" si="139"/>
        <v>OK</v>
      </c>
      <c r="Z1114" s="240" t="str">
        <f t="shared" si="140"/>
        <v>OK</v>
      </c>
      <c r="AA1114" s="240" t="str" cm="1">
        <f t="array" ref="AA1114">IF(OR(AND(J1114="Not accepted",N1114:O1114&lt;&gt;"",$S1114=""),AND(J1114="Accepted",S1114="")),"ERROR","OK")</f>
        <v>OK</v>
      </c>
      <c r="AB1114" s="240" t="str">
        <f t="shared" si="141"/>
        <v>OK</v>
      </c>
      <c r="AC1114" s="240" t="str" cm="1">
        <f t="array" ref="AC1114">IF(AND(F1114:H1114&lt;&gt;"",I1114=""),"ERROR","OK")</f>
        <v>OK</v>
      </c>
      <c r="AD1114" s="240" t="str">
        <f t="shared" si="142"/>
        <v>OK</v>
      </c>
      <c r="AE1114" s="240" t="str">
        <f t="shared" si="143"/>
        <v>OK</v>
      </c>
      <c r="AF1114" s="240" t="str" cm="1">
        <f t="array" aca="1" ref="AF1114" ca="1" xml:space="preserve">
IF(AND($G1114&lt;&gt;"",$F1114=""),"ERROR",
IF(OR($F1114:$G1114="",AND($G1114="",$F1114&lt;&gt;"")),"OK",
IF(COUNTIF(INDIRECT(IFERROR(LEFT($F1114,FIND(" ",$F1114)-1),$F1114)), $G1114)&gt;0, "OK", "ERROR")))</f>
        <v>OK</v>
      </c>
    </row>
    <row r="1115" spans="1:32" s="240" customFormat="1">
      <c r="A1115" s="48"/>
      <c r="B1115" s="31"/>
      <c r="C1115" s="48"/>
      <c r="D1115" s="47"/>
      <c r="E1115" s="47"/>
      <c r="F1115" s="31"/>
      <c r="G1115" s="31"/>
      <c r="H1115" s="31"/>
      <c r="I1115" s="47"/>
      <c r="J1115" s="31"/>
      <c r="K1115" s="47"/>
      <c r="L1115" s="47"/>
      <c r="M1115" s="47"/>
      <c r="N1115" s="31"/>
      <c r="O1115" s="47"/>
      <c r="P1115" s="31"/>
      <c r="Q1115" s="31"/>
      <c r="R1115" s="31"/>
      <c r="S1115" s="31"/>
      <c r="T1115" s="270">
        <f t="shared" si="136"/>
        <v>0</v>
      </c>
      <c r="U1115" s="270">
        <f t="shared" si="137"/>
        <v>0</v>
      </c>
      <c r="V1115" s="31"/>
      <c r="X1115" s="240" t="str">
        <f t="shared" si="138"/>
        <v>OK</v>
      </c>
      <c r="Y1115" s="240" t="str">
        <f t="shared" si="139"/>
        <v>OK</v>
      </c>
      <c r="Z1115" s="240" t="str">
        <f t="shared" si="140"/>
        <v>OK</v>
      </c>
      <c r="AA1115" s="240" t="str" cm="1">
        <f t="array" ref="AA1115">IF(OR(AND(J1115="Not accepted",N1115:O1115&lt;&gt;"",$S1115=""),AND(J1115="Accepted",S1115="")),"ERROR","OK")</f>
        <v>OK</v>
      </c>
      <c r="AB1115" s="240" t="str">
        <f t="shared" si="141"/>
        <v>OK</v>
      </c>
      <c r="AC1115" s="240" t="str" cm="1">
        <f t="array" ref="AC1115">IF(AND(F1115:H1115&lt;&gt;"",I1115=""),"ERROR","OK")</f>
        <v>OK</v>
      </c>
      <c r="AD1115" s="240" t="str">
        <f t="shared" si="142"/>
        <v>OK</v>
      </c>
      <c r="AE1115" s="240" t="str">
        <f t="shared" si="143"/>
        <v>OK</v>
      </c>
      <c r="AF1115" s="240" t="str" cm="1">
        <f t="array" aca="1" ref="AF1115" ca="1" xml:space="preserve">
IF(AND($G1115&lt;&gt;"",$F1115=""),"ERROR",
IF(OR($F1115:$G1115="",AND($G1115="",$F1115&lt;&gt;"")),"OK",
IF(COUNTIF(INDIRECT(IFERROR(LEFT($F1115,FIND(" ",$F1115)-1),$F1115)), $G1115)&gt;0, "OK", "ERROR")))</f>
        <v>OK</v>
      </c>
    </row>
    <row r="1116" spans="1:32" s="240" customFormat="1">
      <c r="A1116" s="48"/>
      <c r="B1116" s="31"/>
      <c r="C1116" s="48"/>
      <c r="D1116" s="47"/>
      <c r="E1116" s="47"/>
      <c r="F1116" s="31"/>
      <c r="G1116" s="31"/>
      <c r="H1116" s="31"/>
      <c r="I1116" s="47"/>
      <c r="J1116" s="31"/>
      <c r="K1116" s="47"/>
      <c r="L1116" s="47"/>
      <c r="M1116" s="47"/>
      <c r="N1116" s="31"/>
      <c r="O1116" s="47"/>
      <c r="P1116" s="31"/>
      <c r="Q1116" s="31"/>
      <c r="R1116" s="31"/>
      <c r="S1116" s="31"/>
      <c r="T1116" s="270">
        <f t="shared" si="136"/>
        <v>0</v>
      </c>
      <c r="U1116" s="270">
        <f t="shared" si="137"/>
        <v>0</v>
      </c>
      <c r="V1116" s="31"/>
      <c r="X1116" s="240" t="str">
        <f t="shared" si="138"/>
        <v>OK</v>
      </c>
      <c r="Y1116" s="240" t="str">
        <f t="shared" si="139"/>
        <v>OK</v>
      </c>
      <c r="Z1116" s="240" t="str">
        <f t="shared" si="140"/>
        <v>OK</v>
      </c>
      <c r="AA1116" s="240" t="str" cm="1">
        <f t="array" ref="AA1116">IF(OR(AND(J1116="Not accepted",N1116:O1116&lt;&gt;"",$S1116=""),AND(J1116="Accepted",S1116="")),"ERROR","OK")</f>
        <v>OK</v>
      </c>
      <c r="AB1116" s="240" t="str">
        <f t="shared" si="141"/>
        <v>OK</v>
      </c>
      <c r="AC1116" s="240" t="str" cm="1">
        <f t="array" ref="AC1116">IF(AND(F1116:H1116&lt;&gt;"",I1116=""),"ERROR","OK")</f>
        <v>OK</v>
      </c>
      <c r="AD1116" s="240" t="str">
        <f t="shared" si="142"/>
        <v>OK</v>
      </c>
      <c r="AE1116" s="240" t="str">
        <f t="shared" si="143"/>
        <v>OK</v>
      </c>
      <c r="AF1116" s="240" t="str" cm="1">
        <f t="array" aca="1" ref="AF1116" ca="1" xml:space="preserve">
IF(AND($G1116&lt;&gt;"",$F1116=""),"ERROR",
IF(OR($F1116:$G1116="",AND($G1116="",$F1116&lt;&gt;"")),"OK",
IF(COUNTIF(INDIRECT(IFERROR(LEFT($F1116,FIND(" ",$F1116)-1),$F1116)), $G1116)&gt;0, "OK", "ERROR")))</f>
        <v>OK</v>
      </c>
    </row>
    <row r="1117" spans="1:32" s="240" customFormat="1">
      <c r="A1117" s="48"/>
      <c r="B1117" s="31"/>
      <c r="C1117" s="48"/>
      <c r="D1117" s="47"/>
      <c r="E1117" s="47"/>
      <c r="F1117" s="31"/>
      <c r="G1117" s="31"/>
      <c r="H1117" s="31"/>
      <c r="I1117" s="47"/>
      <c r="J1117" s="31"/>
      <c r="K1117" s="47"/>
      <c r="L1117" s="47"/>
      <c r="M1117" s="47"/>
      <c r="N1117" s="31"/>
      <c r="O1117" s="47"/>
      <c r="P1117" s="31"/>
      <c r="Q1117" s="31"/>
      <c r="R1117" s="31"/>
      <c r="S1117" s="31"/>
      <c r="T1117" s="270">
        <f t="shared" si="136"/>
        <v>0</v>
      </c>
      <c r="U1117" s="270">
        <f t="shared" si="137"/>
        <v>0</v>
      </c>
      <c r="V1117" s="31"/>
      <c r="X1117" s="240" t="str">
        <f t="shared" si="138"/>
        <v>OK</v>
      </c>
      <c r="Y1117" s="240" t="str">
        <f t="shared" si="139"/>
        <v>OK</v>
      </c>
      <c r="Z1117" s="240" t="str">
        <f t="shared" si="140"/>
        <v>OK</v>
      </c>
      <c r="AA1117" s="240" t="str" cm="1">
        <f t="array" ref="AA1117">IF(OR(AND(J1117="Not accepted",N1117:O1117&lt;&gt;"",$S1117=""),AND(J1117="Accepted",S1117="")),"ERROR","OK")</f>
        <v>OK</v>
      </c>
      <c r="AB1117" s="240" t="str">
        <f t="shared" si="141"/>
        <v>OK</v>
      </c>
      <c r="AC1117" s="240" t="str" cm="1">
        <f t="array" ref="AC1117">IF(AND(F1117:H1117&lt;&gt;"",I1117=""),"ERROR","OK")</f>
        <v>OK</v>
      </c>
      <c r="AD1117" s="240" t="str">
        <f t="shared" si="142"/>
        <v>OK</v>
      </c>
      <c r="AE1117" s="240" t="str">
        <f t="shared" si="143"/>
        <v>OK</v>
      </c>
      <c r="AF1117" s="240" t="str" cm="1">
        <f t="array" aca="1" ref="AF1117" ca="1" xml:space="preserve">
IF(AND($G1117&lt;&gt;"",$F1117=""),"ERROR",
IF(OR($F1117:$G1117="",AND($G1117="",$F1117&lt;&gt;"")),"OK",
IF(COUNTIF(INDIRECT(IFERROR(LEFT($F1117,FIND(" ",$F1117)-1),$F1117)), $G1117)&gt;0, "OK", "ERROR")))</f>
        <v>OK</v>
      </c>
    </row>
    <row r="1118" spans="1:32" s="240" customFormat="1">
      <c r="A1118" s="48"/>
      <c r="B1118" s="31"/>
      <c r="C1118" s="48"/>
      <c r="D1118" s="47"/>
      <c r="E1118" s="47"/>
      <c r="F1118" s="31"/>
      <c r="G1118" s="31"/>
      <c r="H1118" s="31"/>
      <c r="I1118" s="47"/>
      <c r="J1118" s="31"/>
      <c r="K1118" s="47"/>
      <c r="L1118" s="47"/>
      <c r="M1118" s="47"/>
      <c r="N1118" s="31"/>
      <c r="O1118" s="47"/>
      <c r="P1118" s="31"/>
      <c r="Q1118" s="31"/>
      <c r="R1118" s="31"/>
      <c r="S1118" s="31"/>
      <c r="T1118" s="270">
        <f t="shared" si="136"/>
        <v>0</v>
      </c>
      <c r="U1118" s="270">
        <f t="shared" si="137"/>
        <v>0</v>
      </c>
      <c r="V1118" s="31"/>
      <c r="X1118" s="240" t="str">
        <f t="shared" si="138"/>
        <v>OK</v>
      </c>
      <c r="Y1118" s="240" t="str">
        <f t="shared" si="139"/>
        <v>OK</v>
      </c>
      <c r="Z1118" s="240" t="str">
        <f t="shared" si="140"/>
        <v>OK</v>
      </c>
      <c r="AA1118" s="240" t="str" cm="1">
        <f t="array" ref="AA1118">IF(OR(AND(J1118="Not accepted",N1118:O1118&lt;&gt;"",$S1118=""),AND(J1118="Accepted",S1118="")),"ERROR","OK")</f>
        <v>OK</v>
      </c>
      <c r="AB1118" s="240" t="str">
        <f t="shared" si="141"/>
        <v>OK</v>
      </c>
      <c r="AC1118" s="240" t="str" cm="1">
        <f t="array" ref="AC1118">IF(AND(F1118:H1118&lt;&gt;"",I1118=""),"ERROR","OK")</f>
        <v>OK</v>
      </c>
      <c r="AD1118" s="240" t="str">
        <f t="shared" si="142"/>
        <v>OK</v>
      </c>
      <c r="AE1118" s="240" t="str">
        <f t="shared" si="143"/>
        <v>OK</v>
      </c>
      <c r="AF1118" s="240" t="str" cm="1">
        <f t="array" aca="1" ref="AF1118" ca="1" xml:space="preserve">
IF(AND($G1118&lt;&gt;"",$F1118=""),"ERROR",
IF(OR($F1118:$G1118="",AND($G1118="",$F1118&lt;&gt;"")),"OK",
IF(COUNTIF(INDIRECT(IFERROR(LEFT($F1118,FIND(" ",$F1118)-1),$F1118)), $G1118)&gt;0, "OK", "ERROR")))</f>
        <v>OK</v>
      </c>
    </row>
    <row r="1119" spans="1:32" s="240" customFormat="1">
      <c r="A1119" s="48"/>
      <c r="B1119" s="31"/>
      <c r="C1119" s="48"/>
      <c r="D1119" s="47"/>
      <c r="E1119" s="47"/>
      <c r="F1119" s="31"/>
      <c r="G1119" s="31"/>
      <c r="H1119" s="31"/>
      <c r="I1119" s="47"/>
      <c r="J1119" s="31"/>
      <c r="K1119" s="47"/>
      <c r="L1119" s="47"/>
      <c r="M1119" s="47"/>
      <c r="N1119" s="31"/>
      <c r="O1119" s="47"/>
      <c r="P1119" s="31"/>
      <c r="Q1119" s="31"/>
      <c r="R1119" s="31"/>
      <c r="S1119" s="31"/>
      <c r="T1119" s="270">
        <f t="shared" si="136"/>
        <v>0</v>
      </c>
      <c r="U1119" s="270">
        <f t="shared" si="137"/>
        <v>0</v>
      </c>
      <c r="V1119" s="31"/>
      <c r="X1119" s="240" t="str">
        <f t="shared" si="138"/>
        <v>OK</v>
      </c>
      <c r="Y1119" s="240" t="str">
        <f t="shared" si="139"/>
        <v>OK</v>
      </c>
      <c r="Z1119" s="240" t="str">
        <f t="shared" si="140"/>
        <v>OK</v>
      </c>
      <c r="AA1119" s="240" t="str" cm="1">
        <f t="array" ref="AA1119">IF(OR(AND(J1119="Not accepted",N1119:O1119&lt;&gt;"",$S1119=""),AND(J1119="Accepted",S1119="")),"ERROR","OK")</f>
        <v>OK</v>
      </c>
      <c r="AB1119" s="240" t="str">
        <f t="shared" si="141"/>
        <v>OK</v>
      </c>
      <c r="AC1119" s="240" t="str" cm="1">
        <f t="array" ref="AC1119">IF(AND(F1119:H1119&lt;&gt;"",I1119=""),"ERROR","OK")</f>
        <v>OK</v>
      </c>
      <c r="AD1119" s="240" t="str">
        <f t="shared" si="142"/>
        <v>OK</v>
      </c>
      <c r="AE1119" s="240" t="str">
        <f t="shared" si="143"/>
        <v>OK</v>
      </c>
      <c r="AF1119" s="240" t="str" cm="1">
        <f t="array" aca="1" ref="AF1119" ca="1" xml:space="preserve">
IF(AND($G1119&lt;&gt;"",$F1119=""),"ERROR",
IF(OR($F1119:$G1119="",AND($G1119="",$F1119&lt;&gt;"")),"OK",
IF(COUNTIF(INDIRECT(IFERROR(LEFT($F1119,FIND(" ",$F1119)-1),$F1119)), $G1119)&gt;0, "OK", "ERROR")))</f>
        <v>OK</v>
      </c>
    </row>
    <row r="1120" spans="1:32" s="240" customFormat="1">
      <c r="A1120" s="48"/>
      <c r="B1120" s="31"/>
      <c r="C1120" s="48"/>
      <c r="D1120" s="47"/>
      <c r="E1120" s="47"/>
      <c r="F1120" s="31"/>
      <c r="G1120" s="31"/>
      <c r="H1120" s="31"/>
      <c r="I1120" s="47"/>
      <c r="J1120" s="31"/>
      <c r="K1120" s="47"/>
      <c r="L1120" s="47"/>
      <c r="M1120" s="47"/>
      <c r="N1120" s="31"/>
      <c r="O1120" s="47"/>
      <c r="P1120" s="31"/>
      <c r="Q1120" s="31"/>
      <c r="R1120" s="31"/>
      <c r="S1120" s="31"/>
      <c r="T1120" s="270">
        <f t="shared" si="136"/>
        <v>0</v>
      </c>
      <c r="U1120" s="270">
        <f t="shared" si="137"/>
        <v>0</v>
      </c>
      <c r="V1120" s="31"/>
      <c r="X1120" s="240" t="str">
        <f t="shared" si="138"/>
        <v>OK</v>
      </c>
      <c r="Y1120" s="240" t="str">
        <f t="shared" si="139"/>
        <v>OK</v>
      </c>
      <c r="Z1120" s="240" t="str">
        <f t="shared" si="140"/>
        <v>OK</v>
      </c>
      <c r="AA1120" s="240" t="str" cm="1">
        <f t="array" ref="AA1120">IF(OR(AND(J1120="Not accepted",N1120:O1120&lt;&gt;"",$S1120=""),AND(J1120="Accepted",S1120="")),"ERROR","OK")</f>
        <v>OK</v>
      </c>
      <c r="AB1120" s="240" t="str">
        <f t="shared" si="141"/>
        <v>OK</v>
      </c>
      <c r="AC1120" s="240" t="str" cm="1">
        <f t="array" ref="AC1120">IF(AND(F1120:H1120&lt;&gt;"",I1120=""),"ERROR","OK")</f>
        <v>OK</v>
      </c>
      <c r="AD1120" s="240" t="str">
        <f t="shared" si="142"/>
        <v>OK</v>
      </c>
      <c r="AE1120" s="240" t="str">
        <f t="shared" si="143"/>
        <v>OK</v>
      </c>
      <c r="AF1120" s="240" t="str" cm="1">
        <f t="array" aca="1" ref="AF1120" ca="1" xml:space="preserve">
IF(AND($G1120&lt;&gt;"",$F1120=""),"ERROR",
IF(OR($F1120:$G1120="",AND($G1120="",$F1120&lt;&gt;"")),"OK",
IF(COUNTIF(INDIRECT(IFERROR(LEFT($F1120,FIND(" ",$F1120)-1),$F1120)), $G1120)&gt;0, "OK", "ERROR")))</f>
        <v>OK</v>
      </c>
    </row>
    <row r="1121" spans="1:32" s="240" customFormat="1">
      <c r="A1121" s="48"/>
      <c r="B1121" s="31"/>
      <c r="C1121" s="48"/>
      <c r="D1121" s="47"/>
      <c r="E1121" s="47"/>
      <c r="F1121" s="31"/>
      <c r="G1121" s="31"/>
      <c r="H1121" s="31"/>
      <c r="I1121" s="47"/>
      <c r="J1121" s="31"/>
      <c r="K1121" s="47"/>
      <c r="L1121" s="47"/>
      <c r="M1121" s="47"/>
      <c r="N1121" s="31"/>
      <c r="O1121" s="47"/>
      <c r="P1121" s="31"/>
      <c r="Q1121" s="31"/>
      <c r="R1121" s="31"/>
      <c r="S1121" s="31"/>
      <c r="T1121" s="270">
        <f t="shared" si="136"/>
        <v>0</v>
      </c>
      <c r="U1121" s="270">
        <f t="shared" si="137"/>
        <v>0</v>
      </c>
      <c r="V1121" s="31"/>
      <c r="X1121" s="240" t="str">
        <f t="shared" si="138"/>
        <v>OK</v>
      </c>
      <c r="Y1121" s="240" t="str">
        <f t="shared" si="139"/>
        <v>OK</v>
      </c>
      <c r="Z1121" s="240" t="str">
        <f t="shared" si="140"/>
        <v>OK</v>
      </c>
      <c r="AA1121" s="240" t="str" cm="1">
        <f t="array" ref="AA1121">IF(OR(AND(J1121="Not accepted",N1121:O1121&lt;&gt;"",$S1121=""),AND(J1121="Accepted",S1121="")),"ERROR","OK")</f>
        <v>OK</v>
      </c>
      <c r="AB1121" s="240" t="str">
        <f t="shared" si="141"/>
        <v>OK</v>
      </c>
      <c r="AC1121" s="240" t="str" cm="1">
        <f t="array" ref="AC1121">IF(AND(F1121:H1121&lt;&gt;"",I1121=""),"ERROR","OK")</f>
        <v>OK</v>
      </c>
      <c r="AD1121" s="240" t="str">
        <f t="shared" si="142"/>
        <v>OK</v>
      </c>
      <c r="AE1121" s="240" t="str">
        <f t="shared" si="143"/>
        <v>OK</v>
      </c>
      <c r="AF1121" s="240" t="str" cm="1">
        <f t="array" aca="1" ref="AF1121" ca="1" xml:space="preserve">
IF(AND($G1121&lt;&gt;"",$F1121=""),"ERROR",
IF(OR($F1121:$G1121="",AND($G1121="",$F1121&lt;&gt;"")),"OK",
IF(COUNTIF(INDIRECT(IFERROR(LEFT($F1121,FIND(" ",$F1121)-1),$F1121)), $G1121)&gt;0, "OK", "ERROR")))</f>
        <v>OK</v>
      </c>
    </row>
    <row r="1122" spans="1:32" s="240" customFormat="1">
      <c r="A1122" s="48"/>
      <c r="B1122" s="31"/>
      <c r="C1122" s="48"/>
      <c r="D1122" s="47"/>
      <c r="E1122" s="47"/>
      <c r="F1122" s="31"/>
      <c r="G1122" s="31"/>
      <c r="H1122" s="31"/>
      <c r="I1122" s="47"/>
      <c r="J1122" s="31"/>
      <c r="K1122" s="47"/>
      <c r="L1122" s="47"/>
      <c r="M1122" s="47"/>
      <c r="N1122" s="31"/>
      <c r="O1122" s="47"/>
      <c r="P1122" s="31"/>
      <c r="Q1122" s="31"/>
      <c r="R1122" s="31"/>
      <c r="S1122" s="31"/>
      <c r="T1122" s="270">
        <f t="shared" si="136"/>
        <v>0</v>
      </c>
      <c r="U1122" s="270">
        <f t="shared" si="137"/>
        <v>0</v>
      </c>
      <c r="V1122" s="31"/>
      <c r="X1122" s="240" t="str">
        <f t="shared" si="138"/>
        <v>OK</v>
      </c>
      <c r="Y1122" s="240" t="str">
        <f t="shared" si="139"/>
        <v>OK</v>
      </c>
      <c r="Z1122" s="240" t="str">
        <f t="shared" si="140"/>
        <v>OK</v>
      </c>
      <c r="AA1122" s="240" t="str" cm="1">
        <f t="array" ref="AA1122">IF(OR(AND(J1122="Not accepted",N1122:O1122&lt;&gt;"",$S1122=""),AND(J1122="Accepted",S1122="")),"ERROR","OK")</f>
        <v>OK</v>
      </c>
      <c r="AB1122" s="240" t="str">
        <f t="shared" si="141"/>
        <v>OK</v>
      </c>
      <c r="AC1122" s="240" t="str" cm="1">
        <f t="array" ref="AC1122">IF(AND(F1122:H1122&lt;&gt;"",I1122=""),"ERROR","OK")</f>
        <v>OK</v>
      </c>
      <c r="AD1122" s="240" t="str">
        <f t="shared" si="142"/>
        <v>OK</v>
      </c>
      <c r="AE1122" s="240" t="str">
        <f t="shared" si="143"/>
        <v>OK</v>
      </c>
      <c r="AF1122" s="240" t="str" cm="1">
        <f t="array" aca="1" ref="AF1122" ca="1" xml:space="preserve">
IF(AND($G1122&lt;&gt;"",$F1122=""),"ERROR",
IF(OR($F1122:$G1122="",AND($G1122="",$F1122&lt;&gt;"")),"OK",
IF(COUNTIF(INDIRECT(IFERROR(LEFT($F1122,FIND(" ",$F1122)-1),$F1122)), $G1122)&gt;0, "OK", "ERROR")))</f>
        <v>OK</v>
      </c>
    </row>
    <row r="1123" spans="1:32" s="240" customFormat="1">
      <c r="A1123" s="48"/>
      <c r="B1123" s="31"/>
      <c r="C1123" s="48"/>
      <c r="D1123" s="47"/>
      <c r="E1123" s="47"/>
      <c r="F1123" s="31"/>
      <c r="G1123" s="31"/>
      <c r="H1123" s="31"/>
      <c r="I1123" s="47"/>
      <c r="J1123" s="31"/>
      <c r="K1123" s="47"/>
      <c r="L1123" s="47"/>
      <c r="M1123" s="47"/>
      <c r="N1123" s="31"/>
      <c r="O1123" s="47"/>
      <c r="P1123" s="31"/>
      <c r="Q1123" s="31"/>
      <c r="R1123" s="31"/>
      <c r="S1123" s="31"/>
      <c r="T1123" s="270">
        <f t="shared" si="136"/>
        <v>0</v>
      </c>
      <c r="U1123" s="270">
        <f t="shared" si="137"/>
        <v>0</v>
      </c>
      <c r="V1123" s="31"/>
      <c r="X1123" s="240" t="str">
        <f t="shared" si="138"/>
        <v>OK</v>
      </c>
      <c r="Y1123" s="240" t="str">
        <f t="shared" si="139"/>
        <v>OK</v>
      </c>
      <c r="Z1123" s="240" t="str">
        <f t="shared" si="140"/>
        <v>OK</v>
      </c>
      <c r="AA1123" s="240" t="str" cm="1">
        <f t="array" ref="AA1123">IF(OR(AND(J1123="Not accepted",N1123:O1123&lt;&gt;"",$S1123=""),AND(J1123="Accepted",S1123="")),"ERROR","OK")</f>
        <v>OK</v>
      </c>
      <c r="AB1123" s="240" t="str">
        <f t="shared" si="141"/>
        <v>OK</v>
      </c>
      <c r="AC1123" s="240" t="str" cm="1">
        <f t="array" ref="AC1123">IF(AND(F1123:H1123&lt;&gt;"",I1123=""),"ERROR","OK")</f>
        <v>OK</v>
      </c>
      <c r="AD1123" s="240" t="str">
        <f t="shared" si="142"/>
        <v>OK</v>
      </c>
      <c r="AE1123" s="240" t="str">
        <f t="shared" si="143"/>
        <v>OK</v>
      </c>
      <c r="AF1123" s="240" t="str" cm="1">
        <f t="array" aca="1" ref="AF1123" ca="1" xml:space="preserve">
IF(AND($G1123&lt;&gt;"",$F1123=""),"ERROR",
IF(OR($F1123:$G1123="",AND($G1123="",$F1123&lt;&gt;"")),"OK",
IF(COUNTIF(INDIRECT(IFERROR(LEFT($F1123,FIND(" ",$F1123)-1),$F1123)), $G1123)&gt;0, "OK", "ERROR")))</f>
        <v>OK</v>
      </c>
    </row>
    <row r="1124" spans="1:32" s="240" customFormat="1">
      <c r="A1124" s="48"/>
      <c r="B1124" s="31"/>
      <c r="C1124" s="48"/>
      <c r="D1124" s="47"/>
      <c r="E1124" s="47"/>
      <c r="F1124" s="31"/>
      <c r="G1124" s="31"/>
      <c r="H1124" s="31"/>
      <c r="I1124" s="47"/>
      <c r="J1124" s="31"/>
      <c r="K1124" s="47"/>
      <c r="L1124" s="47"/>
      <c r="M1124" s="47"/>
      <c r="N1124" s="31"/>
      <c r="O1124" s="47"/>
      <c r="P1124" s="31"/>
      <c r="Q1124" s="31"/>
      <c r="R1124" s="31"/>
      <c r="S1124" s="31"/>
      <c r="T1124" s="270">
        <f t="shared" si="136"/>
        <v>0</v>
      </c>
      <c r="U1124" s="270">
        <f t="shared" si="137"/>
        <v>0</v>
      </c>
      <c r="V1124" s="31"/>
      <c r="X1124" s="240" t="str">
        <f t="shared" si="138"/>
        <v>OK</v>
      </c>
      <c r="Y1124" s="240" t="str">
        <f t="shared" si="139"/>
        <v>OK</v>
      </c>
      <c r="Z1124" s="240" t="str">
        <f t="shared" si="140"/>
        <v>OK</v>
      </c>
      <c r="AA1124" s="240" t="str" cm="1">
        <f t="array" ref="AA1124">IF(OR(AND(J1124="Not accepted",N1124:O1124&lt;&gt;"",$S1124=""),AND(J1124="Accepted",S1124="")),"ERROR","OK")</f>
        <v>OK</v>
      </c>
      <c r="AB1124" s="240" t="str">
        <f t="shared" si="141"/>
        <v>OK</v>
      </c>
      <c r="AC1124" s="240" t="str" cm="1">
        <f t="array" ref="AC1124">IF(AND(F1124:H1124&lt;&gt;"",I1124=""),"ERROR","OK")</f>
        <v>OK</v>
      </c>
      <c r="AD1124" s="240" t="str">
        <f t="shared" si="142"/>
        <v>OK</v>
      </c>
      <c r="AE1124" s="240" t="str">
        <f t="shared" si="143"/>
        <v>OK</v>
      </c>
      <c r="AF1124" s="240" t="str" cm="1">
        <f t="array" aca="1" ref="AF1124" ca="1" xml:space="preserve">
IF(AND($G1124&lt;&gt;"",$F1124=""),"ERROR",
IF(OR($F1124:$G1124="",AND($G1124="",$F1124&lt;&gt;"")),"OK",
IF(COUNTIF(INDIRECT(IFERROR(LEFT($F1124,FIND(" ",$F1124)-1),$F1124)), $G1124)&gt;0, "OK", "ERROR")))</f>
        <v>OK</v>
      </c>
    </row>
    <row r="1125" spans="1:32" s="240" customFormat="1">
      <c r="A1125" s="48"/>
      <c r="B1125" s="31"/>
      <c r="C1125" s="48"/>
      <c r="D1125" s="47"/>
      <c r="E1125" s="47"/>
      <c r="F1125" s="31"/>
      <c r="G1125" s="31"/>
      <c r="H1125" s="31"/>
      <c r="I1125" s="47"/>
      <c r="J1125" s="31"/>
      <c r="K1125" s="47"/>
      <c r="L1125" s="47"/>
      <c r="M1125" s="47"/>
      <c r="N1125" s="31"/>
      <c r="O1125" s="47"/>
      <c r="P1125" s="31"/>
      <c r="Q1125" s="31"/>
      <c r="R1125" s="31"/>
      <c r="S1125" s="31"/>
      <c r="T1125" s="270">
        <f t="shared" si="136"/>
        <v>0</v>
      </c>
      <c r="U1125" s="270">
        <f t="shared" si="137"/>
        <v>0</v>
      </c>
      <c r="V1125" s="31"/>
      <c r="X1125" s="240" t="str">
        <f t="shared" si="138"/>
        <v>OK</v>
      </c>
      <c r="Y1125" s="240" t="str">
        <f t="shared" si="139"/>
        <v>OK</v>
      </c>
      <c r="Z1125" s="240" t="str">
        <f t="shared" si="140"/>
        <v>OK</v>
      </c>
      <c r="AA1125" s="240" t="str" cm="1">
        <f t="array" ref="AA1125">IF(OR(AND(J1125="Not accepted",N1125:O1125&lt;&gt;"",$S1125=""),AND(J1125="Accepted",S1125="")),"ERROR","OK")</f>
        <v>OK</v>
      </c>
      <c r="AB1125" s="240" t="str">
        <f t="shared" si="141"/>
        <v>OK</v>
      </c>
      <c r="AC1125" s="240" t="str" cm="1">
        <f t="array" ref="AC1125">IF(AND(F1125:H1125&lt;&gt;"",I1125=""),"ERROR","OK")</f>
        <v>OK</v>
      </c>
      <c r="AD1125" s="240" t="str">
        <f t="shared" si="142"/>
        <v>OK</v>
      </c>
      <c r="AE1125" s="240" t="str">
        <f t="shared" si="143"/>
        <v>OK</v>
      </c>
      <c r="AF1125" s="240" t="str" cm="1">
        <f t="array" aca="1" ref="AF1125" ca="1" xml:space="preserve">
IF(AND($G1125&lt;&gt;"",$F1125=""),"ERROR",
IF(OR($F1125:$G1125="",AND($G1125="",$F1125&lt;&gt;"")),"OK",
IF(COUNTIF(INDIRECT(IFERROR(LEFT($F1125,FIND(" ",$F1125)-1),$F1125)), $G1125)&gt;0, "OK", "ERROR")))</f>
        <v>OK</v>
      </c>
    </row>
    <row r="1126" spans="1:32" s="240" customFormat="1">
      <c r="A1126" s="48"/>
      <c r="B1126" s="31"/>
      <c r="C1126" s="48"/>
      <c r="D1126" s="47"/>
      <c r="E1126" s="47"/>
      <c r="F1126" s="31"/>
      <c r="G1126" s="31"/>
      <c r="H1126" s="31"/>
      <c r="I1126" s="47"/>
      <c r="J1126" s="31"/>
      <c r="K1126" s="47"/>
      <c r="L1126" s="47"/>
      <c r="M1126" s="47"/>
      <c r="N1126" s="31"/>
      <c r="O1126" s="47"/>
      <c r="P1126" s="31"/>
      <c r="Q1126" s="31"/>
      <c r="R1126" s="31"/>
      <c r="S1126" s="31"/>
      <c r="T1126" s="270">
        <f t="shared" si="136"/>
        <v>0</v>
      </c>
      <c r="U1126" s="270">
        <f t="shared" si="137"/>
        <v>0</v>
      </c>
      <c r="V1126" s="31"/>
      <c r="X1126" s="240" t="str">
        <f t="shared" si="138"/>
        <v>OK</v>
      </c>
      <c r="Y1126" s="240" t="str">
        <f t="shared" si="139"/>
        <v>OK</v>
      </c>
      <c r="Z1126" s="240" t="str">
        <f t="shared" si="140"/>
        <v>OK</v>
      </c>
      <c r="AA1126" s="240" t="str" cm="1">
        <f t="array" ref="AA1126">IF(OR(AND(J1126="Not accepted",N1126:O1126&lt;&gt;"",$S1126=""),AND(J1126="Accepted",S1126="")),"ERROR","OK")</f>
        <v>OK</v>
      </c>
      <c r="AB1126" s="240" t="str">
        <f t="shared" si="141"/>
        <v>OK</v>
      </c>
      <c r="AC1126" s="240" t="str" cm="1">
        <f t="array" ref="AC1126">IF(AND(F1126:H1126&lt;&gt;"",I1126=""),"ERROR","OK")</f>
        <v>OK</v>
      </c>
      <c r="AD1126" s="240" t="str">
        <f t="shared" si="142"/>
        <v>OK</v>
      </c>
      <c r="AE1126" s="240" t="str">
        <f t="shared" si="143"/>
        <v>OK</v>
      </c>
      <c r="AF1126" s="240" t="str" cm="1">
        <f t="array" aca="1" ref="AF1126" ca="1" xml:space="preserve">
IF(AND($G1126&lt;&gt;"",$F1126=""),"ERROR",
IF(OR($F1126:$G1126="",AND($G1126="",$F1126&lt;&gt;"")),"OK",
IF(COUNTIF(INDIRECT(IFERROR(LEFT($F1126,FIND(" ",$F1126)-1),$F1126)), $G1126)&gt;0, "OK", "ERROR")))</f>
        <v>OK</v>
      </c>
    </row>
    <row r="1127" spans="1:32" s="240" customFormat="1">
      <c r="A1127" s="48"/>
      <c r="B1127" s="31"/>
      <c r="C1127" s="48"/>
      <c r="D1127" s="47"/>
      <c r="E1127" s="47"/>
      <c r="F1127" s="31"/>
      <c r="G1127" s="31"/>
      <c r="H1127" s="31"/>
      <c r="I1127" s="47"/>
      <c r="J1127" s="31"/>
      <c r="K1127" s="47"/>
      <c r="L1127" s="47"/>
      <c r="M1127" s="47"/>
      <c r="N1127" s="31"/>
      <c r="O1127" s="47"/>
      <c r="P1127" s="31"/>
      <c r="Q1127" s="31"/>
      <c r="R1127" s="31"/>
      <c r="S1127" s="31"/>
      <c r="T1127" s="270">
        <f t="shared" si="136"/>
        <v>0</v>
      </c>
      <c r="U1127" s="270">
        <f t="shared" si="137"/>
        <v>0</v>
      </c>
      <c r="V1127" s="31"/>
      <c r="X1127" s="240" t="str">
        <f t="shared" si="138"/>
        <v>OK</v>
      </c>
      <c r="Y1127" s="240" t="str">
        <f t="shared" si="139"/>
        <v>OK</v>
      </c>
      <c r="Z1127" s="240" t="str">
        <f t="shared" si="140"/>
        <v>OK</v>
      </c>
      <c r="AA1127" s="240" t="str" cm="1">
        <f t="array" ref="AA1127">IF(OR(AND(J1127="Not accepted",N1127:O1127&lt;&gt;"",$S1127=""),AND(J1127="Accepted",S1127="")),"ERROR","OK")</f>
        <v>OK</v>
      </c>
      <c r="AB1127" s="240" t="str">
        <f t="shared" si="141"/>
        <v>OK</v>
      </c>
      <c r="AC1127" s="240" t="str" cm="1">
        <f t="array" ref="AC1127">IF(AND(F1127:H1127&lt;&gt;"",I1127=""),"ERROR","OK")</f>
        <v>OK</v>
      </c>
      <c r="AD1127" s="240" t="str">
        <f t="shared" si="142"/>
        <v>OK</v>
      </c>
      <c r="AE1127" s="240" t="str">
        <f t="shared" si="143"/>
        <v>OK</v>
      </c>
      <c r="AF1127" s="240" t="str" cm="1">
        <f t="array" aca="1" ref="AF1127" ca="1" xml:space="preserve">
IF(AND($G1127&lt;&gt;"",$F1127=""),"ERROR",
IF(OR($F1127:$G1127="",AND($G1127="",$F1127&lt;&gt;"")),"OK",
IF(COUNTIF(INDIRECT(IFERROR(LEFT($F1127,FIND(" ",$F1127)-1),$F1127)), $G1127)&gt;0, "OK", "ERROR")))</f>
        <v>OK</v>
      </c>
    </row>
    <row r="1128" spans="1:32" s="240" customFormat="1">
      <c r="A1128" s="48"/>
      <c r="B1128" s="31"/>
      <c r="C1128" s="48"/>
      <c r="D1128" s="47"/>
      <c r="E1128" s="47"/>
      <c r="F1128" s="31"/>
      <c r="G1128" s="31"/>
      <c r="H1128" s="31"/>
      <c r="I1128" s="47"/>
      <c r="J1128" s="31"/>
      <c r="K1128" s="47"/>
      <c r="L1128" s="47"/>
      <c r="M1128" s="47"/>
      <c r="N1128" s="31"/>
      <c r="O1128" s="47"/>
      <c r="P1128" s="31"/>
      <c r="Q1128" s="31"/>
      <c r="R1128" s="31"/>
      <c r="S1128" s="31"/>
      <c r="T1128" s="270">
        <f t="shared" si="136"/>
        <v>0</v>
      </c>
      <c r="U1128" s="270">
        <f t="shared" si="137"/>
        <v>0</v>
      </c>
      <c r="V1128" s="31"/>
      <c r="X1128" s="240" t="str">
        <f t="shared" si="138"/>
        <v>OK</v>
      </c>
      <c r="Y1128" s="240" t="str">
        <f t="shared" si="139"/>
        <v>OK</v>
      </c>
      <c r="Z1128" s="240" t="str">
        <f t="shared" si="140"/>
        <v>OK</v>
      </c>
      <c r="AA1128" s="240" t="str" cm="1">
        <f t="array" ref="AA1128">IF(OR(AND(J1128="Not accepted",N1128:O1128&lt;&gt;"",$S1128=""),AND(J1128="Accepted",S1128="")),"ERROR","OK")</f>
        <v>OK</v>
      </c>
      <c r="AB1128" s="240" t="str">
        <f t="shared" si="141"/>
        <v>OK</v>
      </c>
      <c r="AC1128" s="240" t="str" cm="1">
        <f t="array" ref="AC1128">IF(AND(F1128:H1128&lt;&gt;"",I1128=""),"ERROR","OK")</f>
        <v>OK</v>
      </c>
      <c r="AD1128" s="240" t="str">
        <f t="shared" si="142"/>
        <v>OK</v>
      </c>
      <c r="AE1128" s="240" t="str">
        <f t="shared" si="143"/>
        <v>OK</v>
      </c>
      <c r="AF1128" s="240" t="str" cm="1">
        <f t="array" aca="1" ref="AF1128" ca="1" xml:space="preserve">
IF(AND($G1128&lt;&gt;"",$F1128=""),"ERROR",
IF(OR($F1128:$G1128="",AND($G1128="",$F1128&lt;&gt;"")),"OK",
IF(COUNTIF(INDIRECT(IFERROR(LEFT($F1128,FIND(" ",$F1128)-1),$F1128)), $G1128)&gt;0, "OK", "ERROR")))</f>
        <v>OK</v>
      </c>
    </row>
    <row r="1129" spans="1:32" s="240" customFormat="1">
      <c r="A1129" s="48"/>
      <c r="B1129" s="31"/>
      <c r="C1129" s="48"/>
      <c r="D1129" s="47"/>
      <c r="E1129" s="47"/>
      <c r="F1129" s="31"/>
      <c r="G1129" s="31"/>
      <c r="H1129" s="31"/>
      <c r="I1129" s="47"/>
      <c r="J1129" s="31"/>
      <c r="K1129" s="47"/>
      <c r="L1129" s="47"/>
      <c r="M1129" s="47"/>
      <c r="N1129" s="31"/>
      <c r="O1129" s="47"/>
      <c r="P1129" s="31"/>
      <c r="Q1129" s="31"/>
      <c r="R1129" s="31"/>
      <c r="S1129" s="31"/>
      <c r="T1129" s="270">
        <f t="shared" si="136"/>
        <v>0</v>
      </c>
      <c r="U1129" s="270">
        <f t="shared" si="137"/>
        <v>0</v>
      </c>
      <c r="V1129" s="31"/>
      <c r="X1129" s="240" t="str">
        <f t="shared" si="138"/>
        <v>OK</v>
      </c>
      <c r="Y1129" s="240" t="str">
        <f t="shared" si="139"/>
        <v>OK</v>
      </c>
      <c r="Z1129" s="240" t="str">
        <f t="shared" si="140"/>
        <v>OK</v>
      </c>
      <c r="AA1129" s="240" t="str" cm="1">
        <f t="array" ref="AA1129">IF(OR(AND(J1129="Not accepted",N1129:O1129&lt;&gt;"",$S1129=""),AND(J1129="Accepted",S1129="")),"ERROR","OK")</f>
        <v>OK</v>
      </c>
      <c r="AB1129" s="240" t="str">
        <f t="shared" si="141"/>
        <v>OK</v>
      </c>
      <c r="AC1129" s="240" t="str" cm="1">
        <f t="array" ref="AC1129">IF(AND(F1129:H1129&lt;&gt;"",I1129=""),"ERROR","OK")</f>
        <v>OK</v>
      </c>
      <c r="AD1129" s="240" t="str">
        <f t="shared" si="142"/>
        <v>OK</v>
      </c>
      <c r="AE1129" s="240" t="str">
        <f t="shared" si="143"/>
        <v>OK</v>
      </c>
      <c r="AF1129" s="240" t="str" cm="1">
        <f t="array" aca="1" ref="AF1129" ca="1" xml:space="preserve">
IF(AND($G1129&lt;&gt;"",$F1129=""),"ERROR",
IF(OR($F1129:$G1129="",AND($G1129="",$F1129&lt;&gt;"")),"OK",
IF(COUNTIF(INDIRECT(IFERROR(LEFT($F1129,FIND(" ",$F1129)-1),$F1129)), $G1129)&gt;0, "OK", "ERROR")))</f>
        <v>OK</v>
      </c>
    </row>
    <row r="1130" spans="1:32" s="240" customFormat="1">
      <c r="A1130" s="48"/>
      <c r="B1130" s="31"/>
      <c r="C1130" s="48"/>
      <c r="D1130" s="47"/>
      <c r="E1130" s="47"/>
      <c r="F1130" s="31"/>
      <c r="G1130" s="31"/>
      <c r="H1130" s="31"/>
      <c r="I1130" s="47"/>
      <c r="J1130" s="31"/>
      <c r="K1130" s="47"/>
      <c r="L1130" s="47"/>
      <c r="M1130" s="47"/>
      <c r="N1130" s="31"/>
      <c r="O1130" s="47"/>
      <c r="P1130" s="31"/>
      <c r="Q1130" s="31"/>
      <c r="R1130" s="31"/>
      <c r="S1130" s="31"/>
      <c r="T1130" s="270">
        <f t="shared" si="136"/>
        <v>0</v>
      </c>
      <c r="U1130" s="270">
        <f t="shared" si="137"/>
        <v>0</v>
      </c>
      <c r="V1130" s="31"/>
      <c r="X1130" s="240" t="str">
        <f t="shared" si="138"/>
        <v>OK</v>
      </c>
      <c r="Y1130" s="240" t="str">
        <f t="shared" si="139"/>
        <v>OK</v>
      </c>
      <c r="Z1130" s="240" t="str">
        <f t="shared" si="140"/>
        <v>OK</v>
      </c>
      <c r="AA1130" s="240" t="str" cm="1">
        <f t="array" ref="AA1130">IF(OR(AND(J1130="Not accepted",N1130:O1130&lt;&gt;"",$S1130=""),AND(J1130="Accepted",S1130="")),"ERROR","OK")</f>
        <v>OK</v>
      </c>
      <c r="AB1130" s="240" t="str">
        <f t="shared" si="141"/>
        <v>OK</v>
      </c>
      <c r="AC1130" s="240" t="str" cm="1">
        <f t="array" ref="AC1130">IF(AND(F1130:H1130&lt;&gt;"",I1130=""),"ERROR","OK")</f>
        <v>OK</v>
      </c>
      <c r="AD1130" s="240" t="str">
        <f t="shared" si="142"/>
        <v>OK</v>
      </c>
      <c r="AE1130" s="240" t="str">
        <f t="shared" si="143"/>
        <v>OK</v>
      </c>
      <c r="AF1130" s="240" t="str" cm="1">
        <f t="array" aca="1" ref="AF1130" ca="1" xml:space="preserve">
IF(AND($G1130&lt;&gt;"",$F1130=""),"ERROR",
IF(OR($F1130:$G1130="",AND($G1130="",$F1130&lt;&gt;"")),"OK",
IF(COUNTIF(INDIRECT(IFERROR(LEFT($F1130,FIND(" ",$F1130)-1),$F1130)), $G1130)&gt;0, "OK", "ERROR")))</f>
        <v>OK</v>
      </c>
    </row>
    <row r="1131" spans="1:32" s="240" customFormat="1">
      <c r="A1131" s="48"/>
      <c r="B1131" s="31"/>
      <c r="C1131" s="48"/>
      <c r="D1131" s="47"/>
      <c r="E1131" s="47"/>
      <c r="F1131" s="31"/>
      <c r="G1131" s="31"/>
      <c r="H1131" s="31"/>
      <c r="I1131" s="47"/>
      <c r="J1131" s="31"/>
      <c r="K1131" s="47"/>
      <c r="L1131" s="47"/>
      <c r="M1131" s="47"/>
      <c r="N1131" s="31"/>
      <c r="O1131" s="47"/>
      <c r="P1131" s="31"/>
      <c r="Q1131" s="31"/>
      <c r="R1131" s="31"/>
      <c r="S1131" s="31"/>
      <c r="T1131" s="270">
        <f t="shared" si="136"/>
        <v>0</v>
      </c>
      <c r="U1131" s="270">
        <f t="shared" si="137"/>
        <v>0</v>
      </c>
      <c r="V1131" s="31"/>
      <c r="X1131" s="240" t="str">
        <f t="shared" si="138"/>
        <v>OK</v>
      </c>
      <c r="Y1131" s="240" t="str">
        <f t="shared" si="139"/>
        <v>OK</v>
      </c>
      <c r="Z1131" s="240" t="str">
        <f t="shared" si="140"/>
        <v>OK</v>
      </c>
      <c r="AA1131" s="240" t="str" cm="1">
        <f t="array" ref="AA1131">IF(OR(AND(J1131="Not accepted",N1131:O1131&lt;&gt;"",$S1131=""),AND(J1131="Accepted",S1131="")),"ERROR","OK")</f>
        <v>OK</v>
      </c>
      <c r="AB1131" s="240" t="str">
        <f t="shared" si="141"/>
        <v>OK</v>
      </c>
      <c r="AC1131" s="240" t="str" cm="1">
        <f t="array" ref="AC1131">IF(AND(F1131:H1131&lt;&gt;"",I1131=""),"ERROR","OK")</f>
        <v>OK</v>
      </c>
      <c r="AD1131" s="240" t="str">
        <f t="shared" si="142"/>
        <v>OK</v>
      </c>
      <c r="AE1131" s="240" t="str">
        <f t="shared" si="143"/>
        <v>OK</v>
      </c>
      <c r="AF1131" s="240" t="str" cm="1">
        <f t="array" aca="1" ref="AF1131" ca="1" xml:space="preserve">
IF(AND($G1131&lt;&gt;"",$F1131=""),"ERROR",
IF(OR($F1131:$G1131="",AND($G1131="",$F1131&lt;&gt;"")),"OK",
IF(COUNTIF(INDIRECT(IFERROR(LEFT($F1131,FIND(" ",$F1131)-1),$F1131)), $G1131)&gt;0, "OK", "ERROR")))</f>
        <v>OK</v>
      </c>
    </row>
    <row r="1132" spans="1:32" s="240" customFormat="1">
      <c r="A1132" s="48"/>
      <c r="B1132" s="31"/>
      <c r="C1132" s="48"/>
      <c r="D1132" s="47"/>
      <c r="E1132" s="47"/>
      <c r="F1132" s="31"/>
      <c r="G1132" s="31"/>
      <c r="H1132" s="31"/>
      <c r="I1132" s="47"/>
      <c r="J1132" s="31"/>
      <c r="K1132" s="47"/>
      <c r="L1132" s="47"/>
      <c r="M1132" s="47"/>
      <c r="N1132" s="31"/>
      <c r="O1132" s="47"/>
      <c r="P1132" s="31"/>
      <c r="Q1132" s="31"/>
      <c r="R1132" s="31"/>
      <c r="S1132" s="31"/>
      <c r="T1132" s="270">
        <f t="shared" si="136"/>
        <v>0</v>
      </c>
      <c r="U1132" s="270">
        <f t="shared" si="137"/>
        <v>0</v>
      </c>
      <c r="V1132" s="31"/>
      <c r="X1132" s="240" t="str">
        <f t="shared" si="138"/>
        <v>OK</v>
      </c>
      <c r="Y1132" s="240" t="str">
        <f t="shared" si="139"/>
        <v>OK</v>
      </c>
      <c r="Z1132" s="240" t="str">
        <f t="shared" si="140"/>
        <v>OK</v>
      </c>
      <c r="AA1132" s="240" t="str" cm="1">
        <f t="array" ref="AA1132">IF(OR(AND(J1132="Not accepted",N1132:O1132&lt;&gt;"",$S1132=""),AND(J1132="Accepted",S1132="")),"ERROR","OK")</f>
        <v>OK</v>
      </c>
      <c r="AB1132" s="240" t="str">
        <f t="shared" si="141"/>
        <v>OK</v>
      </c>
      <c r="AC1132" s="240" t="str" cm="1">
        <f t="array" ref="AC1132">IF(AND(F1132:H1132&lt;&gt;"",I1132=""),"ERROR","OK")</f>
        <v>OK</v>
      </c>
      <c r="AD1132" s="240" t="str">
        <f t="shared" si="142"/>
        <v>OK</v>
      </c>
      <c r="AE1132" s="240" t="str">
        <f t="shared" si="143"/>
        <v>OK</v>
      </c>
      <c r="AF1132" s="240" t="str" cm="1">
        <f t="array" aca="1" ref="AF1132" ca="1" xml:space="preserve">
IF(AND($G1132&lt;&gt;"",$F1132=""),"ERROR",
IF(OR($F1132:$G1132="",AND($G1132="",$F1132&lt;&gt;"")),"OK",
IF(COUNTIF(INDIRECT(IFERROR(LEFT($F1132,FIND(" ",$F1132)-1),$F1132)), $G1132)&gt;0, "OK", "ERROR")))</f>
        <v>OK</v>
      </c>
    </row>
    <row r="1133" spans="1:32" s="240" customFormat="1">
      <c r="A1133" s="48"/>
      <c r="B1133" s="31"/>
      <c r="C1133" s="48"/>
      <c r="D1133" s="47"/>
      <c r="E1133" s="47"/>
      <c r="F1133" s="31"/>
      <c r="G1133" s="31"/>
      <c r="H1133" s="31"/>
      <c r="I1133" s="47"/>
      <c r="J1133" s="31"/>
      <c r="K1133" s="47"/>
      <c r="L1133" s="47"/>
      <c r="M1133" s="47"/>
      <c r="N1133" s="31"/>
      <c r="O1133" s="47"/>
      <c r="P1133" s="31"/>
      <c r="Q1133" s="31"/>
      <c r="R1133" s="31"/>
      <c r="S1133" s="31"/>
      <c r="T1133" s="270">
        <f t="shared" si="136"/>
        <v>0</v>
      </c>
      <c r="U1133" s="270">
        <f t="shared" si="137"/>
        <v>0</v>
      </c>
      <c r="V1133" s="31"/>
      <c r="X1133" s="240" t="str">
        <f t="shared" si="138"/>
        <v>OK</v>
      </c>
      <c r="Y1133" s="240" t="str">
        <f t="shared" si="139"/>
        <v>OK</v>
      </c>
      <c r="Z1133" s="240" t="str">
        <f t="shared" si="140"/>
        <v>OK</v>
      </c>
      <c r="AA1133" s="240" t="str" cm="1">
        <f t="array" ref="AA1133">IF(OR(AND(J1133="Not accepted",N1133:O1133&lt;&gt;"",$S1133=""),AND(J1133="Accepted",S1133="")),"ERROR","OK")</f>
        <v>OK</v>
      </c>
      <c r="AB1133" s="240" t="str">
        <f t="shared" si="141"/>
        <v>OK</v>
      </c>
      <c r="AC1133" s="240" t="str" cm="1">
        <f t="array" ref="AC1133">IF(AND(F1133:H1133&lt;&gt;"",I1133=""),"ERROR","OK")</f>
        <v>OK</v>
      </c>
      <c r="AD1133" s="240" t="str">
        <f t="shared" si="142"/>
        <v>OK</v>
      </c>
      <c r="AE1133" s="240" t="str">
        <f t="shared" si="143"/>
        <v>OK</v>
      </c>
      <c r="AF1133" s="240" t="str" cm="1">
        <f t="array" aca="1" ref="AF1133" ca="1" xml:space="preserve">
IF(AND($G1133&lt;&gt;"",$F1133=""),"ERROR",
IF(OR($F1133:$G1133="",AND($G1133="",$F1133&lt;&gt;"")),"OK",
IF(COUNTIF(INDIRECT(IFERROR(LEFT($F1133,FIND(" ",$F1133)-1),$F1133)), $G1133)&gt;0, "OK", "ERROR")))</f>
        <v>OK</v>
      </c>
    </row>
    <row r="1134" spans="1:32" s="240" customFormat="1">
      <c r="A1134" s="48"/>
      <c r="B1134" s="31"/>
      <c r="C1134" s="48"/>
      <c r="D1134" s="47"/>
      <c r="E1134" s="47"/>
      <c r="F1134" s="31"/>
      <c r="G1134" s="31"/>
      <c r="H1134" s="31"/>
      <c r="I1134" s="47"/>
      <c r="J1134" s="31"/>
      <c r="K1134" s="47"/>
      <c r="L1134" s="47"/>
      <c r="M1134" s="47"/>
      <c r="N1134" s="31"/>
      <c r="O1134" s="47"/>
      <c r="P1134" s="31"/>
      <c r="Q1134" s="31"/>
      <c r="R1134" s="31"/>
      <c r="S1134" s="31"/>
      <c r="T1134" s="270">
        <f t="shared" si="136"/>
        <v>0</v>
      </c>
      <c r="U1134" s="270">
        <f t="shared" si="137"/>
        <v>0</v>
      </c>
      <c r="V1134" s="31"/>
      <c r="X1134" s="240" t="str">
        <f t="shared" si="138"/>
        <v>OK</v>
      </c>
      <c r="Y1134" s="240" t="str">
        <f t="shared" si="139"/>
        <v>OK</v>
      </c>
      <c r="Z1134" s="240" t="str">
        <f t="shared" si="140"/>
        <v>OK</v>
      </c>
      <c r="AA1134" s="240" t="str" cm="1">
        <f t="array" ref="AA1134">IF(OR(AND(J1134="Not accepted",N1134:O1134&lt;&gt;"",$S1134=""),AND(J1134="Accepted",S1134="")),"ERROR","OK")</f>
        <v>OK</v>
      </c>
      <c r="AB1134" s="240" t="str">
        <f t="shared" si="141"/>
        <v>OK</v>
      </c>
      <c r="AC1134" s="240" t="str" cm="1">
        <f t="array" ref="AC1134">IF(AND(F1134:H1134&lt;&gt;"",I1134=""),"ERROR","OK")</f>
        <v>OK</v>
      </c>
      <c r="AD1134" s="240" t="str">
        <f t="shared" si="142"/>
        <v>OK</v>
      </c>
      <c r="AE1134" s="240" t="str">
        <f t="shared" si="143"/>
        <v>OK</v>
      </c>
      <c r="AF1134" s="240" t="str" cm="1">
        <f t="array" aca="1" ref="AF1134" ca="1" xml:space="preserve">
IF(AND($G1134&lt;&gt;"",$F1134=""),"ERROR",
IF(OR($F1134:$G1134="",AND($G1134="",$F1134&lt;&gt;"")),"OK",
IF(COUNTIF(INDIRECT(IFERROR(LEFT($F1134,FIND(" ",$F1134)-1),$F1134)), $G1134)&gt;0, "OK", "ERROR")))</f>
        <v>OK</v>
      </c>
    </row>
    <row r="1135" spans="1:32" s="240" customFormat="1">
      <c r="A1135" s="48"/>
      <c r="B1135" s="31"/>
      <c r="C1135" s="48"/>
      <c r="D1135" s="47"/>
      <c r="E1135" s="47"/>
      <c r="F1135" s="31"/>
      <c r="G1135" s="31"/>
      <c r="H1135" s="31"/>
      <c r="I1135" s="47"/>
      <c r="J1135" s="31"/>
      <c r="K1135" s="47"/>
      <c r="L1135" s="47"/>
      <c r="M1135" s="47"/>
      <c r="N1135" s="31"/>
      <c r="O1135" s="47"/>
      <c r="P1135" s="31"/>
      <c r="Q1135" s="31"/>
      <c r="R1135" s="31"/>
      <c r="S1135" s="31"/>
      <c r="T1135" s="270">
        <f t="shared" si="136"/>
        <v>0</v>
      </c>
      <c r="U1135" s="270">
        <f t="shared" si="137"/>
        <v>0</v>
      </c>
      <c r="V1135" s="31"/>
      <c r="X1135" s="240" t="str">
        <f t="shared" si="138"/>
        <v>OK</v>
      </c>
      <c r="Y1135" s="240" t="str">
        <f t="shared" si="139"/>
        <v>OK</v>
      </c>
      <c r="Z1135" s="240" t="str">
        <f t="shared" si="140"/>
        <v>OK</v>
      </c>
      <c r="AA1135" s="240" t="str" cm="1">
        <f t="array" ref="AA1135">IF(OR(AND(J1135="Not accepted",N1135:O1135&lt;&gt;"",$S1135=""),AND(J1135="Accepted",S1135="")),"ERROR","OK")</f>
        <v>OK</v>
      </c>
      <c r="AB1135" s="240" t="str">
        <f t="shared" si="141"/>
        <v>OK</v>
      </c>
      <c r="AC1135" s="240" t="str" cm="1">
        <f t="array" ref="AC1135">IF(AND(F1135:H1135&lt;&gt;"",I1135=""),"ERROR","OK")</f>
        <v>OK</v>
      </c>
      <c r="AD1135" s="240" t="str">
        <f t="shared" si="142"/>
        <v>OK</v>
      </c>
      <c r="AE1135" s="240" t="str">
        <f t="shared" si="143"/>
        <v>OK</v>
      </c>
      <c r="AF1135" s="240" t="str" cm="1">
        <f t="array" aca="1" ref="AF1135" ca="1" xml:space="preserve">
IF(AND($G1135&lt;&gt;"",$F1135=""),"ERROR",
IF(OR($F1135:$G1135="",AND($G1135="",$F1135&lt;&gt;"")),"OK",
IF(COUNTIF(INDIRECT(IFERROR(LEFT($F1135,FIND(" ",$F1135)-1),$F1135)), $G1135)&gt;0, "OK", "ERROR")))</f>
        <v>OK</v>
      </c>
    </row>
    <row r="1136" spans="1:32" s="240" customFormat="1">
      <c r="A1136" s="48"/>
      <c r="B1136" s="31"/>
      <c r="C1136" s="48"/>
      <c r="D1136" s="47"/>
      <c r="E1136" s="47"/>
      <c r="F1136" s="31"/>
      <c r="G1136" s="31"/>
      <c r="H1136" s="31"/>
      <c r="I1136" s="47"/>
      <c r="J1136" s="31"/>
      <c r="K1136" s="47"/>
      <c r="L1136" s="47"/>
      <c r="M1136" s="47"/>
      <c r="N1136" s="31"/>
      <c r="O1136" s="47"/>
      <c r="P1136" s="31"/>
      <c r="Q1136" s="31"/>
      <c r="R1136" s="31"/>
      <c r="S1136" s="31"/>
      <c r="T1136" s="270">
        <f t="shared" si="136"/>
        <v>0</v>
      </c>
      <c r="U1136" s="270">
        <f t="shared" si="137"/>
        <v>0</v>
      </c>
      <c r="V1136" s="31"/>
      <c r="X1136" s="240" t="str">
        <f t="shared" si="138"/>
        <v>OK</v>
      </c>
      <c r="Y1136" s="240" t="str">
        <f t="shared" si="139"/>
        <v>OK</v>
      </c>
      <c r="Z1136" s="240" t="str">
        <f t="shared" si="140"/>
        <v>OK</v>
      </c>
      <c r="AA1136" s="240" t="str" cm="1">
        <f t="array" ref="AA1136">IF(OR(AND(J1136="Not accepted",N1136:O1136&lt;&gt;"",$S1136=""),AND(J1136="Accepted",S1136="")),"ERROR","OK")</f>
        <v>OK</v>
      </c>
      <c r="AB1136" s="240" t="str">
        <f t="shared" si="141"/>
        <v>OK</v>
      </c>
      <c r="AC1136" s="240" t="str" cm="1">
        <f t="array" ref="AC1136">IF(AND(F1136:H1136&lt;&gt;"",I1136=""),"ERROR","OK")</f>
        <v>OK</v>
      </c>
      <c r="AD1136" s="240" t="str">
        <f t="shared" si="142"/>
        <v>OK</v>
      </c>
      <c r="AE1136" s="240" t="str">
        <f t="shared" si="143"/>
        <v>OK</v>
      </c>
      <c r="AF1136" s="240" t="str" cm="1">
        <f t="array" aca="1" ref="AF1136" ca="1" xml:space="preserve">
IF(AND($G1136&lt;&gt;"",$F1136=""),"ERROR",
IF(OR($F1136:$G1136="",AND($G1136="",$F1136&lt;&gt;"")),"OK",
IF(COUNTIF(INDIRECT(IFERROR(LEFT($F1136,FIND(" ",$F1136)-1),$F1136)), $G1136)&gt;0, "OK", "ERROR")))</f>
        <v>OK</v>
      </c>
    </row>
    <row r="1137" spans="1:32" s="240" customFormat="1">
      <c r="A1137" s="48"/>
      <c r="B1137" s="31"/>
      <c r="C1137" s="48"/>
      <c r="D1137" s="47"/>
      <c r="E1137" s="47"/>
      <c r="F1137" s="31"/>
      <c r="G1137" s="31"/>
      <c r="H1137" s="31"/>
      <c r="I1137" s="47"/>
      <c r="J1137" s="31"/>
      <c r="K1137" s="47"/>
      <c r="L1137" s="47"/>
      <c r="M1137" s="47"/>
      <c r="N1137" s="31"/>
      <c r="O1137" s="47"/>
      <c r="P1137" s="31"/>
      <c r="Q1137" s="31"/>
      <c r="R1137" s="31"/>
      <c r="S1137" s="31"/>
      <c r="T1137" s="270">
        <f t="shared" si="136"/>
        <v>0</v>
      </c>
      <c r="U1137" s="270">
        <f t="shared" si="137"/>
        <v>0</v>
      </c>
      <c r="V1137" s="31"/>
      <c r="X1137" s="240" t="str">
        <f t="shared" si="138"/>
        <v>OK</v>
      </c>
      <c r="Y1137" s="240" t="str">
        <f t="shared" si="139"/>
        <v>OK</v>
      </c>
      <c r="Z1137" s="240" t="str">
        <f t="shared" si="140"/>
        <v>OK</v>
      </c>
      <c r="AA1137" s="240" t="str" cm="1">
        <f t="array" ref="AA1137">IF(OR(AND(J1137="Not accepted",N1137:O1137&lt;&gt;"",$S1137=""),AND(J1137="Accepted",S1137="")),"ERROR","OK")</f>
        <v>OK</v>
      </c>
      <c r="AB1137" s="240" t="str">
        <f t="shared" si="141"/>
        <v>OK</v>
      </c>
      <c r="AC1137" s="240" t="str" cm="1">
        <f t="array" ref="AC1137">IF(AND(F1137:H1137&lt;&gt;"",I1137=""),"ERROR","OK")</f>
        <v>OK</v>
      </c>
      <c r="AD1137" s="240" t="str">
        <f t="shared" si="142"/>
        <v>OK</v>
      </c>
      <c r="AE1137" s="240" t="str">
        <f t="shared" si="143"/>
        <v>OK</v>
      </c>
      <c r="AF1137" s="240" t="str" cm="1">
        <f t="array" aca="1" ref="AF1137" ca="1" xml:space="preserve">
IF(AND($G1137&lt;&gt;"",$F1137=""),"ERROR",
IF(OR($F1137:$G1137="",AND($G1137="",$F1137&lt;&gt;"")),"OK",
IF(COUNTIF(INDIRECT(IFERROR(LEFT($F1137,FIND(" ",$F1137)-1),$F1137)), $G1137)&gt;0, "OK", "ERROR")))</f>
        <v>OK</v>
      </c>
    </row>
    <row r="1138" spans="1:32" s="240" customFormat="1">
      <c r="A1138" s="48"/>
      <c r="B1138" s="31"/>
      <c r="C1138" s="48"/>
      <c r="D1138" s="47"/>
      <c r="E1138" s="47"/>
      <c r="F1138" s="31"/>
      <c r="G1138" s="31"/>
      <c r="H1138" s="31"/>
      <c r="I1138" s="47"/>
      <c r="J1138" s="31"/>
      <c r="K1138" s="47"/>
      <c r="L1138" s="47"/>
      <c r="M1138" s="47"/>
      <c r="N1138" s="31"/>
      <c r="O1138" s="47"/>
      <c r="P1138" s="31"/>
      <c r="Q1138" s="31"/>
      <c r="R1138" s="31"/>
      <c r="S1138" s="31"/>
      <c r="T1138" s="270">
        <f t="shared" si="136"/>
        <v>0</v>
      </c>
      <c r="U1138" s="270">
        <f t="shared" si="137"/>
        <v>0</v>
      </c>
      <c r="V1138" s="31"/>
      <c r="X1138" s="240" t="str">
        <f t="shared" si="138"/>
        <v>OK</v>
      </c>
      <c r="Y1138" s="240" t="str">
        <f t="shared" si="139"/>
        <v>OK</v>
      </c>
      <c r="Z1138" s="240" t="str">
        <f t="shared" si="140"/>
        <v>OK</v>
      </c>
      <c r="AA1138" s="240" t="str" cm="1">
        <f t="array" ref="AA1138">IF(OR(AND(J1138="Not accepted",N1138:O1138&lt;&gt;"",$S1138=""),AND(J1138="Accepted",S1138="")),"ERROR","OK")</f>
        <v>OK</v>
      </c>
      <c r="AB1138" s="240" t="str">
        <f t="shared" si="141"/>
        <v>OK</v>
      </c>
      <c r="AC1138" s="240" t="str" cm="1">
        <f t="array" ref="AC1138">IF(AND(F1138:H1138&lt;&gt;"",I1138=""),"ERROR","OK")</f>
        <v>OK</v>
      </c>
      <c r="AD1138" s="240" t="str">
        <f t="shared" si="142"/>
        <v>OK</v>
      </c>
      <c r="AE1138" s="240" t="str">
        <f t="shared" si="143"/>
        <v>OK</v>
      </c>
      <c r="AF1138" s="240" t="str" cm="1">
        <f t="array" aca="1" ref="AF1138" ca="1" xml:space="preserve">
IF(AND($G1138&lt;&gt;"",$F1138=""),"ERROR",
IF(OR($F1138:$G1138="",AND($G1138="",$F1138&lt;&gt;"")),"OK",
IF(COUNTIF(INDIRECT(IFERROR(LEFT($F1138,FIND(" ",$F1138)-1),$F1138)), $G1138)&gt;0, "OK", "ERROR")))</f>
        <v>OK</v>
      </c>
    </row>
    <row r="1139" spans="1:32" s="240" customFormat="1">
      <c r="A1139" s="48"/>
      <c r="B1139" s="31"/>
      <c r="C1139" s="48"/>
      <c r="D1139" s="47"/>
      <c r="E1139" s="47"/>
      <c r="F1139" s="31"/>
      <c r="G1139" s="31"/>
      <c r="H1139" s="31"/>
      <c r="I1139" s="47"/>
      <c r="J1139" s="31"/>
      <c r="K1139" s="47"/>
      <c r="L1139" s="47"/>
      <c r="M1139" s="47"/>
      <c r="N1139" s="31"/>
      <c r="O1139" s="47"/>
      <c r="P1139" s="31"/>
      <c r="Q1139" s="31"/>
      <c r="R1139" s="31"/>
      <c r="S1139" s="31"/>
      <c r="T1139" s="270">
        <f t="shared" si="136"/>
        <v>0</v>
      </c>
      <c r="U1139" s="270">
        <f t="shared" si="137"/>
        <v>0</v>
      </c>
      <c r="V1139" s="31"/>
      <c r="X1139" s="240" t="str">
        <f t="shared" si="138"/>
        <v>OK</v>
      </c>
      <c r="Y1139" s="240" t="str">
        <f t="shared" si="139"/>
        <v>OK</v>
      </c>
      <c r="Z1139" s="240" t="str">
        <f t="shared" si="140"/>
        <v>OK</v>
      </c>
      <c r="AA1139" s="240" t="str" cm="1">
        <f t="array" ref="AA1139">IF(OR(AND(J1139="Not accepted",N1139:O1139&lt;&gt;"",$S1139=""),AND(J1139="Accepted",S1139="")),"ERROR","OK")</f>
        <v>OK</v>
      </c>
      <c r="AB1139" s="240" t="str">
        <f t="shared" si="141"/>
        <v>OK</v>
      </c>
      <c r="AC1139" s="240" t="str" cm="1">
        <f t="array" ref="AC1139">IF(AND(F1139:H1139&lt;&gt;"",I1139=""),"ERROR","OK")</f>
        <v>OK</v>
      </c>
      <c r="AD1139" s="240" t="str">
        <f t="shared" si="142"/>
        <v>OK</v>
      </c>
      <c r="AE1139" s="240" t="str">
        <f t="shared" si="143"/>
        <v>OK</v>
      </c>
      <c r="AF1139" s="240" t="str" cm="1">
        <f t="array" aca="1" ref="AF1139" ca="1" xml:space="preserve">
IF(AND($G1139&lt;&gt;"",$F1139=""),"ERROR",
IF(OR($F1139:$G1139="",AND($G1139="",$F1139&lt;&gt;"")),"OK",
IF(COUNTIF(INDIRECT(IFERROR(LEFT($F1139,FIND(" ",$F1139)-1),$F1139)), $G1139)&gt;0, "OK", "ERROR")))</f>
        <v>OK</v>
      </c>
    </row>
    <row r="1140" spans="1:32" s="240" customFormat="1">
      <c r="A1140" s="48"/>
      <c r="B1140" s="31"/>
      <c r="C1140" s="48"/>
      <c r="D1140" s="47"/>
      <c r="E1140" s="47"/>
      <c r="F1140" s="31"/>
      <c r="G1140" s="31"/>
      <c r="H1140" s="31"/>
      <c r="I1140" s="47"/>
      <c r="J1140" s="31"/>
      <c r="K1140" s="47"/>
      <c r="L1140" s="47"/>
      <c r="M1140" s="47"/>
      <c r="N1140" s="31"/>
      <c r="O1140" s="47"/>
      <c r="P1140" s="31"/>
      <c r="Q1140" s="31"/>
      <c r="R1140" s="31"/>
      <c r="S1140" s="31"/>
      <c r="T1140" s="270">
        <f t="shared" si="136"/>
        <v>0</v>
      </c>
      <c r="U1140" s="270">
        <f t="shared" si="137"/>
        <v>0</v>
      </c>
      <c r="V1140" s="31"/>
      <c r="X1140" s="240" t="str">
        <f t="shared" si="138"/>
        <v>OK</v>
      </c>
      <c r="Y1140" s="240" t="str">
        <f t="shared" si="139"/>
        <v>OK</v>
      </c>
      <c r="Z1140" s="240" t="str">
        <f t="shared" si="140"/>
        <v>OK</v>
      </c>
      <c r="AA1140" s="240" t="str" cm="1">
        <f t="array" ref="AA1140">IF(OR(AND(J1140="Not accepted",N1140:O1140&lt;&gt;"",$S1140=""),AND(J1140="Accepted",S1140="")),"ERROR","OK")</f>
        <v>OK</v>
      </c>
      <c r="AB1140" s="240" t="str">
        <f t="shared" si="141"/>
        <v>OK</v>
      </c>
      <c r="AC1140" s="240" t="str" cm="1">
        <f t="array" ref="AC1140">IF(AND(F1140:H1140&lt;&gt;"",I1140=""),"ERROR","OK")</f>
        <v>OK</v>
      </c>
      <c r="AD1140" s="240" t="str">
        <f t="shared" si="142"/>
        <v>OK</v>
      </c>
      <c r="AE1140" s="240" t="str">
        <f t="shared" si="143"/>
        <v>OK</v>
      </c>
      <c r="AF1140" s="240" t="str" cm="1">
        <f t="array" aca="1" ref="AF1140" ca="1" xml:space="preserve">
IF(AND($G1140&lt;&gt;"",$F1140=""),"ERROR",
IF(OR($F1140:$G1140="",AND($G1140="",$F1140&lt;&gt;"")),"OK",
IF(COUNTIF(INDIRECT(IFERROR(LEFT($F1140,FIND(" ",$F1140)-1),$F1140)), $G1140)&gt;0, "OK", "ERROR")))</f>
        <v>OK</v>
      </c>
    </row>
    <row r="1141" spans="1:32" s="240" customFormat="1">
      <c r="A1141" s="48"/>
      <c r="B1141" s="31"/>
      <c r="C1141" s="48"/>
      <c r="D1141" s="47"/>
      <c r="E1141" s="47"/>
      <c r="F1141" s="31"/>
      <c r="G1141" s="31"/>
      <c r="H1141" s="31"/>
      <c r="I1141" s="47"/>
      <c r="J1141" s="31"/>
      <c r="K1141" s="47"/>
      <c r="L1141" s="47"/>
      <c r="M1141" s="47"/>
      <c r="N1141" s="31"/>
      <c r="O1141" s="47"/>
      <c r="P1141" s="31"/>
      <c r="Q1141" s="31"/>
      <c r="R1141" s="31"/>
      <c r="S1141" s="31"/>
      <c r="T1141" s="270">
        <f t="shared" si="136"/>
        <v>0</v>
      </c>
      <c r="U1141" s="270">
        <f t="shared" si="137"/>
        <v>0</v>
      </c>
      <c r="V1141" s="31"/>
      <c r="X1141" s="240" t="str">
        <f t="shared" si="138"/>
        <v>OK</v>
      </c>
      <c r="Y1141" s="240" t="str">
        <f t="shared" si="139"/>
        <v>OK</v>
      </c>
      <c r="Z1141" s="240" t="str">
        <f t="shared" si="140"/>
        <v>OK</v>
      </c>
      <c r="AA1141" s="240" t="str" cm="1">
        <f t="array" ref="AA1141">IF(OR(AND(J1141="Not accepted",N1141:O1141&lt;&gt;"",$S1141=""),AND(J1141="Accepted",S1141="")),"ERROR","OK")</f>
        <v>OK</v>
      </c>
      <c r="AB1141" s="240" t="str">
        <f t="shared" si="141"/>
        <v>OK</v>
      </c>
      <c r="AC1141" s="240" t="str" cm="1">
        <f t="array" ref="AC1141">IF(AND(F1141:H1141&lt;&gt;"",I1141=""),"ERROR","OK")</f>
        <v>OK</v>
      </c>
      <c r="AD1141" s="240" t="str">
        <f t="shared" si="142"/>
        <v>OK</v>
      </c>
      <c r="AE1141" s="240" t="str">
        <f t="shared" si="143"/>
        <v>OK</v>
      </c>
      <c r="AF1141" s="240" t="str" cm="1">
        <f t="array" aca="1" ref="AF1141" ca="1" xml:space="preserve">
IF(AND($G1141&lt;&gt;"",$F1141=""),"ERROR",
IF(OR($F1141:$G1141="",AND($G1141="",$F1141&lt;&gt;"")),"OK",
IF(COUNTIF(INDIRECT(IFERROR(LEFT($F1141,FIND(" ",$F1141)-1),$F1141)), $G1141)&gt;0, "OK", "ERROR")))</f>
        <v>OK</v>
      </c>
    </row>
    <row r="1142" spans="1:32" s="240" customFormat="1">
      <c r="A1142" s="48"/>
      <c r="B1142" s="31"/>
      <c r="C1142" s="48"/>
      <c r="D1142" s="47"/>
      <c r="E1142" s="47"/>
      <c r="F1142" s="31"/>
      <c r="G1142" s="31"/>
      <c r="H1142" s="31"/>
      <c r="I1142" s="47"/>
      <c r="J1142" s="31"/>
      <c r="K1142" s="47"/>
      <c r="L1142" s="47"/>
      <c r="M1142" s="47"/>
      <c r="N1142" s="31"/>
      <c r="O1142" s="47"/>
      <c r="P1142" s="31"/>
      <c r="Q1142" s="31"/>
      <c r="R1142" s="31"/>
      <c r="S1142" s="31"/>
      <c r="T1142" s="270">
        <f t="shared" si="136"/>
        <v>0</v>
      </c>
      <c r="U1142" s="270">
        <f t="shared" si="137"/>
        <v>0</v>
      </c>
      <c r="V1142" s="31"/>
      <c r="X1142" s="240" t="str">
        <f t="shared" si="138"/>
        <v>OK</v>
      </c>
      <c r="Y1142" s="240" t="str">
        <f t="shared" si="139"/>
        <v>OK</v>
      </c>
      <c r="Z1142" s="240" t="str">
        <f t="shared" si="140"/>
        <v>OK</v>
      </c>
      <c r="AA1142" s="240" t="str" cm="1">
        <f t="array" ref="AA1142">IF(OR(AND(J1142="Not accepted",N1142:O1142&lt;&gt;"",$S1142=""),AND(J1142="Accepted",S1142="")),"ERROR","OK")</f>
        <v>OK</v>
      </c>
      <c r="AB1142" s="240" t="str">
        <f t="shared" si="141"/>
        <v>OK</v>
      </c>
      <c r="AC1142" s="240" t="str" cm="1">
        <f t="array" ref="AC1142">IF(AND(F1142:H1142&lt;&gt;"",I1142=""),"ERROR","OK")</f>
        <v>OK</v>
      </c>
      <c r="AD1142" s="240" t="str">
        <f t="shared" si="142"/>
        <v>OK</v>
      </c>
      <c r="AE1142" s="240" t="str">
        <f t="shared" si="143"/>
        <v>OK</v>
      </c>
      <c r="AF1142" s="240" t="str" cm="1">
        <f t="array" aca="1" ref="AF1142" ca="1" xml:space="preserve">
IF(AND($G1142&lt;&gt;"",$F1142=""),"ERROR",
IF(OR($F1142:$G1142="",AND($G1142="",$F1142&lt;&gt;"")),"OK",
IF(COUNTIF(INDIRECT(IFERROR(LEFT($F1142,FIND(" ",$F1142)-1),$F1142)), $G1142)&gt;0, "OK", "ERROR")))</f>
        <v>OK</v>
      </c>
    </row>
    <row r="1143" spans="1:32" s="240" customFormat="1">
      <c r="A1143" s="48"/>
      <c r="B1143" s="31"/>
      <c r="C1143" s="48"/>
      <c r="D1143" s="47"/>
      <c r="E1143" s="47"/>
      <c r="F1143" s="31"/>
      <c r="G1143" s="31"/>
      <c r="H1143" s="31"/>
      <c r="I1143" s="47"/>
      <c r="J1143" s="31"/>
      <c r="K1143" s="47"/>
      <c r="L1143" s="47"/>
      <c r="M1143" s="47"/>
      <c r="N1143" s="31"/>
      <c r="O1143" s="47"/>
      <c r="P1143" s="31"/>
      <c r="Q1143" s="31"/>
      <c r="R1143" s="31"/>
      <c r="S1143" s="31"/>
      <c r="T1143" s="270">
        <f t="shared" si="136"/>
        <v>0</v>
      </c>
      <c r="U1143" s="270">
        <f t="shared" si="137"/>
        <v>0</v>
      </c>
      <c r="V1143" s="31"/>
      <c r="X1143" s="240" t="str">
        <f t="shared" si="138"/>
        <v>OK</v>
      </c>
      <c r="Y1143" s="240" t="str">
        <f t="shared" si="139"/>
        <v>OK</v>
      </c>
      <c r="Z1143" s="240" t="str">
        <f t="shared" si="140"/>
        <v>OK</v>
      </c>
      <c r="AA1143" s="240" t="str" cm="1">
        <f t="array" ref="AA1143">IF(OR(AND(J1143="Not accepted",N1143:O1143&lt;&gt;"",$S1143=""),AND(J1143="Accepted",S1143="")),"ERROR","OK")</f>
        <v>OK</v>
      </c>
      <c r="AB1143" s="240" t="str">
        <f t="shared" si="141"/>
        <v>OK</v>
      </c>
      <c r="AC1143" s="240" t="str" cm="1">
        <f t="array" ref="AC1143">IF(AND(F1143:H1143&lt;&gt;"",I1143=""),"ERROR","OK")</f>
        <v>OK</v>
      </c>
      <c r="AD1143" s="240" t="str">
        <f t="shared" si="142"/>
        <v>OK</v>
      </c>
      <c r="AE1143" s="240" t="str">
        <f t="shared" si="143"/>
        <v>OK</v>
      </c>
      <c r="AF1143" s="240" t="str" cm="1">
        <f t="array" aca="1" ref="AF1143" ca="1" xml:space="preserve">
IF(AND($G1143&lt;&gt;"",$F1143=""),"ERROR",
IF(OR($F1143:$G1143="",AND($G1143="",$F1143&lt;&gt;"")),"OK",
IF(COUNTIF(INDIRECT(IFERROR(LEFT($F1143,FIND(" ",$F1143)-1),$F1143)), $G1143)&gt;0, "OK", "ERROR")))</f>
        <v>OK</v>
      </c>
    </row>
    <row r="1144" spans="1:32" s="240" customFormat="1">
      <c r="A1144" s="48"/>
      <c r="B1144" s="31"/>
      <c r="C1144" s="48"/>
      <c r="D1144" s="47"/>
      <c r="E1144" s="47"/>
      <c r="F1144" s="31"/>
      <c r="G1144" s="31"/>
      <c r="H1144" s="31"/>
      <c r="I1144" s="47"/>
      <c r="J1144" s="31"/>
      <c r="K1144" s="47"/>
      <c r="L1144" s="47"/>
      <c r="M1144" s="47"/>
      <c r="N1144" s="31"/>
      <c r="O1144" s="47"/>
      <c r="P1144" s="31"/>
      <c r="Q1144" s="31"/>
      <c r="R1144" s="31"/>
      <c r="S1144" s="31"/>
      <c r="T1144" s="270">
        <f t="shared" si="136"/>
        <v>0</v>
      </c>
      <c r="U1144" s="270">
        <f t="shared" si="137"/>
        <v>0</v>
      </c>
      <c r="V1144" s="31"/>
      <c r="X1144" s="240" t="str">
        <f t="shared" si="138"/>
        <v>OK</v>
      </c>
      <c r="Y1144" s="240" t="str">
        <f t="shared" si="139"/>
        <v>OK</v>
      </c>
      <c r="Z1144" s="240" t="str">
        <f t="shared" si="140"/>
        <v>OK</v>
      </c>
      <c r="AA1144" s="240" t="str" cm="1">
        <f t="array" ref="AA1144">IF(OR(AND(J1144="Not accepted",N1144:O1144&lt;&gt;"",$S1144=""),AND(J1144="Accepted",S1144="")),"ERROR","OK")</f>
        <v>OK</v>
      </c>
      <c r="AB1144" s="240" t="str">
        <f t="shared" si="141"/>
        <v>OK</v>
      </c>
      <c r="AC1144" s="240" t="str" cm="1">
        <f t="array" ref="AC1144">IF(AND(F1144:H1144&lt;&gt;"",I1144=""),"ERROR","OK")</f>
        <v>OK</v>
      </c>
      <c r="AD1144" s="240" t="str">
        <f t="shared" si="142"/>
        <v>OK</v>
      </c>
      <c r="AE1144" s="240" t="str">
        <f t="shared" si="143"/>
        <v>OK</v>
      </c>
      <c r="AF1144" s="240" t="str" cm="1">
        <f t="array" aca="1" ref="AF1144" ca="1" xml:space="preserve">
IF(AND($G1144&lt;&gt;"",$F1144=""),"ERROR",
IF(OR($F1144:$G1144="",AND($G1144="",$F1144&lt;&gt;"")),"OK",
IF(COUNTIF(INDIRECT(IFERROR(LEFT($F1144,FIND(" ",$F1144)-1),$F1144)), $G1144)&gt;0, "OK", "ERROR")))</f>
        <v>OK</v>
      </c>
    </row>
    <row r="1145" spans="1:32" s="240" customFormat="1">
      <c r="A1145" s="48"/>
      <c r="B1145" s="31"/>
      <c r="C1145" s="48"/>
      <c r="D1145" s="47"/>
      <c r="E1145" s="47"/>
      <c r="F1145" s="31"/>
      <c r="G1145" s="31"/>
      <c r="H1145" s="31"/>
      <c r="I1145" s="47"/>
      <c r="J1145" s="31"/>
      <c r="K1145" s="47"/>
      <c r="L1145" s="47"/>
      <c r="M1145" s="47"/>
      <c r="N1145" s="31"/>
      <c r="O1145" s="47"/>
      <c r="P1145" s="31"/>
      <c r="Q1145" s="31"/>
      <c r="R1145" s="31"/>
      <c r="S1145" s="31"/>
      <c r="T1145" s="270">
        <f t="shared" si="136"/>
        <v>0</v>
      </c>
      <c r="U1145" s="270">
        <f t="shared" si="137"/>
        <v>0</v>
      </c>
      <c r="V1145" s="31"/>
      <c r="X1145" s="240" t="str">
        <f t="shared" si="138"/>
        <v>OK</v>
      </c>
      <c r="Y1145" s="240" t="str">
        <f t="shared" si="139"/>
        <v>OK</v>
      </c>
      <c r="Z1145" s="240" t="str">
        <f t="shared" si="140"/>
        <v>OK</v>
      </c>
      <c r="AA1145" s="240" t="str" cm="1">
        <f t="array" ref="AA1145">IF(OR(AND(J1145="Not accepted",N1145:O1145&lt;&gt;"",$S1145=""),AND(J1145="Accepted",S1145="")),"ERROR","OK")</f>
        <v>OK</v>
      </c>
      <c r="AB1145" s="240" t="str">
        <f t="shared" si="141"/>
        <v>OK</v>
      </c>
      <c r="AC1145" s="240" t="str" cm="1">
        <f t="array" ref="AC1145">IF(AND(F1145:H1145&lt;&gt;"",I1145=""),"ERROR","OK")</f>
        <v>OK</v>
      </c>
      <c r="AD1145" s="240" t="str">
        <f t="shared" si="142"/>
        <v>OK</v>
      </c>
      <c r="AE1145" s="240" t="str">
        <f t="shared" si="143"/>
        <v>OK</v>
      </c>
      <c r="AF1145" s="240" t="str" cm="1">
        <f t="array" aca="1" ref="AF1145" ca="1" xml:space="preserve">
IF(AND($G1145&lt;&gt;"",$F1145=""),"ERROR",
IF(OR($F1145:$G1145="",AND($G1145="",$F1145&lt;&gt;"")),"OK",
IF(COUNTIF(INDIRECT(IFERROR(LEFT($F1145,FIND(" ",$F1145)-1),$F1145)), $G1145)&gt;0, "OK", "ERROR")))</f>
        <v>OK</v>
      </c>
    </row>
    <row r="1146" spans="1:32" s="240" customFormat="1">
      <c r="A1146" s="48"/>
      <c r="B1146" s="31"/>
      <c r="C1146" s="48"/>
      <c r="D1146" s="47"/>
      <c r="E1146" s="47"/>
      <c r="F1146" s="31"/>
      <c r="G1146" s="31"/>
      <c r="H1146" s="31"/>
      <c r="I1146" s="47"/>
      <c r="J1146" s="31"/>
      <c r="K1146" s="47"/>
      <c r="L1146" s="47"/>
      <c r="M1146" s="47"/>
      <c r="N1146" s="31"/>
      <c r="O1146" s="47"/>
      <c r="P1146" s="31"/>
      <c r="Q1146" s="31"/>
      <c r="R1146" s="31"/>
      <c r="S1146" s="31"/>
      <c r="T1146" s="270">
        <f t="shared" si="136"/>
        <v>0</v>
      </c>
      <c r="U1146" s="270">
        <f t="shared" si="137"/>
        <v>0</v>
      </c>
      <c r="V1146" s="31"/>
      <c r="X1146" s="240" t="str">
        <f t="shared" si="138"/>
        <v>OK</v>
      </c>
      <c r="Y1146" s="240" t="str">
        <f t="shared" si="139"/>
        <v>OK</v>
      </c>
      <c r="Z1146" s="240" t="str">
        <f t="shared" si="140"/>
        <v>OK</v>
      </c>
      <c r="AA1146" s="240" t="str" cm="1">
        <f t="array" ref="AA1146">IF(OR(AND(J1146="Not accepted",N1146:O1146&lt;&gt;"",$S1146=""),AND(J1146="Accepted",S1146="")),"ERROR","OK")</f>
        <v>OK</v>
      </c>
      <c r="AB1146" s="240" t="str">
        <f t="shared" si="141"/>
        <v>OK</v>
      </c>
      <c r="AC1146" s="240" t="str" cm="1">
        <f t="array" ref="AC1146">IF(AND(F1146:H1146&lt;&gt;"",I1146=""),"ERROR","OK")</f>
        <v>OK</v>
      </c>
      <c r="AD1146" s="240" t="str">
        <f t="shared" si="142"/>
        <v>OK</v>
      </c>
      <c r="AE1146" s="240" t="str">
        <f t="shared" si="143"/>
        <v>OK</v>
      </c>
      <c r="AF1146" s="240" t="str" cm="1">
        <f t="array" aca="1" ref="AF1146" ca="1" xml:space="preserve">
IF(AND($G1146&lt;&gt;"",$F1146=""),"ERROR",
IF(OR($F1146:$G1146="",AND($G1146="",$F1146&lt;&gt;"")),"OK",
IF(COUNTIF(INDIRECT(IFERROR(LEFT($F1146,FIND(" ",$F1146)-1),$F1146)), $G1146)&gt;0, "OK", "ERROR")))</f>
        <v>OK</v>
      </c>
    </row>
    <row r="1147" spans="1:32" s="240" customFormat="1">
      <c r="A1147" s="48"/>
      <c r="B1147" s="31"/>
      <c r="C1147" s="48"/>
      <c r="D1147" s="47"/>
      <c r="E1147" s="47"/>
      <c r="F1147" s="31"/>
      <c r="G1147" s="31"/>
      <c r="H1147" s="31"/>
      <c r="I1147" s="47"/>
      <c r="J1147" s="31"/>
      <c r="K1147" s="47"/>
      <c r="L1147" s="47"/>
      <c r="M1147" s="47"/>
      <c r="N1147" s="31"/>
      <c r="O1147" s="47"/>
      <c r="P1147" s="31"/>
      <c r="Q1147" s="31"/>
      <c r="R1147" s="31"/>
      <c r="S1147" s="31"/>
      <c r="T1147" s="270">
        <f t="shared" si="136"/>
        <v>0</v>
      </c>
      <c r="U1147" s="270">
        <f t="shared" si="137"/>
        <v>0</v>
      </c>
      <c r="V1147" s="31"/>
      <c r="X1147" s="240" t="str">
        <f t="shared" si="138"/>
        <v>OK</v>
      </c>
      <c r="Y1147" s="240" t="str">
        <f t="shared" si="139"/>
        <v>OK</v>
      </c>
      <c r="Z1147" s="240" t="str">
        <f t="shared" si="140"/>
        <v>OK</v>
      </c>
      <c r="AA1147" s="240" t="str" cm="1">
        <f t="array" ref="AA1147">IF(OR(AND(J1147="Not accepted",N1147:O1147&lt;&gt;"",$S1147=""),AND(J1147="Accepted",S1147="")),"ERROR","OK")</f>
        <v>OK</v>
      </c>
      <c r="AB1147" s="240" t="str">
        <f t="shared" si="141"/>
        <v>OK</v>
      </c>
      <c r="AC1147" s="240" t="str" cm="1">
        <f t="array" ref="AC1147">IF(AND(F1147:H1147&lt;&gt;"",I1147=""),"ERROR","OK")</f>
        <v>OK</v>
      </c>
      <c r="AD1147" s="240" t="str">
        <f t="shared" si="142"/>
        <v>OK</v>
      </c>
      <c r="AE1147" s="240" t="str">
        <f t="shared" si="143"/>
        <v>OK</v>
      </c>
      <c r="AF1147" s="240" t="str" cm="1">
        <f t="array" aca="1" ref="AF1147" ca="1" xml:space="preserve">
IF(AND($G1147&lt;&gt;"",$F1147=""),"ERROR",
IF(OR($F1147:$G1147="",AND($G1147="",$F1147&lt;&gt;"")),"OK",
IF(COUNTIF(INDIRECT(IFERROR(LEFT($F1147,FIND(" ",$F1147)-1),$F1147)), $G1147)&gt;0, "OK", "ERROR")))</f>
        <v>OK</v>
      </c>
    </row>
    <row r="1148" spans="1:32" s="240" customFormat="1">
      <c r="A1148" s="48"/>
      <c r="B1148" s="31"/>
      <c r="C1148" s="48"/>
      <c r="D1148" s="47"/>
      <c r="E1148" s="47"/>
      <c r="F1148" s="31"/>
      <c r="G1148" s="31"/>
      <c r="H1148" s="31"/>
      <c r="I1148" s="47"/>
      <c r="J1148" s="31"/>
      <c r="K1148" s="47"/>
      <c r="L1148" s="47"/>
      <c r="M1148" s="47"/>
      <c r="N1148" s="31"/>
      <c r="O1148" s="47"/>
      <c r="P1148" s="31"/>
      <c r="Q1148" s="31"/>
      <c r="R1148" s="31"/>
      <c r="S1148" s="31"/>
      <c r="T1148" s="270">
        <f t="shared" si="136"/>
        <v>0</v>
      </c>
      <c r="U1148" s="270">
        <f t="shared" si="137"/>
        <v>0</v>
      </c>
      <c r="V1148" s="31"/>
      <c r="X1148" s="240" t="str">
        <f t="shared" si="138"/>
        <v>OK</v>
      </c>
      <c r="Y1148" s="240" t="str">
        <f t="shared" si="139"/>
        <v>OK</v>
      </c>
      <c r="Z1148" s="240" t="str">
        <f t="shared" si="140"/>
        <v>OK</v>
      </c>
      <c r="AA1148" s="240" t="str" cm="1">
        <f t="array" ref="AA1148">IF(OR(AND(J1148="Not accepted",N1148:O1148&lt;&gt;"",$S1148=""),AND(J1148="Accepted",S1148="")),"ERROR","OK")</f>
        <v>OK</v>
      </c>
      <c r="AB1148" s="240" t="str">
        <f t="shared" si="141"/>
        <v>OK</v>
      </c>
      <c r="AC1148" s="240" t="str" cm="1">
        <f t="array" ref="AC1148">IF(AND(F1148:H1148&lt;&gt;"",I1148=""),"ERROR","OK")</f>
        <v>OK</v>
      </c>
      <c r="AD1148" s="240" t="str">
        <f t="shared" si="142"/>
        <v>OK</v>
      </c>
      <c r="AE1148" s="240" t="str">
        <f t="shared" si="143"/>
        <v>OK</v>
      </c>
      <c r="AF1148" s="240" t="str" cm="1">
        <f t="array" aca="1" ref="AF1148" ca="1" xml:space="preserve">
IF(AND($G1148&lt;&gt;"",$F1148=""),"ERROR",
IF(OR($F1148:$G1148="",AND($G1148="",$F1148&lt;&gt;"")),"OK",
IF(COUNTIF(INDIRECT(IFERROR(LEFT($F1148,FIND(" ",$F1148)-1),$F1148)), $G1148)&gt;0, "OK", "ERROR")))</f>
        <v>OK</v>
      </c>
    </row>
    <row r="1149" spans="1:32" s="240" customFormat="1">
      <c r="A1149" s="48"/>
      <c r="B1149" s="31"/>
      <c r="C1149" s="48"/>
      <c r="D1149" s="47"/>
      <c r="E1149" s="47"/>
      <c r="F1149" s="31"/>
      <c r="G1149" s="31"/>
      <c r="H1149" s="31"/>
      <c r="I1149" s="47"/>
      <c r="J1149" s="31"/>
      <c r="K1149" s="47"/>
      <c r="L1149" s="47"/>
      <c r="M1149" s="47"/>
      <c r="N1149" s="31"/>
      <c r="O1149" s="47"/>
      <c r="P1149" s="31"/>
      <c r="Q1149" s="31"/>
      <c r="R1149" s="31"/>
      <c r="S1149" s="31"/>
      <c r="T1149" s="270">
        <f t="shared" si="136"/>
        <v>0</v>
      </c>
      <c r="U1149" s="270">
        <f t="shared" si="137"/>
        <v>0</v>
      </c>
      <c r="V1149" s="31"/>
      <c r="X1149" s="240" t="str">
        <f t="shared" si="138"/>
        <v>OK</v>
      </c>
      <c r="Y1149" s="240" t="str">
        <f t="shared" si="139"/>
        <v>OK</v>
      </c>
      <c r="Z1149" s="240" t="str">
        <f t="shared" si="140"/>
        <v>OK</v>
      </c>
      <c r="AA1149" s="240" t="str" cm="1">
        <f t="array" ref="AA1149">IF(OR(AND(J1149="Not accepted",N1149:O1149&lt;&gt;"",$S1149=""),AND(J1149="Accepted",S1149="")),"ERROR","OK")</f>
        <v>OK</v>
      </c>
      <c r="AB1149" s="240" t="str">
        <f t="shared" si="141"/>
        <v>OK</v>
      </c>
      <c r="AC1149" s="240" t="str" cm="1">
        <f t="array" ref="AC1149">IF(AND(F1149:H1149&lt;&gt;"",I1149=""),"ERROR","OK")</f>
        <v>OK</v>
      </c>
      <c r="AD1149" s="240" t="str">
        <f t="shared" si="142"/>
        <v>OK</v>
      </c>
      <c r="AE1149" s="240" t="str">
        <f t="shared" si="143"/>
        <v>OK</v>
      </c>
      <c r="AF1149" s="240" t="str" cm="1">
        <f t="array" aca="1" ref="AF1149" ca="1" xml:space="preserve">
IF(AND($G1149&lt;&gt;"",$F1149=""),"ERROR",
IF(OR($F1149:$G1149="",AND($G1149="",$F1149&lt;&gt;"")),"OK",
IF(COUNTIF(INDIRECT(IFERROR(LEFT($F1149,FIND(" ",$F1149)-1),$F1149)), $G1149)&gt;0, "OK", "ERROR")))</f>
        <v>OK</v>
      </c>
    </row>
    <row r="1150" spans="1:32" s="240" customFormat="1">
      <c r="A1150" s="48"/>
      <c r="B1150" s="31"/>
      <c r="C1150" s="48"/>
      <c r="D1150" s="47"/>
      <c r="E1150" s="47"/>
      <c r="F1150" s="31"/>
      <c r="G1150" s="31"/>
      <c r="H1150" s="31"/>
      <c r="I1150" s="47"/>
      <c r="J1150" s="31"/>
      <c r="K1150" s="47"/>
      <c r="L1150" s="47"/>
      <c r="M1150" s="47"/>
      <c r="N1150" s="31"/>
      <c r="O1150" s="47"/>
      <c r="P1150" s="31"/>
      <c r="Q1150" s="31"/>
      <c r="R1150" s="31"/>
      <c r="S1150" s="31"/>
      <c r="T1150" s="270">
        <f t="shared" si="136"/>
        <v>0</v>
      </c>
      <c r="U1150" s="270">
        <f t="shared" si="137"/>
        <v>0</v>
      </c>
      <c r="V1150" s="31"/>
      <c r="X1150" s="240" t="str">
        <f t="shared" si="138"/>
        <v>OK</v>
      </c>
      <c r="Y1150" s="240" t="str">
        <f t="shared" si="139"/>
        <v>OK</v>
      </c>
      <c r="Z1150" s="240" t="str">
        <f t="shared" si="140"/>
        <v>OK</v>
      </c>
      <c r="AA1150" s="240" t="str" cm="1">
        <f t="array" ref="AA1150">IF(OR(AND(J1150="Not accepted",N1150:O1150&lt;&gt;"",$S1150=""),AND(J1150="Accepted",S1150="")),"ERROR","OK")</f>
        <v>OK</v>
      </c>
      <c r="AB1150" s="240" t="str">
        <f t="shared" si="141"/>
        <v>OK</v>
      </c>
      <c r="AC1150" s="240" t="str" cm="1">
        <f t="array" ref="AC1150">IF(AND(F1150:H1150&lt;&gt;"",I1150=""),"ERROR","OK")</f>
        <v>OK</v>
      </c>
      <c r="AD1150" s="240" t="str">
        <f t="shared" si="142"/>
        <v>OK</v>
      </c>
      <c r="AE1150" s="240" t="str">
        <f t="shared" si="143"/>
        <v>OK</v>
      </c>
      <c r="AF1150" s="240" t="str" cm="1">
        <f t="array" aca="1" ref="AF1150" ca="1" xml:space="preserve">
IF(AND($G1150&lt;&gt;"",$F1150=""),"ERROR",
IF(OR($F1150:$G1150="",AND($G1150="",$F1150&lt;&gt;"")),"OK",
IF(COUNTIF(INDIRECT(IFERROR(LEFT($F1150,FIND(" ",$F1150)-1),$F1150)), $G1150)&gt;0, "OK", "ERROR")))</f>
        <v>OK</v>
      </c>
    </row>
    <row r="1151" spans="1:32" s="240" customFormat="1">
      <c r="A1151" s="48"/>
      <c r="B1151" s="31"/>
      <c r="C1151" s="48"/>
      <c r="D1151" s="47"/>
      <c r="E1151" s="47"/>
      <c r="F1151" s="31"/>
      <c r="G1151" s="31"/>
      <c r="H1151" s="31"/>
      <c r="I1151" s="47"/>
      <c r="J1151" s="31"/>
      <c r="K1151" s="47"/>
      <c r="L1151" s="47"/>
      <c r="M1151" s="47"/>
      <c r="N1151" s="31"/>
      <c r="O1151" s="47"/>
      <c r="P1151" s="31"/>
      <c r="Q1151" s="31"/>
      <c r="R1151" s="31"/>
      <c r="S1151" s="31"/>
      <c r="T1151" s="270">
        <f t="shared" si="136"/>
        <v>0</v>
      </c>
      <c r="U1151" s="270">
        <f t="shared" si="137"/>
        <v>0</v>
      </c>
      <c r="V1151" s="31"/>
      <c r="X1151" s="240" t="str">
        <f t="shared" si="138"/>
        <v>OK</v>
      </c>
      <c r="Y1151" s="240" t="str">
        <f t="shared" si="139"/>
        <v>OK</v>
      </c>
      <c r="Z1151" s="240" t="str">
        <f t="shared" si="140"/>
        <v>OK</v>
      </c>
      <c r="AA1151" s="240" t="str" cm="1">
        <f t="array" ref="AA1151">IF(OR(AND(J1151="Not accepted",N1151:O1151&lt;&gt;"",$S1151=""),AND(J1151="Accepted",S1151="")),"ERROR","OK")</f>
        <v>OK</v>
      </c>
      <c r="AB1151" s="240" t="str">
        <f t="shared" si="141"/>
        <v>OK</v>
      </c>
      <c r="AC1151" s="240" t="str" cm="1">
        <f t="array" ref="AC1151">IF(AND(F1151:H1151&lt;&gt;"",I1151=""),"ERROR","OK")</f>
        <v>OK</v>
      </c>
      <c r="AD1151" s="240" t="str">
        <f t="shared" si="142"/>
        <v>OK</v>
      </c>
      <c r="AE1151" s="240" t="str">
        <f t="shared" si="143"/>
        <v>OK</v>
      </c>
      <c r="AF1151" s="240" t="str" cm="1">
        <f t="array" aca="1" ref="AF1151" ca="1" xml:space="preserve">
IF(AND($G1151&lt;&gt;"",$F1151=""),"ERROR",
IF(OR($F1151:$G1151="",AND($G1151="",$F1151&lt;&gt;"")),"OK",
IF(COUNTIF(INDIRECT(IFERROR(LEFT($F1151,FIND(" ",$F1151)-1),$F1151)), $G1151)&gt;0, "OK", "ERROR")))</f>
        <v>OK</v>
      </c>
    </row>
    <row r="1152" spans="1:32" s="240" customFormat="1">
      <c r="A1152" s="48"/>
      <c r="B1152" s="31"/>
      <c r="C1152" s="48"/>
      <c r="D1152" s="47"/>
      <c r="E1152" s="47"/>
      <c r="F1152" s="31"/>
      <c r="G1152" s="31"/>
      <c r="H1152" s="31"/>
      <c r="I1152" s="47"/>
      <c r="J1152" s="31"/>
      <c r="K1152" s="47"/>
      <c r="L1152" s="47"/>
      <c r="M1152" s="47"/>
      <c r="N1152" s="31"/>
      <c r="O1152" s="47"/>
      <c r="P1152" s="31"/>
      <c r="Q1152" s="31"/>
      <c r="R1152" s="31"/>
      <c r="S1152" s="31"/>
      <c r="T1152" s="270">
        <f t="shared" si="136"/>
        <v>0</v>
      </c>
      <c r="U1152" s="270">
        <f t="shared" si="137"/>
        <v>0</v>
      </c>
      <c r="V1152" s="31"/>
      <c r="X1152" s="240" t="str">
        <f t="shared" si="138"/>
        <v>OK</v>
      </c>
      <c r="Y1152" s="240" t="str">
        <f t="shared" si="139"/>
        <v>OK</v>
      </c>
      <c r="Z1152" s="240" t="str">
        <f t="shared" si="140"/>
        <v>OK</v>
      </c>
      <c r="AA1152" s="240" t="str" cm="1">
        <f t="array" ref="AA1152">IF(OR(AND(J1152="Not accepted",N1152:O1152&lt;&gt;"",$S1152=""),AND(J1152="Accepted",S1152="")),"ERROR","OK")</f>
        <v>OK</v>
      </c>
      <c r="AB1152" s="240" t="str">
        <f t="shared" si="141"/>
        <v>OK</v>
      </c>
      <c r="AC1152" s="240" t="str" cm="1">
        <f t="array" ref="AC1152">IF(AND(F1152:H1152&lt;&gt;"",I1152=""),"ERROR","OK")</f>
        <v>OK</v>
      </c>
      <c r="AD1152" s="240" t="str">
        <f t="shared" si="142"/>
        <v>OK</v>
      </c>
      <c r="AE1152" s="240" t="str">
        <f t="shared" si="143"/>
        <v>OK</v>
      </c>
      <c r="AF1152" s="240" t="str" cm="1">
        <f t="array" aca="1" ref="AF1152" ca="1" xml:space="preserve">
IF(AND($G1152&lt;&gt;"",$F1152=""),"ERROR",
IF(OR($F1152:$G1152="",AND($G1152="",$F1152&lt;&gt;"")),"OK",
IF(COUNTIF(INDIRECT(IFERROR(LEFT($F1152,FIND(" ",$F1152)-1),$F1152)), $G1152)&gt;0, "OK", "ERROR")))</f>
        <v>OK</v>
      </c>
    </row>
    <row r="1153" spans="1:32" s="240" customFormat="1">
      <c r="A1153" s="48"/>
      <c r="B1153" s="31"/>
      <c r="C1153" s="48"/>
      <c r="D1153" s="47"/>
      <c r="E1153" s="47"/>
      <c r="F1153" s="31"/>
      <c r="G1153" s="31"/>
      <c r="H1153" s="31"/>
      <c r="I1153" s="47"/>
      <c r="J1153" s="31"/>
      <c r="K1153" s="47"/>
      <c r="L1153" s="47"/>
      <c r="M1153" s="47"/>
      <c r="N1153" s="31"/>
      <c r="O1153" s="47"/>
      <c r="P1153" s="31"/>
      <c r="Q1153" s="31"/>
      <c r="R1153" s="31"/>
      <c r="S1153" s="31"/>
      <c r="T1153" s="270">
        <f t="shared" si="136"/>
        <v>0</v>
      </c>
      <c r="U1153" s="270">
        <f t="shared" si="137"/>
        <v>0</v>
      </c>
      <c r="V1153" s="31"/>
      <c r="X1153" s="240" t="str">
        <f t="shared" si="138"/>
        <v>OK</v>
      </c>
      <c r="Y1153" s="240" t="str">
        <f t="shared" si="139"/>
        <v>OK</v>
      </c>
      <c r="Z1153" s="240" t="str">
        <f t="shared" si="140"/>
        <v>OK</v>
      </c>
      <c r="AA1153" s="240" t="str" cm="1">
        <f t="array" ref="AA1153">IF(OR(AND(J1153="Not accepted",N1153:O1153&lt;&gt;"",$S1153=""),AND(J1153="Accepted",S1153="")),"ERROR","OK")</f>
        <v>OK</v>
      </c>
      <c r="AB1153" s="240" t="str">
        <f t="shared" si="141"/>
        <v>OK</v>
      </c>
      <c r="AC1153" s="240" t="str" cm="1">
        <f t="array" ref="AC1153">IF(AND(F1153:H1153&lt;&gt;"",I1153=""),"ERROR","OK")</f>
        <v>OK</v>
      </c>
      <c r="AD1153" s="240" t="str">
        <f t="shared" si="142"/>
        <v>OK</v>
      </c>
      <c r="AE1153" s="240" t="str">
        <f t="shared" si="143"/>
        <v>OK</v>
      </c>
      <c r="AF1153" s="240" t="str" cm="1">
        <f t="array" aca="1" ref="AF1153" ca="1" xml:space="preserve">
IF(AND($G1153&lt;&gt;"",$F1153=""),"ERROR",
IF(OR($F1153:$G1153="",AND($G1153="",$F1153&lt;&gt;"")),"OK",
IF(COUNTIF(INDIRECT(IFERROR(LEFT($F1153,FIND(" ",$F1153)-1),$F1153)), $G1153)&gt;0, "OK", "ERROR")))</f>
        <v>OK</v>
      </c>
    </row>
    <row r="1154" spans="1:32" s="240" customFormat="1">
      <c r="A1154" s="48"/>
      <c r="B1154" s="31"/>
      <c r="C1154" s="48"/>
      <c r="D1154" s="47"/>
      <c r="E1154" s="47"/>
      <c r="F1154" s="31"/>
      <c r="G1154" s="31"/>
      <c r="H1154" s="31"/>
      <c r="I1154" s="47"/>
      <c r="J1154" s="31"/>
      <c r="K1154" s="47"/>
      <c r="L1154" s="47"/>
      <c r="M1154" s="47"/>
      <c r="N1154" s="31"/>
      <c r="O1154" s="47"/>
      <c r="P1154" s="31"/>
      <c r="Q1154" s="31"/>
      <c r="R1154" s="31"/>
      <c r="S1154" s="31"/>
      <c r="T1154" s="270">
        <f t="shared" si="136"/>
        <v>0</v>
      </c>
      <c r="U1154" s="270">
        <f t="shared" si="137"/>
        <v>0</v>
      </c>
      <c r="V1154" s="31"/>
      <c r="X1154" s="240" t="str">
        <f t="shared" si="138"/>
        <v>OK</v>
      </c>
      <c r="Y1154" s="240" t="str">
        <f t="shared" si="139"/>
        <v>OK</v>
      </c>
      <c r="Z1154" s="240" t="str">
        <f t="shared" si="140"/>
        <v>OK</v>
      </c>
      <c r="AA1154" s="240" t="str" cm="1">
        <f t="array" ref="AA1154">IF(OR(AND(J1154="Not accepted",N1154:O1154&lt;&gt;"",$S1154=""),AND(J1154="Accepted",S1154="")),"ERROR","OK")</f>
        <v>OK</v>
      </c>
      <c r="AB1154" s="240" t="str">
        <f t="shared" si="141"/>
        <v>OK</v>
      </c>
      <c r="AC1154" s="240" t="str" cm="1">
        <f t="array" ref="AC1154">IF(AND(F1154:H1154&lt;&gt;"",I1154=""),"ERROR","OK")</f>
        <v>OK</v>
      </c>
      <c r="AD1154" s="240" t="str">
        <f t="shared" si="142"/>
        <v>OK</v>
      </c>
      <c r="AE1154" s="240" t="str">
        <f t="shared" si="143"/>
        <v>OK</v>
      </c>
      <c r="AF1154" s="240" t="str" cm="1">
        <f t="array" aca="1" ref="AF1154" ca="1" xml:space="preserve">
IF(AND($G1154&lt;&gt;"",$F1154=""),"ERROR",
IF(OR($F1154:$G1154="",AND($G1154="",$F1154&lt;&gt;"")),"OK",
IF(COUNTIF(INDIRECT(IFERROR(LEFT($F1154,FIND(" ",$F1154)-1),$F1154)), $G1154)&gt;0, "OK", "ERROR")))</f>
        <v>OK</v>
      </c>
    </row>
    <row r="1155" spans="1:32" s="240" customFormat="1">
      <c r="A1155" s="48"/>
      <c r="B1155" s="31"/>
      <c r="C1155" s="48"/>
      <c r="D1155" s="47"/>
      <c r="E1155" s="47"/>
      <c r="F1155" s="31"/>
      <c r="G1155" s="31"/>
      <c r="H1155" s="31"/>
      <c r="I1155" s="47"/>
      <c r="J1155" s="31"/>
      <c r="K1155" s="47"/>
      <c r="L1155" s="47"/>
      <c r="M1155" s="47"/>
      <c r="N1155" s="31"/>
      <c r="O1155" s="47"/>
      <c r="P1155" s="31"/>
      <c r="Q1155" s="31"/>
      <c r="R1155" s="31"/>
      <c r="S1155" s="31"/>
      <c r="T1155" s="270">
        <f t="shared" si="136"/>
        <v>0</v>
      </c>
      <c r="U1155" s="270">
        <f t="shared" si="137"/>
        <v>0</v>
      </c>
      <c r="V1155" s="31"/>
      <c r="X1155" s="240" t="str">
        <f t="shared" si="138"/>
        <v>OK</v>
      </c>
      <c r="Y1155" s="240" t="str">
        <f t="shared" si="139"/>
        <v>OK</v>
      </c>
      <c r="Z1155" s="240" t="str">
        <f t="shared" si="140"/>
        <v>OK</v>
      </c>
      <c r="AA1155" s="240" t="str" cm="1">
        <f t="array" ref="AA1155">IF(OR(AND(J1155="Not accepted",N1155:O1155&lt;&gt;"",$S1155=""),AND(J1155="Accepted",S1155="")),"ERROR","OK")</f>
        <v>OK</v>
      </c>
      <c r="AB1155" s="240" t="str">
        <f t="shared" si="141"/>
        <v>OK</v>
      </c>
      <c r="AC1155" s="240" t="str" cm="1">
        <f t="array" ref="AC1155">IF(AND(F1155:H1155&lt;&gt;"",I1155=""),"ERROR","OK")</f>
        <v>OK</v>
      </c>
      <c r="AD1155" s="240" t="str">
        <f t="shared" si="142"/>
        <v>OK</v>
      </c>
      <c r="AE1155" s="240" t="str">
        <f t="shared" si="143"/>
        <v>OK</v>
      </c>
      <c r="AF1155" s="240" t="str" cm="1">
        <f t="array" aca="1" ref="AF1155" ca="1" xml:space="preserve">
IF(AND($G1155&lt;&gt;"",$F1155=""),"ERROR",
IF(OR($F1155:$G1155="",AND($G1155="",$F1155&lt;&gt;"")),"OK",
IF(COUNTIF(INDIRECT(IFERROR(LEFT($F1155,FIND(" ",$F1155)-1),$F1155)), $G1155)&gt;0, "OK", "ERROR")))</f>
        <v>OK</v>
      </c>
    </row>
    <row r="1156" spans="1:32" s="240" customFormat="1">
      <c r="A1156" s="48"/>
      <c r="B1156" s="31"/>
      <c r="C1156" s="48"/>
      <c r="D1156" s="47"/>
      <c r="E1156" s="47"/>
      <c r="F1156" s="31"/>
      <c r="G1156" s="31"/>
      <c r="H1156" s="31"/>
      <c r="I1156" s="47"/>
      <c r="J1156" s="31"/>
      <c r="K1156" s="47"/>
      <c r="L1156" s="47"/>
      <c r="M1156" s="47"/>
      <c r="N1156" s="31"/>
      <c r="O1156" s="47"/>
      <c r="P1156" s="31"/>
      <c r="Q1156" s="31"/>
      <c r="R1156" s="31"/>
      <c r="S1156" s="31"/>
      <c r="T1156" s="270">
        <f t="shared" si="136"/>
        <v>0</v>
      </c>
      <c r="U1156" s="270">
        <f t="shared" si="137"/>
        <v>0</v>
      </c>
      <c r="V1156" s="31"/>
      <c r="X1156" s="240" t="str">
        <f t="shared" si="138"/>
        <v>OK</v>
      </c>
      <c r="Y1156" s="240" t="str">
        <f t="shared" si="139"/>
        <v>OK</v>
      </c>
      <c r="Z1156" s="240" t="str">
        <f t="shared" si="140"/>
        <v>OK</v>
      </c>
      <c r="AA1156" s="240" t="str" cm="1">
        <f t="array" ref="AA1156">IF(OR(AND(J1156="Not accepted",N1156:O1156&lt;&gt;"",$S1156=""),AND(J1156="Accepted",S1156="")),"ERROR","OK")</f>
        <v>OK</v>
      </c>
      <c r="AB1156" s="240" t="str">
        <f t="shared" si="141"/>
        <v>OK</v>
      </c>
      <c r="AC1156" s="240" t="str" cm="1">
        <f t="array" ref="AC1156">IF(AND(F1156:H1156&lt;&gt;"",I1156=""),"ERROR","OK")</f>
        <v>OK</v>
      </c>
      <c r="AD1156" s="240" t="str">
        <f t="shared" si="142"/>
        <v>OK</v>
      </c>
      <c r="AE1156" s="240" t="str">
        <f t="shared" si="143"/>
        <v>OK</v>
      </c>
      <c r="AF1156" s="240" t="str" cm="1">
        <f t="array" aca="1" ref="AF1156" ca="1" xml:space="preserve">
IF(AND($G1156&lt;&gt;"",$F1156=""),"ERROR",
IF(OR($F1156:$G1156="",AND($G1156="",$F1156&lt;&gt;"")),"OK",
IF(COUNTIF(INDIRECT(IFERROR(LEFT($F1156,FIND(" ",$F1156)-1),$F1156)), $G1156)&gt;0, "OK", "ERROR")))</f>
        <v>OK</v>
      </c>
    </row>
    <row r="1157" spans="1:32" s="240" customFormat="1">
      <c r="A1157" s="48"/>
      <c r="B1157" s="31"/>
      <c r="C1157" s="48"/>
      <c r="D1157" s="47"/>
      <c r="E1157" s="47"/>
      <c r="F1157" s="31"/>
      <c r="G1157" s="31"/>
      <c r="H1157" s="31"/>
      <c r="I1157" s="47"/>
      <c r="J1157" s="31"/>
      <c r="K1157" s="47"/>
      <c r="L1157" s="47"/>
      <c r="M1157" s="47"/>
      <c r="N1157" s="31"/>
      <c r="O1157" s="47"/>
      <c r="P1157" s="31"/>
      <c r="Q1157" s="31"/>
      <c r="R1157" s="31"/>
      <c r="S1157" s="31"/>
      <c r="T1157" s="270">
        <f t="shared" ref="T1157:T1220" si="144">IF(OR($J1157="Accepted",ISBLANK($J1157)),IF(AND($G1157="Legacy Data",$Q1157="Legacy Data"),1,IF(OR($G1157="Legacy Data",$Q1157="Legacy Data"),1,0)),IF(OR($N1157="Agree with original translator",ISBLANK($N1157)),IF(AND($G1157="Source Text Data",$Q1157="Legacy Data"),1,IF(AND($G1157="Legacy Data",$Q1157="Legacy Data"),1,IF($Q1157="Legacy Data",1,0))),IF(AND($G1157="Legacy Data",$Q1157="Legacy Data"),1,IF(OR($Q1157="Legacy Data",ISBLANK($Q1157)),IF($G1157&lt;&gt;"Legacy Data",IF(AND($G1157="Source Text Data",$Q1157="Legacy Data"),1,0),1),0))))</f>
        <v>0</v>
      </c>
      <c r="U1157" s="270">
        <f t="shared" ref="U1157:U1220" si="145">IF(OR($J1157="Accepted",ISBLANK($J1157)),IF(AND($G1157="Source Text Data",$Q1157="Source Text Data"),1,IF(OR($G1157="Source Text Data",$Q1157="Source Text Data"),1,0)),IF(OR($N1157="Agree with original translator",ISBLANK($N1157)),IF(AND($G1157="Legacy Data",$Q1157="Source Text Data"),1,IF(AND($G1157="Source Text Data",$Q1157="Source Text Data"),1,IF($Q1157="Source Text Data",1,0))),IF(AND($G1157="Source Text Data",$Q1157="Source Text Data"),1,IF(OR($Q1157="Source Text Data",ISBLANK($Q1157)),IF($G1157&lt;&gt;"Source Text Data",IF(AND($G1157="Legacy Data",$Q1157="Source Text Data"),1,0),1),0))))</f>
        <v>0</v>
      </c>
      <c r="V1157" s="31"/>
      <c r="X1157" s="240" t="str">
        <f t="shared" ref="X1157:X1220" si="146">IF(AND(COUNTBLANK($F1157:$H1157)&lt;&gt;COLUMNS($F1157:$H1157),COUNTA($F1157:$H1157)&lt;&gt;COLUMNS($F1157:$H1157)),"ERROR","OK")</f>
        <v>OK</v>
      </c>
      <c r="Y1157" s="240" t="str">
        <f t="shared" ref="Y1157:Y1220" si="147">IF(AND($J1157="Not accepted",$K1157=""),"ERROR","OK")</f>
        <v>OK</v>
      </c>
      <c r="Z1157" s="240" t="str">
        <f t="shared" ref="Z1157:Z1220" si="148">IF(AND($F1157&lt;&gt;"",$J1157=""),"ERROR","OK")</f>
        <v>OK</v>
      </c>
      <c r="AA1157" s="240" t="str" cm="1">
        <f t="array" ref="AA1157">IF(OR(AND(J1157="Not accepted",N1157:O1157&lt;&gt;"",$S1157=""),AND(J1157="Accepted",S1157="")),"ERROR","OK")</f>
        <v>OK</v>
      </c>
      <c r="AB1157" s="240" t="str">
        <f t="shared" ref="AB1157:AB1220" si="149">IF(AND($S1157="Not Implemented",$V1157=""),"ERROR","OK")</f>
        <v>OK</v>
      </c>
      <c r="AC1157" s="240" t="str" cm="1">
        <f t="array" ref="AC1157">IF(AND(F1157:H1157&lt;&gt;"",I1157=""),"ERROR","OK")</f>
        <v>OK</v>
      </c>
      <c r="AD1157" s="240" t="str">
        <f t="shared" ref="AD1157:AD1220" si="150">IF(AND($N1157="",$J1157="Not accepted",$K1157&lt;&gt;""),"ERROR","OK")</f>
        <v>OK</v>
      </c>
      <c r="AE1157" s="240" t="str">
        <f t="shared" ref="AE1157:AE1220" si="151">IF(AND($O1157="",$N1157&lt;&gt;""),"ERROR","OK")</f>
        <v>OK</v>
      </c>
      <c r="AF1157" s="240" t="str" cm="1">
        <f t="array" aca="1" ref="AF1157" ca="1" xml:space="preserve">
IF(AND($G1157&lt;&gt;"",$F1157=""),"ERROR",
IF(OR($F1157:$G1157="",AND($G1157="",$F1157&lt;&gt;"")),"OK",
IF(COUNTIF(INDIRECT(IFERROR(LEFT($F1157,FIND(" ",$F1157)-1),$F1157)), $G1157)&gt;0, "OK", "ERROR")))</f>
        <v>OK</v>
      </c>
    </row>
    <row r="1158" spans="1:32" s="240" customFormat="1">
      <c r="A1158" s="48"/>
      <c r="B1158" s="31"/>
      <c r="C1158" s="48"/>
      <c r="D1158" s="47"/>
      <c r="E1158" s="47"/>
      <c r="F1158" s="31"/>
      <c r="G1158" s="31"/>
      <c r="H1158" s="31"/>
      <c r="I1158" s="47"/>
      <c r="J1158" s="31"/>
      <c r="K1158" s="47"/>
      <c r="L1158" s="47"/>
      <c r="M1158" s="47"/>
      <c r="N1158" s="31"/>
      <c r="O1158" s="47"/>
      <c r="P1158" s="31"/>
      <c r="Q1158" s="31"/>
      <c r="R1158" s="31"/>
      <c r="S1158" s="31"/>
      <c r="T1158" s="270">
        <f t="shared" si="144"/>
        <v>0</v>
      </c>
      <c r="U1158" s="270">
        <f t="shared" si="145"/>
        <v>0</v>
      </c>
      <c r="V1158" s="31"/>
      <c r="X1158" s="240" t="str">
        <f t="shared" si="146"/>
        <v>OK</v>
      </c>
      <c r="Y1158" s="240" t="str">
        <f t="shared" si="147"/>
        <v>OK</v>
      </c>
      <c r="Z1158" s="240" t="str">
        <f t="shared" si="148"/>
        <v>OK</v>
      </c>
      <c r="AA1158" s="240" t="str" cm="1">
        <f t="array" ref="AA1158">IF(OR(AND(J1158="Not accepted",N1158:O1158&lt;&gt;"",$S1158=""),AND(J1158="Accepted",S1158="")),"ERROR","OK")</f>
        <v>OK</v>
      </c>
      <c r="AB1158" s="240" t="str">
        <f t="shared" si="149"/>
        <v>OK</v>
      </c>
      <c r="AC1158" s="240" t="str" cm="1">
        <f t="array" ref="AC1158">IF(AND(F1158:H1158&lt;&gt;"",I1158=""),"ERROR","OK")</f>
        <v>OK</v>
      </c>
      <c r="AD1158" s="240" t="str">
        <f t="shared" si="150"/>
        <v>OK</v>
      </c>
      <c r="AE1158" s="240" t="str">
        <f t="shared" si="151"/>
        <v>OK</v>
      </c>
      <c r="AF1158" s="240" t="str" cm="1">
        <f t="array" aca="1" ref="AF1158" ca="1" xml:space="preserve">
IF(AND($G1158&lt;&gt;"",$F1158=""),"ERROR",
IF(OR($F1158:$G1158="",AND($G1158="",$F1158&lt;&gt;"")),"OK",
IF(COUNTIF(INDIRECT(IFERROR(LEFT($F1158,FIND(" ",$F1158)-1),$F1158)), $G1158)&gt;0, "OK", "ERROR")))</f>
        <v>OK</v>
      </c>
    </row>
    <row r="1159" spans="1:32" s="240" customFormat="1">
      <c r="A1159" s="48"/>
      <c r="B1159" s="31"/>
      <c r="C1159" s="48"/>
      <c r="D1159" s="47"/>
      <c r="E1159" s="47"/>
      <c r="F1159" s="31"/>
      <c r="G1159" s="31"/>
      <c r="H1159" s="31"/>
      <c r="I1159" s="47"/>
      <c r="J1159" s="31"/>
      <c r="K1159" s="47"/>
      <c r="L1159" s="47"/>
      <c r="M1159" s="47"/>
      <c r="N1159" s="31"/>
      <c r="O1159" s="47"/>
      <c r="P1159" s="31"/>
      <c r="Q1159" s="31"/>
      <c r="R1159" s="31"/>
      <c r="S1159" s="31"/>
      <c r="T1159" s="270">
        <f t="shared" si="144"/>
        <v>0</v>
      </c>
      <c r="U1159" s="270">
        <f t="shared" si="145"/>
        <v>0</v>
      </c>
      <c r="V1159" s="31"/>
      <c r="X1159" s="240" t="str">
        <f t="shared" si="146"/>
        <v>OK</v>
      </c>
      <c r="Y1159" s="240" t="str">
        <f t="shared" si="147"/>
        <v>OK</v>
      </c>
      <c r="Z1159" s="240" t="str">
        <f t="shared" si="148"/>
        <v>OK</v>
      </c>
      <c r="AA1159" s="240" t="str" cm="1">
        <f t="array" ref="AA1159">IF(OR(AND(J1159="Not accepted",N1159:O1159&lt;&gt;"",$S1159=""),AND(J1159="Accepted",S1159="")),"ERROR","OK")</f>
        <v>OK</v>
      </c>
      <c r="AB1159" s="240" t="str">
        <f t="shared" si="149"/>
        <v>OK</v>
      </c>
      <c r="AC1159" s="240" t="str" cm="1">
        <f t="array" ref="AC1159">IF(AND(F1159:H1159&lt;&gt;"",I1159=""),"ERROR","OK")</f>
        <v>OK</v>
      </c>
      <c r="AD1159" s="240" t="str">
        <f t="shared" si="150"/>
        <v>OK</v>
      </c>
      <c r="AE1159" s="240" t="str">
        <f t="shared" si="151"/>
        <v>OK</v>
      </c>
      <c r="AF1159" s="240" t="str" cm="1">
        <f t="array" aca="1" ref="AF1159" ca="1" xml:space="preserve">
IF(AND($G1159&lt;&gt;"",$F1159=""),"ERROR",
IF(OR($F1159:$G1159="",AND($G1159="",$F1159&lt;&gt;"")),"OK",
IF(COUNTIF(INDIRECT(IFERROR(LEFT($F1159,FIND(" ",$F1159)-1),$F1159)), $G1159)&gt;0, "OK", "ERROR")))</f>
        <v>OK</v>
      </c>
    </row>
    <row r="1160" spans="1:32" s="240" customFormat="1">
      <c r="A1160" s="48"/>
      <c r="B1160" s="31"/>
      <c r="C1160" s="48"/>
      <c r="D1160" s="47"/>
      <c r="E1160" s="47"/>
      <c r="F1160" s="31"/>
      <c r="G1160" s="31"/>
      <c r="H1160" s="31"/>
      <c r="I1160" s="47"/>
      <c r="J1160" s="31"/>
      <c r="K1160" s="47"/>
      <c r="L1160" s="47"/>
      <c r="M1160" s="47"/>
      <c r="N1160" s="31"/>
      <c r="O1160" s="47"/>
      <c r="P1160" s="31"/>
      <c r="Q1160" s="31"/>
      <c r="R1160" s="31"/>
      <c r="S1160" s="31"/>
      <c r="T1160" s="270">
        <f t="shared" si="144"/>
        <v>0</v>
      </c>
      <c r="U1160" s="270">
        <f t="shared" si="145"/>
        <v>0</v>
      </c>
      <c r="V1160" s="31"/>
      <c r="X1160" s="240" t="str">
        <f t="shared" si="146"/>
        <v>OK</v>
      </c>
      <c r="Y1160" s="240" t="str">
        <f t="shared" si="147"/>
        <v>OK</v>
      </c>
      <c r="Z1160" s="240" t="str">
        <f t="shared" si="148"/>
        <v>OK</v>
      </c>
      <c r="AA1160" s="240" t="str" cm="1">
        <f t="array" ref="AA1160">IF(OR(AND(J1160="Not accepted",N1160:O1160&lt;&gt;"",$S1160=""),AND(J1160="Accepted",S1160="")),"ERROR","OK")</f>
        <v>OK</v>
      </c>
      <c r="AB1160" s="240" t="str">
        <f t="shared" si="149"/>
        <v>OK</v>
      </c>
      <c r="AC1160" s="240" t="str" cm="1">
        <f t="array" ref="AC1160">IF(AND(F1160:H1160&lt;&gt;"",I1160=""),"ERROR","OK")</f>
        <v>OK</v>
      </c>
      <c r="AD1160" s="240" t="str">
        <f t="shared" si="150"/>
        <v>OK</v>
      </c>
      <c r="AE1160" s="240" t="str">
        <f t="shared" si="151"/>
        <v>OK</v>
      </c>
      <c r="AF1160" s="240" t="str" cm="1">
        <f t="array" aca="1" ref="AF1160" ca="1" xml:space="preserve">
IF(AND($G1160&lt;&gt;"",$F1160=""),"ERROR",
IF(OR($F1160:$G1160="",AND($G1160="",$F1160&lt;&gt;"")),"OK",
IF(COUNTIF(INDIRECT(IFERROR(LEFT($F1160,FIND(" ",$F1160)-1),$F1160)), $G1160)&gt;0, "OK", "ERROR")))</f>
        <v>OK</v>
      </c>
    </row>
    <row r="1161" spans="1:32" s="240" customFormat="1">
      <c r="A1161" s="48"/>
      <c r="B1161" s="31"/>
      <c r="C1161" s="48"/>
      <c r="D1161" s="47"/>
      <c r="E1161" s="47"/>
      <c r="F1161" s="31"/>
      <c r="G1161" s="31"/>
      <c r="H1161" s="31"/>
      <c r="I1161" s="47"/>
      <c r="J1161" s="31"/>
      <c r="K1161" s="47"/>
      <c r="L1161" s="47"/>
      <c r="M1161" s="47"/>
      <c r="N1161" s="31"/>
      <c r="O1161" s="47"/>
      <c r="P1161" s="31"/>
      <c r="Q1161" s="31"/>
      <c r="R1161" s="31"/>
      <c r="S1161" s="31"/>
      <c r="T1161" s="270">
        <f t="shared" si="144"/>
        <v>0</v>
      </c>
      <c r="U1161" s="270">
        <f t="shared" si="145"/>
        <v>0</v>
      </c>
      <c r="V1161" s="31"/>
      <c r="X1161" s="240" t="str">
        <f t="shared" si="146"/>
        <v>OK</v>
      </c>
      <c r="Y1161" s="240" t="str">
        <f t="shared" si="147"/>
        <v>OK</v>
      </c>
      <c r="Z1161" s="240" t="str">
        <f t="shared" si="148"/>
        <v>OK</v>
      </c>
      <c r="AA1161" s="240" t="str" cm="1">
        <f t="array" ref="AA1161">IF(OR(AND(J1161="Not accepted",N1161:O1161&lt;&gt;"",$S1161=""),AND(J1161="Accepted",S1161="")),"ERROR","OK")</f>
        <v>OK</v>
      </c>
      <c r="AB1161" s="240" t="str">
        <f t="shared" si="149"/>
        <v>OK</v>
      </c>
      <c r="AC1161" s="240" t="str" cm="1">
        <f t="array" ref="AC1161">IF(AND(F1161:H1161&lt;&gt;"",I1161=""),"ERROR","OK")</f>
        <v>OK</v>
      </c>
      <c r="AD1161" s="240" t="str">
        <f t="shared" si="150"/>
        <v>OK</v>
      </c>
      <c r="AE1161" s="240" t="str">
        <f t="shared" si="151"/>
        <v>OK</v>
      </c>
      <c r="AF1161" s="240" t="str" cm="1">
        <f t="array" aca="1" ref="AF1161" ca="1" xml:space="preserve">
IF(AND($G1161&lt;&gt;"",$F1161=""),"ERROR",
IF(OR($F1161:$G1161="",AND($G1161="",$F1161&lt;&gt;"")),"OK",
IF(COUNTIF(INDIRECT(IFERROR(LEFT($F1161,FIND(" ",$F1161)-1),$F1161)), $G1161)&gt;0, "OK", "ERROR")))</f>
        <v>OK</v>
      </c>
    </row>
    <row r="1162" spans="1:32" s="240" customFormat="1">
      <c r="A1162" s="48"/>
      <c r="B1162" s="31"/>
      <c r="C1162" s="48"/>
      <c r="D1162" s="47"/>
      <c r="E1162" s="47"/>
      <c r="F1162" s="31"/>
      <c r="G1162" s="31"/>
      <c r="H1162" s="31"/>
      <c r="I1162" s="47"/>
      <c r="J1162" s="31"/>
      <c r="K1162" s="47"/>
      <c r="L1162" s="47"/>
      <c r="M1162" s="47"/>
      <c r="N1162" s="31"/>
      <c r="O1162" s="47"/>
      <c r="P1162" s="31"/>
      <c r="Q1162" s="31"/>
      <c r="R1162" s="31"/>
      <c r="S1162" s="31"/>
      <c r="T1162" s="270">
        <f t="shared" si="144"/>
        <v>0</v>
      </c>
      <c r="U1162" s="270">
        <f t="shared" si="145"/>
        <v>0</v>
      </c>
      <c r="V1162" s="31"/>
      <c r="X1162" s="240" t="str">
        <f t="shared" si="146"/>
        <v>OK</v>
      </c>
      <c r="Y1162" s="240" t="str">
        <f t="shared" si="147"/>
        <v>OK</v>
      </c>
      <c r="Z1162" s="240" t="str">
        <f t="shared" si="148"/>
        <v>OK</v>
      </c>
      <c r="AA1162" s="240" t="str" cm="1">
        <f t="array" ref="AA1162">IF(OR(AND(J1162="Not accepted",N1162:O1162&lt;&gt;"",$S1162=""),AND(J1162="Accepted",S1162="")),"ERROR","OK")</f>
        <v>OK</v>
      </c>
      <c r="AB1162" s="240" t="str">
        <f t="shared" si="149"/>
        <v>OK</v>
      </c>
      <c r="AC1162" s="240" t="str" cm="1">
        <f t="array" ref="AC1162">IF(AND(F1162:H1162&lt;&gt;"",I1162=""),"ERROR","OK")</f>
        <v>OK</v>
      </c>
      <c r="AD1162" s="240" t="str">
        <f t="shared" si="150"/>
        <v>OK</v>
      </c>
      <c r="AE1162" s="240" t="str">
        <f t="shared" si="151"/>
        <v>OK</v>
      </c>
      <c r="AF1162" s="240" t="str" cm="1">
        <f t="array" aca="1" ref="AF1162" ca="1" xml:space="preserve">
IF(AND($G1162&lt;&gt;"",$F1162=""),"ERROR",
IF(OR($F1162:$G1162="",AND($G1162="",$F1162&lt;&gt;"")),"OK",
IF(COUNTIF(INDIRECT(IFERROR(LEFT($F1162,FIND(" ",$F1162)-1),$F1162)), $G1162)&gt;0, "OK", "ERROR")))</f>
        <v>OK</v>
      </c>
    </row>
    <row r="1163" spans="1:32" s="240" customFormat="1">
      <c r="A1163" s="48"/>
      <c r="B1163" s="31"/>
      <c r="C1163" s="48"/>
      <c r="D1163" s="47"/>
      <c r="E1163" s="47"/>
      <c r="F1163" s="31"/>
      <c r="G1163" s="31"/>
      <c r="H1163" s="31"/>
      <c r="I1163" s="47"/>
      <c r="J1163" s="31"/>
      <c r="K1163" s="47"/>
      <c r="L1163" s="47"/>
      <c r="M1163" s="47"/>
      <c r="N1163" s="31"/>
      <c r="O1163" s="47"/>
      <c r="P1163" s="31"/>
      <c r="Q1163" s="31"/>
      <c r="R1163" s="31"/>
      <c r="S1163" s="31"/>
      <c r="T1163" s="270">
        <f t="shared" si="144"/>
        <v>0</v>
      </c>
      <c r="U1163" s="270">
        <f t="shared" si="145"/>
        <v>0</v>
      </c>
      <c r="V1163" s="31"/>
      <c r="X1163" s="240" t="str">
        <f t="shared" si="146"/>
        <v>OK</v>
      </c>
      <c r="Y1163" s="240" t="str">
        <f t="shared" si="147"/>
        <v>OK</v>
      </c>
      <c r="Z1163" s="240" t="str">
        <f t="shared" si="148"/>
        <v>OK</v>
      </c>
      <c r="AA1163" s="240" t="str" cm="1">
        <f t="array" ref="AA1163">IF(OR(AND(J1163="Not accepted",N1163:O1163&lt;&gt;"",$S1163=""),AND(J1163="Accepted",S1163="")),"ERROR","OK")</f>
        <v>OK</v>
      </c>
      <c r="AB1163" s="240" t="str">
        <f t="shared" si="149"/>
        <v>OK</v>
      </c>
      <c r="AC1163" s="240" t="str" cm="1">
        <f t="array" ref="AC1163">IF(AND(F1163:H1163&lt;&gt;"",I1163=""),"ERROR","OK")</f>
        <v>OK</v>
      </c>
      <c r="AD1163" s="240" t="str">
        <f t="shared" si="150"/>
        <v>OK</v>
      </c>
      <c r="AE1163" s="240" t="str">
        <f t="shared" si="151"/>
        <v>OK</v>
      </c>
      <c r="AF1163" s="240" t="str" cm="1">
        <f t="array" aca="1" ref="AF1163" ca="1" xml:space="preserve">
IF(AND($G1163&lt;&gt;"",$F1163=""),"ERROR",
IF(OR($F1163:$G1163="",AND($G1163="",$F1163&lt;&gt;"")),"OK",
IF(COUNTIF(INDIRECT(IFERROR(LEFT($F1163,FIND(" ",$F1163)-1),$F1163)), $G1163)&gt;0, "OK", "ERROR")))</f>
        <v>OK</v>
      </c>
    </row>
    <row r="1164" spans="1:32" s="240" customFormat="1">
      <c r="A1164" s="48"/>
      <c r="B1164" s="31"/>
      <c r="C1164" s="48"/>
      <c r="D1164" s="47"/>
      <c r="E1164" s="47"/>
      <c r="F1164" s="31"/>
      <c r="G1164" s="31"/>
      <c r="H1164" s="31"/>
      <c r="I1164" s="47"/>
      <c r="J1164" s="31"/>
      <c r="K1164" s="47"/>
      <c r="L1164" s="47"/>
      <c r="M1164" s="47"/>
      <c r="N1164" s="31"/>
      <c r="O1164" s="47"/>
      <c r="P1164" s="31"/>
      <c r="Q1164" s="31"/>
      <c r="R1164" s="31"/>
      <c r="S1164" s="31"/>
      <c r="T1164" s="270">
        <f t="shared" si="144"/>
        <v>0</v>
      </c>
      <c r="U1164" s="270">
        <f t="shared" si="145"/>
        <v>0</v>
      </c>
      <c r="V1164" s="31"/>
      <c r="X1164" s="240" t="str">
        <f t="shared" si="146"/>
        <v>OK</v>
      </c>
      <c r="Y1164" s="240" t="str">
        <f t="shared" si="147"/>
        <v>OK</v>
      </c>
      <c r="Z1164" s="240" t="str">
        <f t="shared" si="148"/>
        <v>OK</v>
      </c>
      <c r="AA1164" s="240" t="str" cm="1">
        <f t="array" ref="AA1164">IF(OR(AND(J1164="Not accepted",N1164:O1164&lt;&gt;"",$S1164=""),AND(J1164="Accepted",S1164="")),"ERROR","OK")</f>
        <v>OK</v>
      </c>
      <c r="AB1164" s="240" t="str">
        <f t="shared" si="149"/>
        <v>OK</v>
      </c>
      <c r="AC1164" s="240" t="str" cm="1">
        <f t="array" ref="AC1164">IF(AND(F1164:H1164&lt;&gt;"",I1164=""),"ERROR","OK")</f>
        <v>OK</v>
      </c>
      <c r="AD1164" s="240" t="str">
        <f t="shared" si="150"/>
        <v>OK</v>
      </c>
      <c r="AE1164" s="240" t="str">
        <f t="shared" si="151"/>
        <v>OK</v>
      </c>
      <c r="AF1164" s="240" t="str" cm="1">
        <f t="array" aca="1" ref="AF1164" ca="1" xml:space="preserve">
IF(AND($G1164&lt;&gt;"",$F1164=""),"ERROR",
IF(OR($F1164:$G1164="",AND($G1164="",$F1164&lt;&gt;"")),"OK",
IF(COUNTIF(INDIRECT(IFERROR(LEFT($F1164,FIND(" ",$F1164)-1),$F1164)), $G1164)&gt;0, "OK", "ERROR")))</f>
        <v>OK</v>
      </c>
    </row>
    <row r="1165" spans="1:32" s="240" customFormat="1">
      <c r="A1165" s="48"/>
      <c r="B1165" s="31"/>
      <c r="C1165" s="48"/>
      <c r="D1165" s="47"/>
      <c r="E1165" s="47"/>
      <c r="F1165" s="31"/>
      <c r="G1165" s="31"/>
      <c r="H1165" s="31"/>
      <c r="I1165" s="47"/>
      <c r="J1165" s="31"/>
      <c r="K1165" s="47"/>
      <c r="L1165" s="47"/>
      <c r="M1165" s="47"/>
      <c r="N1165" s="31"/>
      <c r="O1165" s="47"/>
      <c r="P1165" s="31"/>
      <c r="Q1165" s="31"/>
      <c r="R1165" s="31"/>
      <c r="S1165" s="31"/>
      <c r="T1165" s="270">
        <f t="shared" si="144"/>
        <v>0</v>
      </c>
      <c r="U1165" s="270">
        <f t="shared" si="145"/>
        <v>0</v>
      </c>
      <c r="V1165" s="31"/>
      <c r="X1165" s="240" t="str">
        <f t="shared" si="146"/>
        <v>OK</v>
      </c>
      <c r="Y1165" s="240" t="str">
        <f t="shared" si="147"/>
        <v>OK</v>
      </c>
      <c r="Z1165" s="240" t="str">
        <f t="shared" si="148"/>
        <v>OK</v>
      </c>
      <c r="AA1165" s="240" t="str" cm="1">
        <f t="array" ref="AA1165">IF(OR(AND(J1165="Not accepted",N1165:O1165&lt;&gt;"",$S1165=""),AND(J1165="Accepted",S1165="")),"ERROR","OK")</f>
        <v>OK</v>
      </c>
      <c r="AB1165" s="240" t="str">
        <f t="shared" si="149"/>
        <v>OK</v>
      </c>
      <c r="AC1165" s="240" t="str" cm="1">
        <f t="array" ref="AC1165">IF(AND(F1165:H1165&lt;&gt;"",I1165=""),"ERROR","OK")</f>
        <v>OK</v>
      </c>
      <c r="AD1165" s="240" t="str">
        <f t="shared" si="150"/>
        <v>OK</v>
      </c>
      <c r="AE1165" s="240" t="str">
        <f t="shared" si="151"/>
        <v>OK</v>
      </c>
      <c r="AF1165" s="240" t="str" cm="1">
        <f t="array" aca="1" ref="AF1165" ca="1" xml:space="preserve">
IF(AND($G1165&lt;&gt;"",$F1165=""),"ERROR",
IF(OR($F1165:$G1165="",AND($G1165="",$F1165&lt;&gt;"")),"OK",
IF(COUNTIF(INDIRECT(IFERROR(LEFT($F1165,FIND(" ",$F1165)-1),$F1165)), $G1165)&gt;0, "OK", "ERROR")))</f>
        <v>OK</v>
      </c>
    </row>
    <row r="1166" spans="1:32" s="240" customFormat="1">
      <c r="A1166" s="48"/>
      <c r="B1166" s="31"/>
      <c r="C1166" s="48"/>
      <c r="D1166" s="47"/>
      <c r="E1166" s="47"/>
      <c r="F1166" s="31"/>
      <c r="G1166" s="31"/>
      <c r="H1166" s="31"/>
      <c r="I1166" s="47"/>
      <c r="J1166" s="31"/>
      <c r="K1166" s="47"/>
      <c r="L1166" s="47"/>
      <c r="M1166" s="47"/>
      <c r="N1166" s="31"/>
      <c r="O1166" s="47"/>
      <c r="P1166" s="31"/>
      <c r="Q1166" s="31"/>
      <c r="R1166" s="31"/>
      <c r="S1166" s="31"/>
      <c r="T1166" s="270">
        <f t="shared" si="144"/>
        <v>0</v>
      </c>
      <c r="U1166" s="270">
        <f t="shared" si="145"/>
        <v>0</v>
      </c>
      <c r="V1166" s="31"/>
      <c r="X1166" s="240" t="str">
        <f t="shared" si="146"/>
        <v>OK</v>
      </c>
      <c r="Y1166" s="240" t="str">
        <f t="shared" si="147"/>
        <v>OK</v>
      </c>
      <c r="Z1166" s="240" t="str">
        <f t="shared" si="148"/>
        <v>OK</v>
      </c>
      <c r="AA1166" s="240" t="str" cm="1">
        <f t="array" ref="AA1166">IF(OR(AND(J1166="Not accepted",N1166:O1166&lt;&gt;"",$S1166=""),AND(J1166="Accepted",S1166="")),"ERROR","OK")</f>
        <v>OK</v>
      </c>
      <c r="AB1166" s="240" t="str">
        <f t="shared" si="149"/>
        <v>OK</v>
      </c>
      <c r="AC1166" s="240" t="str" cm="1">
        <f t="array" ref="AC1166">IF(AND(F1166:H1166&lt;&gt;"",I1166=""),"ERROR","OK")</f>
        <v>OK</v>
      </c>
      <c r="AD1166" s="240" t="str">
        <f t="shared" si="150"/>
        <v>OK</v>
      </c>
      <c r="AE1166" s="240" t="str">
        <f t="shared" si="151"/>
        <v>OK</v>
      </c>
      <c r="AF1166" s="240" t="str" cm="1">
        <f t="array" aca="1" ref="AF1166" ca="1" xml:space="preserve">
IF(AND($G1166&lt;&gt;"",$F1166=""),"ERROR",
IF(OR($F1166:$G1166="",AND($G1166="",$F1166&lt;&gt;"")),"OK",
IF(COUNTIF(INDIRECT(IFERROR(LEFT($F1166,FIND(" ",$F1166)-1),$F1166)), $G1166)&gt;0, "OK", "ERROR")))</f>
        <v>OK</v>
      </c>
    </row>
    <row r="1167" spans="1:32" s="240" customFormat="1">
      <c r="A1167" s="48"/>
      <c r="B1167" s="31"/>
      <c r="C1167" s="48"/>
      <c r="D1167" s="47"/>
      <c r="E1167" s="47"/>
      <c r="F1167" s="31"/>
      <c r="G1167" s="31"/>
      <c r="H1167" s="31"/>
      <c r="I1167" s="47"/>
      <c r="J1167" s="31"/>
      <c r="K1167" s="47"/>
      <c r="L1167" s="47"/>
      <c r="M1167" s="47"/>
      <c r="N1167" s="31"/>
      <c r="O1167" s="47"/>
      <c r="P1167" s="31"/>
      <c r="Q1167" s="31"/>
      <c r="R1167" s="31"/>
      <c r="S1167" s="31"/>
      <c r="T1167" s="270">
        <f t="shared" si="144"/>
        <v>0</v>
      </c>
      <c r="U1167" s="270">
        <f t="shared" si="145"/>
        <v>0</v>
      </c>
      <c r="V1167" s="31"/>
      <c r="X1167" s="240" t="str">
        <f t="shared" si="146"/>
        <v>OK</v>
      </c>
      <c r="Y1167" s="240" t="str">
        <f t="shared" si="147"/>
        <v>OK</v>
      </c>
      <c r="Z1167" s="240" t="str">
        <f t="shared" si="148"/>
        <v>OK</v>
      </c>
      <c r="AA1167" s="240" t="str" cm="1">
        <f t="array" ref="AA1167">IF(OR(AND(J1167="Not accepted",N1167:O1167&lt;&gt;"",$S1167=""),AND(J1167="Accepted",S1167="")),"ERROR","OK")</f>
        <v>OK</v>
      </c>
      <c r="AB1167" s="240" t="str">
        <f t="shared" si="149"/>
        <v>OK</v>
      </c>
      <c r="AC1167" s="240" t="str" cm="1">
        <f t="array" ref="AC1167">IF(AND(F1167:H1167&lt;&gt;"",I1167=""),"ERROR","OK")</f>
        <v>OK</v>
      </c>
      <c r="AD1167" s="240" t="str">
        <f t="shared" si="150"/>
        <v>OK</v>
      </c>
      <c r="AE1167" s="240" t="str">
        <f t="shared" si="151"/>
        <v>OK</v>
      </c>
      <c r="AF1167" s="240" t="str" cm="1">
        <f t="array" aca="1" ref="AF1167" ca="1" xml:space="preserve">
IF(AND($G1167&lt;&gt;"",$F1167=""),"ERROR",
IF(OR($F1167:$G1167="",AND($G1167="",$F1167&lt;&gt;"")),"OK",
IF(COUNTIF(INDIRECT(IFERROR(LEFT($F1167,FIND(" ",$F1167)-1),$F1167)), $G1167)&gt;0, "OK", "ERROR")))</f>
        <v>OK</v>
      </c>
    </row>
    <row r="1168" spans="1:32" s="240" customFormat="1">
      <c r="A1168" s="48"/>
      <c r="B1168" s="31"/>
      <c r="C1168" s="48"/>
      <c r="D1168" s="47"/>
      <c r="E1168" s="47"/>
      <c r="F1168" s="31"/>
      <c r="G1168" s="31"/>
      <c r="H1168" s="31"/>
      <c r="I1168" s="47"/>
      <c r="J1168" s="31"/>
      <c r="K1168" s="47"/>
      <c r="L1168" s="47"/>
      <c r="M1168" s="47"/>
      <c r="N1168" s="31"/>
      <c r="O1168" s="47"/>
      <c r="P1168" s="31"/>
      <c r="Q1168" s="31"/>
      <c r="R1168" s="31"/>
      <c r="S1168" s="31"/>
      <c r="T1168" s="270">
        <f t="shared" si="144"/>
        <v>0</v>
      </c>
      <c r="U1168" s="270">
        <f t="shared" si="145"/>
        <v>0</v>
      </c>
      <c r="V1168" s="31"/>
      <c r="X1168" s="240" t="str">
        <f t="shared" si="146"/>
        <v>OK</v>
      </c>
      <c r="Y1168" s="240" t="str">
        <f t="shared" si="147"/>
        <v>OK</v>
      </c>
      <c r="Z1168" s="240" t="str">
        <f t="shared" si="148"/>
        <v>OK</v>
      </c>
      <c r="AA1168" s="240" t="str" cm="1">
        <f t="array" ref="AA1168">IF(OR(AND(J1168="Not accepted",N1168:O1168&lt;&gt;"",$S1168=""),AND(J1168="Accepted",S1168="")),"ERROR","OK")</f>
        <v>OK</v>
      </c>
      <c r="AB1168" s="240" t="str">
        <f t="shared" si="149"/>
        <v>OK</v>
      </c>
      <c r="AC1168" s="240" t="str" cm="1">
        <f t="array" ref="AC1168">IF(AND(F1168:H1168&lt;&gt;"",I1168=""),"ERROR","OK")</f>
        <v>OK</v>
      </c>
      <c r="AD1168" s="240" t="str">
        <f t="shared" si="150"/>
        <v>OK</v>
      </c>
      <c r="AE1168" s="240" t="str">
        <f t="shared" si="151"/>
        <v>OK</v>
      </c>
      <c r="AF1168" s="240" t="str" cm="1">
        <f t="array" aca="1" ref="AF1168" ca="1" xml:space="preserve">
IF(AND($G1168&lt;&gt;"",$F1168=""),"ERROR",
IF(OR($F1168:$G1168="",AND($G1168="",$F1168&lt;&gt;"")),"OK",
IF(COUNTIF(INDIRECT(IFERROR(LEFT($F1168,FIND(" ",$F1168)-1),$F1168)), $G1168)&gt;0, "OK", "ERROR")))</f>
        <v>OK</v>
      </c>
    </row>
    <row r="1169" spans="1:32" s="240" customFormat="1">
      <c r="A1169" s="48"/>
      <c r="B1169" s="31"/>
      <c r="C1169" s="48"/>
      <c r="D1169" s="47"/>
      <c r="E1169" s="47"/>
      <c r="F1169" s="31"/>
      <c r="G1169" s="31"/>
      <c r="H1169" s="31"/>
      <c r="I1169" s="47"/>
      <c r="J1169" s="31"/>
      <c r="K1169" s="47"/>
      <c r="L1169" s="47"/>
      <c r="M1169" s="47"/>
      <c r="N1169" s="31"/>
      <c r="O1169" s="47"/>
      <c r="P1169" s="31"/>
      <c r="Q1169" s="31"/>
      <c r="R1169" s="31"/>
      <c r="S1169" s="31"/>
      <c r="T1169" s="270">
        <f t="shared" si="144"/>
        <v>0</v>
      </c>
      <c r="U1169" s="270">
        <f t="shared" si="145"/>
        <v>0</v>
      </c>
      <c r="V1169" s="31"/>
      <c r="X1169" s="240" t="str">
        <f t="shared" si="146"/>
        <v>OK</v>
      </c>
      <c r="Y1169" s="240" t="str">
        <f t="shared" si="147"/>
        <v>OK</v>
      </c>
      <c r="Z1169" s="240" t="str">
        <f t="shared" si="148"/>
        <v>OK</v>
      </c>
      <c r="AA1169" s="240" t="str" cm="1">
        <f t="array" ref="AA1169">IF(OR(AND(J1169="Not accepted",N1169:O1169&lt;&gt;"",$S1169=""),AND(J1169="Accepted",S1169="")),"ERROR","OK")</f>
        <v>OK</v>
      </c>
      <c r="AB1169" s="240" t="str">
        <f t="shared" si="149"/>
        <v>OK</v>
      </c>
      <c r="AC1169" s="240" t="str" cm="1">
        <f t="array" ref="AC1169">IF(AND(F1169:H1169&lt;&gt;"",I1169=""),"ERROR","OK")</f>
        <v>OK</v>
      </c>
      <c r="AD1169" s="240" t="str">
        <f t="shared" si="150"/>
        <v>OK</v>
      </c>
      <c r="AE1169" s="240" t="str">
        <f t="shared" si="151"/>
        <v>OK</v>
      </c>
      <c r="AF1169" s="240" t="str" cm="1">
        <f t="array" aca="1" ref="AF1169" ca="1" xml:space="preserve">
IF(AND($G1169&lt;&gt;"",$F1169=""),"ERROR",
IF(OR($F1169:$G1169="",AND($G1169="",$F1169&lt;&gt;"")),"OK",
IF(COUNTIF(INDIRECT(IFERROR(LEFT($F1169,FIND(" ",$F1169)-1),$F1169)), $G1169)&gt;0, "OK", "ERROR")))</f>
        <v>OK</v>
      </c>
    </row>
    <row r="1170" spans="1:32" s="240" customFormat="1">
      <c r="A1170" s="48"/>
      <c r="B1170" s="31"/>
      <c r="C1170" s="48"/>
      <c r="D1170" s="47"/>
      <c r="E1170" s="47"/>
      <c r="F1170" s="31"/>
      <c r="G1170" s="31"/>
      <c r="H1170" s="31"/>
      <c r="I1170" s="47"/>
      <c r="J1170" s="31"/>
      <c r="K1170" s="47"/>
      <c r="L1170" s="47"/>
      <c r="M1170" s="47"/>
      <c r="N1170" s="31"/>
      <c r="O1170" s="47"/>
      <c r="P1170" s="31"/>
      <c r="Q1170" s="31"/>
      <c r="R1170" s="31"/>
      <c r="S1170" s="31"/>
      <c r="T1170" s="270">
        <f t="shared" si="144"/>
        <v>0</v>
      </c>
      <c r="U1170" s="270">
        <f t="shared" si="145"/>
        <v>0</v>
      </c>
      <c r="V1170" s="31"/>
      <c r="X1170" s="240" t="str">
        <f t="shared" si="146"/>
        <v>OK</v>
      </c>
      <c r="Y1170" s="240" t="str">
        <f t="shared" si="147"/>
        <v>OK</v>
      </c>
      <c r="Z1170" s="240" t="str">
        <f t="shared" si="148"/>
        <v>OK</v>
      </c>
      <c r="AA1170" s="240" t="str" cm="1">
        <f t="array" ref="AA1170">IF(OR(AND(J1170="Not accepted",N1170:O1170&lt;&gt;"",$S1170=""),AND(J1170="Accepted",S1170="")),"ERROR","OK")</f>
        <v>OK</v>
      </c>
      <c r="AB1170" s="240" t="str">
        <f t="shared" si="149"/>
        <v>OK</v>
      </c>
      <c r="AC1170" s="240" t="str" cm="1">
        <f t="array" ref="AC1170">IF(AND(F1170:H1170&lt;&gt;"",I1170=""),"ERROR","OK")</f>
        <v>OK</v>
      </c>
      <c r="AD1170" s="240" t="str">
        <f t="shared" si="150"/>
        <v>OK</v>
      </c>
      <c r="AE1170" s="240" t="str">
        <f t="shared" si="151"/>
        <v>OK</v>
      </c>
      <c r="AF1170" s="240" t="str" cm="1">
        <f t="array" aca="1" ref="AF1170" ca="1" xml:space="preserve">
IF(AND($G1170&lt;&gt;"",$F1170=""),"ERROR",
IF(OR($F1170:$G1170="",AND($G1170="",$F1170&lt;&gt;"")),"OK",
IF(COUNTIF(INDIRECT(IFERROR(LEFT($F1170,FIND(" ",$F1170)-1),$F1170)), $G1170)&gt;0, "OK", "ERROR")))</f>
        <v>OK</v>
      </c>
    </row>
    <row r="1171" spans="1:32" s="240" customFormat="1">
      <c r="A1171" s="48"/>
      <c r="B1171" s="31"/>
      <c r="C1171" s="48"/>
      <c r="D1171" s="47"/>
      <c r="E1171" s="47"/>
      <c r="F1171" s="31"/>
      <c r="G1171" s="31"/>
      <c r="H1171" s="31"/>
      <c r="I1171" s="47"/>
      <c r="J1171" s="31"/>
      <c r="K1171" s="47"/>
      <c r="L1171" s="47"/>
      <c r="M1171" s="47"/>
      <c r="N1171" s="31"/>
      <c r="O1171" s="47"/>
      <c r="P1171" s="31"/>
      <c r="Q1171" s="31"/>
      <c r="R1171" s="31"/>
      <c r="S1171" s="31"/>
      <c r="T1171" s="270">
        <f t="shared" si="144"/>
        <v>0</v>
      </c>
      <c r="U1171" s="270">
        <f t="shared" si="145"/>
        <v>0</v>
      </c>
      <c r="V1171" s="31"/>
      <c r="X1171" s="240" t="str">
        <f t="shared" si="146"/>
        <v>OK</v>
      </c>
      <c r="Y1171" s="240" t="str">
        <f t="shared" si="147"/>
        <v>OK</v>
      </c>
      <c r="Z1171" s="240" t="str">
        <f t="shared" si="148"/>
        <v>OK</v>
      </c>
      <c r="AA1171" s="240" t="str" cm="1">
        <f t="array" ref="AA1171">IF(OR(AND(J1171="Not accepted",N1171:O1171&lt;&gt;"",$S1171=""),AND(J1171="Accepted",S1171="")),"ERROR","OK")</f>
        <v>OK</v>
      </c>
      <c r="AB1171" s="240" t="str">
        <f t="shared" si="149"/>
        <v>OK</v>
      </c>
      <c r="AC1171" s="240" t="str" cm="1">
        <f t="array" ref="AC1171">IF(AND(F1171:H1171&lt;&gt;"",I1171=""),"ERROR","OK")</f>
        <v>OK</v>
      </c>
      <c r="AD1171" s="240" t="str">
        <f t="shared" si="150"/>
        <v>OK</v>
      </c>
      <c r="AE1171" s="240" t="str">
        <f t="shared" si="151"/>
        <v>OK</v>
      </c>
      <c r="AF1171" s="240" t="str" cm="1">
        <f t="array" aca="1" ref="AF1171" ca="1" xml:space="preserve">
IF(AND($G1171&lt;&gt;"",$F1171=""),"ERROR",
IF(OR($F1171:$G1171="",AND($G1171="",$F1171&lt;&gt;"")),"OK",
IF(COUNTIF(INDIRECT(IFERROR(LEFT($F1171,FIND(" ",$F1171)-1),$F1171)), $G1171)&gt;0, "OK", "ERROR")))</f>
        <v>OK</v>
      </c>
    </row>
    <row r="1172" spans="1:32" s="240" customFormat="1">
      <c r="A1172" s="48"/>
      <c r="B1172" s="31"/>
      <c r="C1172" s="48"/>
      <c r="D1172" s="47"/>
      <c r="E1172" s="47"/>
      <c r="F1172" s="31"/>
      <c r="G1172" s="31"/>
      <c r="H1172" s="31"/>
      <c r="I1172" s="47"/>
      <c r="J1172" s="31"/>
      <c r="K1172" s="47"/>
      <c r="L1172" s="47"/>
      <c r="M1172" s="47"/>
      <c r="N1172" s="31"/>
      <c r="O1172" s="47"/>
      <c r="P1172" s="31"/>
      <c r="Q1172" s="31"/>
      <c r="R1172" s="31"/>
      <c r="S1172" s="31"/>
      <c r="T1172" s="270">
        <f t="shared" si="144"/>
        <v>0</v>
      </c>
      <c r="U1172" s="270">
        <f t="shared" si="145"/>
        <v>0</v>
      </c>
      <c r="V1172" s="31"/>
      <c r="X1172" s="240" t="str">
        <f t="shared" si="146"/>
        <v>OK</v>
      </c>
      <c r="Y1172" s="240" t="str">
        <f t="shared" si="147"/>
        <v>OK</v>
      </c>
      <c r="Z1172" s="240" t="str">
        <f t="shared" si="148"/>
        <v>OK</v>
      </c>
      <c r="AA1172" s="240" t="str" cm="1">
        <f t="array" ref="AA1172">IF(OR(AND(J1172="Not accepted",N1172:O1172&lt;&gt;"",$S1172=""),AND(J1172="Accepted",S1172="")),"ERROR","OK")</f>
        <v>OK</v>
      </c>
      <c r="AB1172" s="240" t="str">
        <f t="shared" si="149"/>
        <v>OK</v>
      </c>
      <c r="AC1172" s="240" t="str" cm="1">
        <f t="array" ref="AC1172">IF(AND(F1172:H1172&lt;&gt;"",I1172=""),"ERROR","OK")</f>
        <v>OK</v>
      </c>
      <c r="AD1172" s="240" t="str">
        <f t="shared" si="150"/>
        <v>OK</v>
      </c>
      <c r="AE1172" s="240" t="str">
        <f t="shared" si="151"/>
        <v>OK</v>
      </c>
      <c r="AF1172" s="240" t="str" cm="1">
        <f t="array" aca="1" ref="AF1172" ca="1" xml:space="preserve">
IF(AND($G1172&lt;&gt;"",$F1172=""),"ERROR",
IF(OR($F1172:$G1172="",AND($G1172="",$F1172&lt;&gt;"")),"OK",
IF(COUNTIF(INDIRECT(IFERROR(LEFT($F1172,FIND(" ",$F1172)-1),$F1172)), $G1172)&gt;0, "OK", "ERROR")))</f>
        <v>OK</v>
      </c>
    </row>
    <row r="1173" spans="1:32" s="240" customFormat="1">
      <c r="A1173" s="48"/>
      <c r="B1173" s="31"/>
      <c r="C1173" s="48"/>
      <c r="D1173" s="47"/>
      <c r="E1173" s="47"/>
      <c r="F1173" s="31"/>
      <c r="G1173" s="31"/>
      <c r="H1173" s="31"/>
      <c r="I1173" s="47"/>
      <c r="J1173" s="31"/>
      <c r="K1173" s="47"/>
      <c r="L1173" s="47"/>
      <c r="M1173" s="47"/>
      <c r="N1173" s="31"/>
      <c r="O1173" s="47"/>
      <c r="P1173" s="31"/>
      <c r="Q1173" s="31"/>
      <c r="R1173" s="31"/>
      <c r="S1173" s="31"/>
      <c r="T1173" s="270">
        <f t="shared" si="144"/>
        <v>0</v>
      </c>
      <c r="U1173" s="270">
        <f t="shared" si="145"/>
        <v>0</v>
      </c>
      <c r="V1173" s="31"/>
      <c r="X1173" s="240" t="str">
        <f t="shared" si="146"/>
        <v>OK</v>
      </c>
      <c r="Y1173" s="240" t="str">
        <f t="shared" si="147"/>
        <v>OK</v>
      </c>
      <c r="Z1173" s="240" t="str">
        <f t="shared" si="148"/>
        <v>OK</v>
      </c>
      <c r="AA1173" s="240" t="str" cm="1">
        <f t="array" ref="AA1173">IF(OR(AND(J1173="Not accepted",N1173:O1173&lt;&gt;"",$S1173=""),AND(J1173="Accepted",S1173="")),"ERROR","OK")</f>
        <v>OK</v>
      </c>
      <c r="AB1173" s="240" t="str">
        <f t="shared" si="149"/>
        <v>OK</v>
      </c>
      <c r="AC1173" s="240" t="str" cm="1">
        <f t="array" ref="AC1173">IF(AND(F1173:H1173&lt;&gt;"",I1173=""),"ERROR","OK")</f>
        <v>OK</v>
      </c>
      <c r="AD1173" s="240" t="str">
        <f t="shared" si="150"/>
        <v>OK</v>
      </c>
      <c r="AE1173" s="240" t="str">
        <f t="shared" si="151"/>
        <v>OK</v>
      </c>
      <c r="AF1173" s="240" t="str" cm="1">
        <f t="array" aca="1" ref="AF1173" ca="1" xml:space="preserve">
IF(AND($G1173&lt;&gt;"",$F1173=""),"ERROR",
IF(OR($F1173:$G1173="",AND($G1173="",$F1173&lt;&gt;"")),"OK",
IF(COUNTIF(INDIRECT(IFERROR(LEFT($F1173,FIND(" ",$F1173)-1),$F1173)), $G1173)&gt;0, "OK", "ERROR")))</f>
        <v>OK</v>
      </c>
    </row>
    <row r="1174" spans="1:32" s="240" customFormat="1">
      <c r="A1174" s="48"/>
      <c r="B1174" s="31"/>
      <c r="C1174" s="48"/>
      <c r="D1174" s="47"/>
      <c r="E1174" s="47"/>
      <c r="F1174" s="31"/>
      <c r="G1174" s="31"/>
      <c r="H1174" s="31"/>
      <c r="I1174" s="47"/>
      <c r="J1174" s="31"/>
      <c r="K1174" s="47"/>
      <c r="L1174" s="47"/>
      <c r="M1174" s="47"/>
      <c r="N1174" s="31"/>
      <c r="O1174" s="47"/>
      <c r="P1174" s="31"/>
      <c r="Q1174" s="31"/>
      <c r="R1174" s="31"/>
      <c r="S1174" s="31"/>
      <c r="T1174" s="270">
        <f t="shared" si="144"/>
        <v>0</v>
      </c>
      <c r="U1174" s="270">
        <f t="shared" si="145"/>
        <v>0</v>
      </c>
      <c r="V1174" s="31"/>
      <c r="X1174" s="240" t="str">
        <f t="shared" si="146"/>
        <v>OK</v>
      </c>
      <c r="Y1174" s="240" t="str">
        <f t="shared" si="147"/>
        <v>OK</v>
      </c>
      <c r="Z1174" s="240" t="str">
        <f t="shared" si="148"/>
        <v>OK</v>
      </c>
      <c r="AA1174" s="240" t="str" cm="1">
        <f t="array" ref="AA1174">IF(OR(AND(J1174="Not accepted",N1174:O1174&lt;&gt;"",$S1174=""),AND(J1174="Accepted",S1174="")),"ERROR","OK")</f>
        <v>OK</v>
      </c>
      <c r="AB1174" s="240" t="str">
        <f t="shared" si="149"/>
        <v>OK</v>
      </c>
      <c r="AC1174" s="240" t="str" cm="1">
        <f t="array" ref="AC1174">IF(AND(F1174:H1174&lt;&gt;"",I1174=""),"ERROR","OK")</f>
        <v>OK</v>
      </c>
      <c r="AD1174" s="240" t="str">
        <f t="shared" si="150"/>
        <v>OK</v>
      </c>
      <c r="AE1174" s="240" t="str">
        <f t="shared" si="151"/>
        <v>OK</v>
      </c>
      <c r="AF1174" s="240" t="str" cm="1">
        <f t="array" aca="1" ref="AF1174" ca="1" xml:space="preserve">
IF(AND($G1174&lt;&gt;"",$F1174=""),"ERROR",
IF(OR($F1174:$G1174="",AND($G1174="",$F1174&lt;&gt;"")),"OK",
IF(COUNTIF(INDIRECT(IFERROR(LEFT($F1174,FIND(" ",$F1174)-1),$F1174)), $G1174)&gt;0, "OK", "ERROR")))</f>
        <v>OK</v>
      </c>
    </row>
    <row r="1175" spans="1:32" s="240" customFormat="1">
      <c r="A1175" s="48"/>
      <c r="B1175" s="31"/>
      <c r="C1175" s="48"/>
      <c r="D1175" s="47"/>
      <c r="E1175" s="47"/>
      <c r="F1175" s="31"/>
      <c r="G1175" s="31"/>
      <c r="H1175" s="31"/>
      <c r="I1175" s="47"/>
      <c r="J1175" s="31"/>
      <c r="K1175" s="47"/>
      <c r="L1175" s="47"/>
      <c r="M1175" s="47"/>
      <c r="N1175" s="31"/>
      <c r="O1175" s="47"/>
      <c r="P1175" s="31"/>
      <c r="Q1175" s="31"/>
      <c r="R1175" s="31"/>
      <c r="S1175" s="31"/>
      <c r="T1175" s="270">
        <f t="shared" si="144"/>
        <v>0</v>
      </c>
      <c r="U1175" s="270">
        <f t="shared" si="145"/>
        <v>0</v>
      </c>
      <c r="V1175" s="31"/>
      <c r="X1175" s="240" t="str">
        <f t="shared" si="146"/>
        <v>OK</v>
      </c>
      <c r="Y1175" s="240" t="str">
        <f t="shared" si="147"/>
        <v>OK</v>
      </c>
      <c r="Z1175" s="240" t="str">
        <f t="shared" si="148"/>
        <v>OK</v>
      </c>
      <c r="AA1175" s="240" t="str" cm="1">
        <f t="array" ref="AA1175">IF(OR(AND(J1175="Not accepted",N1175:O1175&lt;&gt;"",$S1175=""),AND(J1175="Accepted",S1175="")),"ERROR","OK")</f>
        <v>OK</v>
      </c>
      <c r="AB1175" s="240" t="str">
        <f t="shared" si="149"/>
        <v>OK</v>
      </c>
      <c r="AC1175" s="240" t="str" cm="1">
        <f t="array" ref="AC1175">IF(AND(F1175:H1175&lt;&gt;"",I1175=""),"ERROR","OK")</f>
        <v>OK</v>
      </c>
      <c r="AD1175" s="240" t="str">
        <f t="shared" si="150"/>
        <v>OK</v>
      </c>
      <c r="AE1175" s="240" t="str">
        <f t="shared" si="151"/>
        <v>OK</v>
      </c>
      <c r="AF1175" s="240" t="str" cm="1">
        <f t="array" aca="1" ref="AF1175" ca="1" xml:space="preserve">
IF(AND($G1175&lt;&gt;"",$F1175=""),"ERROR",
IF(OR($F1175:$G1175="",AND($G1175="",$F1175&lt;&gt;"")),"OK",
IF(COUNTIF(INDIRECT(IFERROR(LEFT($F1175,FIND(" ",$F1175)-1),$F1175)), $G1175)&gt;0, "OK", "ERROR")))</f>
        <v>OK</v>
      </c>
    </row>
    <row r="1176" spans="1:32" s="240" customFormat="1">
      <c r="A1176" s="48"/>
      <c r="B1176" s="31"/>
      <c r="C1176" s="48"/>
      <c r="D1176" s="47"/>
      <c r="E1176" s="47"/>
      <c r="F1176" s="31"/>
      <c r="G1176" s="31"/>
      <c r="H1176" s="31"/>
      <c r="I1176" s="47"/>
      <c r="J1176" s="31"/>
      <c r="K1176" s="47"/>
      <c r="L1176" s="47"/>
      <c r="M1176" s="47"/>
      <c r="N1176" s="31"/>
      <c r="O1176" s="47"/>
      <c r="P1176" s="31"/>
      <c r="Q1176" s="31"/>
      <c r="R1176" s="31"/>
      <c r="S1176" s="31"/>
      <c r="T1176" s="270">
        <f t="shared" si="144"/>
        <v>0</v>
      </c>
      <c r="U1176" s="270">
        <f t="shared" si="145"/>
        <v>0</v>
      </c>
      <c r="V1176" s="31"/>
      <c r="X1176" s="240" t="str">
        <f t="shared" si="146"/>
        <v>OK</v>
      </c>
      <c r="Y1176" s="240" t="str">
        <f t="shared" si="147"/>
        <v>OK</v>
      </c>
      <c r="Z1176" s="240" t="str">
        <f t="shared" si="148"/>
        <v>OK</v>
      </c>
      <c r="AA1176" s="240" t="str" cm="1">
        <f t="array" ref="AA1176">IF(OR(AND(J1176="Not accepted",N1176:O1176&lt;&gt;"",$S1176=""),AND(J1176="Accepted",S1176="")),"ERROR","OK")</f>
        <v>OK</v>
      </c>
      <c r="AB1176" s="240" t="str">
        <f t="shared" si="149"/>
        <v>OK</v>
      </c>
      <c r="AC1176" s="240" t="str" cm="1">
        <f t="array" ref="AC1176">IF(AND(F1176:H1176&lt;&gt;"",I1176=""),"ERROR","OK")</f>
        <v>OK</v>
      </c>
      <c r="AD1176" s="240" t="str">
        <f t="shared" si="150"/>
        <v>OK</v>
      </c>
      <c r="AE1176" s="240" t="str">
        <f t="shared" si="151"/>
        <v>OK</v>
      </c>
      <c r="AF1176" s="240" t="str" cm="1">
        <f t="array" aca="1" ref="AF1176" ca="1" xml:space="preserve">
IF(AND($G1176&lt;&gt;"",$F1176=""),"ERROR",
IF(OR($F1176:$G1176="",AND($G1176="",$F1176&lt;&gt;"")),"OK",
IF(COUNTIF(INDIRECT(IFERROR(LEFT($F1176,FIND(" ",$F1176)-1),$F1176)), $G1176)&gt;0, "OK", "ERROR")))</f>
        <v>OK</v>
      </c>
    </row>
    <row r="1177" spans="1:32" s="240" customFormat="1">
      <c r="A1177" s="48"/>
      <c r="B1177" s="31"/>
      <c r="C1177" s="48"/>
      <c r="D1177" s="47"/>
      <c r="E1177" s="47"/>
      <c r="F1177" s="31"/>
      <c r="G1177" s="31"/>
      <c r="H1177" s="31"/>
      <c r="I1177" s="47"/>
      <c r="J1177" s="31"/>
      <c r="K1177" s="47"/>
      <c r="L1177" s="47"/>
      <c r="M1177" s="47"/>
      <c r="N1177" s="31"/>
      <c r="O1177" s="47"/>
      <c r="P1177" s="31"/>
      <c r="Q1177" s="31"/>
      <c r="R1177" s="31"/>
      <c r="S1177" s="31"/>
      <c r="T1177" s="270">
        <f t="shared" si="144"/>
        <v>0</v>
      </c>
      <c r="U1177" s="270">
        <f t="shared" si="145"/>
        <v>0</v>
      </c>
      <c r="V1177" s="31"/>
      <c r="X1177" s="240" t="str">
        <f t="shared" si="146"/>
        <v>OK</v>
      </c>
      <c r="Y1177" s="240" t="str">
        <f t="shared" si="147"/>
        <v>OK</v>
      </c>
      <c r="Z1177" s="240" t="str">
        <f t="shared" si="148"/>
        <v>OK</v>
      </c>
      <c r="AA1177" s="240" t="str" cm="1">
        <f t="array" ref="AA1177">IF(OR(AND(J1177="Not accepted",N1177:O1177&lt;&gt;"",$S1177=""),AND(J1177="Accepted",S1177="")),"ERROR","OK")</f>
        <v>OK</v>
      </c>
      <c r="AB1177" s="240" t="str">
        <f t="shared" si="149"/>
        <v>OK</v>
      </c>
      <c r="AC1177" s="240" t="str" cm="1">
        <f t="array" ref="AC1177">IF(AND(F1177:H1177&lt;&gt;"",I1177=""),"ERROR","OK")</f>
        <v>OK</v>
      </c>
      <c r="AD1177" s="240" t="str">
        <f t="shared" si="150"/>
        <v>OK</v>
      </c>
      <c r="AE1177" s="240" t="str">
        <f t="shared" si="151"/>
        <v>OK</v>
      </c>
      <c r="AF1177" s="240" t="str" cm="1">
        <f t="array" aca="1" ref="AF1177" ca="1" xml:space="preserve">
IF(AND($G1177&lt;&gt;"",$F1177=""),"ERROR",
IF(OR($F1177:$G1177="",AND($G1177="",$F1177&lt;&gt;"")),"OK",
IF(COUNTIF(INDIRECT(IFERROR(LEFT($F1177,FIND(" ",$F1177)-1),$F1177)), $G1177)&gt;0, "OK", "ERROR")))</f>
        <v>OK</v>
      </c>
    </row>
    <row r="1178" spans="1:32" s="240" customFormat="1">
      <c r="A1178" s="48"/>
      <c r="B1178" s="31"/>
      <c r="C1178" s="48"/>
      <c r="D1178" s="47"/>
      <c r="E1178" s="47"/>
      <c r="F1178" s="31"/>
      <c r="G1178" s="31"/>
      <c r="H1178" s="31"/>
      <c r="I1178" s="47"/>
      <c r="J1178" s="31"/>
      <c r="K1178" s="47"/>
      <c r="L1178" s="47"/>
      <c r="M1178" s="47"/>
      <c r="N1178" s="31"/>
      <c r="O1178" s="47"/>
      <c r="P1178" s="31"/>
      <c r="Q1178" s="31"/>
      <c r="R1178" s="31"/>
      <c r="S1178" s="31"/>
      <c r="T1178" s="270">
        <f t="shared" si="144"/>
        <v>0</v>
      </c>
      <c r="U1178" s="270">
        <f t="shared" si="145"/>
        <v>0</v>
      </c>
      <c r="V1178" s="31"/>
      <c r="X1178" s="240" t="str">
        <f t="shared" si="146"/>
        <v>OK</v>
      </c>
      <c r="Y1178" s="240" t="str">
        <f t="shared" si="147"/>
        <v>OK</v>
      </c>
      <c r="Z1178" s="240" t="str">
        <f t="shared" si="148"/>
        <v>OK</v>
      </c>
      <c r="AA1178" s="240" t="str" cm="1">
        <f t="array" ref="AA1178">IF(OR(AND(J1178="Not accepted",N1178:O1178&lt;&gt;"",$S1178=""),AND(J1178="Accepted",S1178="")),"ERROR","OK")</f>
        <v>OK</v>
      </c>
      <c r="AB1178" s="240" t="str">
        <f t="shared" si="149"/>
        <v>OK</v>
      </c>
      <c r="AC1178" s="240" t="str" cm="1">
        <f t="array" ref="AC1178">IF(AND(F1178:H1178&lt;&gt;"",I1178=""),"ERROR","OK")</f>
        <v>OK</v>
      </c>
      <c r="AD1178" s="240" t="str">
        <f t="shared" si="150"/>
        <v>OK</v>
      </c>
      <c r="AE1178" s="240" t="str">
        <f t="shared" si="151"/>
        <v>OK</v>
      </c>
      <c r="AF1178" s="240" t="str" cm="1">
        <f t="array" aca="1" ref="AF1178" ca="1" xml:space="preserve">
IF(AND($G1178&lt;&gt;"",$F1178=""),"ERROR",
IF(OR($F1178:$G1178="",AND($G1178="",$F1178&lt;&gt;"")),"OK",
IF(COUNTIF(INDIRECT(IFERROR(LEFT($F1178,FIND(" ",$F1178)-1),$F1178)), $G1178)&gt;0, "OK", "ERROR")))</f>
        <v>OK</v>
      </c>
    </row>
    <row r="1179" spans="1:32" s="240" customFormat="1">
      <c r="A1179" s="48"/>
      <c r="B1179" s="31"/>
      <c r="C1179" s="48"/>
      <c r="D1179" s="47"/>
      <c r="E1179" s="47"/>
      <c r="F1179" s="31"/>
      <c r="G1179" s="31"/>
      <c r="H1179" s="31"/>
      <c r="I1179" s="47"/>
      <c r="J1179" s="31"/>
      <c r="K1179" s="47"/>
      <c r="L1179" s="47"/>
      <c r="M1179" s="47"/>
      <c r="N1179" s="31"/>
      <c r="O1179" s="47"/>
      <c r="P1179" s="31"/>
      <c r="Q1179" s="31"/>
      <c r="R1179" s="31"/>
      <c r="S1179" s="31"/>
      <c r="T1179" s="270">
        <f t="shared" si="144"/>
        <v>0</v>
      </c>
      <c r="U1179" s="270">
        <f t="shared" si="145"/>
        <v>0</v>
      </c>
      <c r="V1179" s="31"/>
      <c r="X1179" s="240" t="str">
        <f t="shared" si="146"/>
        <v>OK</v>
      </c>
      <c r="Y1179" s="240" t="str">
        <f t="shared" si="147"/>
        <v>OK</v>
      </c>
      <c r="Z1179" s="240" t="str">
        <f t="shared" si="148"/>
        <v>OK</v>
      </c>
      <c r="AA1179" s="240" t="str" cm="1">
        <f t="array" ref="AA1179">IF(OR(AND(J1179="Not accepted",N1179:O1179&lt;&gt;"",$S1179=""),AND(J1179="Accepted",S1179="")),"ERROR","OK")</f>
        <v>OK</v>
      </c>
      <c r="AB1179" s="240" t="str">
        <f t="shared" si="149"/>
        <v>OK</v>
      </c>
      <c r="AC1179" s="240" t="str" cm="1">
        <f t="array" ref="AC1179">IF(AND(F1179:H1179&lt;&gt;"",I1179=""),"ERROR","OK")</f>
        <v>OK</v>
      </c>
      <c r="AD1179" s="240" t="str">
        <f t="shared" si="150"/>
        <v>OK</v>
      </c>
      <c r="AE1179" s="240" t="str">
        <f t="shared" si="151"/>
        <v>OK</v>
      </c>
      <c r="AF1179" s="240" t="str" cm="1">
        <f t="array" aca="1" ref="AF1179" ca="1" xml:space="preserve">
IF(AND($G1179&lt;&gt;"",$F1179=""),"ERROR",
IF(OR($F1179:$G1179="",AND($G1179="",$F1179&lt;&gt;"")),"OK",
IF(COUNTIF(INDIRECT(IFERROR(LEFT($F1179,FIND(" ",$F1179)-1),$F1179)), $G1179)&gt;0, "OK", "ERROR")))</f>
        <v>OK</v>
      </c>
    </row>
    <row r="1180" spans="1:32" s="240" customFormat="1">
      <c r="A1180" s="48"/>
      <c r="B1180" s="31"/>
      <c r="C1180" s="48"/>
      <c r="D1180" s="47"/>
      <c r="E1180" s="47"/>
      <c r="F1180" s="31"/>
      <c r="G1180" s="31"/>
      <c r="H1180" s="31"/>
      <c r="I1180" s="47"/>
      <c r="J1180" s="31"/>
      <c r="K1180" s="47"/>
      <c r="L1180" s="47"/>
      <c r="M1180" s="47"/>
      <c r="N1180" s="31"/>
      <c r="O1180" s="47"/>
      <c r="P1180" s="31"/>
      <c r="Q1180" s="31"/>
      <c r="R1180" s="31"/>
      <c r="S1180" s="31"/>
      <c r="T1180" s="270">
        <f t="shared" si="144"/>
        <v>0</v>
      </c>
      <c r="U1180" s="270">
        <f t="shared" si="145"/>
        <v>0</v>
      </c>
      <c r="V1180" s="31"/>
      <c r="X1180" s="240" t="str">
        <f t="shared" si="146"/>
        <v>OK</v>
      </c>
      <c r="Y1180" s="240" t="str">
        <f t="shared" si="147"/>
        <v>OK</v>
      </c>
      <c r="Z1180" s="240" t="str">
        <f t="shared" si="148"/>
        <v>OK</v>
      </c>
      <c r="AA1180" s="240" t="str" cm="1">
        <f t="array" ref="AA1180">IF(OR(AND(J1180="Not accepted",N1180:O1180&lt;&gt;"",$S1180=""),AND(J1180="Accepted",S1180="")),"ERROR","OK")</f>
        <v>OK</v>
      </c>
      <c r="AB1180" s="240" t="str">
        <f t="shared" si="149"/>
        <v>OK</v>
      </c>
      <c r="AC1180" s="240" t="str" cm="1">
        <f t="array" ref="AC1180">IF(AND(F1180:H1180&lt;&gt;"",I1180=""),"ERROR","OK")</f>
        <v>OK</v>
      </c>
      <c r="AD1180" s="240" t="str">
        <f t="shared" si="150"/>
        <v>OK</v>
      </c>
      <c r="AE1180" s="240" t="str">
        <f t="shared" si="151"/>
        <v>OK</v>
      </c>
      <c r="AF1180" s="240" t="str" cm="1">
        <f t="array" aca="1" ref="AF1180" ca="1" xml:space="preserve">
IF(AND($G1180&lt;&gt;"",$F1180=""),"ERROR",
IF(OR($F1180:$G1180="",AND($G1180="",$F1180&lt;&gt;"")),"OK",
IF(COUNTIF(INDIRECT(IFERROR(LEFT($F1180,FIND(" ",$F1180)-1),$F1180)), $G1180)&gt;0, "OK", "ERROR")))</f>
        <v>OK</v>
      </c>
    </row>
    <row r="1181" spans="1:32" s="240" customFormat="1">
      <c r="A1181" s="48"/>
      <c r="B1181" s="31"/>
      <c r="C1181" s="48"/>
      <c r="D1181" s="47"/>
      <c r="E1181" s="47"/>
      <c r="F1181" s="31"/>
      <c r="G1181" s="31"/>
      <c r="H1181" s="31"/>
      <c r="I1181" s="47"/>
      <c r="J1181" s="31"/>
      <c r="K1181" s="47"/>
      <c r="L1181" s="47"/>
      <c r="M1181" s="47"/>
      <c r="N1181" s="31"/>
      <c r="O1181" s="47"/>
      <c r="P1181" s="31"/>
      <c r="Q1181" s="31"/>
      <c r="R1181" s="31"/>
      <c r="S1181" s="31"/>
      <c r="T1181" s="270">
        <f t="shared" si="144"/>
        <v>0</v>
      </c>
      <c r="U1181" s="270">
        <f t="shared" si="145"/>
        <v>0</v>
      </c>
      <c r="V1181" s="31"/>
      <c r="X1181" s="240" t="str">
        <f t="shared" si="146"/>
        <v>OK</v>
      </c>
      <c r="Y1181" s="240" t="str">
        <f t="shared" si="147"/>
        <v>OK</v>
      </c>
      <c r="Z1181" s="240" t="str">
        <f t="shared" si="148"/>
        <v>OK</v>
      </c>
      <c r="AA1181" s="240" t="str" cm="1">
        <f t="array" ref="AA1181">IF(OR(AND(J1181="Not accepted",N1181:O1181&lt;&gt;"",$S1181=""),AND(J1181="Accepted",S1181="")),"ERROR","OK")</f>
        <v>OK</v>
      </c>
      <c r="AB1181" s="240" t="str">
        <f t="shared" si="149"/>
        <v>OK</v>
      </c>
      <c r="AC1181" s="240" t="str" cm="1">
        <f t="array" ref="AC1181">IF(AND(F1181:H1181&lt;&gt;"",I1181=""),"ERROR","OK")</f>
        <v>OK</v>
      </c>
      <c r="AD1181" s="240" t="str">
        <f t="shared" si="150"/>
        <v>OK</v>
      </c>
      <c r="AE1181" s="240" t="str">
        <f t="shared" si="151"/>
        <v>OK</v>
      </c>
      <c r="AF1181" s="240" t="str" cm="1">
        <f t="array" aca="1" ref="AF1181" ca="1" xml:space="preserve">
IF(AND($G1181&lt;&gt;"",$F1181=""),"ERROR",
IF(OR($F1181:$G1181="",AND($G1181="",$F1181&lt;&gt;"")),"OK",
IF(COUNTIF(INDIRECT(IFERROR(LEFT($F1181,FIND(" ",$F1181)-1),$F1181)), $G1181)&gt;0, "OK", "ERROR")))</f>
        <v>OK</v>
      </c>
    </row>
    <row r="1182" spans="1:32" s="240" customFormat="1">
      <c r="A1182" s="48"/>
      <c r="B1182" s="31"/>
      <c r="C1182" s="48"/>
      <c r="D1182" s="47"/>
      <c r="E1182" s="47"/>
      <c r="F1182" s="31"/>
      <c r="G1182" s="31"/>
      <c r="H1182" s="31"/>
      <c r="I1182" s="47"/>
      <c r="J1182" s="31"/>
      <c r="K1182" s="47"/>
      <c r="L1182" s="47"/>
      <c r="M1182" s="47"/>
      <c r="N1182" s="31"/>
      <c r="O1182" s="47"/>
      <c r="P1182" s="31"/>
      <c r="Q1182" s="31"/>
      <c r="R1182" s="31"/>
      <c r="S1182" s="31"/>
      <c r="T1182" s="270">
        <f t="shared" si="144"/>
        <v>0</v>
      </c>
      <c r="U1182" s="270">
        <f t="shared" si="145"/>
        <v>0</v>
      </c>
      <c r="V1182" s="31"/>
      <c r="X1182" s="240" t="str">
        <f t="shared" si="146"/>
        <v>OK</v>
      </c>
      <c r="Y1182" s="240" t="str">
        <f t="shared" si="147"/>
        <v>OK</v>
      </c>
      <c r="Z1182" s="240" t="str">
        <f t="shared" si="148"/>
        <v>OK</v>
      </c>
      <c r="AA1182" s="240" t="str" cm="1">
        <f t="array" ref="AA1182">IF(OR(AND(J1182="Not accepted",N1182:O1182&lt;&gt;"",$S1182=""),AND(J1182="Accepted",S1182="")),"ERROR","OK")</f>
        <v>OK</v>
      </c>
      <c r="AB1182" s="240" t="str">
        <f t="shared" si="149"/>
        <v>OK</v>
      </c>
      <c r="AC1182" s="240" t="str" cm="1">
        <f t="array" ref="AC1182">IF(AND(F1182:H1182&lt;&gt;"",I1182=""),"ERROR","OK")</f>
        <v>OK</v>
      </c>
      <c r="AD1182" s="240" t="str">
        <f t="shared" si="150"/>
        <v>OK</v>
      </c>
      <c r="AE1182" s="240" t="str">
        <f t="shared" si="151"/>
        <v>OK</v>
      </c>
      <c r="AF1182" s="240" t="str" cm="1">
        <f t="array" aca="1" ref="AF1182" ca="1" xml:space="preserve">
IF(AND($G1182&lt;&gt;"",$F1182=""),"ERROR",
IF(OR($F1182:$G1182="",AND($G1182="",$F1182&lt;&gt;"")),"OK",
IF(COUNTIF(INDIRECT(IFERROR(LEFT($F1182,FIND(" ",$F1182)-1),$F1182)), $G1182)&gt;0, "OK", "ERROR")))</f>
        <v>OK</v>
      </c>
    </row>
    <row r="1183" spans="1:32" s="240" customFormat="1">
      <c r="A1183" s="48"/>
      <c r="B1183" s="31"/>
      <c r="C1183" s="48"/>
      <c r="D1183" s="47"/>
      <c r="E1183" s="47"/>
      <c r="F1183" s="31"/>
      <c r="G1183" s="31"/>
      <c r="H1183" s="31"/>
      <c r="I1183" s="47"/>
      <c r="J1183" s="31"/>
      <c r="K1183" s="47"/>
      <c r="L1183" s="47"/>
      <c r="M1183" s="47"/>
      <c r="N1183" s="31"/>
      <c r="O1183" s="47"/>
      <c r="P1183" s="31"/>
      <c r="Q1183" s="31"/>
      <c r="R1183" s="31"/>
      <c r="S1183" s="31"/>
      <c r="T1183" s="270">
        <f t="shared" si="144"/>
        <v>0</v>
      </c>
      <c r="U1183" s="270">
        <f t="shared" si="145"/>
        <v>0</v>
      </c>
      <c r="V1183" s="31"/>
      <c r="X1183" s="240" t="str">
        <f t="shared" si="146"/>
        <v>OK</v>
      </c>
      <c r="Y1183" s="240" t="str">
        <f t="shared" si="147"/>
        <v>OK</v>
      </c>
      <c r="Z1183" s="240" t="str">
        <f t="shared" si="148"/>
        <v>OK</v>
      </c>
      <c r="AA1183" s="240" t="str" cm="1">
        <f t="array" ref="AA1183">IF(OR(AND(J1183="Not accepted",N1183:O1183&lt;&gt;"",$S1183=""),AND(J1183="Accepted",S1183="")),"ERROR","OK")</f>
        <v>OK</v>
      </c>
      <c r="AB1183" s="240" t="str">
        <f t="shared" si="149"/>
        <v>OK</v>
      </c>
      <c r="AC1183" s="240" t="str" cm="1">
        <f t="array" ref="AC1183">IF(AND(F1183:H1183&lt;&gt;"",I1183=""),"ERROR","OK")</f>
        <v>OK</v>
      </c>
      <c r="AD1183" s="240" t="str">
        <f t="shared" si="150"/>
        <v>OK</v>
      </c>
      <c r="AE1183" s="240" t="str">
        <f t="shared" si="151"/>
        <v>OK</v>
      </c>
      <c r="AF1183" s="240" t="str" cm="1">
        <f t="array" aca="1" ref="AF1183" ca="1" xml:space="preserve">
IF(AND($G1183&lt;&gt;"",$F1183=""),"ERROR",
IF(OR($F1183:$G1183="",AND($G1183="",$F1183&lt;&gt;"")),"OK",
IF(COUNTIF(INDIRECT(IFERROR(LEFT($F1183,FIND(" ",$F1183)-1),$F1183)), $G1183)&gt;0, "OK", "ERROR")))</f>
        <v>OK</v>
      </c>
    </row>
    <row r="1184" spans="1:32" s="240" customFormat="1">
      <c r="A1184" s="48"/>
      <c r="B1184" s="31"/>
      <c r="C1184" s="48"/>
      <c r="D1184" s="47"/>
      <c r="E1184" s="47"/>
      <c r="F1184" s="31"/>
      <c r="G1184" s="31"/>
      <c r="H1184" s="31"/>
      <c r="I1184" s="47"/>
      <c r="J1184" s="31"/>
      <c r="K1184" s="47"/>
      <c r="L1184" s="47"/>
      <c r="M1184" s="47"/>
      <c r="N1184" s="31"/>
      <c r="O1184" s="47"/>
      <c r="P1184" s="31"/>
      <c r="Q1184" s="31"/>
      <c r="R1184" s="31"/>
      <c r="S1184" s="31"/>
      <c r="T1184" s="270">
        <f t="shared" si="144"/>
        <v>0</v>
      </c>
      <c r="U1184" s="270">
        <f t="shared" si="145"/>
        <v>0</v>
      </c>
      <c r="V1184" s="31"/>
      <c r="X1184" s="240" t="str">
        <f t="shared" si="146"/>
        <v>OK</v>
      </c>
      <c r="Y1184" s="240" t="str">
        <f t="shared" si="147"/>
        <v>OK</v>
      </c>
      <c r="Z1184" s="240" t="str">
        <f t="shared" si="148"/>
        <v>OK</v>
      </c>
      <c r="AA1184" s="240" t="str" cm="1">
        <f t="array" ref="AA1184">IF(OR(AND(J1184="Not accepted",N1184:O1184&lt;&gt;"",$S1184=""),AND(J1184="Accepted",S1184="")),"ERROR","OK")</f>
        <v>OK</v>
      </c>
      <c r="AB1184" s="240" t="str">
        <f t="shared" si="149"/>
        <v>OK</v>
      </c>
      <c r="AC1184" s="240" t="str" cm="1">
        <f t="array" ref="AC1184">IF(AND(F1184:H1184&lt;&gt;"",I1184=""),"ERROR","OK")</f>
        <v>OK</v>
      </c>
      <c r="AD1184" s="240" t="str">
        <f t="shared" si="150"/>
        <v>OK</v>
      </c>
      <c r="AE1184" s="240" t="str">
        <f t="shared" si="151"/>
        <v>OK</v>
      </c>
      <c r="AF1184" s="240" t="str" cm="1">
        <f t="array" aca="1" ref="AF1184" ca="1" xml:space="preserve">
IF(AND($G1184&lt;&gt;"",$F1184=""),"ERROR",
IF(OR($F1184:$G1184="",AND($G1184="",$F1184&lt;&gt;"")),"OK",
IF(COUNTIF(INDIRECT(IFERROR(LEFT($F1184,FIND(" ",$F1184)-1),$F1184)), $G1184)&gt;0, "OK", "ERROR")))</f>
        <v>OK</v>
      </c>
    </row>
    <row r="1185" spans="1:32" s="240" customFormat="1">
      <c r="A1185" s="48"/>
      <c r="B1185" s="31"/>
      <c r="C1185" s="48"/>
      <c r="D1185" s="47"/>
      <c r="E1185" s="47"/>
      <c r="F1185" s="31"/>
      <c r="G1185" s="31"/>
      <c r="H1185" s="31"/>
      <c r="I1185" s="47"/>
      <c r="J1185" s="31"/>
      <c r="K1185" s="47"/>
      <c r="L1185" s="47"/>
      <c r="M1185" s="47"/>
      <c r="N1185" s="31"/>
      <c r="O1185" s="47"/>
      <c r="P1185" s="31"/>
      <c r="Q1185" s="31"/>
      <c r="R1185" s="31"/>
      <c r="S1185" s="31"/>
      <c r="T1185" s="270">
        <f t="shared" si="144"/>
        <v>0</v>
      </c>
      <c r="U1185" s="270">
        <f t="shared" si="145"/>
        <v>0</v>
      </c>
      <c r="V1185" s="31"/>
      <c r="X1185" s="240" t="str">
        <f t="shared" si="146"/>
        <v>OK</v>
      </c>
      <c r="Y1185" s="240" t="str">
        <f t="shared" si="147"/>
        <v>OK</v>
      </c>
      <c r="Z1185" s="240" t="str">
        <f t="shared" si="148"/>
        <v>OK</v>
      </c>
      <c r="AA1185" s="240" t="str" cm="1">
        <f t="array" ref="AA1185">IF(OR(AND(J1185="Not accepted",N1185:O1185&lt;&gt;"",$S1185=""),AND(J1185="Accepted",S1185="")),"ERROR","OK")</f>
        <v>OK</v>
      </c>
      <c r="AB1185" s="240" t="str">
        <f t="shared" si="149"/>
        <v>OK</v>
      </c>
      <c r="AC1185" s="240" t="str" cm="1">
        <f t="array" ref="AC1185">IF(AND(F1185:H1185&lt;&gt;"",I1185=""),"ERROR","OK")</f>
        <v>OK</v>
      </c>
      <c r="AD1185" s="240" t="str">
        <f t="shared" si="150"/>
        <v>OK</v>
      </c>
      <c r="AE1185" s="240" t="str">
        <f t="shared" si="151"/>
        <v>OK</v>
      </c>
      <c r="AF1185" s="240" t="str" cm="1">
        <f t="array" aca="1" ref="AF1185" ca="1" xml:space="preserve">
IF(AND($G1185&lt;&gt;"",$F1185=""),"ERROR",
IF(OR($F1185:$G1185="",AND($G1185="",$F1185&lt;&gt;"")),"OK",
IF(COUNTIF(INDIRECT(IFERROR(LEFT($F1185,FIND(" ",$F1185)-1),$F1185)), $G1185)&gt;0, "OK", "ERROR")))</f>
        <v>OK</v>
      </c>
    </row>
    <row r="1186" spans="1:32" s="240" customFormat="1">
      <c r="A1186" s="48"/>
      <c r="B1186" s="31"/>
      <c r="C1186" s="48"/>
      <c r="D1186" s="47"/>
      <c r="E1186" s="47"/>
      <c r="F1186" s="31"/>
      <c r="G1186" s="31"/>
      <c r="H1186" s="31"/>
      <c r="I1186" s="47"/>
      <c r="J1186" s="31"/>
      <c r="K1186" s="47"/>
      <c r="L1186" s="47"/>
      <c r="M1186" s="47"/>
      <c r="N1186" s="31"/>
      <c r="O1186" s="47"/>
      <c r="P1186" s="31"/>
      <c r="Q1186" s="31"/>
      <c r="R1186" s="31"/>
      <c r="S1186" s="31"/>
      <c r="T1186" s="270">
        <f t="shared" si="144"/>
        <v>0</v>
      </c>
      <c r="U1186" s="270">
        <f t="shared" si="145"/>
        <v>0</v>
      </c>
      <c r="V1186" s="31"/>
      <c r="X1186" s="240" t="str">
        <f t="shared" si="146"/>
        <v>OK</v>
      </c>
      <c r="Y1186" s="240" t="str">
        <f t="shared" si="147"/>
        <v>OK</v>
      </c>
      <c r="Z1186" s="240" t="str">
        <f t="shared" si="148"/>
        <v>OK</v>
      </c>
      <c r="AA1186" s="240" t="str" cm="1">
        <f t="array" ref="AA1186">IF(OR(AND(J1186="Not accepted",N1186:O1186&lt;&gt;"",$S1186=""),AND(J1186="Accepted",S1186="")),"ERROR","OK")</f>
        <v>OK</v>
      </c>
      <c r="AB1186" s="240" t="str">
        <f t="shared" si="149"/>
        <v>OK</v>
      </c>
      <c r="AC1186" s="240" t="str" cm="1">
        <f t="array" ref="AC1186">IF(AND(F1186:H1186&lt;&gt;"",I1186=""),"ERROR","OK")</f>
        <v>OK</v>
      </c>
      <c r="AD1186" s="240" t="str">
        <f t="shared" si="150"/>
        <v>OK</v>
      </c>
      <c r="AE1186" s="240" t="str">
        <f t="shared" si="151"/>
        <v>OK</v>
      </c>
      <c r="AF1186" s="240" t="str" cm="1">
        <f t="array" aca="1" ref="AF1186" ca="1" xml:space="preserve">
IF(AND($G1186&lt;&gt;"",$F1186=""),"ERROR",
IF(OR($F1186:$G1186="",AND($G1186="",$F1186&lt;&gt;"")),"OK",
IF(COUNTIF(INDIRECT(IFERROR(LEFT($F1186,FIND(" ",$F1186)-1),$F1186)), $G1186)&gt;0, "OK", "ERROR")))</f>
        <v>OK</v>
      </c>
    </row>
    <row r="1187" spans="1:32" s="240" customFormat="1">
      <c r="A1187" s="48"/>
      <c r="B1187" s="31"/>
      <c r="C1187" s="48"/>
      <c r="D1187" s="47"/>
      <c r="E1187" s="47"/>
      <c r="F1187" s="31"/>
      <c r="G1187" s="31"/>
      <c r="H1187" s="31"/>
      <c r="I1187" s="47"/>
      <c r="J1187" s="31"/>
      <c r="K1187" s="47"/>
      <c r="L1187" s="47"/>
      <c r="M1187" s="47"/>
      <c r="N1187" s="31"/>
      <c r="O1187" s="47"/>
      <c r="P1187" s="31"/>
      <c r="Q1187" s="31"/>
      <c r="R1187" s="31"/>
      <c r="S1187" s="31"/>
      <c r="T1187" s="270">
        <f t="shared" si="144"/>
        <v>0</v>
      </c>
      <c r="U1187" s="270">
        <f t="shared" si="145"/>
        <v>0</v>
      </c>
      <c r="V1187" s="31"/>
      <c r="X1187" s="240" t="str">
        <f t="shared" si="146"/>
        <v>OK</v>
      </c>
      <c r="Y1187" s="240" t="str">
        <f t="shared" si="147"/>
        <v>OK</v>
      </c>
      <c r="Z1187" s="240" t="str">
        <f t="shared" si="148"/>
        <v>OK</v>
      </c>
      <c r="AA1187" s="240" t="str" cm="1">
        <f t="array" ref="AA1187">IF(OR(AND(J1187="Not accepted",N1187:O1187&lt;&gt;"",$S1187=""),AND(J1187="Accepted",S1187="")),"ERROR","OK")</f>
        <v>OK</v>
      </c>
      <c r="AB1187" s="240" t="str">
        <f t="shared" si="149"/>
        <v>OK</v>
      </c>
      <c r="AC1187" s="240" t="str" cm="1">
        <f t="array" ref="AC1187">IF(AND(F1187:H1187&lt;&gt;"",I1187=""),"ERROR","OK")</f>
        <v>OK</v>
      </c>
      <c r="AD1187" s="240" t="str">
        <f t="shared" si="150"/>
        <v>OK</v>
      </c>
      <c r="AE1187" s="240" t="str">
        <f t="shared" si="151"/>
        <v>OK</v>
      </c>
      <c r="AF1187" s="240" t="str" cm="1">
        <f t="array" aca="1" ref="AF1187" ca="1" xml:space="preserve">
IF(AND($G1187&lt;&gt;"",$F1187=""),"ERROR",
IF(OR($F1187:$G1187="",AND($G1187="",$F1187&lt;&gt;"")),"OK",
IF(COUNTIF(INDIRECT(IFERROR(LEFT($F1187,FIND(" ",$F1187)-1),$F1187)), $G1187)&gt;0, "OK", "ERROR")))</f>
        <v>OK</v>
      </c>
    </row>
    <row r="1188" spans="1:32" s="240" customFormat="1">
      <c r="A1188" s="48"/>
      <c r="B1188" s="31"/>
      <c r="C1188" s="48"/>
      <c r="D1188" s="47"/>
      <c r="E1188" s="47"/>
      <c r="F1188" s="31"/>
      <c r="G1188" s="31"/>
      <c r="H1188" s="31"/>
      <c r="I1188" s="47"/>
      <c r="J1188" s="31"/>
      <c r="K1188" s="47"/>
      <c r="L1188" s="47"/>
      <c r="M1188" s="47"/>
      <c r="N1188" s="31"/>
      <c r="O1188" s="47"/>
      <c r="P1188" s="31"/>
      <c r="Q1188" s="31"/>
      <c r="R1188" s="31"/>
      <c r="S1188" s="31"/>
      <c r="T1188" s="270">
        <f t="shared" si="144"/>
        <v>0</v>
      </c>
      <c r="U1188" s="270">
        <f t="shared" si="145"/>
        <v>0</v>
      </c>
      <c r="V1188" s="31"/>
      <c r="X1188" s="240" t="str">
        <f t="shared" si="146"/>
        <v>OK</v>
      </c>
      <c r="Y1188" s="240" t="str">
        <f t="shared" si="147"/>
        <v>OK</v>
      </c>
      <c r="Z1188" s="240" t="str">
        <f t="shared" si="148"/>
        <v>OK</v>
      </c>
      <c r="AA1188" s="240" t="str" cm="1">
        <f t="array" ref="AA1188">IF(OR(AND(J1188="Not accepted",N1188:O1188&lt;&gt;"",$S1188=""),AND(J1188="Accepted",S1188="")),"ERROR","OK")</f>
        <v>OK</v>
      </c>
      <c r="AB1188" s="240" t="str">
        <f t="shared" si="149"/>
        <v>OK</v>
      </c>
      <c r="AC1188" s="240" t="str" cm="1">
        <f t="array" ref="AC1188">IF(AND(F1188:H1188&lt;&gt;"",I1188=""),"ERROR","OK")</f>
        <v>OK</v>
      </c>
      <c r="AD1188" s="240" t="str">
        <f t="shared" si="150"/>
        <v>OK</v>
      </c>
      <c r="AE1188" s="240" t="str">
        <f t="shared" si="151"/>
        <v>OK</v>
      </c>
      <c r="AF1188" s="240" t="str" cm="1">
        <f t="array" aca="1" ref="AF1188" ca="1" xml:space="preserve">
IF(AND($G1188&lt;&gt;"",$F1188=""),"ERROR",
IF(OR($F1188:$G1188="",AND($G1188="",$F1188&lt;&gt;"")),"OK",
IF(COUNTIF(INDIRECT(IFERROR(LEFT($F1188,FIND(" ",$F1188)-1),$F1188)), $G1188)&gt;0, "OK", "ERROR")))</f>
        <v>OK</v>
      </c>
    </row>
    <row r="1189" spans="1:32" s="240" customFormat="1">
      <c r="A1189" s="48"/>
      <c r="B1189" s="31"/>
      <c r="C1189" s="48"/>
      <c r="D1189" s="47"/>
      <c r="E1189" s="47"/>
      <c r="F1189" s="31"/>
      <c r="G1189" s="31"/>
      <c r="H1189" s="31"/>
      <c r="I1189" s="47"/>
      <c r="J1189" s="31"/>
      <c r="K1189" s="47"/>
      <c r="L1189" s="47"/>
      <c r="M1189" s="47"/>
      <c r="N1189" s="31"/>
      <c r="O1189" s="47"/>
      <c r="P1189" s="31"/>
      <c r="Q1189" s="31"/>
      <c r="R1189" s="31"/>
      <c r="S1189" s="31"/>
      <c r="T1189" s="270">
        <f t="shared" si="144"/>
        <v>0</v>
      </c>
      <c r="U1189" s="270">
        <f t="shared" si="145"/>
        <v>0</v>
      </c>
      <c r="V1189" s="31"/>
      <c r="X1189" s="240" t="str">
        <f t="shared" si="146"/>
        <v>OK</v>
      </c>
      <c r="Y1189" s="240" t="str">
        <f t="shared" si="147"/>
        <v>OK</v>
      </c>
      <c r="Z1189" s="240" t="str">
        <f t="shared" si="148"/>
        <v>OK</v>
      </c>
      <c r="AA1189" s="240" t="str" cm="1">
        <f t="array" ref="AA1189">IF(OR(AND(J1189="Not accepted",N1189:O1189&lt;&gt;"",$S1189=""),AND(J1189="Accepted",S1189="")),"ERROR","OK")</f>
        <v>OK</v>
      </c>
      <c r="AB1189" s="240" t="str">
        <f t="shared" si="149"/>
        <v>OK</v>
      </c>
      <c r="AC1189" s="240" t="str" cm="1">
        <f t="array" ref="AC1189">IF(AND(F1189:H1189&lt;&gt;"",I1189=""),"ERROR","OK")</f>
        <v>OK</v>
      </c>
      <c r="AD1189" s="240" t="str">
        <f t="shared" si="150"/>
        <v>OK</v>
      </c>
      <c r="AE1189" s="240" t="str">
        <f t="shared" si="151"/>
        <v>OK</v>
      </c>
      <c r="AF1189" s="240" t="str" cm="1">
        <f t="array" aca="1" ref="AF1189" ca="1" xml:space="preserve">
IF(AND($G1189&lt;&gt;"",$F1189=""),"ERROR",
IF(OR($F1189:$G1189="",AND($G1189="",$F1189&lt;&gt;"")),"OK",
IF(COUNTIF(INDIRECT(IFERROR(LEFT($F1189,FIND(" ",$F1189)-1),$F1189)), $G1189)&gt;0, "OK", "ERROR")))</f>
        <v>OK</v>
      </c>
    </row>
    <row r="1190" spans="1:32" s="240" customFormat="1">
      <c r="A1190" s="48"/>
      <c r="B1190" s="31"/>
      <c r="C1190" s="48"/>
      <c r="D1190" s="47"/>
      <c r="E1190" s="47"/>
      <c r="F1190" s="31"/>
      <c r="G1190" s="31"/>
      <c r="H1190" s="31"/>
      <c r="I1190" s="47"/>
      <c r="J1190" s="31"/>
      <c r="K1190" s="47"/>
      <c r="L1190" s="47"/>
      <c r="M1190" s="47"/>
      <c r="N1190" s="31"/>
      <c r="O1190" s="47"/>
      <c r="P1190" s="31"/>
      <c r="Q1190" s="31"/>
      <c r="R1190" s="31"/>
      <c r="S1190" s="31"/>
      <c r="T1190" s="270">
        <f t="shared" si="144"/>
        <v>0</v>
      </c>
      <c r="U1190" s="270">
        <f t="shared" si="145"/>
        <v>0</v>
      </c>
      <c r="V1190" s="31"/>
      <c r="X1190" s="240" t="str">
        <f t="shared" si="146"/>
        <v>OK</v>
      </c>
      <c r="Y1190" s="240" t="str">
        <f t="shared" si="147"/>
        <v>OK</v>
      </c>
      <c r="Z1190" s="240" t="str">
        <f t="shared" si="148"/>
        <v>OK</v>
      </c>
      <c r="AA1190" s="240" t="str" cm="1">
        <f t="array" ref="AA1190">IF(OR(AND(J1190="Not accepted",N1190:O1190&lt;&gt;"",$S1190=""),AND(J1190="Accepted",S1190="")),"ERROR","OK")</f>
        <v>OK</v>
      </c>
      <c r="AB1190" s="240" t="str">
        <f t="shared" si="149"/>
        <v>OK</v>
      </c>
      <c r="AC1190" s="240" t="str" cm="1">
        <f t="array" ref="AC1190">IF(AND(F1190:H1190&lt;&gt;"",I1190=""),"ERROR","OK")</f>
        <v>OK</v>
      </c>
      <c r="AD1190" s="240" t="str">
        <f t="shared" si="150"/>
        <v>OK</v>
      </c>
      <c r="AE1190" s="240" t="str">
        <f t="shared" si="151"/>
        <v>OK</v>
      </c>
      <c r="AF1190" s="240" t="str" cm="1">
        <f t="array" aca="1" ref="AF1190" ca="1" xml:space="preserve">
IF(AND($G1190&lt;&gt;"",$F1190=""),"ERROR",
IF(OR($F1190:$G1190="",AND($G1190="",$F1190&lt;&gt;"")),"OK",
IF(COUNTIF(INDIRECT(IFERROR(LEFT($F1190,FIND(" ",$F1190)-1),$F1190)), $G1190)&gt;0, "OK", "ERROR")))</f>
        <v>OK</v>
      </c>
    </row>
    <row r="1191" spans="1:32" s="240" customFormat="1">
      <c r="A1191" s="48"/>
      <c r="B1191" s="31"/>
      <c r="C1191" s="48"/>
      <c r="D1191" s="47"/>
      <c r="E1191" s="47"/>
      <c r="F1191" s="31"/>
      <c r="G1191" s="31"/>
      <c r="H1191" s="31"/>
      <c r="I1191" s="47"/>
      <c r="J1191" s="31"/>
      <c r="K1191" s="47"/>
      <c r="L1191" s="47"/>
      <c r="M1191" s="47"/>
      <c r="N1191" s="31"/>
      <c r="O1191" s="47"/>
      <c r="P1191" s="31"/>
      <c r="Q1191" s="31"/>
      <c r="R1191" s="31"/>
      <c r="S1191" s="31"/>
      <c r="T1191" s="270">
        <f t="shared" si="144"/>
        <v>0</v>
      </c>
      <c r="U1191" s="270">
        <f t="shared" si="145"/>
        <v>0</v>
      </c>
      <c r="V1191" s="31"/>
      <c r="X1191" s="240" t="str">
        <f t="shared" si="146"/>
        <v>OK</v>
      </c>
      <c r="Y1191" s="240" t="str">
        <f t="shared" si="147"/>
        <v>OK</v>
      </c>
      <c r="Z1191" s="240" t="str">
        <f t="shared" si="148"/>
        <v>OK</v>
      </c>
      <c r="AA1191" s="240" t="str" cm="1">
        <f t="array" ref="AA1191">IF(OR(AND(J1191="Not accepted",N1191:O1191&lt;&gt;"",$S1191=""),AND(J1191="Accepted",S1191="")),"ERROR","OK")</f>
        <v>OK</v>
      </c>
      <c r="AB1191" s="240" t="str">
        <f t="shared" si="149"/>
        <v>OK</v>
      </c>
      <c r="AC1191" s="240" t="str" cm="1">
        <f t="array" ref="AC1191">IF(AND(F1191:H1191&lt;&gt;"",I1191=""),"ERROR","OK")</f>
        <v>OK</v>
      </c>
      <c r="AD1191" s="240" t="str">
        <f t="shared" si="150"/>
        <v>OK</v>
      </c>
      <c r="AE1191" s="240" t="str">
        <f t="shared" si="151"/>
        <v>OK</v>
      </c>
      <c r="AF1191" s="240" t="str" cm="1">
        <f t="array" aca="1" ref="AF1191" ca="1" xml:space="preserve">
IF(AND($G1191&lt;&gt;"",$F1191=""),"ERROR",
IF(OR($F1191:$G1191="",AND($G1191="",$F1191&lt;&gt;"")),"OK",
IF(COUNTIF(INDIRECT(IFERROR(LEFT($F1191,FIND(" ",$F1191)-1),$F1191)), $G1191)&gt;0, "OK", "ERROR")))</f>
        <v>OK</v>
      </c>
    </row>
    <row r="1192" spans="1:32" s="240" customFormat="1">
      <c r="A1192" s="48"/>
      <c r="B1192" s="31"/>
      <c r="C1192" s="48"/>
      <c r="D1192" s="47"/>
      <c r="E1192" s="47"/>
      <c r="F1192" s="31"/>
      <c r="G1192" s="31"/>
      <c r="H1192" s="31"/>
      <c r="I1192" s="47"/>
      <c r="J1192" s="31"/>
      <c r="K1192" s="47"/>
      <c r="L1192" s="47"/>
      <c r="M1192" s="47"/>
      <c r="N1192" s="31"/>
      <c r="O1192" s="47"/>
      <c r="P1192" s="31"/>
      <c r="Q1192" s="31"/>
      <c r="R1192" s="31"/>
      <c r="S1192" s="31"/>
      <c r="T1192" s="270">
        <f t="shared" si="144"/>
        <v>0</v>
      </c>
      <c r="U1192" s="270">
        <f t="shared" si="145"/>
        <v>0</v>
      </c>
      <c r="V1192" s="31"/>
      <c r="X1192" s="240" t="str">
        <f t="shared" si="146"/>
        <v>OK</v>
      </c>
      <c r="Y1192" s="240" t="str">
        <f t="shared" si="147"/>
        <v>OK</v>
      </c>
      <c r="Z1192" s="240" t="str">
        <f t="shared" si="148"/>
        <v>OK</v>
      </c>
      <c r="AA1192" s="240" t="str" cm="1">
        <f t="array" ref="AA1192">IF(OR(AND(J1192="Not accepted",N1192:O1192&lt;&gt;"",$S1192=""),AND(J1192="Accepted",S1192="")),"ERROR","OK")</f>
        <v>OK</v>
      </c>
      <c r="AB1192" s="240" t="str">
        <f t="shared" si="149"/>
        <v>OK</v>
      </c>
      <c r="AC1192" s="240" t="str" cm="1">
        <f t="array" ref="AC1192">IF(AND(F1192:H1192&lt;&gt;"",I1192=""),"ERROR","OK")</f>
        <v>OK</v>
      </c>
      <c r="AD1192" s="240" t="str">
        <f t="shared" si="150"/>
        <v>OK</v>
      </c>
      <c r="AE1192" s="240" t="str">
        <f t="shared" si="151"/>
        <v>OK</v>
      </c>
      <c r="AF1192" s="240" t="str" cm="1">
        <f t="array" aca="1" ref="AF1192" ca="1" xml:space="preserve">
IF(AND($G1192&lt;&gt;"",$F1192=""),"ERROR",
IF(OR($F1192:$G1192="",AND($G1192="",$F1192&lt;&gt;"")),"OK",
IF(COUNTIF(INDIRECT(IFERROR(LEFT($F1192,FIND(" ",$F1192)-1),$F1192)), $G1192)&gt;0, "OK", "ERROR")))</f>
        <v>OK</v>
      </c>
    </row>
    <row r="1193" spans="1:32" s="240" customFormat="1">
      <c r="A1193" s="48"/>
      <c r="B1193" s="31"/>
      <c r="C1193" s="48"/>
      <c r="D1193" s="47"/>
      <c r="E1193" s="47"/>
      <c r="F1193" s="31"/>
      <c r="G1193" s="31"/>
      <c r="H1193" s="31"/>
      <c r="I1193" s="47"/>
      <c r="J1193" s="31"/>
      <c r="K1193" s="47"/>
      <c r="L1193" s="47"/>
      <c r="M1193" s="47"/>
      <c r="N1193" s="31"/>
      <c r="O1193" s="47"/>
      <c r="P1193" s="31"/>
      <c r="Q1193" s="31"/>
      <c r="R1193" s="31"/>
      <c r="S1193" s="31"/>
      <c r="T1193" s="270">
        <f t="shared" si="144"/>
        <v>0</v>
      </c>
      <c r="U1193" s="270">
        <f t="shared" si="145"/>
        <v>0</v>
      </c>
      <c r="V1193" s="31"/>
      <c r="X1193" s="240" t="str">
        <f t="shared" si="146"/>
        <v>OK</v>
      </c>
      <c r="Y1193" s="240" t="str">
        <f t="shared" si="147"/>
        <v>OK</v>
      </c>
      <c r="Z1193" s="240" t="str">
        <f t="shared" si="148"/>
        <v>OK</v>
      </c>
      <c r="AA1193" s="240" t="str" cm="1">
        <f t="array" ref="AA1193">IF(OR(AND(J1193="Not accepted",N1193:O1193&lt;&gt;"",$S1193=""),AND(J1193="Accepted",S1193="")),"ERROR","OK")</f>
        <v>OK</v>
      </c>
      <c r="AB1193" s="240" t="str">
        <f t="shared" si="149"/>
        <v>OK</v>
      </c>
      <c r="AC1193" s="240" t="str" cm="1">
        <f t="array" ref="AC1193">IF(AND(F1193:H1193&lt;&gt;"",I1193=""),"ERROR","OK")</f>
        <v>OK</v>
      </c>
      <c r="AD1193" s="240" t="str">
        <f t="shared" si="150"/>
        <v>OK</v>
      </c>
      <c r="AE1193" s="240" t="str">
        <f t="shared" si="151"/>
        <v>OK</v>
      </c>
      <c r="AF1193" s="240" t="str" cm="1">
        <f t="array" aca="1" ref="AF1193" ca="1" xml:space="preserve">
IF(AND($G1193&lt;&gt;"",$F1193=""),"ERROR",
IF(OR($F1193:$G1193="",AND($G1193="",$F1193&lt;&gt;"")),"OK",
IF(COUNTIF(INDIRECT(IFERROR(LEFT($F1193,FIND(" ",$F1193)-1),$F1193)), $G1193)&gt;0, "OK", "ERROR")))</f>
        <v>OK</v>
      </c>
    </row>
    <row r="1194" spans="1:32" s="240" customFormat="1">
      <c r="A1194" s="48"/>
      <c r="B1194" s="31"/>
      <c r="C1194" s="48"/>
      <c r="D1194" s="47"/>
      <c r="E1194" s="47"/>
      <c r="F1194" s="31"/>
      <c r="G1194" s="31"/>
      <c r="H1194" s="31"/>
      <c r="I1194" s="47"/>
      <c r="J1194" s="31"/>
      <c r="K1194" s="47"/>
      <c r="L1194" s="47"/>
      <c r="M1194" s="47"/>
      <c r="N1194" s="31"/>
      <c r="O1194" s="47"/>
      <c r="P1194" s="31"/>
      <c r="Q1194" s="31"/>
      <c r="R1194" s="31"/>
      <c r="S1194" s="31"/>
      <c r="T1194" s="270">
        <f t="shared" si="144"/>
        <v>0</v>
      </c>
      <c r="U1194" s="270">
        <f t="shared" si="145"/>
        <v>0</v>
      </c>
      <c r="V1194" s="31"/>
      <c r="X1194" s="240" t="str">
        <f t="shared" si="146"/>
        <v>OK</v>
      </c>
      <c r="Y1194" s="240" t="str">
        <f t="shared" si="147"/>
        <v>OK</v>
      </c>
      <c r="Z1194" s="240" t="str">
        <f t="shared" si="148"/>
        <v>OK</v>
      </c>
      <c r="AA1194" s="240" t="str" cm="1">
        <f t="array" ref="AA1194">IF(OR(AND(J1194="Not accepted",N1194:O1194&lt;&gt;"",$S1194=""),AND(J1194="Accepted",S1194="")),"ERROR","OK")</f>
        <v>OK</v>
      </c>
      <c r="AB1194" s="240" t="str">
        <f t="shared" si="149"/>
        <v>OK</v>
      </c>
      <c r="AC1194" s="240" t="str" cm="1">
        <f t="array" ref="AC1194">IF(AND(F1194:H1194&lt;&gt;"",I1194=""),"ERROR","OK")</f>
        <v>OK</v>
      </c>
      <c r="AD1194" s="240" t="str">
        <f t="shared" si="150"/>
        <v>OK</v>
      </c>
      <c r="AE1194" s="240" t="str">
        <f t="shared" si="151"/>
        <v>OK</v>
      </c>
      <c r="AF1194" s="240" t="str" cm="1">
        <f t="array" aca="1" ref="AF1194" ca="1" xml:space="preserve">
IF(AND($G1194&lt;&gt;"",$F1194=""),"ERROR",
IF(OR($F1194:$G1194="",AND($G1194="",$F1194&lt;&gt;"")),"OK",
IF(COUNTIF(INDIRECT(IFERROR(LEFT($F1194,FIND(" ",$F1194)-1),$F1194)), $G1194)&gt;0, "OK", "ERROR")))</f>
        <v>OK</v>
      </c>
    </row>
    <row r="1195" spans="1:32" s="240" customFormat="1">
      <c r="A1195" s="48"/>
      <c r="B1195" s="31"/>
      <c r="C1195" s="48"/>
      <c r="D1195" s="47"/>
      <c r="E1195" s="47"/>
      <c r="F1195" s="31"/>
      <c r="G1195" s="31"/>
      <c r="H1195" s="31"/>
      <c r="I1195" s="47"/>
      <c r="J1195" s="31"/>
      <c r="K1195" s="47"/>
      <c r="L1195" s="47"/>
      <c r="M1195" s="47"/>
      <c r="N1195" s="31"/>
      <c r="O1195" s="47"/>
      <c r="P1195" s="31"/>
      <c r="Q1195" s="31"/>
      <c r="R1195" s="31"/>
      <c r="S1195" s="31"/>
      <c r="T1195" s="270">
        <f t="shared" si="144"/>
        <v>0</v>
      </c>
      <c r="U1195" s="270">
        <f t="shared" si="145"/>
        <v>0</v>
      </c>
      <c r="V1195" s="31"/>
      <c r="X1195" s="240" t="str">
        <f t="shared" si="146"/>
        <v>OK</v>
      </c>
      <c r="Y1195" s="240" t="str">
        <f t="shared" si="147"/>
        <v>OK</v>
      </c>
      <c r="Z1195" s="240" t="str">
        <f t="shared" si="148"/>
        <v>OK</v>
      </c>
      <c r="AA1195" s="240" t="str" cm="1">
        <f t="array" ref="AA1195">IF(OR(AND(J1195="Not accepted",N1195:O1195&lt;&gt;"",$S1195=""),AND(J1195="Accepted",S1195="")),"ERROR","OK")</f>
        <v>OK</v>
      </c>
      <c r="AB1195" s="240" t="str">
        <f t="shared" si="149"/>
        <v>OK</v>
      </c>
      <c r="AC1195" s="240" t="str" cm="1">
        <f t="array" ref="AC1195">IF(AND(F1195:H1195&lt;&gt;"",I1195=""),"ERROR","OK")</f>
        <v>OK</v>
      </c>
      <c r="AD1195" s="240" t="str">
        <f t="shared" si="150"/>
        <v>OK</v>
      </c>
      <c r="AE1195" s="240" t="str">
        <f t="shared" si="151"/>
        <v>OK</v>
      </c>
      <c r="AF1195" s="240" t="str" cm="1">
        <f t="array" aca="1" ref="AF1195" ca="1" xml:space="preserve">
IF(AND($G1195&lt;&gt;"",$F1195=""),"ERROR",
IF(OR($F1195:$G1195="",AND($G1195="",$F1195&lt;&gt;"")),"OK",
IF(COUNTIF(INDIRECT(IFERROR(LEFT($F1195,FIND(" ",$F1195)-1),$F1195)), $G1195)&gt;0, "OK", "ERROR")))</f>
        <v>OK</v>
      </c>
    </row>
    <row r="1196" spans="1:32" s="240" customFormat="1">
      <c r="A1196" s="48"/>
      <c r="B1196" s="31"/>
      <c r="C1196" s="48"/>
      <c r="D1196" s="47"/>
      <c r="E1196" s="47"/>
      <c r="F1196" s="31"/>
      <c r="G1196" s="31"/>
      <c r="H1196" s="31"/>
      <c r="I1196" s="47"/>
      <c r="J1196" s="31"/>
      <c r="K1196" s="47"/>
      <c r="L1196" s="47"/>
      <c r="M1196" s="47"/>
      <c r="N1196" s="31"/>
      <c r="O1196" s="47"/>
      <c r="P1196" s="31"/>
      <c r="Q1196" s="31"/>
      <c r="R1196" s="31"/>
      <c r="S1196" s="31"/>
      <c r="T1196" s="270">
        <f t="shared" si="144"/>
        <v>0</v>
      </c>
      <c r="U1196" s="270">
        <f t="shared" si="145"/>
        <v>0</v>
      </c>
      <c r="V1196" s="31"/>
      <c r="X1196" s="240" t="str">
        <f t="shared" si="146"/>
        <v>OK</v>
      </c>
      <c r="Y1196" s="240" t="str">
        <f t="shared" si="147"/>
        <v>OK</v>
      </c>
      <c r="Z1196" s="240" t="str">
        <f t="shared" si="148"/>
        <v>OK</v>
      </c>
      <c r="AA1196" s="240" t="str" cm="1">
        <f t="array" ref="AA1196">IF(OR(AND(J1196="Not accepted",N1196:O1196&lt;&gt;"",$S1196=""),AND(J1196="Accepted",S1196="")),"ERROR","OK")</f>
        <v>OK</v>
      </c>
      <c r="AB1196" s="240" t="str">
        <f t="shared" si="149"/>
        <v>OK</v>
      </c>
      <c r="AC1196" s="240" t="str" cm="1">
        <f t="array" ref="AC1196">IF(AND(F1196:H1196&lt;&gt;"",I1196=""),"ERROR","OK")</f>
        <v>OK</v>
      </c>
      <c r="AD1196" s="240" t="str">
        <f t="shared" si="150"/>
        <v>OK</v>
      </c>
      <c r="AE1196" s="240" t="str">
        <f t="shared" si="151"/>
        <v>OK</v>
      </c>
      <c r="AF1196" s="240" t="str" cm="1">
        <f t="array" aca="1" ref="AF1196" ca="1" xml:space="preserve">
IF(AND($G1196&lt;&gt;"",$F1196=""),"ERROR",
IF(OR($F1196:$G1196="",AND($G1196="",$F1196&lt;&gt;"")),"OK",
IF(COUNTIF(INDIRECT(IFERROR(LEFT($F1196,FIND(" ",$F1196)-1),$F1196)), $G1196)&gt;0, "OK", "ERROR")))</f>
        <v>OK</v>
      </c>
    </row>
    <row r="1197" spans="1:32" s="240" customFormat="1">
      <c r="A1197" s="48"/>
      <c r="B1197" s="31"/>
      <c r="C1197" s="48"/>
      <c r="D1197" s="47"/>
      <c r="E1197" s="47"/>
      <c r="F1197" s="31"/>
      <c r="G1197" s="31"/>
      <c r="H1197" s="31"/>
      <c r="I1197" s="47"/>
      <c r="J1197" s="31"/>
      <c r="K1197" s="47"/>
      <c r="L1197" s="47"/>
      <c r="M1197" s="47"/>
      <c r="N1197" s="31"/>
      <c r="O1197" s="47"/>
      <c r="P1197" s="31"/>
      <c r="Q1197" s="31"/>
      <c r="R1197" s="31"/>
      <c r="S1197" s="31"/>
      <c r="T1197" s="270">
        <f t="shared" si="144"/>
        <v>0</v>
      </c>
      <c r="U1197" s="270">
        <f t="shared" si="145"/>
        <v>0</v>
      </c>
      <c r="V1197" s="31"/>
      <c r="X1197" s="240" t="str">
        <f t="shared" si="146"/>
        <v>OK</v>
      </c>
      <c r="Y1197" s="240" t="str">
        <f t="shared" si="147"/>
        <v>OK</v>
      </c>
      <c r="Z1197" s="240" t="str">
        <f t="shared" si="148"/>
        <v>OK</v>
      </c>
      <c r="AA1197" s="240" t="str" cm="1">
        <f t="array" ref="AA1197">IF(OR(AND(J1197="Not accepted",N1197:O1197&lt;&gt;"",$S1197=""),AND(J1197="Accepted",S1197="")),"ERROR","OK")</f>
        <v>OK</v>
      </c>
      <c r="AB1197" s="240" t="str">
        <f t="shared" si="149"/>
        <v>OK</v>
      </c>
      <c r="AC1197" s="240" t="str" cm="1">
        <f t="array" ref="AC1197">IF(AND(F1197:H1197&lt;&gt;"",I1197=""),"ERROR","OK")</f>
        <v>OK</v>
      </c>
      <c r="AD1197" s="240" t="str">
        <f t="shared" si="150"/>
        <v>OK</v>
      </c>
      <c r="AE1197" s="240" t="str">
        <f t="shared" si="151"/>
        <v>OK</v>
      </c>
      <c r="AF1197" s="240" t="str" cm="1">
        <f t="array" aca="1" ref="AF1197" ca="1" xml:space="preserve">
IF(AND($G1197&lt;&gt;"",$F1197=""),"ERROR",
IF(OR($F1197:$G1197="",AND($G1197="",$F1197&lt;&gt;"")),"OK",
IF(COUNTIF(INDIRECT(IFERROR(LEFT($F1197,FIND(" ",$F1197)-1),$F1197)), $G1197)&gt;0, "OK", "ERROR")))</f>
        <v>OK</v>
      </c>
    </row>
    <row r="1198" spans="1:32" s="240" customFormat="1">
      <c r="A1198" s="48"/>
      <c r="B1198" s="31"/>
      <c r="C1198" s="48"/>
      <c r="D1198" s="47"/>
      <c r="E1198" s="47"/>
      <c r="F1198" s="31"/>
      <c r="G1198" s="31"/>
      <c r="H1198" s="31"/>
      <c r="I1198" s="47"/>
      <c r="J1198" s="31"/>
      <c r="K1198" s="47"/>
      <c r="L1198" s="47"/>
      <c r="M1198" s="47"/>
      <c r="N1198" s="31"/>
      <c r="O1198" s="47"/>
      <c r="P1198" s="31"/>
      <c r="Q1198" s="31"/>
      <c r="R1198" s="31"/>
      <c r="S1198" s="31"/>
      <c r="T1198" s="270">
        <f t="shared" si="144"/>
        <v>0</v>
      </c>
      <c r="U1198" s="270">
        <f t="shared" si="145"/>
        <v>0</v>
      </c>
      <c r="V1198" s="31"/>
      <c r="X1198" s="240" t="str">
        <f t="shared" si="146"/>
        <v>OK</v>
      </c>
      <c r="Y1198" s="240" t="str">
        <f t="shared" si="147"/>
        <v>OK</v>
      </c>
      <c r="Z1198" s="240" t="str">
        <f t="shared" si="148"/>
        <v>OK</v>
      </c>
      <c r="AA1198" s="240" t="str" cm="1">
        <f t="array" ref="AA1198">IF(OR(AND(J1198="Not accepted",N1198:O1198&lt;&gt;"",$S1198=""),AND(J1198="Accepted",S1198="")),"ERROR","OK")</f>
        <v>OK</v>
      </c>
      <c r="AB1198" s="240" t="str">
        <f t="shared" si="149"/>
        <v>OK</v>
      </c>
      <c r="AC1198" s="240" t="str" cm="1">
        <f t="array" ref="AC1198">IF(AND(F1198:H1198&lt;&gt;"",I1198=""),"ERROR","OK")</f>
        <v>OK</v>
      </c>
      <c r="AD1198" s="240" t="str">
        <f t="shared" si="150"/>
        <v>OK</v>
      </c>
      <c r="AE1198" s="240" t="str">
        <f t="shared" si="151"/>
        <v>OK</v>
      </c>
      <c r="AF1198" s="240" t="str" cm="1">
        <f t="array" aca="1" ref="AF1198" ca="1" xml:space="preserve">
IF(AND($G1198&lt;&gt;"",$F1198=""),"ERROR",
IF(OR($F1198:$G1198="",AND($G1198="",$F1198&lt;&gt;"")),"OK",
IF(COUNTIF(INDIRECT(IFERROR(LEFT($F1198,FIND(" ",$F1198)-1),$F1198)), $G1198)&gt;0, "OK", "ERROR")))</f>
        <v>OK</v>
      </c>
    </row>
    <row r="1199" spans="1:32" s="240" customFormat="1">
      <c r="A1199" s="48"/>
      <c r="B1199" s="31"/>
      <c r="C1199" s="48"/>
      <c r="D1199" s="47"/>
      <c r="E1199" s="47"/>
      <c r="F1199" s="31"/>
      <c r="G1199" s="31"/>
      <c r="H1199" s="31"/>
      <c r="I1199" s="47"/>
      <c r="J1199" s="31"/>
      <c r="K1199" s="47"/>
      <c r="L1199" s="47"/>
      <c r="M1199" s="47"/>
      <c r="N1199" s="31"/>
      <c r="O1199" s="47"/>
      <c r="P1199" s="31"/>
      <c r="Q1199" s="31"/>
      <c r="R1199" s="31"/>
      <c r="S1199" s="31"/>
      <c r="T1199" s="270">
        <f t="shared" si="144"/>
        <v>0</v>
      </c>
      <c r="U1199" s="270">
        <f t="shared" si="145"/>
        <v>0</v>
      </c>
      <c r="V1199" s="31"/>
      <c r="X1199" s="240" t="str">
        <f t="shared" si="146"/>
        <v>OK</v>
      </c>
      <c r="Y1199" s="240" t="str">
        <f t="shared" si="147"/>
        <v>OK</v>
      </c>
      <c r="Z1199" s="240" t="str">
        <f t="shared" si="148"/>
        <v>OK</v>
      </c>
      <c r="AA1199" s="240" t="str" cm="1">
        <f t="array" ref="AA1199">IF(OR(AND(J1199="Not accepted",N1199:O1199&lt;&gt;"",$S1199=""),AND(J1199="Accepted",S1199="")),"ERROR","OK")</f>
        <v>OK</v>
      </c>
      <c r="AB1199" s="240" t="str">
        <f t="shared" si="149"/>
        <v>OK</v>
      </c>
      <c r="AC1199" s="240" t="str" cm="1">
        <f t="array" ref="AC1199">IF(AND(F1199:H1199&lt;&gt;"",I1199=""),"ERROR","OK")</f>
        <v>OK</v>
      </c>
      <c r="AD1199" s="240" t="str">
        <f t="shared" si="150"/>
        <v>OK</v>
      </c>
      <c r="AE1199" s="240" t="str">
        <f t="shared" si="151"/>
        <v>OK</v>
      </c>
      <c r="AF1199" s="240" t="str" cm="1">
        <f t="array" aca="1" ref="AF1199" ca="1" xml:space="preserve">
IF(AND($G1199&lt;&gt;"",$F1199=""),"ERROR",
IF(OR($F1199:$G1199="",AND($G1199="",$F1199&lt;&gt;"")),"OK",
IF(COUNTIF(INDIRECT(IFERROR(LEFT($F1199,FIND(" ",$F1199)-1),$F1199)), $G1199)&gt;0, "OK", "ERROR")))</f>
        <v>OK</v>
      </c>
    </row>
    <row r="1200" spans="1:32" s="240" customFormat="1">
      <c r="A1200" s="48"/>
      <c r="B1200" s="31"/>
      <c r="C1200" s="48"/>
      <c r="D1200" s="47"/>
      <c r="E1200" s="47"/>
      <c r="F1200" s="31"/>
      <c r="G1200" s="31"/>
      <c r="H1200" s="31"/>
      <c r="I1200" s="47"/>
      <c r="J1200" s="31"/>
      <c r="K1200" s="47"/>
      <c r="L1200" s="47"/>
      <c r="M1200" s="47"/>
      <c r="N1200" s="31"/>
      <c r="O1200" s="47"/>
      <c r="P1200" s="31"/>
      <c r="Q1200" s="31"/>
      <c r="R1200" s="31"/>
      <c r="S1200" s="31"/>
      <c r="T1200" s="270">
        <f t="shared" si="144"/>
        <v>0</v>
      </c>
      <c r="U1200" s="270">
        <f t="shared" si="145"/>
        <v>0</v>
      </c>
      <c r="V1200" s="31"/>
      <c r="X1200" s="240" t="str">
        <f t="shared" si="146"/>
        <v>OK</v>
      </c>
      <c r="Y1200" s="240" t="str">
        <f t="shared" si="147"/>
        <v>OK</v>
      </c>
      <c r="Z1200" s="240" t="str">
        <f t="shared" si="148"/>
        <v>OK</v>
      </c>
      <c r="AA1200" s="240" t="str" cm="1">
        <f t="array" ref="AA1200">IF(OR(AND(J1200="Not accepted",N1200:O1200&lt;&gt;"",$S1200=""),AND(J1200="Accepted",S1200="")),"ERROR","OK")</f>
        <v>OK</v>
      </c>
      <c r="AB1200" s="240" t="str">
        <f t="shared" si="149"/>
        <v>OK</v>
      </c>
      <c r="AC1200" s="240" t="str" cm="1">
        <f t="array" ref="AC1200">IF(AND(F1200:H1200&lt;&gt;"",I1200=""),"ERROR","OK")</f>
        <v>OK</v>
      </c>
      <c r="AD1200" s="240" t="str">
        <f t="shared" si="150"/>
        <v>OK</v>
      </c>
      <c r="AE1200" s="240" t="str">
        <f t="shared" si="151"/>
        <v>OK</v>
      </c>
      <c r="AF1200" s="240" t="str" cm="1">
        <f t="array" aca="1" ref="AF1200" ca="1" xml:space="preserve">
IF(AND($G1200&lt;&gt;"",$F1200=""),"ERROR",
IF(OR($F1200:$G1200="",AND($G1200="",$F1200&lt;&gt;"")),"OK",
IF(COUNTIF(INDIRECT(IFERROR(LEFT($F1200,FIND(" ",$F1200)-1),$F1200)), $G1200)&gt;0, "OK", "ERROR")))</f>
        <v>OK</v>
      </c>
    </row>
    <row r="1201" spans="1:32" s="240" customFormat="1">
      <c r="A1201" s="48"/>
      <c r="B1201" s="31"/>
      <c r="C1201" s="48"/>
      <c r="D1201" s="47"/>
      <c r="E1201" s="47"/>
      <c r="F1201" s="31"/>
      <c r="G1201" s="31"/>
      <c r="H1201" s="31"/>
      <c r="I1201" s="47"/>
      <c r="J1201" s="31"/>
      <c r="K1201" s="47"/>
      <c r="L1201" s="47"/>
      <c r="M1201" s="47"/>
      <c r="N1201" s="31"/>
      <c r="O1201" s="47"/>
      <c r="P1201" s="31"/>
      <c r="Q1201" s="31"/>
      <c r="R1201" s="31"/>
      <c r="S1201" s="31"/>
      <c r="T1201" s="270">
        <f t="shared" si="144"/>
        <v>0</v>
      </c>
      <c r="U1201" s="270">
        <f t="shared" si="145"/>
        <v>0</v>
      </c>
      <c r="V1201" s="31"/>
      <c r="X1201" s="240" t="str">
        <f t="shared" si="146"/>
        <v>OK</v>
      </c>
      <c r="Y1201" s="240" t="str">
        <f t="shared" si="147"/>
        <v>OK</v>
      </c>
      <c r="Z1201" s="240" t="str">
        <f t="shared" si="148"/>
        <v>OK</v>
      </c>
      <c r="AA1201" s="240" t="str" cm="1">
        <f t="array" ref="AA1201">IF(OR(AND(J1201="Not accepted",N1201:O1201&lt;&gt;"",$S1201=""),AND(J1201="Accepted",S1201="")),"ERROR","OK")</f>
        <v>OK</v>
      </c>
      <c r="AB1201" s="240" t="str">
        <f t="shared" si="149"/>
        <v>OK</v>
      </c>
      <c r="AC1201" s="240" t="str" cm="1">
        <f t="array" ref="AC1201">IF(AND(F1201:H1201&lt;&gt;"",I1201=""),"ERROR","OK")</f>
        <v>OK</v>
      </c>
      <c r="AD1201" s="240" t="str">
        <f t="shared" si="150"/>
        <v>OK</v>
      </c>
      <c r="AE1201" s="240" t="str">
        <f t="shared" si="151"/>
        <v>OK</v>
      </c>
      <c r="AF1201" s="240" t="str" cm="1">
        <f t="array" aca="1" ref="AF1201" ca="1" xml:space="preserve">
IF(AND($G1201&lt;&gt;"",$F1201=""),"ERROR",
IF(OR($F1201:$G1201="",AND($G1201="",$F1201&lt;&gt;"")),"OK",
IF(COUNTIF(INDIRECT(IFERROR(LEFT($F1201,FIND(" ",$F1201)-1),$F1201)), $G1201)&gt;0, "OK", "ERROR")))</f>
        <v>OK</v>
      </c>
    </row>
    <row r="1202" spans="1:32" s="240" customFormat="1">
      <c r="A1202" s="48"/>
      <c r="B1202" s="31"/>
      <c r="C1202" s="48"/>
      <c r="D1202" s="47"/>
      <c r="E1202" s="47"/>
      <c r="F1202" s="31"/>
      <c r="G1202" s="31"/>
      <c r="H1202" s="31"/>
      <c r="I1202" s="47"/>
      <c r="J1202" s="31"/>
      <c r="K1202" s="47"/>
      <c r="L1202" s="47"/>
      <c r="M1202" s="47"/>
      <c r="N1202" s="31"/>
      <c r="O1202" s="47"/>
      <c r="P1202" s="31"/>
      <c r="Q1202" s="31"/>
      <c r="R1202" s="31"/>
      <c r="S1202" s="31"/>
      <c r="T1202" s="270">
        <f t="shared" si="144"/>
        <v>0</v>
      </c>
      <c r="U1202" s="270">
        <f t="shared" si="145"/>
        <v>0</v>
      </c>
      <c r="V1202" s="31"/>
      <c r="X1202" s="240" t="str">
        <f t="shared" si="146"/>
        <v>OK</v>
      </c>
      <c r="Y1202" s="240" t="str">
        <f t="shared" si="147"/>
        <v>OK</v>
      </c>
      <c r="Z1202" s="240" t="str">
        <f t="shared" si="148"/>
        <v>OK</v>
      </c>
      <c r="AA1202" s="240" t="str" cm="1">
        <f t="array" ref="AA1202">IF(OR(AND(J1202="Not accepted",N1202:O1202&lt;&gt;"",$S1202=""),AND(J1202="Accepted",S1202="")),"ERROR","OK")</f>
        <v>OK</v>
      </c>
      <c r="AB1202" s="240" t="str">
        <f t="shared" si="149"/>
        <v>OK</v>
      </c>
      <c r="AC1202" s="240" t="str" cm="1">
        <f t="array" ref="AC1202">IF(AND(F1202:H1202&lt;&gt;"",I1202=""),"ERROR","OK")</f>
        <v>OK</v>
      </c>
      <c r="AD1202" s="240" t="str">
        <f t="shared" si="150"/>
        <v>OK</v>
      </c>
      <c r="AE1202" s="240" t="str">
        <f t="shared" si="151"/>
        <v>OK</v>
      </c>
      <c r="AF1202" s="240" t="str" cm="1">
        <f t="array" aca="1" ref="AF1202" ca="1" xml:space="preserve">
IF(AND($G1202&lt;&gt;"",$F1202=""),"ERROR",
IF(OR($F1202:$G1202="",AND($G1202="",$F1202&lt;&gt;"")),"OK",
IF(COUNTIF(INDIRECT(IFERROR(LEFT($F1202,FIND(" ",$F1202)-1),$F1202)), $G1202)&gt;0, "OK", "ERROR")))</f>
        <v>OK</v>
      </c>
    </row>
    <row r="1203" spans="1:32" s="240" customFormat="1">
      <c r="A1203" s="48"/>
      <c r="B1203" s="31"/>
      <c r="C1203" s="48"/>
      <c r="D1203" s="47"/>
      <c r="E1203" s="47"/>
      <c r="F1203" s="31"/>
      <c r="G1203" s="31"/>
      <c r="H1203" s="31"/>
      <c r="I1203" s="47"/>
      <c r="J1203" s="31"/>
      <c r="K1203" s="47"/>
      <c r="L1203" s="47"/>
      <c r="M1203" s="47"/>
      <c r="N1203" s="31"/>
      <c r="O1203" s="47"/>
      <c r="P1203" s="31"/>
      <c r="Q1203" s="31"/>
      <c r="R1203" s="31"/>
      <c r="S1203" s="31"/>
      <c r="T1203" s="270">
        <f t="shared" si="144"/>
        <v>0</v>
      </c>
      <c r="U1203" s="270">
        <f t="shared" si="145"/>
        <v>0</v>
      </c>
      <c r="V1203" s="31"/>
      <c r="X1203" s="240" t="str">
        <f t="shared" si="146"/>
        <v>OK</v>
      </c>
      <c r="Y1203" s="240" t="str">
        <f t="shared" si="147"/>
        <v>OK</v>
      </c>
      <c r="Z1203" s="240" t="str">
        <f t="shared" si="148"/>
        <v>OK</v>
      </c>
      <c r="AA1203" s="240" t="str" cm="1">
        <f t="array" ref="AA1203">IF(OR(AND(J1203="Not accepted",N1203:O1203&lt;&gt;"",$S1203=""),AND(J1203="Accepted",S1203="")),"ERROR","OK")</f>
        <v>OK</v>
      </c>
      <c r="AB1203" s="240" t="str">
        <f t="shared" si="149"/>
        <v>OK</v>
      </c>
      <c r="AC1203" s="240" t="str" cm="1">
        <f t="array" ref="AC1203">IF(AND(F1203:H1203&lt;&gt;"",I1203=""),"ERROR","OK")</f>
        <v>OK</v>
      </c>
      <c r="AD1203" s="240" t="str">
        <f t="shared" si="150"/>
        <v>OK</v>
      </c>
      <c r="AE1203" s="240" t="str">
        <f t="shared" si="151"/>
        <v>OK</v>
      </c>
      <c r="AF1203" s="240" t="str" cm="1">
        <f t="array" aca="1" ref="AF1203" ca="1" xml:space="preserve">
IF(AND($G1203&lt;&gt;"",$F1203=""),"ERROR",
IF(OR($F1203:$G1203="",AND($G1203="",$F1203&lt;&gt;"")),"OK",
IF(COUNTIF(INDIRECT(IFERROR(LEFT($F1203,FIND(" ",$F1203)-1),$F1203)), $G1203)&gt;0, "OK", "ERROR")))</f>
        <v>OK</v>
      </c>
    </row>
    <row r="1204" spans="1:32" s="240" customFormat="1">
      <c r="A1204" s="48"/>
      <c r="B1204" s="31"/>
      <c r="C1204" s="48"/>
      <c r="D1204" s="47"/>
      <c r="E1204" s="47"/>
      <c r="F1204" s="31"/>
      <c r="G1204" s="31"/>
      <c r="H1204" s="31"/>
      <c r="I1204" s="47"/>
      <c r="J1204" s="31"/>
      <c r="K1204" s="47"/>
      <c r="L1204" s="47"/>
      <c r="M1204" s="47"/>
      <c r="N1204" s="31"/>
      <c r="O1204" s="47"/>
      <c r="P1204" s="31"/>
      <c r="Q1204" s="31"/>
      <c r="R1204" s="31"/>
      <c r="S1204" s="31"/>
      <c r="T1204" s="270">
        <f t="shared" si="144"/>
        <v>0</v>
      </c>
      <c r="U1204" s="270">
        <f t="shared" si="145"/>
        <v>0</v>
      </c>
      <c r="V1204" s="31"/>
      <c r="X1204" s="240" t="str">
        <f t="shared" si="146"/>
        <v>OK</v>
      </c>
      <c r="Y1204" s="240" t="str">
        <f t="shared" si="147"/>
        <v>OK</v>
      </c>
      <c r="Z1204" s="240" t="str">
        <f t="shared" si="148"/>
        <v>OK</v>
      </c>
      <c r="AA1204" s="240" t="str" cm="1">
        <f t="array" ref="AA1204">IF(OR(AND(J1204="Not accepted",N1204:O1204&lt;&gt;"",$S1204=""),AND(J1204="Accepted",S1204="")),"ERROR","OK")</f>
        <v>OK</v>
      </c>
      <c r="AB1204" s="240" t="str">
        <f t="shared" si="149"/>
        <v>OK</v>
      </c>
      <c r="AC1204" s="240" t="str" cm="1">
        <f t="array" ref="AC1204">IF(AND(F1204:H1204&lt;&gt;"",I1204=""),"ERROR","OK")</f>
        <v>OK</v>
      </c>
      <c r="AD1204" s="240" t="str">
        <f t="shared" si="150"/>
        <v>OK</v>
      </c>
      <c r="AE1204" s="240" t="str">
        <f t="shared" si="151"/>
        <v>OK</v>
      </c>
      <c r="AF1204" s="240" t="str" cm="1">
        <f t="array" aca="1" ref="AF1204" ca="1" xml:space="preserve">
IF(AND($G1204&lt;&gt;"",$F1204=""),"ERROR",
IF(OR($F1204:$G1204="",AND($G1204="",$F1204&lt;&gt;"")),"OK",
IF(COUNTIF(INDIRECT(IFERROR(LEFT($F1204,FIND(" ",$F1204)-1),$F1204)), $G1204)&gt;0, "OK", "ERROR")))</f>
        <v>OK</v>
      </c>
    </row>
    <row r="1205" spans="1:32" s="240" customFormat="1">
      <c r="A1205" s="48"/>
      <c r="B1205" s="31"/>
      <c r="C1205" s="48"/>
      <c r="D1205" s="47"/>
      <c r="E1205" s="47"/>
      <c r="F1205" s="31"/>
      <c r="G1205" s="31"/>
      <c r="H1205" s="31"/>
      <c r="I1205" s="47"/>
      <c r="J1205" s="31"/>
      <c r="K1205" s="47"/>
      <c r="L1205" s="47"/>
      <c r="M1205" s="47"/>
      <c r="N1205" s="31"/>
      <c r="O1205" s="47"/>
      <c r="P1205" s="31"/>
      <c r="Q1205" s="31"/>
      <c r="R1205" s="31"/>
      <c r="S1205" s="31"/>
      <c r="T1205" s="270">
        <f t="shared" si="144"/>
        <v>0</v>
      </c>
      <c r="U1205" s="270">
        <f t="shared" si="145"/>
        <v>0</v>
      </c>
      <c r="V1205" s="31"/>
      <c r="X1205" s="240" t="str">
        <f t="shared" si="146"/>
        <v>OK</v>
      </c>
      <c r="Y1205" s="240" t="str">
        <f t="shared" si="147"/>
        <v>OK</v>
      </c>
      <c r="Z1205" s="240" t="str">
        <f t="shared" si="148"/>
        <v>OK</v>
      </c>
      <c r="AA1205" s="240" t="str" cm="1">
        <f t="array" ref="AA1205">IF(OR(AND(J1205="Not accepted",N1205:O1205&lt;&gt;"",$S1205=""),AND(J1205="Accepted",S1205="")),"ERROR","OK")</f>
        <v>OK</v>
      </c>
      <c r="AB1205" s="240" t="str">
        <f t="shared" si="149"/>
        <v>OK</v>
      </c>
      <c r="AC1205" s="240" t="str" cm="1">
        <f t="array" ref="AC1205">IF(AND(F1205:H1205&lt;&gt;"",I1205=""),"ERROR","OK")</f>
        <v>OK</v>
      </c>
      <c r="AD1205" s="240" t="str">
        <f t="shared" si="150"/>
        <v>OK</v>
      </c>
      <c r="AE1205" s="240" t="str">
        <f t="shared" si="151"/>
        <v>OK</v>
      </c>
      <c r="AF1205" s="240" t="str" cm="1">
        <f t="array" aca="1" ref="AF1205" ca="1" xml:space="preserve">
IF(AND($G1205&lt;&gt;"",$F1205=""),"ERROR",
IF(OR($F1205:$G1205="",AND($G1205="",$F1205&lt;&gt;"")),"OK",
IF(COUNTIF(INDIRECT(IFERROR(LEFT($F1205,FIND(" ",$F1205)-1),$F1205)), $G1205)&gt;0, "OK", "ERROR")))</f>
        <v>OK</v>
      </c>
    </row>
    <row r="1206" spans="1:32" s="240" customFormat="1">
      <c r="A1206" s="48"/>
      <c r="B1206" s="31"/>
      <c r="C1206" s="48"/>
      <c r="D1206" s="47"/>
      <c r="E1206" s="47"/>
      <c r="F1206" s="31"/>
      <c r="G1206" s="31"/>
      <c r="H1206" s="31"/>
      <c r="I1206" s="47"/>
      <c r="J1206" s="31"/>
      <c r="K1206" s="47"/>
      <c r="L1206" s="47"/>
      <c r="M1206" s="47"/>
      <c r="N1206" s="31"/>
      <c r="O1206" s="47"/>
      <c r="P1206" s="31"/>
      <c r="Q1206" s="31"/>
      <c r="R1206" s="31"/>
      <c r="S1206" s="31"/>
      <c r="T1206" s="270">
        <f t="shared" si="144"/>
        <v>0</v>
      </c>
      <c r="U1206" s="270">
        <f t="shared" si="145"/>
        <v>0</v>
      </c>
      <c r="V1206" s="31"/>
      <c r="X1206" s="240" t="str">
        <f t="shared" si="146"/>
        <v>OK</v>
      </c>
      <c r="Y1206" s="240" t="str">
        <f t="shared" si="147"/>
        <v>OK</v>
      </c>
      <c r="Z1206" s="240" t="str">
        <f t="shared" si="148"/>
        <v>OK</v>
      </c>
      <c r="AA1206" s="240" t="str" cm="1">
        <f t="array" ref="AA1206">IF(OR(AND(J1206="Not accepted",N1206:O1206&lt;&gt;"",$S1206=""),AND(J1206="Accepted",S1206="")),"ERROR","OK")</f>
        <v>OK</v>
      </c>
      <c r="AB1206" s="240" t="str">
        <f t="shared" si="149"/>
        <v>OK</v>
      </c>
      <c r="AC1206" s="240" t="str" cm="1">
        <f t="array" ref="AC1206">IF(AND(F1206:H1206&lt;&gt;"",I1206=""),"ERROR","OK")</f>
        <v>OK</v>
      </c>
      <c r="AD1206" s="240" t="str">
        <f t="shared" si="150"/>
        <v>OK</v>
      </c>
      <c r="AE1206" s="240" t="str">
        <f t="shared" si="151"/>
        <v>OK</v>
      </c>
      <c r="AF1206" s="240" t="str" cm="1">
        <f t="array" aca="1" ref="AF1206" ca="1" xml:space="preserve">
IF(AND($G1206&lt;&gt;"",$F1206=""),"ERROR",
IF(OR($F1206:$G1206="",AND($G1206="",$F1206&lt;&gt;"")),"OK",
IF(COUNTIF(INDIRECT(IFERROR(LEFT($F1206,FIND(" ",$F1206)-1),$F1206)), $G1206)&gt;0, "OK", "ERROR")))</f>
        <v>OK</v>
      </c>
    </row>
    <row r="1207" spans="1:32" s="240" customFormat="1">
      <c r="A1207" s="48"/>
      <c r="B1207" s="31"/>
      <c r="C1207" s="48"/>
      <c r="D1207" s="47"/>
      <c r="E1207" s="47"/>
      <c r="F1207" s="31"/>
      <c r="G1207" s="31"/>
      <c r="H1207" s="31"/>
      <c r="I1207" s="47"/>
      <c r="J1207" s="31"/>
      <c r="K1207" s="47"/>
      <c r="L1207" s="47"/>
      <c r="M1207" s="47"/>
      <c r="N1207" s="31"/>
      <c r="O1207" s="47"/>
      <c r="P1207" s="31"/>
      <c r="Q1207" s="31"/>
      <c r="R1207" s="31"/>
      <c r="S1207" s="31"/>
      <c r="T1207" s="270">
        <f t="shared" si="144"/>
        <v>0</v>
      </c>
      <c r="U1207" s="270">
        <f t="shared" si="145"/>
        <v>0</v>
      </c>
      <c r="V1207" s="31"/>
      <c r="X1207" s="240" t="str">
        <f t="shared" si="146"/>
        <v>OK</v>
      </c>
      <c r="Y1207" s="240" t="str">
        <f t="shared" si="147"/>
        <v>OK</v>
      </c>
      <c r="Z1207" s="240" t="str">
        <f t="shared" si="148"/>
        <v>OK</v>
      </c>
      <c r="AA1207" s="240" t="str" cm="1">
        <f t="array" ref="AA1207">IF(OR(AND(J1207="Not accepted",N1207:O1207&lt;&gt;"",$S1207=""),AND(J1207="Accepted",S1207="")),"ERROR","OK")</f>
        <v>OK</v>
      </c>
      <c r="AB1207" s="240" t="str">
        <f t="shared" si="149"/>
        <v>OK</v>
      </c>
      <c r="AC1207" s="240" t="str" cm="1">
        <f t="array" ref="AC1207">IF(AND(F1207:H1207&lt;&gt;"",I1207=""),"ERROR","OK")</f>
        <v>OK</v>
      </c>
      <c r="AD1207" s="240" t="str">
        <f t="shared" si="150"/>
        <v>OK</v>
      </c>
      <c r="AE1207" s="240" t="str">
        <f t="shared" si="151"/>
        <v>OK</v>
      </c>
      <c r="AF1207" s="240" t="str" cm="1">
        <f t="array" aca="1" ref="AF1207" ca="1" xml:space="preserve">
IF(AND($G1207&lt;&gt;"",$F1207=""),"ERROR",
IF(OR($F1207:$G1207="",AND($G1207="",$F1207&lt;&gt;"")),"OK",
IF(COUNTIF(INDIRECT(IFERROR(LEFT($F1207,FIND(" ",$F1207)-1),$F1207)), $G1207)&gt;0, "OK", "ERROR")))</f>
        <v>OK</v>
      </c>
    </row>
    <row r="1208" spans="1:32" s="240" customFormat="1">
      <c r="A1208" s="48"/>
      <c r="B1208" s="31"/>
      <c r="C1208" s="48"/>
      <c r="D1208" s="47"/>
      <c r="E1208" s="47"/>
      <c r="F1208" s="31"/>
      <c r="G1208" s="31"/>
      <c r="H1208" s="31"/>
      <c r="I1208" s="47"/>
      <c r="J1208" s="31"/>
      <c r="K1208" s="47"/>
      <c r="L1208" s="47"/>
      <c r="M1208" s="47"/>
      <c r="N1208" s="31"/>
      <c r="O1208" s="47"/>
      <c r="P1208" s="31"/>
      <c r="Q1208" s="31"/>
      <c r="R1208" s="31"/>
      <c r="S1208" s="31"/>
      <c r="T1208" s="270">
        <f t="shared" si="144"/>
        <v>0</v>
      </c>
      <c r="U1208" s="270">
        <f t="shared" si="145"/>
        <v>0</v>
      </c>
      <c r="V1208" s="31"/>
      <c r="X1208" s="240" t="str">
        <f t="shared" si="146"/>
        <v>OK</v>
      </c>
      <c r="Y1208" s="240" t="str">
        <f t="shared" si="147"/>
        <v>OK</v>
      </c>
      <c r="Z1208" s="240" t="str">
        <f t="shared" si="148"/>
        <v>OK</v>
      </c>
      <c r="AA1208" s="240" t="str" cm="1">
        <f t="array" ref="AA1208">IF(OR(AND(J1208="Not accepted",N1208:O1208&lt;&gt;"",$S1208=""),AND(J1208="Accepted",S1208="")),"ERROR","OK")</f>
        <v>OK</v>
      </c>
      <c r="AB1208" s="240" t="str">
        <f t="shared" si="149"/>
        <v>OK</v>
      </c>
      <c r="AC1208" s="240" t="str" cm="1">
        <f t="array" ref="AC1208">IF(AND(F1208:H1208&lt;&gt;"",I1208=""),"ERROR","OK")</f>
        <v>OK</v>
      </c>
      <c r="AD1208" s="240" t="str">
        <f t="shared" si="150"/>
        <v>OK</v>
      </c>
      <c r="AE1208" s="240" t="str">
        <f t="shared" si="151"/>
        <v>OK</v>
      </c>
      <c r="AF1208" s="240" t="str" cm="1">
        <f t="array" aca="1" ref="AF1208" ca="1" xml:space="preserve">
IF(AND($G1208&lt;&gt;"",$F1208=""),"ERROR",
IF(OR($F1208:$G1208="",AND($G1208="",$F1208&lt;&gt;"")),"OK",
IF(COUNTIF(INDIRECT(IFERROR(LEFT($F1208,FIND(" ",$F1208)-1),$F1208)), $G1208)&gt;0, "OK", "ERROR")))</f>
        <v>OK</v>
      </c>
    </row>
    <row r="1209" spans="1:32" s="240" customFormat="1">
      <c r="A1209" s="48"/>
      <c r="B1209" s="31"/>
      <c r="C1209" s="48"/>
      <c r="D1209" s="47"/>
      <c r="E1209" s="47"/>
      <c r="F1209" s="31"/>
      <c r="G1209" s="31"/>
      <c r="H1209" s="31"/>
      <c r="I1209" s="47"/>
      <c r="J1209" s="31"/>
      <c r="K1209" s="47"/>
      <c r="L1209" s="47"/>
      <c r="M1209" s="47"/>
      <c r="N1209" s="31"/>
      <c r="O1209" s="47"/>
      <c r="P1209" s="31"/>
      <c r="Q1209" s="31"/>
      <c r="R1209" s="31"/>
      <c r="S1209" s="31"/>
      <c r="T1209" s="270">
        <f t="shared" si="144"/>
        <v>0</v>
      </c>
      <c r="U1209" s="270">
        <f t="shared" si="145"/>
        <v>0</v>
      </c>
      <c r="V1209" s="31"/>
      <c r="X1209" s="240" t="str">
        <f t="shared" si="146"/>
        <v>OK</v>
      </c>
      <c r="Y1209" s="240" t="str">
        <f t="shared" si="147"/>
        <v>OK</v>
      </c>
      <c r="Z1209" s="240" t="str">
        <f t="shared" si="148"/>
        <v>OK</v>
      </c>
      <c r="AA1209" s="240" t="str" cm="1">
        <f t="array" ref="AA1209">IF(OR(AND(J1209="Not accepted",N1209:O1209&lt;&gt;"",$S1209=""),AND(J1209="Accepted",S1209="")),"ERROR","OK")</f>
        <v>OK</v>
      </c>
      <c r="AB1209" s="240" t="str">
        <f t="shared" si="149"/>
        <v>OK</v>
      </c>
      <c r="AC1209" s="240" t="str" cm="1">
        <f t="array" ref="AC1209">IF(AND(F1209:H1209&lt;&gt;"",I1209=""),"ERROR","OK")</f>
        <v>OK</v>
      </c>
      <c r="AD1209" s="240" t="str">
        <f t="shared" si="150"/>
        <v>OK</v>
      </c>
      <c r="AE1209" s="240" t="str">
        <f t="shared" si="151"/>
        <v>OK</v>
      </c>
      <c r="AF1209" s="240" t="str" cm="1">
        <f t="array" aca="1" ref="AF1209" ca="1" xml:space="preserve">
IF(AND($G1209&lt;&gt;"",$F1209=""),"ERROR",
IF(OR($F1209:$G1209="",AND($G1209="",$F1209&lt;&gt;"")),"OK",
IF(COUNTIF(INDIRECT(IFERROR(LEFT($F1209,FIND(" ",$F1209)-1),$F1209)), $G1209)&gt;0, "OK", "ERROR")))</f>
        <v>OK</v>
      </c>
    </row>
    <row r="1210" spans="1:32" s="240" customFormat="1">
      <c r="A1210" s="48"/>
      <c r="B1210" s="31"/>
      <c r="C1210" s="48"/>
      <c r="D1210" s="47"/>
      <c r="E1210" s="47"/>
      <c r="F1210" s="31"/>
      <c r="G1210" s="31"/>
      <c r="H1210" s="31"/>
      <c r="I1210" s="47"/>
      <c r="J1210" s="31"/>
      <c r="K1210" s="47"/>
      <c r="L1210" s="47"/>
      <c r="M1210" s="47"/>
      <c r="N1210" s="31"/>
      <c r="O1210" s="47"/>
      <c r="P1210" s="31"/>
      <c r="Q1210" s="31"/>
      <c r="R1210" s="31"/>
      <c r="S1210" s="31"/>
      <c r="T1210" s="270">
        <f t="shared" si="144"/>
        <v>0</v>
      </c>
      <c r="U1210" s="270">
        <f t="shared" si="145"/>
        <v>0</v>
      </c>
      <c r="V1210" s="31"/>
      <c r="X1210" s="240" t="str">
        <f t="shared" si="146"/>
        <v>OK</v>
      </c>
      <c r="Y1210" s="240" t="str">
        <f t="shared" si="147"/>
        <v>OK</v>
      </c>
      <c r="Z1210" s="240" t="str">
        <f t="shared" si="148"/>
        <v>OK</v>
      </c>
      <c r="AA1210" s="240" t="str" cm="1">
        <f t="array" ref="AA1210">IF(OR(AND(J1210="Not accepted",N1210:O1210&lt;&gt;"",$S1210=""),AND(J1210="Accepted",S1210="")),"ERROR","OK")</f>
        <v>OK</v>
      </c>
      <c r="AB1210" s="240" t="str">
        <f t="shared" si="149"/>
        <v>OK</v>
      </c>
      <c r="AC1210" s="240" t="str" cm="1">
        <f t="array" ref="AC1210">IF(AND(F1210:H1210&lt;&gt;"",I1210=""),"ERROR","OK")</f>
        <v>OK</v>
      </c>
      <c r="AD1210" s="240" t="str">
        <f t="shared" si="150"/>
        <v>OK</v>
      </c>
      <c r="AE1210" s="240" t="str">
        <f t="shared" si="151"/>
        <v>OK</v>
      </c>
      <c r="AF1210" s="240" t="str" cm="1">
        <f t="array" aca="1" ref="AF1210" ca="1" xml:space="preserve">
IF(AND($G1210&lt;&gt;"",$F1210=""),"ERROR",
IF(OR($F1210:$G1210="",AND($G1210="",$F1210&lt;&gt;"")),"OK",
IF(COUNTIF(INDIRECT(IFERROR(LEFT($F1210,FIND(" ",$F1210)-1),$F1210)), $G1210)&gt;0, "OK", "ERROR")))</f>
        <v>OK</v>
      </c>
    </row>
    <row r="1211" spans="1:32" s="240" customFormat="1">
      <c r="A1211" s="48"/>
      <c r="B1211" s="31"/>
      <c r="C1211" s="48"/>
      <c r="D1211" s="47"/>
      <c r="E1211" s="47"/>
      <c r="F1211" s="31"/>
      <c r="G1211" s="31"/>
      <c r="H1211" s="31"/>
      <c r="I1211" s="47"/>
      <c r="J1211" s="31"/>
      <c r="K1211" s="47"/>
      <c r="L1211" s="47"/>
      <c r="M1211" s="47"/>
      <c r="N1211" s="31"/>
      <c r="O1211" s="47"/>
      <c r="P1211" s="31"/>
      <c r="Q1211" s="31"/>
      <c r="R1211" s="31"/>
      <c r="S1211" s="31"/>
      <c r="T1211" s="270">
        <f t="shared" si="144"/>
        <v>0</v>
      </c>
      <c r="U1211" s="270">
        <f t="shared" si="145"/>
        <v>0</v>
      </c>
      <c r="V1211" s="31"/>
      <c r="X1211" s="240" t="str">
        <f t="shared" si="146"/>
        <v>OK</v>
      </c>
      <c r="Y1211" s="240" t="str">
        <f t="shared" si="147"/>
        <v>OK</v>
      </c>
      <c r="Z1211" s="240" t="str">
        <f t="shared" si="148"/>
        <v>OK</v>
      </c>
      <c r="AA1211" s="240" t="str" cm="1">
        <f t="array" ref="AA1211">IF(OR(AND(J1211="Not accepted",N1211:O1211&lt;&gt;"",$S1211=""),AND(J1211="Accepted",S1211="")),"ERROR","OK")</f>
        <v>OK</v>
      </c>
      <c r="AB1211" s="240" t="str">
        <f t="shared" si="149"/>
        <v>OK</v>
      </c>
      <c r="AC1211" s="240" t="str" cm="1">
        <f t="array" ref="AC1211">IF(AND(F1211:H1211&lt;&gt;"",I1211=""),"ERROR","OK")</f>
        <v>OK</v>
      </c>
      <c r="AD1211" s="240" t="str">
        <f t="shared" si="150"/>
        <v>OK</v>
      </c>
      <c r="AE1211" s="240" t="str">
        <f t="shared" si="151"/>
        <v>OK</v>
      </c>
      <c r="AF1211" s="240" t="str" cm="1">
        <f t="array" aca="1" ref="AF1211" ca="1" xml:space="preserve">
IF(AND($G1211&lt;&gt;"",$F1211=""),"ERROR",
IF(OR($F1211:$G1211="",AND($G1211="",$F1211&lt;&gt;"")),"OK",
IF(COUNTIF(INDIRECT(IFERROR(LEFT($F1211,FIND(" ",$F1211)-1),$F1211)), $G1211)&gt;0, "OK", "ERROR")))</f>
        <v>OK</v>
      </c>
    </row>
    <row r="1212" spans="1:32" s="240" customFormat="1">
      <c r="A1212" s="48"/>
      <c r="B1212" s="31"/>
      <c r="C1212" s="48"/>
      <c r="D1212" s="47"/>
      <c r="E1212" s="47"/>
      <c r="F1212" s="31"/>
      <c r="G1212" s="31"/>
      <c r="H1212" s="31"/>
      <c r="I1212" s="47"/>
      <c r="J1212" s="31"/>
      <c r="K1212" s="47"/>
      <c r="L1212" s="47"/>
      <c r="M1212" s="47"/>
      <c r="N1212" s="31"/>
      <c r="O1212" s="47"/>
      <c r="P1212" s="31"/>
      <c r="Q1212" s="31"/>
      <c r="R1212" s="31"/>
      <c r="S1212" s="31"/>
      <c r="T1212" s="270">
        <f t="shared" si="144"/>
        <v>0</v>
      </c>
      <c r="U1212" s="270">
        <f t="shared" si="145"/>
        <v>0</v>
      </c>
      <c r="V1212" s="31"/>
      <c r="X1212" s="240" t="str">
        <f t="shared" si="146"/>
        <v>OK</v>
      </c>
      <c r="Y1212" s="240" t="str">
        <f t="shared" si="147"/>
        <v>OK</v>
      </c>
      <c r="Z1212" s="240" t="str">
        <f t="shared" si="148"/>
        <v>OK</v>
      </c>
      <c r="AA1212" s="240" t="str" cm="1">
        <f t="array" ref="AA1212">IF(OR(AND(J1212="Not accepted",N1212:O1212&lt;&gt;"",$S1212=""),AND(J1212="Accepted",S1212="")),"ERROR","OK")</f>
        <v>OK</v>
      </c>
      <c r="AB1212" s="240" t="str">
        <f t="shared" si="149"/>
        <v>OK</v>
      </c>
      <c r="AC1212" s="240" t="str" cm="1">
        <f t="array" ref="AC1212">IF(AND(F1212:H1212&lt;&gt;"",I1212=""),"ERROR","OK")</f>
        <v>OK</v>
      </c>
      <c r="AD1212" s="240" t="str">
        <f t="shared" si="150"/>
        <v>OK</v>
      </c>
      <c r="AE1212" s="240" t="str">
        <f t="shared" si="151"/>
        <v>OK</v>
      </c>
      <c r="AF1212" s="240" t="str" cm="1">
        <f t="array" aca="1" ref="AF1212" ca="1" xml:space="preserve">
IF(AND($G1212&lt;&gt;"",$F1212=""),"ERROR",
IF(OR($F1212:$G1212="",AND($G1212="",$F1212&lt;&gt;"")),"OK",
IF(COUNTIF(INDIRECT(IFERROR(LEFT($F1212,FIND(" ",$F1212)-1),$F1212)), $G1212)&gt;0, "OK", "ERROR")))</f>
        <v>OK</v>
      </c>
    </row>
    <row r="1213" spans="1:32" s="240" customFormat="1">
      <c r="A1213" s="48"/>
      <c r="B1213" s="31"/>
      <c r="C1213" s="48"/>
      <c r="D1213" s="47"/>
      <c r="E1213" s="47"/>
      <c r="F1213" s="31"/>
      <c r="G1213" s="31"/>
      <c r="H1213" s="31"/>
      <c r="I1213" s="47"/>
      <c r="J1213" s="31"/>
      <c r="K1213" s="47"/>
      <c r="L1213" s="47"/>
      <c r="M1213" s="47"/>
      <c r="N1213" s="31"/>
      <c r="O1213" s="47"/>
      <c r="P1213" s="31"/>
      <c r="Q1213" s="31"/>
      <c r="R1213" s="31"/>
      <c r="S1213" s="31"/>
      <c r="T1213" s="270">
        <f t="shared" si="144"/>
        <v>0</v>
      </c>
      <c r="U1213" s="270">
        <f t="shared" si="145"/>
        <v>0</v>
      </c>
      <c r="V1213" s="31"/>
      <c r="X1213" s="240" t="str">
        <f t="shared" si="146"/>
        <v>OK</v>
      </c>
      <c r="Y1213" s="240" t="str">
        <f t="shared" si="147"/>
        <v>OK</v>
      </c>
      <c r="Z1213" s="240" t="str">
        <f t="shared" si="148"/>
        <v>OK</v>
      </c>
      <c r="AA1213" s="240" t="str" cm="1">
        <f t="array" ref="AA1213">IF(OR(AND(J1213="Not accepted",N1213:O1213&lt;&gt;"",$S1213=""),AND(J1213="Accepted",S1213="")),"ERROR","OK")</f>
        <v>OK</v>
      </c>
      <c r="AB1213" s="240" t="str">
        <f t="shared" si="149"/>
        <v>OK</v>
      </c>
      <c r="AC1213" s="240" t="str" cm="1">
        <f t="array" ref="AC1213">IF(AND(F1213:H1213&lt;&gt;"",I1213=""),"ERROR","OK")</f>
        <v>OK</v>
      </c>
      <c r="AD1213" s="240" t="str">
        <f t="shared" si="150"/>
        <v>OK</v>
      </c>
      <c r="AE1213" s="240" t="str">
        <f t="shared" si="151"/>
        <v>OK</v>
      </c>
      <c r="AF1213" s="240" t="str" cm="1">
        <f t="array" aca="1" ref="AF1213" ca="1" xml:space="preserve">
IF(AND($G1213&lt;&gt;"",$F1213=""),"ERROR",
IF(OR($F1213:$G1213="",AND($G1213="",$F1213&lt;&gt;"")),"OK",
IF(COUNTIF(INDIRECT(IFERROR(LEFT($F1213,FIND(" ",$F1213)-1),$F1213)), $G1213)&gt;0, "OK", "ERROR")))</f>
        <v>OK</v>
      </c>
    </row>
    <row r="1214" spans="1:32" s="240" customFormat="1">
      <c r="A1214" s="48"/>
      <c r="B1214" s="31"/>
      <c r="C1214" s="48"/>
      <c r="D1214" s="47"/>
      <c r="E1214" s="47"/>
      <c r="F1214" s="31"/>
      <c r="G1214" s="31"/>
      <c r="H1214" s="31"/>
      <c r="I1214" s="47"/>
      <c r="J1214" s="31"/>
      <c r="K1214" s="47"/>
      <c r="L1214" s="47"/>
      <c r="M1214" s="47"/>
      <c r="N1214" s="31"/>
      <c r="O1214" s="47"/>
      <c r="P1214" s="31"/>
      <c r="Q1214" s="31"/>
      <c r="R1214" s="31"/>
      <c r="S1214" s="31"/>
      <c r="T1214" s="270">
        <f t="shared" si="144"/>
        <v>0</v>
      </c>
      <c r="U1214" s="270">
        <f t="shared" si="145"/>
        <v>0</v>
      </c>
      <c r="V1214" s="31"/>
      <c r="X1214" s="240" t="str">
        <f t="shared" si="146"/>
        <v>OK</v>
      </c>
      <c r="Y1214" s="240" t="str">
        <f t="shared" si="147"/>
        <v>OK</v>
      </c>
      <c r="Z1214" s="240" t="str">
        <f t="shared" si="148"/>
        <v>OK</v>
      </c>
      <c r="AA1214" s="240" t="str" cm="1">
        <f t="array" ref="AA1214">IF(OR(AND(J1214="Not accepted",N1214:O1214&lt;&gt;"",$S1214=""),AND(J1214="Accepted",S1214="")),"ERROR","OK")</f>
        <v>OK</v>
      </c>
      <c r="AB1214" s="240" t="str">
        <f t="shared" si="149"/>
        <v>OK</v>
      </c>
      <c r="AC1214" s="240" t="str" cm="1">
        <f t="array" ref="AC1214">IF(AND(F1214:H1214&lt;&gt;"",I1214=""),"ERROR","OK")</f>
        <v>OK</v>
      </c>
      <c r="AD1214" s="240" t="str">
        <f t="shared" si="150"/>
        <v>OK</v>
      </c>
      <c r="AE1214" s="240" t="str">
        <f t="shared" si="151"/>
        <v>OK</v>
      </c>
      <c r="AF1214" s="240" t="str" cm="1">
        <f t="array" aca="1" ref="AF1214" ca="1" xml:space="preserve">
IF(AND($G1214&lt;&gt;"",$F1214=""),"ERROR",
IF(OR($F1214:$G1214="",AND($G1214="",$F1214&lt;&gt;"")),"OK",
IF(COUNTIF(INDIRECT(IFERROR(LEFT($F1214,FIND(" ",$F1214)-1),$F1214)), $G1214)&gt;0, "OK", "ERROR")))</f>
        <v>OK</v>
      </c>
    </row>
    <row r="1215" spans="1:32" s="240" customFormat="1">
      <c r="A1215" s="48"/>
      <c r="B1215" s="31"/>
      <c r="C1215" s="48"/>
      <c r="D1215" s="47"/>
      <c r="E1215" s="47"/>
      <c r="F1215" s="31"/>
      <c r="G1215" s="31"/>
      <c r="H1215" s="31"/>
      <c r="I1215" s="47"/>
      <c r="J1215" s="31"/>
      <c r="K1215" s="47"/>
      <c r="L1215" s="47"/>
      <c r="M1215" s="47"/>
      <c r="N1215" s="31"/>
      <c r="O1215" s="47"/>
      <c r="P1215" s="31"/>
      <c r="Q1215" s="31"/>
      <c r="R1215" s="31"/>
      <c r="S1215" s="31"/>
      <c r="T1215" s="270">
        <f t="shared" si="144"/>
        <v>0</v>
      </c>
      <c r="U1215" s="270">
        <f t="shared" si="145"/>
        <v>0</v>
      </c>
      <c r="V1215" s="31"/>
      <c r="X1215" s="240" t="str">
        <f t="shared" si="146"/>
        <v>OK</v>
      </c>
      <c r="Y1215" s="240" t="str">
        <f t="shared" si="147"/>
        <v>OK</v>
      </c>
      <c r="Z1215" s="240" t="str">
        <f t="shared" si="148"/>
        <v>OK</v>
      </c>
      <c r="AA1215" s="240" t="str" cm="1">
        <f t="array" ref="AA1215">IF(OR(AND(J1215="Not accepted",N1215:O1215&lt;&gt;"",$S1215=""),AND(J1215="Accepted",S1215="")),"ERROR","OK")</f>
        <v>OK</v>
      </c>
      <c r="AB1215" s="240" t="str">
        <f t="shared" si="149"/>
        <v>OK</v>
      </c>
      <c r="AC1215" s="240" t="str" cm="1">
        <f t="array" ref="AC1215">IF(AND(F1215:H1215&lt;&gt;"",I1215=""),"ERROR","OK")</f>
        <v>OK</v>
      </c>
      <c r="AD1215" s="240" t="str">
        <f t="shared" si="150"/>
        <v>OK</v>
      </c>
      <c r="AE1215" s="240" t="str">
        <f t="shared" si="151"/>
        <v>OK</v>
      </c>
      <c r="AF1215" s="240" t="str" cm="1">
        <f t="array" aca="1" ref="AF1215" ca="1" xml:space="preserve">
IF(AND($G1215&lt;&gt;"",$F1215=""),"ERROR",
IF(OR($F1215:$G1215="",AND($G1215="",$F1215&lt;&gt;"")),"OK",
IF(COUNTIF(INDIRECT(IFERROR(LEFT($F1215,FIND(" ",$F1215)-1),$F1215)), $G1215)&gt;0, "OK", "ERROR")))</f>
        <v>OK</v>
      </c>
    </row>
    <row r="1216" spans="1:32" s="240" customFormat="1">
      <c r="A1216" s="48"/>
      <c r="B1216" s="31"/>
      <c r="C1216" s="48"/>
      <c r="D1216" s="47"/>
      <c r="E1216" s="47"/>
      <c r="F1216" s="31"/>
      <c r="G1216" s="31"/>
      <c r="H1216" s="31"/>
      <c r="I1216" s="47"/>
      <c r="J1216" s="31"/>
      <c r="K1216" s="47"/>
      <c r="L1216" s="47"/>
      <c r="M1216" s="47"/>
      <c r="N1216" s="31"/>
      <c r="O1216" s="47"/>
      <c r="P1216" s="31"/>
      <c r="Q1216" s="31"/>
      <c r="R1216" s="31"/>
      <c r="S1216" s="31"/>
      <c r="T1216" s="270">
        <f t="shared" si="144"/>
        <v>0</v>
      </c>
      <c r="U1216" s="270">
        <f t="shared" si="145"/>
        <v>0</v>
      </c>
      <c r="V1216" s="31"/>
      <c r="X1216" s="240" t="str">
        <f t="shared" si="146"/>
        <v>OK</v>
      </c>
      <c r="Y1216" s="240" t="str">
        <f t="shared" si="147"/>
        <v>OK</v>
      </c>
      <c r="Z1216" s="240" t="str">
        <f t="shared" si="148"/>
        <v>OK</v>
      </c>
      <c r="AA1216" s="240" t="str" cm="1">
        <f t="array" ref="AA1216">IF(OR(AND(J1216="Not accepted",N1216:O1216&lt;&gt;"",$S1216=""),AND(J1216="Accepted",S1216="")),"ERROR","OK")</f>
        <v>OK</v>
      </c>
      <c r="AB1216" s="240" t="str">
        <f t="shared" si="149"/>
        <v>OK</v>
      </c>
      <c r="AC1216" s="240" t="str" cm="1">
        <f t="array" ref="AC1216">IF(AND(F1216:H1216&lt;&gt;"",I1216=""),"ERROR","OK")</f>
        <v>OK</v>
      </c>
      <c r="AD1216" s="240" t="str">
        <f t="shared" si="150"/>
        <v>OK</v>
      </c>
      <c r="AE1216" s="240" t="str">
        <f t="shared" si="151"/>
        <v>OK</v>
      </c>
      <c r="AF1216" s="240" t="str" cm="1">
        <f t="array" aca="1" ref="AF1216" ca="1" xml:space="preserve">
IF(AND($G1216&lt;&gt;"",$F1216=""),"ERROR",
IF(OR($F1216:$G1216="",AND($G1216="",$F1216&lt;&gt;"")),"OK",
IF(COUNTIF(INDIRECT(IFERROR(LEFT($F1216,FIND(" ",$F1216)-1),$F1216)), $G1216)&gt;0, "OK", "ERROR")))</f>
        <v>OK</v>
      </c>
    </row>
    <row r="1217" spans="1:32" s="240" customFormat="1">
      <c r="A1217" s="48"/>
      <c r="B1217" s="31"/>
      <c r="C1217" s="48"/>
      <c r="D1217" s="47"/>
      <c r="E1217" s="47"/>
      <c r="F1217" s="31"/>
      <c r="G1217" s="31"/>
      <c r="H1217" s="31"/>
      <c r="I1217" s="47"/>
      <c r="J1217" s="31"/>
      <c r="K1217" s="47"/>
      <c r="L1217" s="47"/>
      <c r="M1217" s="47"/>
      <c r="N1217" s="31"/>
      <c r="O1217" s="47"/>
      <c r="P1217" s="31"/>
      <c r="Q1217" s="31"/>
      <c r="R1217" s="31"/>
      <c r="S1217" s="31"/>
      <c r="T1217" s="270">
        <f t="shared" si="144"/>
        <v>0</v>
      </c>
      <c r="U1217" s="270">
        <f t="shared" si="145"/>
        <v>0</v>
      </c>
      <c r="V1217" s="31"/>
      <c r="X1217" s="240" t="str">
        <f t="shared" si="146"/>
        <v>OK</v>
      </c>
      <c r="Y1217" s="240" t="str">
        <f t="shared" si="147"/>
        <v>OK</v>
      </c>
      <c r="Z1217" s="240" t="str">
        <f t="shared" si="148"/>
        <v>OK</v>
      </c>
      <c r="AA1217" s="240" t="str" cm="1">
        <f t="array" ref="AA1217">IF(OR(AND(J1217="Not accepted",N1217:O1217&lt;&gt;"",$S1217=""),AND(J1217="Accepted",S1217="")),"ERROR","OK")</f>
        <v>OK</v>
      </c>
      <c r="AB1217" s="240" t="str">
        <f t="shared" si="149"/>
        <v>OK</v>
      </c>
      <c r="AC1217" s="240" t="str" cm="1">
        <f t="array" ref="AC1217">IF(AND(F1217:H1217&lt;&gt;"",I1217=""),"ERROR","OK")</f>
        <v>OK</v>
      </c>
      <c r="AD1217" s="240" t="str">
        <f t="shared" si="150"/>
        <v>OK</v>
      </c>
      <c r="AE1217" s="240" t="str">
        <f t="shared" si="151"/>
        <v>OK</v>
      </c>
      <c r="AF1217" s="240" t="str" cm="1">
        <f t="array" aca="1" ref="AF1217" ca="1" xml:space="preserve">
IF(AND($G1217&lt;&gt;"",$F1217=""),"ERROR",
IF(OR($F1217:$G1217="",AND($G1217="",$F1217&lt;&gt;"")),"OK",
IF(COUNTIF(INDIRECT(IFERROR(LEFT($F1217,FIND(" ",$F1217)-1),$F1217)), $G1217)&gt;0, "OK", "ERROR")))</f>
        <v>OK</v>
      </c>
    </row>
    <row r="1218" spans="1:32" s="240" customFormat="1">
      <c r="A1218" s="48"/>
      <c r="B1218" s="31"/>
      <c r="C1218" s="48"/>
      <c r="D1218" s="47"/>
      <c r="E1218" s="47"/>
      <c r="F1218" s="31"/>
      <c r="G1218" s="31"/>
      <c r="H1218" s="31"/>
      <c r="I1218" s="47"/>
      <c r="J1218" s="31"/>
      <c r="K1218" s="47"/>
      <c r="L1218" s="47"/>
      <c r="M1218" s="47"/>
      <c r="N1218" s="31"/>
      <c r="O1218" s="47"/>
      <c r="P1218" s="31"/>
      <c r="Q1218" s="31"/>
      <c r="R1218" s="31"/>
      <c r="S1218" s="31"/>
      <c r="T1218" s="270">
        <f t="shared" si="144"/>
        <v>0</v>
      </c>
      <c r="U1218" s="270">
        <f t="shared" si="145"/>
        <v>0</v>
      </c>
      <c r="V1218" s="31"/>
      <c r="X1218" s="240" t="str">
        <f t="shared" si="146"/>
        <v>OK</v>
      </c>
      <c r="Y1218" s="240" t="str">
        <f t="shared" si="147"/>
        <v>OK</v>
      </c>
      <c r="Z1218" s="240" t="str">
        <f t="shared" si="148"/>
        <v>OK</v>
      </c>
      <c r="AA1218" s="240" t="str" cm="1">
        <f t="array" ref="AA1218">IF(OR(AND(J1218="Not accepted",N1218:O1218&lt;&gt;"",$S1218=""),AND(J1218="Accepted",S1218="")),"ERROR","OK")</f>
        <v>OK</v>
      </c>
      <c r="AB1218" s="240" t="str">
        <f t="shared" si="149"/>
        <v>OK</v>
      </c>
      <c r="AC1218" s="240" t="str" cm="1">
        <f t="array" ref="AC1218">IF(AND(F1218:H1218&lt;&gt;"",I1218=""),"ERROR","OK")</f>
        <v>OK</v>
      </c>
      <c r="AD1218" s="240" t="str">
        <f t="shared" si="150"/>
        <v>OK</v>
      </c>
      <c r="AE1218" s="240" t="str">
        <f t="shared" si="151"/>
        <v>OK</v>
      </c>
      <c r="AF1218" s="240" t="str" cm="1">
        <f t="array" aca="1" ref="AF1218" ca="1" xml:space="preserve">
IF(AND($G1218&lt;&gt;"",$F1218=""),"ERROR",
IF(OR($F1218:$G1218="",AND($G1218="",$F1218&lt;&gt;"")),"OK",
IF(COUNTIF(INDIRECT(IFERROR(LEFT($F1218,FIND(" ",$F1218)-1),$F1218)), $G1218)&gt;0, "OK", "ERROR")))</f>
        <v>OK</v>
      </c>
    </row>
    <row r="1219" spans="1:32" s="240" customFormat="1">
      <c r="A1219" s="48"/>
      <c r="B1219" s="31"/>
      <c r="C1219" s="48"/>
      <c r="D1219" s="47"/>
      <c r="E1219" s="47"/>
      <c r="F1219" s="31"/>
      <c r="G1219" s="31"/>
      <c r="H1219" s="31"/>
      <c r="I1219" s="47"/>
      <c r="J1219" s="31"/>
      <c r="K1219" s="47"/>
      <c r="L1219" s="47"/>
      <c r="M1219" s="47"/>
      <c r="N1219" s="31"/>
      <c r="O1219" s="47"/>
      <c r="P1219" s="31"/>
      <c r="Q1219" s="31"/>
      <c r="R1219" s="31"/>
      <c r="S1219" s="31"/>
      <c r="T1219" s="270">
        <f t="shared" si="144"/>
        <v>0</v>
      </c>
      <c r="U1219" s="270">
        <f t="shared" si="145"/>
        <v>0</v>
      </c>
      <c r="V1219" s="31"/>
      <c r="X1219" s="240" t="str">
        <f t="shared" si="146"/>
        <v>OK</v>
      </c>
      <c r="Y1219" s="240" t="str">
        <f t="shared" si="147"/>
        <v>OK</v>
      </c>
      <c r="Z1219" s="240" t="str">
        <f t="shared" si="148"/>
        <v>OK</v>
      </c>
      <c r="AA1219" s="240" t="str" cm="1">
        <f t="array" ref="AA1219">IF(OR(AND(J1219="Not accepted",N1219:O1219&lt;&gt;"",$S1219=""),AND(J1219="Accepted",S1219="")),"ERROR","OK")</f>
        <v>OK</v>
      </c>
      <c r="AB1219" s="240" t="str">
        <f t="shared" si="149"/>
        <v>OK</v>
      </c>
      <c r="AC1219" s="240" t="str" cm="1">
        <f t="array" ref="AC1219">IF(AND(F1219:H1219&lt;&gt;"",I1219=""),"ERROR","OK")</f>
        <v>OK</v>
      </c>
      <c r="AD1219" s="240" t="str">
        <f t="shared" si="150"/>
        <v>OK</v>
      </c>
      <c r="AE1219" s="240" t="str">
        <f t="shared" si="151"/>
        <v>OK</v>
      </c>
      <c r="AF1219" s="240" t="str" cm="1">
        <f t="array" aca="1" ref="AF1219" ca="1" xml:space="preserve">
IF(AND($G1219&lt;&gt;"",$F1219=""),"ERROR",
IF(OR($F1219:$G1219="",AND($G1219="",$F1219&lt;&gt;"")),"OK",
IF(COUNTIF(INDIRECT(IFERROR(LEFT($F1219,FIND(" ",$F1219)-1),$F1219)), $G1219)&gt;0, "OK", "ERROR")))</f>
        <v>OK</v>
      </c>
    </row>
    <row r="1220" spans="1:32" s="240" customFormat="1">
      <c r="A1220" s="48"/>
      <c r="B1220" s="31"/>
      <c r="C1220" s="48"/>
      <c r="D1220" s="47"/>
      <c r="E1220" s="47"/>
      <c r="F1220" s="31"/>
      <c r="G1220" s="31"/>
      <c r="H1220" s="31"/>
      <c r="I1220" s="47"/>
      <c r="J1220" s="31"/>
      <c r="K1220" s="47"/>
      <c r="L1220" s="47"/>
      <c r="M1220" s="47"/>
      <c r="N1220" s="31"/>
      <c r="O1220" s="47"/>
      <c r="P1220" s="31"/>
      <c r="Q1220" s="31"/>
      <c r="R1220" s="31"/>
      <c r="S1220" s="31"/>
      <c r="T1220" s="270">
        <f t="shared" si="144"/>
        <v>0</v>
      </c>
      <c r="U1220" s="270">
        <f t="shared" si="145"/>
        <v>0</v>
      </c>
      <c r="V1220" s="31"/>
      <c r="X1220" s="240" t="str">
        <f t="shared" si="146"/>
        <v>OK</v>
      </c>
      <c r="Y1220" s="240" t="str">
        <f t="shared" si="147"/>
        <v>OK</v>
      </c>
      <c r="Z1220" s="240" t="str">
        <f t="shared" si="148"/>
        <v>OK</v>
      </c>
      <c r="AA1220" s="240" t="str" cm="1">
        <f t="array" ref="AA1220">IF(OR(AND(J1220="Not accepted",N1220:O1220&lt;&gt;"",$S1220=""),AND(J1220="Accepted",S1220="")),"ERROR","OK")</f>
        <v>OK</v>
      </c>
      <c r="AB1220" s="240" t="str">
        <f t="shared" si="149"/>
        <v>OK</v>
      </c>
      <c r="AC1220" s="240" t="str" cm="1">
        <f t="array" ref="AC1220">IF(AND(F1220:H1220&lt;&gt;"",I1220=""),"ERROR","OK")</f>
        <v>OK</v>
      </c>
      <c r="AD1220" s="240" t="str">
        <f t="shared" si="150"/>
        <v>OK</v>
      </c>
      <c r="AE1220" s="240" t="str">
        <f t="shared" si="151"/>
        <v>OK</v>
      </c>
      <c r="AF1220" s="240" t="str" cm="1">
        <f t="array" aca="1" ref="AF1220" ca="1" xml:space="preserve">
IF(AND($G1220&lt;&gt;"",$F1220=""),"ERROR",
IF(OR($F1220:$G1220="",AND($G1220="",$F1220&lt;&gt;"")),"OK",
IF(COUNTIF(INDIRECT(IFERROR(LEFT($F1220,FIND(" ",$F1220)-1),$F1220)), $G1220)&gt;0, "OK", "ERROR")))</f>
        <v>OK</v>
      </c>
    </row>
    <row r="1221" spans="1:32" s="240" customFormat="1">
      <c r="A1221" s="48"/>
      <c r="B1221" s="31"/>
      <c r="C1221" s="48"/>
      <c r="D1221" s="47"/>
      <c r="E1221" s="47"/>
      <c r="F1221" s="31"/>
      <c r="G1221" s="31"/>
      <c r="H1221" s="31"/>
      <c r="I1221" s="47"/>
      <c r="J1221" s="31"/>
      <c r="K1221" s="47"/>
      <c r="L1221" s="47"/>
      <c r="M1221" s="47"/>
      <c r="N1221" s="31"/>
      <c r="O1221" s="47"/>
      <c r="P1221" s="31"/>
      <c r="Q1221" s="31"/>
      <c r="R1221" s="31"/>
      <c r="S1221" s="31"/>
      <c r="T1221" s="270">
        <f t="shared" ref="T1221:T1284" si="152">IF(OR($J1221="Accepted",ISBLANK($J1221)),IF(AND($G1221="Legacy Data",$Q1221="Legacy Data"),1,IF(OR($G1221="Legacy Data",$Q1221="Legacy Data"),1,0)),IF(OR($N1221="Agree with original translator",ISBLANK($N1221)),IF(AND($G1221="Source Text Data",$Q1221="Legacy Data"),1,IF(AND($G1221="Legacy Data",$Q1221="Legacy Data"),1,IF($Q1221="Legacy Data",1,0))),IF(AND($G1221="Legacy Data",$Q1221="Legacy Data"),1,IF(OR($Q1221="Legacy Data",ISBLANK($Q1221)),IF($G1221&lt;&gt;"Legacy Data",IF(AND($G1221="Source Text Data",$Q1221="Legacy Data"),1,0),1),0))))</f>
        <v>0</v>
      </c>
      <c r="U1221" s="270">
        <f t="shared" ref="U1221:U1284" si="153">IF(OR($J1221="Accepted",ISBLANK($J1221)),IF(AND($G1221="Source Text Data",$Q1221="Source Text Data"),1,IF(OR($G1221="Source Text Data",$Q1221="Source Text Data"),1,0)),IF(OR($N1221="Agree with original translator",ISBLANK($N1221)),IF(AND($G1221="Legacy Data",$Q1221="Source Text Data"),1,IF(AND($G1221="Source Text Data",$Q1221="Source Text Data"),1,IF($Q1221="Source Text Data",1,0))),IF(AND($G1221="Source Text Data",$Q1221="Source Text Data"),1,IF(OR($Q1221="Source Text Data",ISBLANK($Q1221)),IF($G1221&lt;&gt;"Source Text Data",IF(AND($G1221="Legacy Data",$Q1221="Source Text Data"),1,0),1),0))))</f>
        <v>0</v>
      </c>
      <c r="V1221" s="31"/>
      <c r="X1221" s="240" t="str">
        <f t="shared" ref="X1221:X1284" si="154">IF(AND(COUNTBLANK($F1221:$H1221)&lt;&gt;COLUMNS($F1221:$H1221),COUNTA($F1221:$H1221)&lt;&gt;COLUMNS($F1221:$H1221)),"ERROR","OK")</f>
        <v>OK</v>
      </c>
      <c r="Y1221" s="240" t="str">
        <f t="shared" ref="Y1221:Y1284" si="155">IF(AND($J1221="Not accepted",$K1221=""),"ERROR","OK")</f>
        <v>OK</v>
      </c>
      <c r="Z1221" s="240" t="str">
        <f t="shared" ref="Z1221:Z1284" si="156">IF(AND($F1221&lt;&gt;"",$J1221=""),"ERROR","OK")</f>
        <v>OK</v>
      </c>
      <c r="AA1221" s="240" t="str" cm="1">
        <f t="array" ref="AA1221">IF(OR(AND(J1221="Not accepted",N1221:O1221&lt;&gt;"",$S1221=""),AND(J1221="Accepted",S1221="")),"ERROR","OK")</f>
        <v>OK</v>
      </c>
      <c r="AB1221" s="240" t="str">
        <f t="shared" ref="AB1221:AB1284" si="157">IF(AND($S1221="Not Implemented",$V1221=""),"ERROR","OK")</f>
        <v>OK</v>
      </c>
      <c r="AC1221" s="240" t="str" cm="1">
        <f t="array" ref="AC1221">IF(AND(F1221:H1221&lt;&gt;"",I1221=""),"ERROR","OK")</f>
        <v>OK</v>
      </c>
      <c r="AD1221" s="240" t="str">
        <f t="shared" ref="AD1221:AD1284" si="158">IF(AND($N1221="",$J1221="Not accepted",$K1221&lt;&gt;""),"ERROR","OK")</f>
        <v>OK</v>
      </c>
      <c r="AE1221" s="240" t="str">
        <f t="shared" ref="AE1221:AE1284" si="159">IF(AND($O1221="",$N1221&lt;&gt;""),"ERROR","OK")</f>
        <v>OK</v>
      </c>
      <c r="AF1221" s="240" t="str" cm="1">
        <f t="array" aca="1" ref="AF1221" ca="1" xml:space="preserve">
IF(AND($G1221&lt;&gt;"",$F1221=""),"ERROR",
IF(OR($F1221:$G1221="",AND($G1221="",$F1221&lt;&gt;"")),"OK",
IF(COUNTIF(INDIRECT(IFERROR(LEFT($F1221,FIND(" ",$F1221)-1),$F1221)), $G1221)&gt;0, "OK", "ERROR")))</f>
        <v>OK</v>
      </c>
    </row>
    <row r="1222" spans="1:32" s="240" customFormat="1">
      <c r="A1222" s="48"/>
      <c r="B1222" s="31"/>
      <c r="C1222" s="48"/>
      <c r="D1222" s="47"/>
      <c r="E1222" s="47"/>
      <c r="F1222" s="31"/>
      <c r="G1222" s="31"/>
      <c r="H1222" s="31"/>
      <c r="I1222" s="47"/>
      <c r="J1222" s="31"/>
      <c r="K1222" s="47"/>
      <c r="L1222" s="47"/>
      <c r="M1222" s="47"/>
      <c r="N1222" s="31"/>
      <c r="O1222" s="47"/>
      <c r="P1222" s="31"/>
      <c r="Q1222" s="31"/>
      <c r="R1222" s="31"/>
      <c r="S1222" s="31"/>
      <c r="T1222" s="270">
        <f t="shared" si="152"/>
        <v>0</v>
      </c>
      <c r="U1222" s="270">
        <f t="shared" si="153"/>
        <v>0</v>
      </c>
      <c r="V1222" s="31"/>
      <c r="X1222" s="240" t="str">
        <f t="shared" si="154"/>
        <v>OK</v>
      </c>
      <c r="Y1222" s="240" t="str">
        <f t="shared" si="155"/>
        <v>OK</v>
      </c>
      <c r="Z1222" s="240" t="str">
        <f t="shared" si="156"/>
        <v>OK</v>
      </c>
      <c r="AA1222" s="240" t="str" cm="1">
        <f t="array" ref="AA1222">IF(OR(AND(J1222="Not accepted",N1222:O1222&lt;&gt;"",$S1222=""),AND(J1222="Accepted",S1222="")),"ERROR","OK")</f>
        <v>OK</v>
      </c>
      <c r="AB1222" s="240" t="str">
        <f t="shared" si="157"/>
        <v>OK</v>
      </c>
      <c r="AC1222" s="240" t="str" cm="1">
        <f t="array" ref="AC1222">IF(AND(F1222:H1222&lt;&gt;"",I1222=""),"ERROR","OK")</f>
        <v>OK</v>
      </c>
      <c r="AD1222" s="240" t="str">
        <f t="shared" si="158"/>
        <v>OK</v>
      </c>
      <c r="AE1222" s="240" t="str">
        <f t="shared" si="159"/>
        <v>OK</v>
      </c>
      <c r="AF1222" s="240" t="str" cm="1">
        <f t="array" aca="1" ref="AF1222" ca="1" xml:space="preserve">
IF(AND($G1222&lt;&gt;"",$F1222=""),"ERROR",
IF(OR($F1222:$G1222="",AND($G1222="",$F1222&lt;&gt;"")),"OK",
IF(COUNTIF(INDIRECT(IFERROR(LEFT($F1222,FIND(" ",$F1222)-1),$F1222)), $G1222)&gt;0, "OK", "ERROR")))</f>
        <v>OK</v>
      </c>
    </row>
    <row r="1223" spans="1:32" s="240" customFormat="1">
      <c r="A1223" s="48"/>
      <c r="B1223" s="31"/>
      <c r="C1223" s="48"/>
      <c r="D1223" s="47"/>
      <c r="E1223" s="47"/>
      <c r="F1223" s="31"/>
      <c r="G1223" s="31"/>
      <c r="H1223" s="31"/>
      <c r="I1223" s="47"/>
      <c r="J1223" s="31"/>
      <c r="K1223" s="47"/>
      <c r="L1223" s="47"/>
      <c r="M1223" s="47"/>
      <c r="N1223" s="31"/>
      <c r="O1223" s="47"/>
      <c r="P1223" s="31"/>
      <c r="Q1223" s="31"/>
      <c r="R1223" s="31"/>
      <c r="S1223" s="31"/>
      <c r="T1223" s="270">
        <f t="shared" si="152"/>
        <v>0</v>
      </c>
      <c r="U1223" s="270">
        <f t="shared" si="153"/>
        <v>0</v>
      </c>
      <c r="V1223" s="31"/>
      <c r="X1223" s="240" t="str">
        <f t="shared" si="154"/>
        <v>OK</v>
      </c>
      <c r="Y1223" s="240" t="str">
        <f t="shared" si="155"/>
        <v>OK</v>
      </c>
      <c r="Z1223" s="240" t="str">
        <f t="shared" si="156"/>
        <v>OK</v>
      </c>
      <c r="AA1223" s="240" t="str" cm="1">
        <f t="array" ref="AA1223">IF(OR(AND(J1223="Not accepted",N1223:O1223&lt;&gt;"",$S1223=""),AND(J1223="Accepted",S1223="")),"ERROR","OK")</f>
        <v>OK</v>
      </c>
      <c r="AB1223" s="240" t="str">
        <f t="shared" si="157"/>
        <v>OK</v>
      </c>
      <c r="AC1223" s="240" t="str" cm="1">
        <f t="array" ref="AC1223">IF(AND(F1223:H1223&lt;&gt;"",I1223=""),"ERROR","OK")</f>
        <v>OK</v>
      </c>
      <c r="AD1223" s="240" t="str">
        <f t="shared" si="158"/>
        <v>OK</v>
      </c>
      <c r="AE1223" s="240" t="str">
        <f t="shared" si="159"/>
        <v>OK</v>
      </c>
      <c r="AF1223" s="240" t="str" cm="1">
        <f t="array" aca="1" ref="AF1223" ca="1" xml:space="preserve">
IF(AND($G1223&lt;&gt;"",$F1223=""),"ERROR",
IF(OR($F1223:$G1223="",AND($G1223="",$F1223&lt;&gt;"")),"OK",
IF(COUNTIF(INDIRECT(IFERROR(LEFT($F1223,FIND(" ",$F1223)-1),$F1223)), $G1223)&gt;0, "OK", "ERROR")))</f>
        <v>OK</v>
      </c>
    </row>
    <row r="1224" spans="1:32" s="240" customFormat="1">
      <c r="A1224" s="48"/>
      <c r="B1224" s="31"/>
      <c r="C1224" s="48"/>
      <c r="D1224" s="47"/>
      <c r="E1224" s="47"/>
      <c r="F1224" s="31"/>
      <c r="G1224" s="31"/>
      <c r="H1224" s="31"/>
      <c r="I1224" s="47"/>
      <c r="J1224" s="31"/>
      <c r="K1224" s="47"/>
      <c r="L1224" s="47"/>
      <c r="M1224" s="47"/>
      <c r="N1224" s="31"/>
      <c r="O1224" s="47"/>
      <c r="P1224" s="31"/>
      <c r="Q1224" s="31"/>
      <c r="R1224" s="31"/>
      <c r="S1224" s="31"/>
      <c r="T1224" s="270">
        <f t="shared" si="152"/>
        <v>0</v>
      </c>
      <c r="U1224" s="270">
        <f t="shared" si="153"/>
        <v>0</v>
      </c>
      <c r="V1224" s="31"/>
      <c r="X1224" s="240" t="str">
        <f t="shared" si="154"/>
        <v>OK</v>
      </c>
      <c r="Y1224" s="240" t="str">
        <f t="shared" si="155"/>
        <v>OK</v>
      </c>
      <c r="Z1224" s="240" t="str">
        <f t="shared" si="156"/>
        <v>OK</v>
      </c>
      <c r="AA1224" s="240" t="str" cm="1">
        <f t="array" ref="AA1224">IF(OR(AND(J1224="Not accepted",N1224:O1224&lt;&gt;"",$S1224=""),AND(J1224="Accepted",S1224="")),"ERROR","OK")</f>
        <v>OK</v>
      </c>
      <c r="AB1224" s="240" t="str">
        <f t="shared" si="157"/>
        <v>OK</v>
      </c>
      <c r="AC1224" s="240" t="str" cm="1">
        <f t="array" ref="AC1224">IF(AND(F1224:H1224&lt;&gt;"",I1224=""),"ERROR","OK")</f>
        <v>OK</v>
      </c>
      <c r="AD1224" s="240" t="str">
        <f t="shared" si="158"/>
        <v>OK</v>
      </c>
      <c r="AE1224" s="240" t="str">
        <f t="shared" si="159"/>
        <v>OK</v>
      </c>
      <c r="AF1224" s="240" t="str" cm="1">
        <f t="array" aca="1" ref="AF1224" ca="1" xml:space="preserve">
IF(AND($G1224&lt;&gt;"",$F1224=""),"ERROR",
IF(OR($F1224:$G1224="",AND($G1224="",$F1224&lt;&gt;"")),"OK",
IF(COUNTIF(INDIRECT(IFERROR(LEFT($F1224,FIND(" ",$F1224)-1),$F1224)), $G1224)&gt;0, "OK", "ERROR")))</f>
        <v>OK</v>
      </c>
    </row>
    <row r="1225" spans="1:32" s="240" customFormat="1">
      <c r="A1225" s="48"/>
      <c r="B1225" s="31"/>
      <c r="C1225" s="48"/>
      <c r="D1225" s="47"/>
      <c r="E1225" s="47"/>
      <c r="F1225" s="31"/>
      <c r="G1225" s="31"/>
      <c r="H1225" s="31"/>
      <c r="I1225" s="47"/>
      <c r="J1225" s="31"/>
      <c r="K1225" s="47"/>
      <c r="L1225" s="47"/>
      <c r="M1225" s="47"/>
      <c r="N1225" s="31"/>
      <c r="O1225" s="47"/>
      <c r="P1225" s="31"/>
      <c r="Q1225" s="31"/>
      <c r="R1225" s="31"/>
      <c r="S1225" s="31"/>
      <c r="T1225" s="270">
        <f t="shared" si="152"/>
        <v>0</v>
      </c>
      <c r="U1225" s="270">
        <f t="shared" si="153"/>
        <v>0</v>
      </c>
      <c r="V1225" s="31"/>
      <c r="X1225" s="240" t="str">
        <f t="shared" si="154"/>
        <v>OK</v>
      </c>
      <c r="Y1225" s="240" t="str">
        <f t="shared" si="155"/>
        <v>OK</v>
      </c>
      <c r="Z1225" s="240" t="str">
        <f t="shared" si="156"/>
        <v>OK</v>
      </c>
      <c r="AA1225" s="240" t="str" cm="1">
        <f t="array" ref="AA1225">IF(OR(AND(J1225="Not accepted",N1225:O1225&lt;&gt;"",$S1225=""),AND(J1225="Accepted",S1225="")),"ERROR","OK")</f>
        <v>OK</v>
      </c>
      <c r="AB1225" s="240" t="str">
        <f t="shared" si="157"/>
        <v>OK</v>
      </c>
      <c r="AC1225" s="240" t="str" cm="1">
        <f t="array" ref="AC1225">IF(AND(F1225:H1225&lt;&gt;"",I1225=""),"ERROR","OK")</f>
        <v>OK</v>
      </c>
      <c r="AD1225" s="240" t="str">
        <f t="shared" si="158"/>
        <v>OK</v>
      </c>
      <c r="AE1225" s="240" t="str">
        <f t="shared" si="159"/>
        <v>OK</v>
      </c>
      <c r="AF1225" s="240" t="str" cm="1">
        <f t="array" aca="1" ref="AF1225" ca="1" xml:space="preserve">
IF(AND($G1225&lt;&gt;"",$F1225=""),"ERROR",
IF(OR($F1225:$G1225="",AND($G1225="",$F1225&lt;&gt;"")),"OK",
IF(COUNTIF(INDIRECT(IFERROR(LEFT($F1225,FIND(" ",$F1225)-1),$F1225)), $G1225)&gt;0, "OK", "ERROR")))</f>
        <v>OK</v>
      </c>
    </row>
    <row r="1226" spans="1:32" s="240" customFormat="1">
      <c r="A1226" s="48"/>
      <c r="B1226" s="31"/>
      <c r="C1226" s="48"/>
      <c r="D1226" s="47"/>
      <c r="E1226" s="47"/>
      <c r="F1226" s="31"/>
      <c r="G1226" s="31"/>
      <c r="H1226" s="31"/>
      <c r="I1226" s="47"/>
      <c r="J1226" s="31"/>
      <c r="K1226" s="47"/>
      <c r="L1226" s="47"/>
      <c r="M1226" s="47"/>
      <c r="N1226" s="31"/>
      <c r="O1226" s="47"/>
      <c r="P1226" s="31"/>
      <c r="Q1226" s="31"/>
      <c r="R1226" s="31"/>
      <c r="S1226" s="31"/>
      <c r="T1226" s="270">
        <f t="shared" si="152"/>
        <v>0</v>
      </c>
      <c r="U1226" s="270">
        <f t="shared" si="153"/>
        <v>0</v>
      </c>
      <c r="V1226" s="31"/>
      <c r="X1226" s="240" t="str">
        <f t="shared" si="154"/>
        <v>OK</v>
      </c>
      <c r="Y1226" s="240" t="str">
        <f t="shared" si="155"/>
        <v>OK</v>
      </c>
      <c r="Z1226" s="240" t="str">
        <f t="shared" si="156"/>
        <v>OK</v>
      </c>
      <c r="AA1226" s="240" t="str" cm="1">
        <f t="array" ref="AA1226">IF(OR(AND(J1226="Not accepted",N1226:O1226&lt;&gt;"",$S1226=""),AND(J1226="Accepted",S1226="")),"ERROR","OK")</f>
        <v>OK</v>
      </c>
      <c r="AB1226" s="240" t="str">
        <f t="shared" si="157"/>
        <v>OK</v>
      </c>
      <c r="AC1226" s="240" t="str" cm="1">
        <f t="array" ref="AC1226">IF(AND(F1226:H1226&lt;&gt;"",I1226=""),"ERROR","OK")</f>
        <v>OK</v>
      </c>
      <c r="AD1226" s="240" t="str">
        <f t="shared" si="158"/>
        <v>OK</v>
      </c>
      <c r="AE1226" s="240" t="str">
        <f t="shared" si="159"/>
        <v>OK</v>
      </c>
      <c r="AF1226" s="240" t="str" cm="1">
        <f t="array" aca="1" ref="AF1226" ca="1" xml:space="preserve">
IF(AND($G1226&lt;&gt;"",$F1226=""),"ERROR",
IF(OR($F1226:$G1226="",AND($G1226="",$F1226&lt;&gt;"")),"OK",
IF(COUNTIF(INDIRECT(IFERROR(LEFT($F1226,FIND(" ",$F1226)-1),$F1226)), $G1226)&gt;0, "OK", "ERROR")))</f>
        <v>OK</v>
      </c>
    </row>
    <row r="1227" spans="1:32" s="240" customFormat="1">
      <c r="A1227" s="48"/>
      <c r="B1227" s="31"/>
      <c r="C1227" s="48"/>
      <c r="D1227" s="47"/>
      <c r="E1227" s="47"/>
      <c r="F1227" s="31"/>
      <c r="G1227" s="31"/>
      <c r="H1227" s="31"/>
      <c r="I1227" s="47"/>
      <c r="J1227" s="31"/>
      <c r="K1227" s="47"/>
      <c r="L1227" s="47"/>
      <c r="M1227" s="47"/>
      <c r="N1227" s="31"/>
      <c r="O1227" s="47"/>
      <c r="P1227" s="31"/>
      <c r="Q1227" s="31"/>
      <c r="R1227" s="31"/>
      <c r="S1227" s="31"/>
      <c r="T1227" s="270">
        <f t="shared" si="152"/>
        <v>0</v>
      </c>
      <c r="U1227" s="270">
        <f t="shared" si="153"/>
        <v>0</v>
      </c>
      <c r="V1227" s="31"/>
      <c r="X1227" s="240" t="str">
        <f t="shared" si="154"/>
        <v>OK</v>
      </c>
      <c r="Y1227" s="240" t="str">
        <f t="shared" si="155"/>
        <v>OK</v>
      </c>
      <c r="Z1227" s="240" t="str">
        <f t="shared" si="156"/>
        <v>OK</v>
      </c>
      <c r="AA1227" s="240" t="str" cm="1">
        <f t="array" ref="AA1227">IF(OR(AND(J1227="Not accepted",N1227:O1227&lt;&gt;"",$S1227=""),AND(J1227="Accepted",S1227="")),"ERROR","OK")</f>
        <v>OK</v>
      </c>
      <c r="AB1227" s="240" t="str">
        <f t="shared" si="157"/>
        <v>OK</v>
      </c>
      <c r="AC1227" s="240" t="str" cm="1">
        <f t="array" ref="AC1227">IF(AND(F1227:H1227&lt;&gt;"",I1227=""),"ERROR","OK")</f>
        <v>OK</v>
      </c>
      <c r="AD1227" s="240" t="str">
        <f t="shared" si="158"/>
        <v>OK</v>
      </c>
      <c r="AE1227" s="240" t="str">
        <f t="shared" si="159"/>
        <v>OK</v>
      </c>
      <c r="AF1227" s="240" t="str" cm="1">
        <f t="array" aca="1" ref="AF1227" ca="1" xml:space="preserve">
IF(AND($G1227&lt;&gt;"",$F1227=""),"ERROR",
IF(OR($F1227:$G1227="",AND($G1227="",$F1227&lt;&gt;"")),"OK",
IF(COUNTIF(INDIRECT(IFERROR(LEFT($F1227,FIND(" ",$F1227)-1),$F1227)), $G1227)&gt;0, "OK", "ERROR")))</f>
        <v>OK</v>
      </c>
    </row>
    <row r="1228" spans="1:32" s="240" customFormat="1">
      <c r="A1228" s="48"/>
      <c r="B1228" s="31"/>
      <c r="C1228" s="48"/>
      <c r="D1228" s="47"/>
      <c r="E1228" s="47"/>
      <c r="F1228" s="31"/>
      <c r="G1228" s="31"/>
      <c r="H1228" s="31"/>
      <c r="I1228" s="47"/>
      <c r="J1228" s="31"/>
      <c r="K1228" s="47"/>
      <c r="L1228" s="47"/>
      <c r="M1228" s="47"/>
      <c r="N1228" s="31"/>
      <c r="O1228" s="47"/>
      <c r="P1228" s="31"/>
      <c r="Q1228" s="31"/>
      <c r="R1228" s="31"/>
      <c r="S1228" s="31"/>
      <c r="T1228" s="270">
        <f t="shared" si="152"/>
        <v>0</v>
      </c>
      <c r="U1228" s="270">
        <f t="shared" si="153"/>
        <v>0</v>
      </c>
      <c r="V1228" s="31"/>
      <c r="X1228" s="240" t="str">
        <f t="shared" si="154"/>
        <v>OK</v>
      </c>
      <c r="Y1228" s="240" t="str">
        <f t="shared" si="155"/>
        <v>OK</v>
      </c>
      <c r="Z1228" s="240" t="str">
        <f t="shared" si="156"/>
        <v>OK</v>
      </c>
      <c r="AA1228" s="240" t="str" cm="1">
        <f t="array" ref="AA1228">IF(OR(AND(J1228="Not accepted",N1228:O1228&lt;&gt;"",$S1228=""),AND(J1228="Accepted",S1228="")),"ERROR","OK")</f>
        <v>OK</v>
      </c>
      <c r="AB1228" s="240" t="str">
        <f t="shared" si="157"/>
        <v>OK</v>
      </c>
      <c r="AC1228" s="240" t="str" cm="1">
        <f t="array" ref="AC1228">IF(AND(F1228:H1228&lt;&gt;"",I1228=""),"ERROR","OK")</f>
        <v>OK</v>
      </c>
      <c r="AD1228" s="240" t="str">
        <f t="shared" si="158"/>
        <v>OK</v>
      </c>
      <c r="AE1228" s="240" t="str">
        <f t="shared" si="159"/>
        <v>OK</v>
      </c>
      <c r="AF1228" s="240" t="str" cm="1">
        <f t="array" aca="1" ref="AF1228" ca="1" xml:space="preserve">
IF(AND($G1228&lt;&gt;"",$F1228=""),"ERROR",
IF(OR($F1228:$G1228="",AND($G1228="",$F1228&lt;&gt;"")),"OK",
IF(COUNTIF(INDIRECT(IFERROR(LEFT($F1228,FIND(" ",$F1228)-1),$F1228)), $G1228)&gt;0, "OK", "ERROR")))</f>
        <v>OK</v>
      </c>
    </row>
    <row r="1229" spans="1:32" s="240" customFormat="1">
      <c r="A1229" s="48"/>
      <c r="B1229" s="31"/>
      <c r="C1229" s="48"/>
      <c r="D1229" s="47"/>
      <c r="E1229" s="47"/>
      <c r="F1229" s="31"/>
      <c r="G1229" s="31"/>
      <c r="H1229" s="31"/>
      <c r="I1229" s="47"/>
      <c r="J1229" s="31"/>
      <c r="K1229" s="47"/>
      <c r="L1229" s="47"/>
      <c r="M1229" s="47"/>
      <c r="N1229" s="31"/>
      <c r="O1229" s="47"/>
      <c r="P1229" s="31"/>
      <c r="Q1229" s="31"/>
      <c r="R1229" s="31"/>
      <c r="S1229" s="31"/>
      <c r="T1229" s="270">
        <f t="shared" si="152"/>
        <v>0</v>
      </c>
      <c r="U1229" s="270">
        <f t="shared" si="153"/>
        <v>0</v>
      </c>
      <c r="V1229" s="31"/>
      <c r="X1229" s="240" t="str">
        <f t="shared" si="154"/>
        <v>OK</v>
      </c>
      <c r="Y1229" s="240" t="str">
        <f t="shared" si="155"/>
        <v>OK</v>
      </c>
      <c r="Z1229" s="240" t="str">
        <f t="shared" si="156"/>
        <v>OK</v>
      </c>
      <c r="AA1229" s="240" t="str" cm="1">
        <f t="array" ref="AA1229">IF(OR(AND(J1229="Not accepted",N1229:O1229&lt;&gt;"",$S1229=""),AND(J1229="Accepted",S1229="")),"ERROR","OK")</f>
        <v>OK</v>
      </c>
      <c r="AB1229" s="240" t="str">
        <f t="shared" si="157"/>
        <v>OK</v>
      </c>
      <c r="AC1229" s="240" t="str" cm="1">
        <f t="array" ref="AC1229">IF(AND(F1229:H1229&lt;&gt;"",I1229=""),"ERROR","OK")</f>
        <v>OK</v>
      </c>
      <c r="AD1229" s="240" t="str">
        <f t="shared" si="158"/>
        <v>OK</v>
      </c>
      <c r="AE1229" s="240" t="str">
        <f t="shared" si="159"/>
        <v>OK</v>
      </c>
      <c r="AF1229" s="240" t="str" cm="1">
        <f t="array" aca="1" ref="AF1229" ca="1" xml:space="preserve">
IF(AND($G1229&lt;&gt;"",$F1229=""),"ERROR",
IF(OR($F1229:$G1229="",AND($G1229="",$F1229&lt;&gt;"")),"OK",
IF(COUNTIF(INDIRECT(IFERROR(LEFT($F1229,FIND(" ",$F1229)-1),$F1229)), $G1229)&gt;0, "OK", "ERROR")))</f>
        <v>OK</v>
      </c>
    </row>
    <row r="1230" spans="1:32" s="240" customFormat="1">
      <c r="A1230" s="48"/>
      <c r="B1230" s="31"/>
      <c r="C1230" s="48"/>
      <c r="D1230" s="47"/>
      <c r="E1230" s="47"/>
      <c r="F1230" s="31"/>
      <c r="G1230" s="31"/>
      <c r="H1230" s="31"/>
      <c r="I1230" s="47"/>
      <c r="J1230" s="31"/>
      <c r="K1230" s="47"/>
      <c r="L1230" s="47"/>
      <c r="M1230" s="47"/>
      <c r="N1230" s="31"/>
      <c r="O1230" s="47"/>
      <c r="P1230" s="31"/>
      <c r="Q1230" s="31"/>
      <c r="R1230" s="31"/>
      <c r="S1230" s="31"/>
      <c r="T1230" s="270">
        <f t="shared" si="152"/>
        <v>0</v>
      </c>
      <c r="U1230" s="270">
        <f t="shared" si="153"/>
        <v>0</v>
      </c>
      <c r="V1230" s="31"/>
      <c r="X1230" s="240" t="str">
        <f t="shared" si="154"/>
        <v>OK</v>
      </c>
      <c r="Y1230" s="240" t="str">
        <f t="shared" si="155"/>
        <v>OK</v>
      </c>
      <c r="Z1230" s="240" t="str">
        <f t="shared" si="156"/>
        <v>OK</v>
      </c>
      <c r="AA1230" s="240" t="str" cm="1">
        <f t="array" ref="AA1230">IF(OR(AND(J1230="Not accepted",N1230:O1230&lt;&gt;"",$S1230=""),AND(J1230="Accepted",S1230="")),"ERROR","OK")</f>
        <v>OK</v>
      </c>
      <c r="AB1230" s="240" t="str">
        <f t="shared" si="157"/>
        <v>OK</v>
      </c>
      <c r="AC1230" s="240" t="str" cm="1">
        <f t="array" ref="AC1230">IF(AND(F1230:H1230&lt;&gt;"",I1230=""),"ERROR","OK")</f>
        <v>OK</v>
      </c>
      <c r="AD1230" s="240" t="str">
        <f t="shared" si="158"/>
        <v>OK</v>
      </c>
      <c r="AE1230" s="240" t="str">
        <f t="shared" si="159"/>
        <v>OK</v>
      </c>
      <c r="AF1230" s="240" t="str" cm="1">
        <f t="array" aca="1" ref="AF1230" ca="1" xml:space="preserve">
IF(AND($G1230&lt;&gt;"",$F1230=""),"ERROR",
IF(OR($F1230:$G1230="",AND($G1230="",$F1230&lt;&gt;"")),"OK",
IF(COUNTIF(INDIRECT(IFERROR(LEFT($F1230,FIND(" ",$F1230)-1),$F1230)), $G1230)&gt;0, "OK", "ERROR")))</f>
        <v>OK</v>
      </c>
    </row>
    <row r="1231" spans="1:32" s="240" customFormat="1">
      <c r="A1231" s="48"/>
      <c r="B1231" s="31"/>
      <c r="C1231" s="48"/>
      <c r="D1231" s="47"/>
      <c r="E1231" s="47"/>
      <c r="F1231" s="31"/>
      <c r="G1231" s="31"/>
      <c r="H1231" s="31"/>
      <c r="I1231" s="47"/>
      <c r="J1231" s="31"/>
      <c r="K1231" s="47"/>
      <c r="L1231" s="47"/>
      <c r="M1231" s="47"/>
      <c r="N1231" s="31"/>
      <c r="O1231" s="47"/>
      <c r="P1231" s="31"/>
      <c r="Q1231" s="31"/>
      <c r="R1231" s="31"/>
      <c r="S1231" s="31"/>
      <c r="T1231" s="270">
        <f t="shared" si="152"/>
        <v>0</v>
      </c>
      <c r="U1231" s="270">
        <f t="shared" si="153"/>
        <v>0</v>
      </c>
      <c r="V1231" s="31"/>
      <c r="X1231" s="240" t="str">
        <f t="shared" si="154"/>
        <v>OK</v>
      </c>
      <c r="Y1231" s="240" t="str">
        <f t="shared" si="155"/>
        <v>OK</v>
      </c>
      <c r="Z1231" s="240" t="str">
        <f t="shared" si="156"/>
        <v>OK</v>
      </c>
      <c r="AA1231" s="240" t="str" cm="1">
        <f t="array" ref="AA1231">IF(OR(AND(J1231="Not accepted",N1231:O1231&lt;&gt;"",$S1231=""),AND(J1231="Accepted",S1231="")),"ERROR","OK")</f>
        <v>OK</v>
      </c>
      <c r="AB1231" s="240" t="str">
        <f t="shared" si="157"/>
        <v>OK</v>
      </c>
      <c r="AC1231" s="240" t="str" cm="1">
        <f t="array" ref="AC1231">IF(AND(F1231:H1231&lt;&gt;"",I1231=""),"ERROR","OK")</f>
        <v>OK</v>
      </c>
      <c r="AD1231" s="240" t="str">
        <f t="shared" si="158"/>
        <v>OK</v>
      </c>
      <c r="AE1231" s="240" t="str">
        <f t="shared" si="159"/>
        <v>OK</v>
      </c>
      <c r="AF1231" s="240" t="str" cm="1">
        <f t="array" aca="1" ref="AF1231" ca="1" xml:space="preserve">
IF(AND($G1231&lt;&gt;"",$F1231=""),"ERROR",
IF(OR($F1231:$G1231="",AND($G1231="",$F1231&lt;&gt;"")),"OK",
IF(COUNTIF(INDIRECT(IFERROR(LEFT($F1231,FIND(" ",$F1231)-1),$F1231)), $G1231)&gt;0, "OK", "ERROR")))</f>
        <v>OK</v>
      </c>
    </row>
    <row r="1232" spans="1:32" s="240" customFormat="1">
      <c r="A1232" s="48"/>
      <c r="B1232" s="31"/>
      <c r="C1232" s="48"/>
      <c r="D1232" s="47"/>
      <c r="E1232" s="47"/>
      <c r="F1232" s="31"/>
      <c r="G1232" s="31"/>
      <c r="H1232" s="31"/>
      <c r="I1232" s="47"/>
      <c r="J1232" s="31"/>
      <c r="K1232" s="47"/>
      <c r="L1232" s="47"/>
      <c r="M1232" s="47"/>
      <c r="N1232" s="31"/>
      <c r="O1232" s="47"/>
      <c r="P1232" s="31"/>
      <c r="Q1232" s="31"/>
      <c r="R1232" s="31"/>
      <c r="S1232" s="31"/>
      <c r="T1232" s="270">
        <f t="shared" si="152"/>
        <v>0</v>
      </c>
      <c r="U1232" s="270">
        <f t="shared" si="153"/>
        <v>0</v>
      </c>
      <c r="V1232" s="31"/>
      <c r="X1232" s="240" t="str">
        <f t="shared" si="154"/>
        <v>OK</v>
      </c>
      <c r="Y1232" s="240" t="str">
        <f t="shared" si="155"/>
        <v>OK</v>
      </c>
      <c r="Z1232" s="240" t="str">
        <f t="shared" si="156"/>
        <v>OK</v>
      </c>
      <c r="AA1232" s="240" t="str" cm="1">
        <f t="array" ref="AA1232">IF(OR(AND(J1232="Not accepted",N1232:O1232&lt;&gt;"",$S1232=""),AND(J1232="Accepted",S1232="")),"ERROR","OK")</f>
        <v>OK</v>
      </c>
      <c r="AB1232" s="240" t="str">
        <f t="shared" si="157"/>
        <v>OK</v>
      </c>
      <c r="AC1232" s="240" t="str" cm="1">
        <f t="array" ref="AC1232">IF(AND(F1232:H1232&lt;&gt;"",I1232=""),"ERROR","OK")</f>
        <v>OK</v>
      </c>
      <c r="AD1232" s="240" t="str">
        <f t="shared" si="158"/>
        <v>OK</v>
      </c>
      <c r="AE1232" s="240" t="str">
        <f t="shared" si="159"/>
        <v>OK</v>
      </c>
      <c r="AF1232" s="240" t="str" cm="1">
        <f t="array" aca="1" ref="AF1232" ca="1" xml:space="preserve">
IF(AND($G1232&lt;&gt;"",$F1232=""),"ERROR",
IF(OR($F1232:$G1232="",AND($G1232="",$F1232&lt;&gt;"")),"OK",
IF(COUNTIF(INDIRECT(IFERROR(LEFT($F1232,FIND(" ",$F1232)-1),$F1232)), $G1232)&gt;0, "OK", "ERROR")))</f>
        <v>OK</v>
      </c>
    </row>
    <row r="1233" spans="1:32" s="240" customFormat="1">
      <c r="A1233" s="48"/>
      <c r="B1233" s="31"/>
      <c r="C1233" s="48"/>
      <c r="D1233" s="47"/>
      <c r="E1233" s="47"/>
      <c r="F1233" s="31"/>
      <c r="G1233" s="31"/>
      <c r="H1233" s="31"/>
      <c r="I1233" s="47"/>
      <c r="J1233" s="31"/>
      <c r="K1233" s="47"/>
      <c r="L1233" s="47"/>
      <c r="M1233" s="47"/>
      <c r="N1233" s="31"/>
      <c r="O1233" s="47"/>
      <c r="P1233" s="31"/>
      <c r="Q1233" s="31"/>
      <c r="R1233" s="31"/>
      <c r="S1233" s="31"/>
      <c r="T1233" s="270">
        <f t="shared" si="152"/>
        <v>0</v>
      </c>
      <c r="U1233" s="270">
        <f t="shared" si="153"/>
        <v>0</v>
      </c>
      <c r="V1233" s="31"/>
      <c r="X1233" s="240" t="str">
        <f t="shared" si="154"/>
        <v>OK</v>
      </c>
      <c r="Y1233" s="240" t="str">
        <f t="shared" si="155"/>
        <v>OK</v>
      </c>
      <c r="Z1233" s="240" t="str">
        <f t="shared" si="156"/>
        <v>OK</v>
      </c>
      <c r="AA1233" s="240" t="str" cm="1">
        <f t="array" ref="AA1233">IF(OR(AND(J1233="Not accepted",N1233:O1233&lt;&gt;"",$S1233=""),AND(J1233="Accepted",S1233="")),"ERROR","OK")</f>
        <v>OK</v>
      </c>
      <c r="AB1233" s="240" t="str">
        <f t="shared" si="157"/>
        <v>OK</v>
      </c>
      <c r="AC1233" s="240" t="str" cm="1">
        <f t="array" ref="AC1233">IF(AND(F1233:H1233&lt;&gt;"",I1233=""),"ERROR","OK")</f>
        <v>OK</v>
      </c>
      <c r="AD1233" s="240" t="str">
        <f t="shared" si="158"/>
        <v>OK</v>
      </c>
      <c r="AE1233" s="240" t="str">
        <f t="shared" si="159"/>
        <v>OK</v>
      </c>
      <c r="AF1233" s="240" t="str" cm="1">
        <f t="array" aca="1" ref="AF1233" ca="1" xml:space="preserve">
IF(AND($G1233&lt;&gt;"",$F1233=""),"ERROR",
IF(OR($F1233:$G1233="",AND($G1233="",$F1233&lt;&gt;"")),"OK",
IF(COUNTIF(INDIRECT(IFERROR(LEFT($F1233,FIND(" ",$F1233)-1),$F1233)), $G1233)&gt;0, "OK", "ERROR")))</f>
        <v>OK</v>
      </c>
    </row>
    <row r="1234" spans="1:32" s="240" customFormat="1">
      <c r="A1234" s="48"/>
      <c r="B1234" s="31"/>
      <c r="C1234" s="48"/>
      <c r="D1234" s="47"/>
      <c r="E1234" s="47"/>
      <c r="F1234" s="31"/>
      <c r="G1234" s="31"/>
      <c r="H1234" s="31"/>
      <c r="I1234" s="47"/>
      <c r="J1234" s="31"/>
      <c r="K1234" s="47"/>
      <c r="L1234" s="47"/>
      <c r="M1234" s="47"/>
      <c r="N1234" s="31"/>
      <c r="O1234" s="47"/>
      <c r="P1234" s="31"/>
      <c r="Q1234" s="31"/>
      <c r="R1234" s="31"/>
      <c r="S1234" s="31"/>
      <c r="T1234" s="270">
        <f t="shared" si="152"/>
        <v>0</v>
      </c>
      <c r="U1234" s="270">
        <f t="shared" si="153"/>
        <v>0</v>
      </c>
      <c r="V1234" s="31"/>
      <c r="X1234" s="240" t="str">
        <f t="shared" si="154"/>
        <v>OK</v>
      </c>
      <c r="Y1234" s="240" t="str">
        <f t="shared" si="155"/>
        <v>OK</v>
      </c>
      <c r="Z1234" s="240" t="str">
        <f t="shared" si="156"/>
        <v>OK</v>
      </c>
      <c r="AA1234" s="240" t="str" cm="1">
        <f t="array" ref="AA1234">IF(OR(AND(J1234="Not accepted",N1234:O1234&lt;&gt;"",$S1234=""),AND(J1234="Accepted",S1234="")),"ERROR","OK")</f>
        <v>OK</v>
      </c>
      <c r="AB1234" s="240" t="str">
        <f t="shared" si="157"/>
        <v>OK</v>
      </c>
      <c r="AC1234" s="240" t="str" cm="1">
        <f t="array" ref="AC1234">IF(AND(F1234:H1234&lt;&gt;"",I1234=""),"ERROR","OK")</f>
        <v>OK</v>
      </c>
      <c r="AD1234" s="240" t="str">
        <f t="shared" si="158"/>
        <v>OK</v>
      </c>
      <c r="AE1234" s="240" t="str">
        <f t="shared" si="159"/>
        <v>OK</v>
      </c>
      <c r="AF1234" s="240" t="str" cm="1">
        <f t="array" aca="1" ref="AF1234" ca="1" xml:space="preserve">
IF(AND($G1234&lt;&gt;"",$F1234=""),"ERROR",
IF(OR($F1234:$G1234="",AND($G1234="",$F1234&lt;&gt;"")),"OK",
IF(COUNTIF(INDIRECT(IFERROR(LEFT($F1234,FIND(" ",$F1234)-1),$F1234)), $G1234)&gt;0, "OK", "ERROR")))</f>
        <v>OK</v>
      </c>
    </row>
    <row r="1235" spans="1:32" s="240" customFormat="1">
      <c r="A1235" s="48"/>
      <c r="B1235" s="31"/>
      <c r="C1235" s="48"/>
      <c r="D1235" s="47"/>
      <c r="E1235" s="47"/>
      <c r="F1235" s="31"/>
      <c r="G1235" s="31"/>
      <c r="H1235" s="31"/>
      <c r="I1235" s="47"/>
      <c r="J1235" s="31"/>
      <c r="K1235" s="47"/>
      <c r="L1235" s="47"/>
      <c r="M1235" s="47"/>
      <c r="N1235" s="31"/>
      <c r="O1235" s="47"/>
      <c r="P1235" s="31"/>
      <c r="Q1235" s="31"/>
      <c r="R1235" s="31"/>
      <c r="S1235" s="31"/>
      <c r="T1235" s="270">
        <f t="shared" si="152"/>
        <v>0</v>
      </c>
      <c r="U1235" s="270">
        <f t="shared" si="153"/>
        <v>0</v>
      </c>
      <c r="V1235" s="31"/>
      <c r="X1235" s="240" t="str">
        <f t="shared" si="154"/>
        <v>OK</v>
      </c>
      <c r="Y1235" s="240" t="str">
        <f t="shared" si="155"/>
        <v>OK</v>
      </c>
      <c r="Z1235" s="240" t="str">
        <f t="shared" si="156"/>
        <v>OK</v>
      </c>
      <c r="AA1235" s="240" t="str" cm="1">
        <f t="array" ref="AA1235">IF(OR(AND(J1235="Not accepted",N1235:O1235&lt;&gt;"",$S1235=""),AND(J1235="Accepted",S1235="")),"ERROR","OK")</f>
        <v>OK</v>
      </c>
      <c r="AB1235" s="240" t="str">
        <f t="shared" si="157"/>
        <v>OK</v>
      </c>
      <c r="AC1235" s="240" t="str" cm="1">
        <f t="array" ref="AC1235">IF(AND(F1235:H1235&lt;&gt;"",I1235=""),"ERROR","OK")</f>
        <v>OK</v>
      </c>
      <c r="AD1235" s="240" t="str">
        <f t="shared" si="158"/>
        <v>OK</v>
      </c>
      <c r="AE1235" s="240" t="str">
        <f t="shared" si="159"/>
        <v>OK</v>
      </c>
      <c r="AF1235" s="240" t="str" cm="1">
        <f t="array" aca="1" ref="AF1235" ca="1" xml:space="preserve">
IF(AND($G1235&lt;&gt;"",$F1235=""),"ERROR",
IF(OR($F1235:$G1235="",AND($G1235="",$F1235&lt;&gt;"")),"OK",
IF(COUNTIF(INDIRECT(IFERROR(LEFT($F1235,FIND(" ",$F1235)-1),$F1235)), $G1235)&gt;0, "OK", "ERROR")))</f>
        <v>OK</v>
      </c>
    </row>
    <row r="1236" spans="1:32" s="240" customFormat="1">
      <c r="A1236" s="48"/>
      <c r="B1236" s="31"/>
      <c r="C1236" s="48"/>
      <c r="D1236" s="47"/>
      <c r="E1236" s="47"/>
      <c r="F1236" s="31"/>
      <c r="G1236" s="31"/>
      <c r="H1236" s="31"/>
      <c r="I1236" s="47"/>
      <c r="J1236" s="31"/>
      <c r="K1236" s="47"/>
      <c r="L1236" s="47"/>
      <c r="M1236" s="47"/>
      <c r="N1236" s="31"/>
      <c r="O1236" s="47"/>
      <c r="P1236" s="31"/>
      <c r="Q1236" s="31"/>
      <c r="R1236" s="31"/>
      <c r="S1236" s="31"/>
      <c r="T1236" s="270">
        <f t="shared" si="152"/>
        <v>0</v>
      </c>
      <c r="U1236" s="270">
        <f t="shared" si="153"/>
        <v>0</v>
      </c>
      <c r="V1236" s="31"/>
      <c r="X1236" s="240" t="str">
        <f t="shared" si="154"/>
        <v>OK</v>
      </c>
      <c r="Y1236" s="240" t="str">
        <f t="shared" si="155"/>
        <v>OK</v>
      </c>
      <c r="Z1236" s="240" t="str">
        <f t="shared" si="156"/>
        <v>OK</v>
      </c>
      <c r="AA1236" s="240" t="str" cm="1">
        <f t="array" ref="AA1236">IF(OR(AND(J1236="Not accepted",N1236:O1236&lt;&gt;"",$S1236=""),AND(J1236="Accepted",S1236="")),"ERROR","OK")</f>
        <v>OK</v>
      </c>
      <c r="AB1236" s="240" t="str">
        <f t="shared" si="157"/>
        <v>OK</v>
      </c>
      <c r="AC1236" s="240" t="str" cm="1">
        <f t="array" ref="AC1236">IF(AND(F1236:H1236&lt;&gt;"",I1236=""),"ERROR","OK")</f>
        <v>OK</v>
      </c>
      <c r="AD1236" s="240" t="str">
        <f t="shared" si="158"/>
        <v>OK</v>
      </c>
      <c r="AE1236" s="240" t="str">
        <f t="shared" si="159"/>
        <v>OK</v>
      </c>
      <c r="AF1236" s="240" t="str" cm="1">
        <f t="array" aca="1" ref="AF1236" ca="1" xml:space="preserve">
IF(AND($G1236&lt;&gt;"",$F1236=""),"ERROR",
IF(OR($F1236:$G1236="",AND($G1236="",$F1236&lt;&gt;"")),"OK",
IF(COUNTIF(INDIRECT(IFERROR(LEFT($F1236,FIND(" ",$F1236)-1),$F1236)), $G1236)&gt;0, "OK", "ERROR")))</f>
        <v>OK</v>
      </c>
    </row>
    <row r="1237" spans="1:32" s="240" customFormat="1">
      <c r="A1237" s="48"/>
      <c r="B1237" s="31"/>
      <c r="C1237" s="48"/>
      <c r="D1237" s="47"/>
      <c r="E1237" s="47"/>
      <c r="F1237" s="31"/>
      <c r="G1237" s="31"/>
      <c r="H1237" s="31"/>
      <c r="I1237" s="47"/>
      <c r="J1237" s="31"/>
      <c r="K1237" s="47"/>
      <c r="L1237" s="47"/>
      <c r="M1237" s="47"/>
      <c r="N1237" s="31"/>
      <c r="O1237" s="47"/>
      <c r="P1237" s="31"/>
      <c r="Q1237" s="31"/>
      <c r="R1237" s="31"/>
      <c r="S1237" s="31"/>
      <c r="T1237" s="270">
        <f t="shared" si="152"/>
        <v>0</v>
      </c>
      <c r="U1237" s="270">
        <f t="shared" si="153"/>
        <v>0</v>
      </c>
      <c r="V1237" s="31"/>
      <c r="X1237" s="240" t="str">
        <f t="shared" si="154"/>
        <v>OK</v>
      </c>
      <c r="Y1237" s="240" t="str">
        <f t="shared" si="155"/>
        <v>OK</v>
      </c>
      <c r="Z1237" s="240" t="str">
        <f t="shared" si="156"/>
        <v>OK</v>
      </c>
      <c r="AA1237" s="240" t="str" cm="1">
        <f t="array" ref="AA1237">IF(OR(AND(J1237="Not accepted",N1237:O1237&lt;&gt;"",$S1237=""),AND(J1237="Accepted",S1237="")),"ERROR","OK")</f>
        <v>OK</v>
      </c>
      <c r="AB1237" s="240" t="str">
        <f t="shared" si="157"/>
        <v>OK</v>
      </c>
      <c r="AC1237" s="240" t="str" cm="1">
        <f t="array" ref="AC1237">IF(AND(F1237:H1237&lt;&gt;"",I1237=""),"ERROR","OK")</f>
        <v>OK</v>
      </c>
      <c r="AD1237" s="240" t="str">
        <f t="shared" si="158"/>
        <v>OK</v>
      </c>
      <c r="AE1237" s="240" t="str">
        <f t="shared" si="159"/>
        <v>OK</v>
      </c>
      <c r="AF1237" s="240" t="str" cm="1">
        <f t="array" aca="1" ref="AF1237" ca="1" xml:space="preserve">
IF(AND($G1237&lt;&gt;"",$F1237=""),"ERROR",
IF(OR($F1237:$G1237="",AND($G1237="",$F1237&lt;&gt;"")),"OK",
IF(COUNTIF(INDIRECT(IFERROR(LEFT($F1237,FIND(" ",$F1237)-1),$F1237)), $G1237)&gt;0, "OK", "ERROR")))</f>
        <v>OK</v>
      </c>
    </row>
    <row r="1238" spans="1:32" s="240" customFormat="1">
      <c r="A1238" s="48"/>
      <c r="B1238" s="31"/>
      <c r="C1238" s="48"/>
      <c r="D1238" s="47"/>
      <c r="E1238" s="47"/>
      <c r="F1238" s="31"/>
      <c r="G1238" s="31"/>
      <c r="H1238" s="31"/>
      <c r="I1238" s="47"/>
      <c r="J1238" s="31"/>
      <c r="K1238" s="47"/>
      <c r="L1238" s="47"/>
      <c r="M1238" s="47"/>
      <c r="N1238" s="31"/>
      <c r="O1238" s="47"/>
      <c r="P1238" s="31"/>
      <c r="Q1238" s="31"/>
      <c r="R1238" s="31"/>
      <c r="S1238" s="31"/>
      <c r="T1238" s="270">
        <f t="shared" si="152"/>
        <v>0</v>
      </c>
      <c r="U1238" s="270">
        <f t="shared" si="153"/>
        <v>0</v>
      </c>
      <c r="V1238" s="31"/>
      <c r="X1238" s="240" t="str">
        <f t="shared" si="154"/>
        <v>OK</v>
      </c>
      <c r="Y1238" s="240" t="str">
        <f t="shared" si="155"/>
        <v>OK</v>
      </c>
      <c r="Z1238" s="240" t="str">
        <f t="shared" si="156"/>
        <v>OK</v>
      </c>
      <c r="AA1238" s="240" t="str" cm="1">
        <f t="array" ref="AA1238">IF(OR(AND(J1238="Not accepted",N1238:O1238&lt;&gt;"",$S1238=""),AND(J1238="Accepted",S1238="")),"ERROR","OK")</f>
        <v>OK</v>
      </c>
      <c r="AB1238" s="240" t="str">
        <f t="shared" si="157"/>
        <v>OK</v>
      </c>
      <c r="AC1238" s="240" t="str" cm="1">
        <f t="array" ref="AC1238">IF(AND(F1238:H1238&lt;&gt;"",I1238=""),"ERROR","OK")</f>
        <v>OK</v>
      </c>
      <c r="AD1238" s="240" t="str">
        <f t="shared" si="158"/>
        <v>OK</v>
      </c>
      <c r="AE1238" s="240" t="str">
        <f t="shared" si="159"/>
        <v>OK</v>
      </c>
      <c r="AF1238" s="240" t="str" cm="1">
        <f t="array" aca="1" ref="AF1238" ca="1" xml:space="preserve">
IF(AND($G1238&lt;&gt;"",$F1238=""),"ERROR",
IF(OR($F1238:$G1238="",AND($G1238="",$F1238&lt;&gt;"")),"OK",
IF(COUNTIF(INDIRECT(IFERROR(LEFT($F1238,FIND(" ",$F1238)-1),$F1238)), $G1238)&gt;0, "OK", "ERROR")))</f>
        <v>OK</v>
      </c>
    </row>
    <row r="1239" spans="1:32" s="240" customFormat="1">
      <c r="A1239" s="48"/>
      <c r="B1239" s="31"/>
      <c r="C1239" s="48"/>
      <c r="D1239" s="47"/>
      <c r="E1239" s="47"/>
      <c r="F1239" s="31"/>
      <c r="G1239" s="31"/>
      <c r="H1239" s="31"/>
      <c r="I1239" s="47"/>
      <c r="J1239" s="31"/>
      <c r="K1239" s="47"/>
      <c r="L1239" s="47"/>
      <c r="M1239" s="47"/>
      <c r="N1239" s="31"/>
      <c r="O1239" s="47"/>
      <c r="P1239" s="31"/>
      <c r="Q1239" s="31"/>
      <c r="R1239" s="31"/>
      <c r="S1239" s="31"/>
      <c r="T1239" s="270">
        <f t="shared" si="152"/>
        <v>0</v>
      </c>
      <c r="U1239" s="270">
        <f t="shared" si="153"/>
        <v>0</v>
      </c>
      <c r="V1239" s="31"/>
      <c r="X1239" s="240" t="str">
        <f t="shared" si="154"/>
        <v>OK</v>
      </c>
      <c r="Y1239" s="240" t="str">
        <f t="shared" si="155"/>
        <v>OK</v>
      </c>
      <c r="Z1239" s="240" t="str">
        <f t="shared" si="156"/>
        <v>OK</v>
      </c>
      <c r="AA1239" s="240" t="str" cm="1">
        <f t="array" ref="AA1239">IF(OR(AND(J1239="Not accepted",N1239:O1239&lt;&gt;"",$S1239=""),AND(J1239="Accepted",S1239="")),"ERROR","OK")</f>
        <v>OK</v>
      </c>
      <c r="AB1239" s="240" t="str">
        <f t="shared" si="157"/>
        <v>OK</v>
      </c>
      <c r="AC1239" s="240" t="str" cm="1">
        <f t="array" ref="AC1239">IF(AND(F1239:H1239&lt;&gt;"",I1239=""),"ERROR","OK")</f>
        <v>OK</v>
      </c>
      <c r="AD1239" s="240" t="str">
        <f t="shared" si="158"/>
        <v>OK</v>
      </c>
      <c r="AE1239" s="240" t="str">
        <f t="shared" si="159"/>
        <v>OK</v>
      </c>
      <c r="AF1239" s="240" t="str" cm="1">
        <f t="array" aca="1" ref="AF1239" ca="1" xml:space="preserve">
IF(AND($G1239&lt;&gt;"",$F1239=""),"ERROR",
IF(OR($F1239:$G1239="",AND($G1239="",$F1239&lt;&gt;"")),"OK",
IF(COUNTIF(INDIRECT(IFERROR(LEFT($F1239,FIND(" ",$F1239)-1),$F1239)), $G1239)&gt;0, "OK", "ERROR")))</f>
        <v>OK</v>
      </c>
    </row>
    <row r="1240" spans="1:32" s="240" customFormat="1">
      <c r="A1240" s="48"/>
      <c r="B1240" s="31"/>
      <c r="C1240" s="48"/>
      <c r="D1240" s="47"/>
      <c r="E1240" s="47"/>
      <c r="F1240" s="31"/>
      <c r="G1240" s="31"/>
      <c r="H1240" s="31"/>
      <c r="I1240" s="47"/>
      <c r="J1240" s="31"/>
      <c r="K1240" s="47"/>
      <c r="L1240" s="47"/>
      <c r="M1240" s="47"/>
      <c r="N1240" s="31"/>
      <c r="O1240" s="47"/>
      <c r="P1240" s="31"/>
      <c r="Q1240" s="31"/>
      <c r="R1240" s="31"/>
      <c r="S1240" s="31"/>
      <c r="T1240" s="270">
        <f t="shared" si="152"/>
        <v>0</v>
      </c>
      <c r="U1240" s="270">
        <f t="shared" si="153"/>
        <v>0</v>
      </c>
      <c r="V1240" s="31"/>
      <c r="X1240" s="240" t="str">
        <f t="shared" si="154"/>
        <v>OK</v>
      </c>
      <c r="Y1240" s="240" t="str">
        <f t="shared" si="155"/>
        <v>OK</v>
      </c>
      <c r="Z1240" s="240" t="str">
        <f t="shared" si="156"/>
        <v>OK</v>
      </c>
      <c r="AA1240" s="240" t="str" cm="1">
        <f t="array" ref="AA1240">IF(OR(AND(J1240="Not accepted",N1240:O1240&lt;&gt;"",$S1240=""),AND(J1240="Accepted",S1240="")),"ERROR","OK")</f>
        <v>OK</v>
      </c>
      <c r="AB1240" s="240" t="str">
        <f t="shared" si="157"/>
        <v>OK</v>
      </c>
      <c r="AC1240" s="240" t="str" cm="1">
        <f t="array" ref="AC1240">IF(AND(F1240:H1240&lt;&gt;"",I1240=""),"ERROR","OK")</f>
        <v>OK</v>
      </c>
      <c r="AD1240" s="240" t="str">
        <f t="shared" si="158"/>
        <v>OK</v>
      </c>
      <c r="AE1240" s="240" t="str">
        <f t="shared" si="159"/>
        <v>OK</v>
      </c>
      <c r="AF1240" s="240" t="str" cm="1">
        <f t="array" aca="1" ref="AF1240" ca="1" xml:space="preserve">
IF(AND($G1240&lt;&gt;"",$F1240=""),"ERROR",
IF(OR($F1240:$G1240="",AND($G1240="",$F1240&lt;&gt;"")),"OK",
IF(COUNTIF(INDIRECT(IFERROR(LEFT($F1240,FIND(" ",$F1240)-1),$F1240)), $G1240)&gt;0, "OK", "ERROR")))</f>
        <v>OK</v>
      </c>
    </row>
    <row r="1241" spans="1:32" s="240" customFormat="1">
      <c r="A1241" s="48"/>
      <c r="B1241" s="31"/>
      <c r="C1241" s="48"/>
      <c r="D1241" s="47"/>
      <c r="E1241" s="47"/>
      <c r="F1241" s="31"/>
      <c r="G1241" s="31"/>
      <c r="H1241" s="31"/>
      <c r="I1241" s="47"/>
      <c r="J1241" s="31"/>
      <c r="K1241" s="47"/>
      <c r="L1241" s="47"/>
      <c r="M1241" s="47"/>
      <c r="N1241" s="31"/>
      <c r="O1241" s="47"/>
      <c r="P1241" s="31"/>
      <c r="Q1241" s="31"/>
      <c r="R1241" s="31"/>
      <c r="S1241" s="31"/>
      <c r="T1241" s="270">
        <f t="shared" si="152"/>
        <v>0</v>
      </c>
      <c r="U1241" s="270">
        <f t="shared" si="153"/>
        <v>0</v>
      </c>
      <c r="V1241" s="31"/>
      <c r="X1241" s="240" t="str">
        <f t="shared" si="154"/>
        <v>OK</v>
      </c>
      <c r="Y1241" s="240" t="str">
        <f t="shared" si="155"/>
        <v>OK</v>
      </c>
      <c r="Z1241" s="240" t="str">
        <f t="shared" si="156"/>
        <v>OK</v>
      </c>
      <c r="AA1241" s="240" t="str" cm="1">
        <f t="array" ref="AA1241">IF(OR(AND(J1241="Not accepted",N1241:O1241&lt;&gt;"",$S1241=""),AND(J1241="Accepted",S1241="")),"ERROR","OK")</f>
        <v>OK</v>
      </c>
      <c r="AB1241" s="240" t="str">
        <f t="shared" si="157"/>
        <v>OK</v>
      </c>
      <c r="AC1241" s="240" t="str" cm="1">
        <f t="array" ref="AC1241">IF(AND(F1241:H1241&lt;&gt;"",I1241=""),"ERROR","OK")</f>
        <v>OK</v>
      </c>
      <c r="AD1241" s="240" t="str">
        <f t="shared" si="158"/>
        <v>OK</v>
      </c>
      <c r="AE1241" s="240" t="str">
        <f t="shared" si="159"/>
        <v>OK</v>
      </c>
      <c r="AF1241" s="240" t="str" cm="1">
        <f t="array" aca="1" ref="AF1241" ca="1" xml:space="preserve">
IF(AND($G1241&lt;&gt;"",$F1241=""),"ERROR",
IF(OR($F1241:$G1241="",AND($G1241="",$F1241&lt;&gt;"")),"OK",
IF(COUNTIF(INDIRECT(IFERROR(LEFT($F1241,FIND(" ",$F1241)-1),$F1241)), $G1241)&gt;0, "OK", "ERROR")))</f>
        <v>OK</v>
      </c>
    </row>
    <row r="1242" spans="1:32" s="240" customFormat="1">
      <c r="A1242" s="48"/>
      <c r="B1242" s="31"/>
      <c r="C1242" s="48"/>
      <c r="D1242" s="47"/>
      <c r="E1242" s="47"/>
      <c r="F1242" s="31"/>
      <c r="G1242" s="31"/>
      <c r="H1242" s="31"/>
      <c r="I1242" s="47"/>
      <c r="J1242" s="31"/>
      <c r="K1242" s="47"/>
      <c r="L1242" s="47"/>
      <c r="M1242" s="47"/>
      <c r="N1242" s="31"/>
      <c r="O1242" s="47"/>
      <c r="P1242" s="31"/>
      <c r="Q1242" s="31"/>
      <c r="R1242" s="31"/>
      <c r="S1242" s="31"/>
      <c r="T1242" s="270">
        <f t="shared" si="152"/>
        <v>0</v>
      </c>
      <c r="U1242" s="270">
        <f t="shared" si="153"/>
        <v>0</v>
      </c>
      <c r="V1242" s="31"/>
      <c r="X1242" s="240" t="str">
        <f t="shared" si="154"/>
        <v>OK</v>
      </c>
      <c r="Y1242" s="240" t="str">
        <f t="shared" si="155"/>
        <v>OK</v>
      </c>
      <c r="Z1242" s="240" t="str">
        <f t="shared" si="156"/>
        <v>OK</v>
      </c>
      <c r="AA1242" s="240" t="str" cm="1">
        <f t="array" ref="AA1242">IF(OR(AND(J1242="Not accepted",N1242:O1242&lt;&gt;"",$S1242=""),AND(J1242="Accepted",S1242="")),"ERROR","OK")</f>
        <v>OK</v>
      </c>
      <c r="AB1242" s="240" t="str">
        <f t="shared" si="157"/>
        <v>OK</v>
      </c>
      <c r="AC1242" s="240" t="str" cm="1">
        <f t="array" ref="AC1242">IF(AND(F1242:H1242&lt;&gt;"",I1242=""),"ERROR","OK")</f>
        <v>OK</v>
      </c>
      <c r="AD1242" s="240" t="str">
        <f t="shared" si="158"/>
        <v>OK</v>
      </c>
      <c r="AE1242" s="240" t="str">
        <f t="shared" si="159"/>
        <v>OK</v>
      </c>
      <c r="AF1242" s="240" t="str" cm="1">
        <f t="array" aca="1" ref="AF1242" ca="1" xml:space="preserve">
IF(AND($G1242&lt;&gt;"",$F1242=""),"ERROR",
IF(OR($F1242:$G1242="",AND($G1242="",$F1242&lt;&gt;"")),"OK",
IF(COUNTIF(INDIRECT(IFERROR(LEFT($F1242,FIND(" ",$F1242)-1),$F1242)), $G1242)&gt;0, "OK", "ERROR")))</f>
        <v>OK</v>
      </c>
    </row>
    <row r="1243" spans="1:32" s="240" customFormat="1">
      <c r="A1243" s="48"/>
      <c r="B1243" s="31"/>
      <c r="C1243" s="48"/>
      <c r="D1243" s="47"/>
      <c r="E1243" s="47"/>
      <c r="F1243" s="31"/>
      <c r="G1243" s="31"/>
      <c r="H1243" s="31"/>
      <c r="I1243" s="47"/>
      <c r="J1243" s="31"/>
      <c r="K1243" s="47"/>
      <c r="L1243" s="47"/>
      <c r="M1243" s="47"/>
      <c r="N1243" s="31"/>
      <c r="O1243" s="47"/>
      <c r="P1243" s="31"/>
      <c r="Q1243" s="31"/>
      <c r="R1243" s="31"/>
      <c r="S1243" s="31"/>
      <c r="T1243" s="270">
        <f t="shared" si="152"/>
        <v>0</v>
      </c>
      <c r="U1243" s="270">
        <f t="shared" si="153"/>
        <v>0</v>
      </c>
      <c r="V1243" s="31"/>
      <c r="X1243" s="240" t="str">
        <f t="shared" si="154"/>
        <v>OK</v>
      </c>
      <c r="Y1243" s="240" t="str">
        <f t="shared" si="155"/>
        <v>OK</v>
      </c>
      <c r="Z1243" s="240" t="str">
        <f t="shared" si="156"/>
        <v>OK</v>
      </c>
      <c r="AA1243" s="240" t="str" cm="1">
        <f t="array" ref="AA1243">IF(OR(AND(J1243="Not accepted",N1243:O1243&lt;&gt;"",$S1243=""),AND(J1243="Accepted",S1243="")),"ERROR","OK")</f>
        <v>OK</v>
      </c>
      <c r="AB1243" s="240" t="str">
        <f t="shared" si="157"/>
        <v>OK</v>
      </c>
      <c r="AC1243" s="240" t="str" cm="1">
        <f t="array" ref="AC1243">IF(AND(F1243:H1243&lt;&gt;"",I1243=""),"ERROR","OK")</f>
        <v>OK</v>
      </c>
      <c r="AD1243" s="240" t="str">
        <f t="shared" si="158"/>
        <v>OK</v>
      </c>
      <c r="AE1243" s="240" t="str">
        <f t="shared" si="159"/>
        <v>OK</v>
      </c>
      <c r="AF1243" s="240" t="str" cm="1">
        <f t="array" aca="1" ref="AF1243" ca="1" xml:space="preserve">
IF(AND($G1243&lt;&gt;"",$F1243=""),"ERROR",
IF(OR($F1243:$G1243="",AND($G1243="",$F1243&lt;&gt;"")),"OK",
IF(COUNTIF(INDIRECT(IFERROR(LEFT($F1243,FIND(" ",$F1243)-1),$F1243)), $G1243)&gt;0, "OK", "ERROR")))</f>
        <v>OK</v>
      </c>
    </row>
    <row r="1244" spans="1:32" s="240" customFormat="1">
      <c r="A1244" s="48"/>
      <c r="B1244" s="31"/>
      <c r="C1244" s="48"/>
      <c r="D1244" s="47"/>
      <c r="E1244" s="47"/>
      <c r="F1244" s="31"/>
      <c r="G1244" s="31"/>
      <c r="H1244" s="31"/>
      <c r="I1244" s="47"/>
      <c r="J1244" s="31"/>
      <c r="K1244" s="47"/>
      <c r="L1244" s="47"/>
      <c r="M1244" s="47"/>
      <c r="N1244" s="31"/>
      <c r="O1244" s="47"/>
      <c r="P1244" s="31"/>
      <c r="Q1244" s="31"/>
      <c r="R1244" s="31"/>
      <c r="S1244" s="31"/>
      <c r="T1244" s="270">
        <f t="shared" si="152"/>
        <v>0</v>
      </c>
      <c r="U1244" s="270">
        <f t="shared" si="153"/>
        <v>0</v>
      </c>
      <c r="V1244" s="31"/>
      <c r="X1244" s="240" t="str">
        <f t="shared" si="154"/>
        <v>OK</v>
      </c>
      <c r="Y1244" s="240" t="str">
        <f t="shared" si="155"/>
        <v>OK</v>
      </c>
      <c r="Z1244" s="240" t="str">
        <f t="shared" si="156"/>
        <v>OK</v>
      </c>
      <c r="AA1244" s="240" t="str" cm="1">
        <f t="array" ref="AA1244">IF(OR(AND(J1244="Not accepted",N1244:O1244&lt;&gt;"",$S1244=""),AND(J1244="Accepted",S1244="")),"ERROR","OK")</f>
        <v>OK</v>
      </c>
      <c r="AB1244" s="240" t="str">
        <f t="shared" si="157"/>
        <v>OK</v>
      </c>
      <c r="AC1244" s="240" t="str" cm="1">
        <f t="array" ref="AC1244">IF(AND(F1244:H1244&lt;&gt;"",I1244=""),"ERROR","OK")</f>
        <v>OK</v>
      </c>
      <c r="AD1244" s="240" t="str">
        <f t="shared" si="158"/>
        <v>OK</v>
      </c>
      <c r="AE1244" s="240" t="str">
        <f t="shared" si="159"/>
        <v>OK</v>
      </c>
      <c r="AF1244" s="240" t="str" cm="1">
        <f t="array" aca="1" ref="AF1244" ca="1" xml:space="preserve">
IF(AND($G1244&lt;&gt;"",$F1244=""),"ERROR",
IF(OR($F1244:$G1244="",AND($G1244="",$F1244&lt;&gt;"")),"OK",
IF(COUNTIF(INDIRECT(IFERROR(LEFT($F1244,FIND(" ",$F1244)-1),$F1244)), $G1244)&gt;0, "OK", "ERROR")))</f>
        <v>OK</v>
      </c>
    </row>
    <row r="1245" spans="1:32" s="240" customFormat="1">
      <c r="A1245" s="48"/>
      <c r="B1245" s="31"/>
      <c r="C1245" s="48"/>
      <c r="D1245" s="47"/>
      <c r="E1245" s="47"/>
      <c r="F1245" s="31"/>
      <c r="G1245" s="31"/>
      <c r="H1245" s="31"/>
      <c r="I1245" s="47"/>
      <c r="J1245" s="31"/>
      <c r="K1245" s="47"/>
      <c r="L1245" s="47"/>
      <c r="M1245" s="47"/>
      <c r="N1245" s="31"/>
      <c r="O1245" s="47"/>
      <c r="P1245" s="31"/>
      <c r="Q1245" s="31"/>
      <c r="R1245" s="31"/>
      <c r="S1245" s="31"/>
      <c r="T1245" s="270">
        <f t="shared" si="152"/>
        <v>0</v>
      </c>
      <c r="U1245" s="270">
        <f t="shared" si="153"/>
        <v>0</v>
      </c>
      <c r="V1245" s="31"/>
      <c r="X1245" s="240" t="str">
        <f t="shared" si="154"/>
        <v>OK</v>
      </c>
      <c r="Y1245" s="240" t="str">
        <f t="shared" si="155"/>
        <v>OK</v>
      </c>
      <c r="Z1245" s="240" t="str">
        <f t="shared" si="156"/>
        <v>OK</v>
      </c>
      <c r="AA1245" s="240" t="str" cm="1">
        <f t="array" ref="AA1245">IF(OR(AND(J1245="Not accepted",N1245:O1245&lt;&gt;"",$S1245=""),AND(J1245="Accepted",S1245="")),"ERROR","OK")</f>
        <v>OK</v>
      </c>
      <c r="AB1245" s="240" t="str">
        <f t="shared" si="157"/>
        <v>OK</v>
      </c>
      <c r="AC1245" s="240" t="str" cm="1">
        <f t="array" ref="AC1245">IF(AND(F1245:H1245&lt;&gt;"",I1245=""),"ERROR","OK")</f>
        <v>OK</v>
      </c>
      <c r="AD1245" s="240" t="str">
        <f t="shared" si="158"/>
        <v>OK</v>
      </c>
      <c r="AE1245" s="240" t="str">
        <f t="shared" si="159"/>
        <v>OK</v>
      </c>
      <c r="AF1245" s="240" t="str" cm="1">
        <f t="array" aca="1" ref="AF1245" ca="1" xml:space="preserve">
IF(AND($G1245&lt;&gt;"",$F1245=""),"ERROR",
IF(OR($F1245:$G1245="",AND($G1245="",$F1245&lt;&gt;"")),"OK",
IF(COUNTIF(INDIRECT(IFERROR(LEFT($F1245,FIND(" ",$F1245)-1),$F1245)), $G1245)&gt;0, "OK", "ERROR")))</f>
        <v>OK</v>
      </c>
    </row>
    <row r="1246" spans="1:32" s="240" customFormat="1">
      <c r="A1246" s="48"/>
      <c r="B1246" s="31"/>
      <c r="C1246" s="48"/>
      <c r="D1246" s="47"/>
      <c r="E1246" s="47"/>
      <c r="F1246" s="31"/>
      <c r="G1246" s="31"/>
      <c r="H1246" s="31"/>
      <c r="I1246" s="47"/>
      <c r="J1246" s="31"/>
      <c r="K1246" s="47"/>
      <c r="L1246" s="47"/>
      <c r="M1246" s="47"/>
      <c r="N1246" s="31"/>
      <c r="O1246" s="47"/>
      <c r="P1246" s="31"/>
      <c r="Q1246" s="31"/>
      <c r="R1246" s="31"/>
      <c r="S1246" s="31"/>
      <c r="T1246" s="270">
        <f t="shared" si="152"/>
        <v>0</v>
      </c>
      <c r="U1246" s="270">
        <f t="shared" si="153"/>
        <v>0</v>
      </c>
      <c r="V1246" s="31"/>
      <c r="X1246" s="240" t="str">
        <f t="shared" si="154"/>
        <v>OK</v>
      </c>
      <c r="Y1246" s="240" t="str">
        <f t="shared" si="155"/>
        <v>OK</v>
      </c>
      <c r="Z1246" s="240" t="str">
        <f t="shared" si="156"/>
        <v>OK</v>
      </c>
      <c r="AA1246" s="240" t="str" cm="1">
        <f t="array" ref="AA1246">IF(OR(AND(J1246="Not accepted",N1246:O1246&lt;&gt;"",$S1246=""),AND(J1246="Accepted",S1246="")),"ERROR","OK")</f>
        <v>OK</v>
      </c>
      <c r="AB1246" s="240" t="str">
        <f t="shared" si="157"/>
        <v>OK</v>
      </c>
      <c r="AC1246" s="240" t="str" cm="1">
        <f t="array" ref="AC1246">IF(AND(F1246:H1246&lt;&gt;"",I1246=""),"ERROR","OK")</f>
        <v>OK</v>
      </c>
      <c r="AD1246" s="240" t="str">
        <f t="shared" si="158"/>
        <v>OK</v>
      </c>
      <c r="AE1246" s="240" t="str">
        <f t="shared" si="159"/>
        <v>OK</v>
      </c>
      <c r="AF1246" s="240" t="str" cm="1">
        <f t="array" aca="1" ref="AF1246" ca="1" xml:space="preserve">
IF(AND($G1246&lt;&gt;"",$F1246=""),"ERROR",
IF(OR($F1246:$G1246="",AND($G1246="",$F1246&lt;&gt;"")),"OK",
IF(COUNTIF(INDIRECT(IFERROR(LEFT($F1246,FIND(" ",$F1246)-1),$F1246)), $G1246)&gt;0, "OK", "ERROR")))</f>
        <v>OK</v>
      </c>
    </row>
    <row r="1247" spans="1:32" s="240" customFormat="1">
      <c r="A1247" s="48"/>
      <c r="B1247" s="31"/>
      <c r="C1247" s="48"/>
      <c r="D1247" s="47"/>
      <c r="E1247" s="47"/>
      <c r="F1247" s="31"/>
      <c r="G1247" s="31"/>
      <c r="H1247" s="31"/>
      <c r="I1247" s="47"/>
      <c r="J1247" s="31"/>
      <c r="K1247" s="47"/>
      <c r="L1247" s="47"/>
      <c r="M1247" s="47"/>
      <c r="N1247" s="31"/>
      <c r="O1247" s="47"/>
      <c r="P1247" s="31"/>
      <c r="Q1247" s="31"/>
      <c r="R1247" s="31"/>
      <c r="S1247" s="31"/>
      <c r="T1247" s="270">
        <f t="shared" si="152"/>
        <v>0</v>
      </c>
      <c r="U1247" s="270">
        <f t="shared" si="153"/>
        <v>0</v>
      </c>
      <c r="V1247" s="31"/>
      <c r="X1247" s="240" t="str">
        <f t="shared" si="154"/>
        <v>OK</v>
      </c>
      <c r="Y1247" s="240" t="str">
        <f t="shared" si="155"/>
        <v>OK</v>
      </c>
      <c r="Z1247" s="240" t="str">
        <f t="shared" si="156"/>
        <v>OK</v>
      </c>
      <c r="AA1247" s="240" t="str" cm="1">
        <f t="array" ref="AA1247">IF(OR(AND(J1247="Not accepted",N1247:O1247&lt;&gt;"",$S1247=""),AND(J1247="Accepted",S1247="")),"ERROR","OK")</f>
        <v>OK</v>
      </c>
      <c r="AB1247" s="240" t="str">
        <f t="shared" si="157"/>
        <v>OK</v>
      </c>
      <c r="AC1247" s="240" t="str" cm="1">
        <f t="array" ref="AC1247">IF(AND(F1247:H1247&lt;&gt;"",I1247=""),"ERROR","OK")</f>
        <v>OK</v>
      </c>
      <c r="AD1247" s="240" t="str">
        <f t="shared" si="158"/>
        <v>OK</v>
      </c>
      <c r="AE1247" s="240" t="str">
        <f t="shared" si="159"/>
        <v>OK</v>
      </c>
      <c r="AF1247" s="240" t="str" cm="1">
        <f t="array" aca="1" ref="AF1247" ca="1" xml:space="preserve">
IF(AND($G1247&lt;&gt;"",$F1247=""),"ERROR",
IF(OR($F1247:$G1247="",AND($G1247="",$F1247&lt;&gt;"")),"OK",
IF(COUNTIF(INDIRECT(IFERROR(LEFT($F1247,FIND(" ",$F1247)-1),$F1247)), $G1247)&gt;0, "OK", "ERROR")))</f>
        <v>OK</v>
      </c>
    </row>
    <row r="1248" spans="1:32" s="240" customFormat="1">
      <c r="A1248" s="48"/>
      <c r="B1248" s="31"/>
      <c r="C1248" s="48"/>
      <c r="D1248" s="47"/>
      <c r="E1248" s="47"/>
      <c r="F1248" s="31"/>
      <c r="G1248" s="31"/>
      <c r="H1248" s="31"/>
      <c r="I1248" s="47"/>
      <c r="J1248" s="31"/>
      <c r="K1248" s="47"/>
      <c r="L1248" s="47"/>
      <c r="M1248" s="47"/>
      <c r="N1248" s="31"/>
      <c r="O1248" s="47"/>
      <c r="P1248" s="31"/>
      <c r="Q1248" s="31"/>
      <c r="R1248" s="31"/>
      <c r="S1248" s="31"/>
      <c r="T1248" s="270">
        <f t="shared" si="152"/>
        <v>0</v>
      </c>
      <c r="U1248" s="270">
        <f t="shared" si="153"/>
        <v>0</v>
      </c>
      <c r="V1248" s="31"/>
      <c r="X1248" s="240" t="str">
        <f t="shared" si="154"/>
        <v>OK</v>
      </c>
      <c r="Y1248" s="240" t="str">
        <f t="shared" si="155"/>
        <v>OK</v>
      </c>
      <c r="Z1248" s="240" t="str">
        <f t="shared" si="156"/>
        <v>OK</v>
      </c>
      <c r="AA1248" s="240" t="str" cm="1">
        <f t="array" ref="AA1248">IF(OR(AND(J1248="Not accepted",N1248:O1248&lt;&gt;"",$S1248=""),AND(J1248="Accepted",S1248="")),"ERROR","OK")</f>
        <v>OK</v>
      </c>
      <c r="AB1248" s="240" t="str">
        <f t="shared" si="157"/>
        <v>OK</v>
      </c>
      <c r="AC1248" s="240" t="str" cm="1">
        <f t="array" ref="AC1248">IF(AND(F1248:H1248&lt;&gt;"",I1248=""),"ERROR","OK")</f>
        <v>OK</v>
      </c>
      <c r="AD1248" s="240" t="str">
        <f t="shared" si="158"/>
        <v>OK</v>
      </c>
      <c r="AE1248" s="240" t="str">
        <f t="shared" si="159"/>
        <v>OK</v>
      </c>
      <c r="AF1248" s="240" t="str" cm="1">
        <f t="array" aca="1" ref="AF1248" ca="1" xml:space="preserve">
IF(AND($G1248&lt;&gt;"",$F1248=""),"ERROR",
IF(OR($F1248:$G1248="",AND($G1248="",$F1248&lt;&gt;"")),"OK",
IF(COUNTIF(INDIRECT(IFERROR(LEFT($F1248,FIND(" ",$F1248)-1),$F1248)), $G1248)&gt;0, "OK", "ERROR")))</f>
        <v>OK</v>
      </c>
    </row>
    <row r="1249" spans="1:32" s="240" customFormat="1">
      <c r="A1249" s="48"/>
      <c r="B1249" s="31"/>
      <c r="C1249" s="48"/>
      <c r="D1249" s="47"/>
      <c r="E1249" s="47"/>
      <c r="F1249" s="31"/>
      <c r="G1249" s="31"/>
      <c r="H1249" s="31"/>
      <c r="I1249" s="47"/>
      <c r="J1249" s="31"/>
      <c r="K1249" s="47"/>
      <c r="L1249" s="47"/>
      <c r="M1249" s="47"/>
      <c r="N1249" s="31"/>
      <c r="O1249" s="47"/>
      <c r="P1249" s="31"/>
      <c r="Q1249" s="31"/>
      <c r="R1249" s="31"/>
      <c r="S1249" s="31"/>
      <c r="T1249" s="270">
        <f t="shared" si="152"/>
        <v>0</v>
      </c>
      <c r="U1249" s="270">
        <f t="shared" si="153"/>
        <v>0</v>
      </c>
      <c r="V1249" s="31"/>
      <c r="X1249" s="240" t="str">
        <f t="shared" si="154"/>
        <v>OK</v>
      </c>
      <c r="Y1249" s="240" t="str">
        <f t="shared" si="155"/>
        <v>OK</v>
      </c>
      <c r="Z1249" s="240" t="str">
        <f t="shared" si="156"/>
        <v>OK</v>
      </c>
      <c r="AA1249" s="240" t="str" cm="1">
        <f t="array" ref="AA1249">IF(OR(AND(J1249="Not accepted",N1249:O1249&lt;&gt;"",$S1249=""),AND(J1249="Accepted",S1249="")),"ERROR","OK")</f>
        <v>OK</v>
      </c>
      <c r="AB1249" s="240" t="str">
        <f t="shared" si="157"/>
        <v>OK</v>
      </c>
      <c r="AC1249" s="240" t="str" cm="1">
        <f t="array" ref="AC1249">IF(AND(F1249:H1249&lt;&gt;"",I1249=""),"ERROR","OK")</f>
        <v>OK</v>
      </c>
      <c r="AD1249" s="240" t="str">
        <f t="shared" si="158"/>
        <v>OK</v>
      </c>
      <c r="AE1249" s="240" t="str">
        <f t="shared" si="159"/>
        <v>OK</v>
      </c>
      <c r="AF1249" s="240" t="str" cm="1">
        <f t="array" aca="1" ref="AF1249" ca="1" xml:space="preserve">
IF(AND($G1249&lt;&gt;"",$F1249=""),"ERROR",
IF(OR($F1249:$G1249="",AND($G1249="",$F1249&lt;&gt;"")),"OK",
IF(COUNTIF(INDIRECT(IFERROR(LEFT($F1249,FIND(" ",$F1249)-1),$F1249)), $G1249)&gt;0, "OK", "ERROR")))</f>
        <v>OK</v>
      </c>
    </row>
    <row r="1250" spans="1:32" s="240" customFormat="1">
      <c r="A1250" s="48"/>
      <c r="B1250" s="31"/>
      <c r="C1250" s="48"/>
      <c r="D1250" s="47"/>
      <c r="E1250" s="47"/>
      <c r="F1250" s="31"/>
      <c r="G1250" s="31"/>
      <c r="H1250" s="31"/>
      <c r="I1250" s="47"/>
      <c r="J1250" s="31"/>
      <c r="K1250" s="47"/>
      <c r="L1250" s="47"/>
      <c r="M1250" s="47"/>
      <c r="N1250" s="31"/>
      <c r="O1250" s="47"/>
      <c r="P1250" s="31"/>
      <c r="Q1250" s="31"/>
      <c r="R1250" s="31"/>
      <c r="S1250" s="31"/>
      <c r="T1250" s="270">
        <f t="shared" si="152"/>
        <v>0</v>
      </c>
      <c r="U1250" s="270">
        <f t="shared" si="153"/>
        <v>0</v>
      </c>
      <c r="V1250" s="31"/>
      <c r="X1250" s="240" t="str">
        <f t="shared" si="154"/>
        <v>OK</v>
      </c>
      <c r="Y1250" s="240" t="str">
        <f t="shared" si="155"/>
        <v>OK</v>
      </c>
      <c r="Z1250" s="240" t="str">
        <f t="shared" si="156"/>
        <v>OK</v>
      </c>
      <c r="AA1250" s="240" t="str" cm="1">
        <f t="array" ref="AA1250">IF(OR(AND(J1250="Not accepted",N1250:O1250&lt;&gt;"",$S1250=""),AND(J1250="Accepted",S1250="")),"ERROR","OK")</f>
        <v>OK</v>
      </c>
      <c r="AB1250" s="240" t="str">
        <f t="shared" si="157"/>
        <v>OK</v>
      </c>
      <c r="AC1250" s="240" t="str" cm="1">
        <f t="array" ref="AC1250">IF(AND(F1250:H1250&lt;&gt;"",I1250=""),"ERROR","OK")</f>
        <v>OK</v>
      </c>
      <c r="AD1250" s="240" t="str">
        <f t="shared" si="158"/>
        <v>OK</v>
      </c>
      <c r="AE1250" s="240" t="str">
        <f t="shared" si="159"/>
        <v>OK</v>
      </c>
      <c r="AF1250" s="240" t="str" cm="1">
        <f t="array" aca="1" ref="AF1250" ca="1" xml:space="preserve">
IF(AND($G1250&lt;&gt;"",$F1250=""),"ERROR",
IF(OR($F1250:$G1250="",AND($G1250="",$F1250&lt;&gt;"")),"OK",
IF(COUNTIF(INDIRECT(IFERROR(LEFT($F1250,FIND(" ",$F1250)-1),$F1250)), $G1250)&gt;0, "OK", "ERROR")))</f>
        <v>OK</v>
      </c>
    </row>
    <row r="1251" spans="1:32" s="240" customFormat="1">
      <c r="A1251" s="48"/>
      <c r="B1251" s="31"/>
      <c r="C1251" s="48"/>
      <c r="D1251" s="47"/>
      <c r="E1251" s="47"/>
      <c r="F1251" s="31"/>
      <c r="G1251" s="31"/>
      <c r="H1251" s="31"/>
      <c r="I1251" s="47"/>
      <c r="J1251" s="31"/>
      <c r="K1251" s="47"/>
      <c r="L1251" s="47"/>
      <c r="M1251" s="47"/>
      <c r="N1251" s="31"/>
      <c r="O1251" s="47"/>
      <c r="P1251" s="31"/>
      <c r="Q1251" s="31"/>
      <c r="R1251" s="31"/>
      <c r="S1251" s="31"/>
      <c r="T1251" s="270">
        <f t="shared" si="152"/>
        <v>0</v>
      </c>
      <c r="U1251" s="270">
        <f t="shared" si="153"/>
        <v>0</v>
      </c>
      <c r="V1251" s="31"/>
      <c r="X1251" s="240" t="str">
        <f t="shared" si="154"/>
        <v>OK</v>
      </c>
      <c r="Y1251" s="240" t="str">
        <f t="shared" si="155"/>
        <v>OK</v>
      </c>
      <c r="Z1251" s="240" t="str">
        <f t="shared" si="156"/>
        <v>OK</v>
      </c>
      <c r="AA1251" s="240" t="str" cm="1">
        <f t="array" ref="AA1251">IF(OR(AND(J1251="Not accepted",N1251:O1251&lt;&gt;"",$S1251=""),AND(J1251="Accepted",S1251="")),"ERROR","OK")</f>
        <v>OK</v>
      </c>
      <c r="AB1251" s="240" t="str">
        <f t="shared" si="157"/>
        <v>OK</v>
      </c>
      <c r="AC1251" s="240" t="str" cm="1">
        <f t="array" ref="AC1251">IF(AND(F1251:H1251&lt;&gt;"",I1251=""),"ERROR","OK")</f>
        <v>OK</v>
      </c>
      <c r="AD1251" s="240" t="str">
        <f t="shared" si="158"/>
        <v>OK</v>
      </c>
      <c r="AE1251" s="240" t="str">
        <f t="shared" si="159"/>
        <v>OK</v>
      </c>
      <c r="AF1251" s="240" t="str" cm="1">
        <f t="array" aca="1" ref="AF1251" ca="1" xml:space="preserve">
IF(AND($G1251&lt;&gt;"",$F1251=""),"ERROR",
IF(OR($F1251:$G1251="",AND($G1251="",$F1251&lt;&gt;"")),"OK",
IF(COUNTIF(INDIRECT(IFERROR(LEFT($F1251,FIND(" ",$F1251)-1),$F1251)), $G1251)&gt;0, "OK", "ERROR")))</f>
        <v>OK</v>
      </c>
    </row>
    <row r="1252" spans="1:32" s="240" customFormat="1">
      <c r="A1252" s="48"/>
      <c r="B1252" s="31"/>
      <c r="C1252" s="48"/>
      <c r="D1252" s="47"/>
      <c r="E1252" s="47"/>
      <c r="F1252" s="31"/>
      <c r="G1252" s="31"/>
      <c r="H1252" s="31"/>
      <c r="I1252" s="47"/>
      <c r="J1252" s="31"/>
      <c r="K1252" s="47"/>
      <c r="L1252" s="47"/>
      <c r="M1252" s="47"/>
      <c r="N1252" s="31"/>
      <c r="O1252" s="47"/>
      <c r="P1252" s="31"/>
      <c r="Q1252" s="31"/>
      <c r="R1252" s="31"/>
      <c r="S1252" s="31"/>
      <c r="T1252" s="270">
        <f t="shared" si="152"/>
        <v>0</v>
      </c>
      <c r="U1252" s="270">
        <f t="shared" si="153"/>
        <v>0</v>
      </c>
      <c r="V1252" s="31"/>
      <c r="X1252" s="240" t="str">
        <f t="shared" si="154"/>
        <v>OK</v>
      </c>
      <c r="Y1252" s="240" t="str">
        <f t="shared" si="155"/>
        <v>OK</v>
      </c>
      <c r="Z1252" s="240" t="str">
        <f t="shared" si="156"/>
        <v>OK</v>
      </c>
      <c r="AA1252" s="240" t="str" cm="1">
        <f t="array" ref="AA1252">IF(OR(AND(J1252="Not accepted",N1252:O1252&lt;&gt;"",$S1252=""),AND(J1252="Accepted",S1252="")),"ERROR","OK")</f>
        <v>OK</v>
      </c>
      <c r="AB1252" s="240" t="str">
        <f t="shared" si="157"/>
        <v>OK</v>
      </c>
      <c r="AC1252" s="240" t="str" cm="1">
        <f t="array" ref="AC1252">IF(AND(F1252:H1252&lt;&gt;"",I1252=""),"ERROR","OK")</f>
        <v>OK</v>
      </c>
      <c r="AD1252" s="240" t="str">
        <f t="shared" si="158"/>
        <v>OK</v>
      </c>
      <c r="AE1252" s="240" t="str">
        <f t="shared" si="159"/>
        <v>OK</v>
      </c>
      <c r="AF1252" s="240" t="str" cm="1">
        <f t="array" aca="1" ref="AF1252" ca="1" xml:space="preserve">
IF(AND($G1252&lt;&gt;"",$F1252=""),"ERROR",
IF(OR($F1252:$G1252="",AND($G1252="",$F1252&lt;&gt;"")),"OK",
IF(COUNTIF(INDIRECT(IFERROR(LEFT($F1252,FIND(" ",$F1252)-1),$F1252)), $G1252)&gt;0, "OK", "ERROR")))</f>
        <v>OK</v>
      </c>
    </row>
    <row r="1253" spans="1:32" s="240" customFormat="1">
      <c r="A1253" s="48"/>
      <c r="B1253" s="31"/>
      <c r="C1253" s="48"/>
      <c r="D1253" s="47"/>
      <c r="E1253" s="47"/>
      <c r="F1253" s="31"/>
      <c r="G1253" s="31"/>
      <c r="H1253" s="31"/>
      <c r="I1253" s="47"/>
      <c r="J1253" s="31"/>
      <c r="K1253" s="47"/>
      <c r="L1253" s="47"/>
      <c r="M1253" s="47"/>
      <c r="N1253" s="31"/>
      <c r="O1253" s="47"/>
      <c r="P1253" s="31"/>
      <c r="Q1253" s="31"/>
      <c r="R1253" s="31"/>
      <c r="S1253" s="31"/>
      <c r="T1253" s="270">
        <f t="shared" si="152"/>
        <v>0</v>
      </c>
      <c r="U1253" s="270">
        <f t="shared" si="153"/>
        <v>0</v>
      </c>
      <c r="V1253" s="31"/>
      <c r="X1253" s="240" t="str">
        <f t="shared" si="154"/>
        <v>OK</v>
      </c>
      <c r="Y1253" s="240" t="str">
        <f t="shared" si="155"/>
        <v>OK</v>
      </c>
      <c r="Z1253" s="240" t="str">
        <f t="shared" si="156"/>
        <v>OK</v>
      </c>
      <c r="AA1253" s="240" t="str" cm="1">
        <f t="array" ref="AA1253">IF(OR(AND(J1253="Not accepted",N1253:O1253&lt;&gt;"",$S1253=""),AND(J1253="Accepted",S1253="")),"ERROR","OK")</f>
        <v>OK</v>
      </c>
      <c r="AB1253" s="240" t="str">
        <f t="shared" si="157"/>
        <v>OK</v>
      </c>
      <c r="AC1253" s="240" t="str" cm="1">
        <f t="array" ref="AC1253">IF(AND(F1253:H1253&lt;&gt;"",I1253=""),"ERROR","OK")</f>
        <v>OK</v>
      </c>
      <c r="AD1253" s="240" t="str">
        <f t="shared" si="158"/>
        <v>OK</v>
      </c>
      <c r="AE1253" s="240" t="str">
        <f t="shared" si="159"/>
        <v>OK</v>
      </c>
      <c r="AF1253" s="240" t="str" cm="1">
        <f t="array" aca="1" ref="AF1253" ca="1" xml:space="preserve">
IF(AND($G1253&lt;&gt;"",$F1253=""),"ERROR",
IF(OR($F1253:$G1253="",AND($G1253="",$F1253&lt;&gt;"")),"OK",
IF(COUNTIF(INDIRECT(IFERROR(LEFT($F1253,FIND(" ",$F1253)-1),$F1253)), $G1253)&gt;0, "OK", "ERROR")))</f>
        <v>OK</v>
      </c>
    </row>
    <row r="1254" spans="1:32" s="240" customFormat="1">
      <c r="A1254" s="48"/>
      <c r="B1254" s="31"/>
      <c r="C1254" s="48"/>
      <c r="D1254" s="47"/>
      <c r="E1254" s="47"/>
      <c r="F1254" s="31"/>
      <c r="G1254" s="31"/>
      <c r="H1254" s="31"/>
      <c r="I1254" s="47"/>
      <c r="J1254" s="31"/>
      <c r="K1254" s="47"/>
      <c r="L1254" s="47"/>
      <c r="M1254" s="47"/>
      <c r="N1254" s="31"/>
      <c r="O1254" s="47"/>
      <c r="P1254" s="31"/>
      <c r="Q1254" s="31"/>
      <c r="R1254" s="31"/>
      <c r="S1254" s="31"/>
      <c r="T1254" s="270">
        <f t="shared" si="152"/>
        <v>0</v>
      </c>
      <c r="U1254" s="270">
        <f t="shared" si="153"/>
        <v>0</v>
      </c>
      <c r="V1254" s="31"/>
      <c r="X1254" s="240" t="str">
        <f t="shared" si="154"/>
        <v>OK</v>
      </c>
      <c r="Y1254" s="240" t="str">
        <f t="shared" si="155"/>
        <v>OK</v>
      </c>
      <c r="Z1254" s="240" t="str">
        <f t="shared" si="156"/>
        <v>OK</v>
      </c>
      <c r="AA1254" s="240" t="str" cm="1">
        <f t="array" ref="AA1254">IF(OR(AND(J1254="Not accepted",N1254:O1254&lt;&gt;"",$S1254=""),AND(J1254="Accepted",S1254="")),"ERROR","OK")</f>
        <v>OK</v>
      </c>
      <c r="AB1254" s="240" t="str">
        <f t="shared" si="157"/>
        <v>OK</v>
      </c>
      <c r="AC1254" s="240" t="str" cm="1">
        <f t="array" ref="AC1254">IF(AND(F1254:H1254&lt;&gt;"",I1254=""),"ERROR","OK")</f>
        <v>OK</v>
      </c>
      <c r="AD1254" s="240" t="str">
        <f t="shared" si="158"/>
        <v>OK</v>
      </c>
      <c r="AE1254" s="240" t="str">
        <f t="shared" si="159"/>
        <v>OK</v>
      </c>
      <c r="AF1254" s="240" t="str" cm="1">
        <f t="array" aca="1" ref="AF1254" ca="1" xml:space="preserve">
IF(AND($G1254&lt;&gt;"",$F1254=""),"ERROR",
IF(OR($F1254:$G1254="",AND($G1254="",$F1254&lt;&gt;"")),"OK",
IF(COUNTIF(INDIRECT(IFERROR(LEFT($F1254,FIND(" ",$F1254)-1),$F1254)), $G1254)&gt;0, "OK", "ERROR")))</f>
        <v>OK</v>
      </c>
    </row>
    <row r="1255" spans="1:32" s="240" customFormat="1">
      <c r="A1255" s="48"/>
      <c r="B1255" s="31"/>
      <c r="C1255" s="48"/>
      <c r="D1255" s="47"/>
      <c r="E1255" s="47"/>
      <c r="F1255" s="31"/>
      <c r="G1255" s="31"/>
      <c r="H1255" s="31"/>
      <c r="I1255" s="47"/>
      <c r="J1255" s="31"/>
      <c r="K1255" s="47"/>
      <c r="L1255" s="47"/>
      <c r="M1255" s="47"/>
      <c r="N1255" s="31"/>
      <c r="O1255" s="47"/>
      <c r="P1255" s="31"/>
      <c r="Q1255" s="31"/>
      <c r="R1255" s="31"/>
      <c r="S1255" s="31"/>
      <c r="T1255" s="270">
        <f t="shared" si="152"/>
        <v>0</v>
      </c>
      <c r="U1255" s="270">
        <f t="shared" si="153"/>
        <v>0</v>
      </c>
      <c r="V1255" s="31"/>
      <c r="X1255" s="240" t="str">
        <f t="shared" si="154"/>
        <v>OK</v>
      </c>
      <c r="Y1255" s="240" t="str">
        <f t="shared" si="155"/>
        <v>OK</v>
      </c>
      <c r="Z1255" s="240" t="str">
        <f t="shared" si="156"/>
        <v>OK</v>
      </c>
      <c r="AA1255" s="240" t="str" cm="1">
        <f t="array" ref="AA1255">IF(OR(AND(J1255="Not accepted",N1255:O1255&lt;&gt;"",$S1255=""),AND(J1255="Accepted",S1255="")),"ERROR","OK")</f>
        <v>OK</v>
      </c>
      <c r="AB1255" s="240" t="str">
        <f t="shared" si="157"/>
        <v>OK</v>
      </c>
      <c r="AC1255" s="240" t="str" cm="1">
        <f t="array" ref="AC1255">IF(AND(F1255:H1255&lt;&gt;"",I1255=""),"ERROR","OK")</f>
        <v>OK</v>
      </c>
      <c r="AD1255" s="240" t="str">
        <f t="shared" si="158"/>
        <v>OK</v>
      </c>
      <c r="AE1255" s="240" t="str">
        <f t="shared" si="159"/>
        <v>OK</v>
      </c>
      <c r="AF1255" s="240" t="str" cm="1">
        <f t="array" aca="1" ref="AF1255" ca="1" xml:space="preserve">
IF(AND($G1255&lt;&gt;"",$F1255=""),"ERROR",
IF(OR($F1255:$G1255="",AND($G1255="",$F1255&lt;&gt;"")),"OK",
IF(COUNTIF(INDIRECT(IFERROR(LEFT($F1255,FIND(" ",$F1255)-1),$F1255)), $G1255)&gt;0, "OK", "ERROR")))</f>
        <v>OK</v>
      </c>
    </row>
    <row r="1256" spans="1:32" s="240" customFormat="1">
      <c r="A1256" s="48"/>
      <c r="B1256" s="31"/>
      <c r="C1256" s="48"/>
      <c r="D1256" s="47"/>
      <c r="E1256" s="47"/>
      <c r="F1256" s="31"/>
      <c r="G1256" s="31"/>
      <c r="H1256" s="31"/>
      <c r="I1256" s="47"/>
      <c r="J1256" s="31"/>
      <c r="K1256" s="47"/>
      <c r="L1256" s="47"/>
      <c r="M1256" s="47"/>
      <c r="N1256" s="31"/>
      <c r="O1256" s="47"/>
      <c r="P1256" s="31"/>
      <c r="Q1256" s="31"/>
      <c r="R1256" s="31"/>
      <c r="S1256" s="31"/>
      <c r="T1256" s="270">
        <f t="shared" si="152"/>
        <v>0</v>
      </c>
      <c r="U1256" s="270">
        <f t="shared" si="153"/>
        <v>0</v>
      </c>
      <c r="V1256" s="31"/>
      <c r="X1256" s="240" t="str">
        <f t="shared" si="154"/>
        <v>OK</v>
      </c>
      <c r="Y1256" s="240" t="str">
        <f t="shared" si="155"/>
        <v>OK</v>
      </c>
      <c r="Z1256" s="240" t="str">
        <f t="shared" si="156"/>
        <v>OK</v>
      </c>
      <c r="AA1256" s="240" t="str" cm="1">
        <f t="array" ref="AA1256">IF(OR(AND(J1256="Not accepted",N1256:O1256&lt;&gt;"",$S1256=""),AND(J1256="Accepted",S1256="")),"ERROR","OK")</f>
        <v>OK</v>
      </c>
      <c r="AB1256" s="240" t="str">
        <f t="shared" si="157"/>
        <v>OK</v>
      </c>
      <c r="AC1256" s="240" t="str" cm="1">
        <f t="array" ref="AC1256">IF(AND(F1256:H1256&lt;&gt;"",I1256=""),"ERROR","OK")</f>
        <v>OK</v>
      </c>
      <c r="AD1256" s="240" t="str">
        <f t="shared" si="158"/>
        <v>OK</v>
      </c>
      <c r="AE1256" s="240" t="str">
        <f t="shared" si="159"/>
        <v>OK</v>
      </c>
      <c r="AF1256" s="240" t="str" cm="1">
        <f t="array" aca="1" ref="AF1256" ca="1" xml:space="preserve">
IF(AND($G1256&lt;&gt;"",$F1256=""),"ERROR",
IF(OR($F1256:$G1256="",AND($G1256="",$F1256&lt;&gt;"")),"OK",
IF(COUNTIF(INDIRECT(IFERROR(LEFT($F1256,FIND(" ",$F1256)-1),$F1256)), $G1256)&gt;0, "OK", "ERROR")))</f>
        <v>OK</v>
      </c>
    </row>
    <row r="1257" spans="1:32" s="240" customFormat="1">
      <c r="A1257" s="48"/>
      <c r="B1257" s="31"/>
      <c r="C1257" s="48"/>
      <c r="D1257" s="47"/>
      <c r="E1257" s="47"/>
      <c r="F1257" s="31"/>
      <c r="G1257" s="31"/>
      <c r="H1257" s="31"/>
      <c r="I1257" s="47"/>
      <c r="J1257" s="31"/>
      <c r="K1257" s="47"/>
      <c r="L1257" s="47"/>
      <c r="M1257" s="47"/>
      <c r="N1257" s="31"/>
      <c r="O1257" s="47"/>
      <c r="P1257" s="31"/>
      <c r="Q1257" s="31"/>
      <c r="R1257" s="31"/>
      <c r="S1257" s="31"/>
      <c r="T1257" s="270">
        <f t="shared" si="152"/>
        <v>0</v>
      </c>
      <c r="U1257" s="270">
        <f t="shared" si="153"/>
        <v>0</v>
      </c>
      <c r="V1257" s="31"/>
      <c r="X1257" s="240" t="str">
        <f t="shared" si="154"/>
        <v>OK</v>
      </c>
      <c r="Y1257" s="240" t="str">
        <f t="shared" si="155"/>
        <v>OK</v>
      </c>
      <c r="Z1257" s="240" t="str">
        <f t="shared" si="156"/>
        <v>OK</v>
      </c>
      <c r="AA1257" s="240" t="str" cm="1">
        <f t="array" ref="AA1257">IF(OR(AND(J1257="Not accepted",N1257:O1257&lt;&gt;"",$S1257=""),AND(J1257="Accepted",S1257="")),"ERROR","OK")</f>
        <v>OK</v>
      </c>
      <c r="AB1257" s="240" t="str">
        <f t="shared" si="157"/>
        <v>OK</v>
      </c>
      <c r="AC1257" s="240" t="str" cm="1">
        <f t="array" ref="AC1257">IF(AND(F1257:H1257&lt;&gt;"",I1257=""),"ERROR","OK")</f>
        <v>OK</v>
      </c>
      <c r="AD1257" s="240" t="str">
        <f t="shared" si="158"/>
        <v>OK</v>
      </c>
      <c r="AE1257" s="240" t="str">
        <f t="shared" si="159"/>
        <v>OK</v>
      </c>
      <c r="AF1257" s="240" t="str" cm="1">
        <f t="array" aca="1" ref="AF1257" ca="1" xml:space="preserve">
IF(AND($G1257&lt;&gt;"",$F1257=""),"ERROR",
IF(OR($F1257:$G1257="",AND($G1257="",$F1257&lt;&gt;"")),"OK",
IF(COUNTIF(INDIRECT(IFERROR(LEFT($F1257,FIND(" ",$F1257)-1),$F1257)), $G1257)&gt;0, "OK", "ERROR")))</f>
        <v>OK</v>
      </c>
    </row>
    <row r="1258" spans="1:32" s="240" customFormat="1">
      <c r="A1258" s="48"/>
      <c r="B1258" s="31"/>
      <c r="C1258" s="48"/>
      <c r="D1258" s="47"/>
      <c r="E1258" s="47"/>
      <c r="F1258" s="31"/>
      <c r="G1258" s="31"/>
      <c r="H1258" s="31"/>
      <c r="I1258" s="47"/>
      <c r="J1258" s="31"/>
      <c r="K1258" s="47"/>
      <c r="L1258" s="47"/>
      <c r="M1258" s="47"/>
      <c r="N1258" s="31"/>
      <c r="O1258" s="47"/>
      <c r="P1258" s="31"/>
      <c r="Q1258" s="31"/>
      <c r="R1258" s="31"/>
      <c r="S1258" s="31"/>
      <c r="T1258" s="270">
        <f t="shared" si="152"/>
        <v>0</v>
      </c>
      <c r="U1258" s="270">
        <f t="shared" si="153"/>
        <v>0</v>
      </c>
      <c r="V1258" s="31"/>
      <c r="X1258" s="240" t="str">
        <f t="shared" si="154"/>
        <v>OK</v>
      </c>
      <c r="Y1258" s="240" t="str">
        <f t="shared" si="155"/>
        <v>OK</v>
      </c>
      <c r="Z1258" s="240" t="str">
        <f t="shared" si="156"/>
        <v>OK</v>
      </c>
      <c r="AA1258" s="240" t="str" cm="1">
        <f t="array" ref="AA1258">IF(OR(AND(J1258="Not accepted",N1258:O1258&lt;&gt;"",$S1258=""),AND(J1258="Accepted",S1258="")),"ERROR","OK")</f>
        <v>OK</v>
      </c>
      <c r="AB1258" s="240" t="str">
        <f t="shared" si="157"/>
        <v>OK</v>
      </c>
      <c r="AC1258" s="240" t="str" cm="1">
        <f t="array" ref="AC1258">IF(AND(F1258:H1258&lt;&gt;"",I1258=""),"ERROR","OK")</f>
        <v>OK</v>
      </c>
      <c r="AD1258" s="240" t="str">
        <f t="shared" si="158"/>
        <v>OK</v>
      </c>
      <c r="AE1258" s="240" t="str">
        <f t="shared" si="159"/>
        <v>OK</v>
      </c>
      <c r="AF1258" s="240" t="str" cm="1">
        <f t="array" aca="1" ref="AF1258" ca="1" xml:space="preserve">
IF(AND($G1258&lt;&gt;"",$F1258=""),"ERROR",
IF(OR($F1258:$G1258="",AND($G1258="",$F1258&lt;&gt;"")),"OK",
IF(COUNTIF(INDIRECT(IFERROR(LEFT($F1258,FIND(" ",$F1258)-1),$F1258)), $G1258)&gt;0, "OK", "ERROR")))</f>
        <v>OK</v>
      </c>
    </row>
    <row r="1259" spans="1:32" s="240" customFormat="1">
      <c r="A1259" s="48"/>
      <c r="B1259" s="31"/>
      <c r="C1259" s="48"/>
      <c r="D1259" s="47"/>
      <c r="E1259" s="47"/>
      <c r="F1259" s="31"/>
      <c r="G1259" s="31"/>
      <c r="H1259" s="31"/>
      <c r="I1259" s="47"/>
      <c r="J1259" s="31"/>
      <c r="K1259" s="47"/>
      <c r="L1259" s="47"/>
      <c r="M1259" s="47"/>
      <c r="N1259" s="31"/>
      <c r="O1259" s="47"/>
      <c r="P1259" s="31"/>
      <c r="Q1259" s="31"/>
      <c r="R1259" s="31"/>
      <c r="S1259" s="31"/>
      <c r="T1259" s="270">
        <f t="shared" si="152"/>
        <v>0</v>
      </c>
      <c r="U1259" s="270">
        <f t="shared" si="153"/>
        <v>0</v>
      </c>
      <c r="V1259" s="31"/>
      <c r="X1259" s="240" t="str">
        <f t="shared" si="154"/>
        <v>OK</v>
      </c>
      <c r="Y1259" s="240" t="str">
        <f t="shared" si="155"/>
        <v>OK</v>
      </c>
      <c r="Z1259" s="240" t="str">
        <f t="shared" si="156"/>
        <v>OK</v>
      </c>
      <c r="AA1259" s="240" t="str" cm="1">
        <f t="array" ref="AA1259">IF(OR(AND(J1259="Not accepted",N1259:O1259&lt;&gt;"",$S1259=""),AND(J1259="Accepted",S1259="")),"ERROR","OK")</f>
        <v>OK</v>
      </c>
      <c r="AB1259" s="240" t="str">
        <f t="shared" si="157"/>
        <v>OK</v>
      </c>
      <c r="AC1259" s="240" t="str" cm="1">
        <f t="array" ref="AC1259">IF(AND(F1259:H1259&lt;&gt;"",I1259=""),"ERROR","OK")</f>
        <v>OK</v>
      </c>
      <c r="AD1259" s="240" t="str">
        <f t="shared" si="158"/>
        <v>OK</v>
      </c>
      <c r="AE1259" s="240" t="str">
        <f t="shared" si="159"/>
        <v>OK</v>
      </c>
      <c r="AF1259" s="240" t="str" cm="1">
        <f t="array" aca="1" ref="AF1259" ca="1" xml:space="preserve">
IF(AND($G1259&lt;&gt;"",$F1259=""),"ERROR",
IF(OR($F1259:$G1259="",AND($G1259="",$F1259&lt;&gt;"")),"OK",
IF(COUNTIF(INDIRECT(IFERROR(LEFT($F1259,FIND(" ",$F1259)-1),$F1259)), $G1259)&gt;0, "OK", "ERROR")))</f>
        <v>OK</v>
      </c>
    </row>
    <row r="1260" spans="1:32" s="240" customFormat="1">
      <c r="A1260" s="48"/>
      <c r="B1260" s="31"/>
      <c r="C1260" s="48"/>
      <c r="D1260" s="47"/>
      <c r="E1260" s="47"/>
      <c r="F1260" s="31"/>
      <c r="G1260" s="31"/>
      <c r="H1260" s="31"/>
      <c r="I1260" s="47"/>
      <c r="J1260" s="31"/>
      <c r="K1260" s="47"/>
      <c r="L1260" s="47"/>
      <c r="M1260" s="47"/>
      <c r="N1260" s="31"/>
      <c r="O1260" s="47"/>
      <c r="P1260" s="31"/>
      <c r="Q1260" s="31"/>
      <c r="R1260" s="31"/>
      <c r="S1260" s="31"/>
      <c r="T1260" s="270">
        <f t="shared" si="152"/>
        <v>0</v>
      </c>
      <c r="U1260" s="270">
        <f t="shared" si="153"/>
        <v>0</v>
      </c>
      <c r="V1260" s="31"/>
      <c r="X1260" s="240" t="str">
        <f t="shared" si="154"/>
        <v>OK</v>
      </c>
      <c r="Y1260" s="240" t="str">
        <f t="shared" si="155"/>
        <v>OK</v>
      </c>
      <c r="Z1260" s="240" t="str">
        <f t="shared" si="156"/>
        <v>OK</v>
      </c>
      <c r="AA1260" s="240" t="str" cm="1">
        <f t="array" ref="AA1260">IF(OR(AND(J1260="Not accepted",N1260:O1260&lt;&gt;"",$S1260=""),AND(J1260="Accepted",S1260="")),"ERROR","OK")</f>
        <v>OK</v>
      </c>
      <c r="AB1260" s="240" t="str">
        <f t="shared" si="157"/>
        <v>OK</v>
      </c>
      <c r="AC1260" s="240" t="str" cm="1">
        <f t="array" ref="AC1260">IF(AND(F1260:H1260&lt;&gt;"",I1260=""),"ERROR","OK")</f>
        <v>OK</v>
      </c>
      <c r="AD1260" s="240" t="str">
        <f t="shared" si="158"/>
        <v>OK</v>
      </c>
      <c r="AE1260" s="240" t="str">
        <f t="shared" si="159"/>
        <v>OK</v>
      </c>
      <c r="AF1260" s="240" t="str" cm="1">
        <f t="array" aca="1" ref="AF1260" ca="1" xml:space="preserve">
IF(AND($G1260&lt;&gt;"",$F1260=""),"ERROR",
IF(OR($F1260:$G1260="",AND($G1260="",$F1260&lt;&gt;"")),"OK",
IF(COUNTIF(INDIRECT(IFERROR(LEFT($F1260,FIND(" ",$F1260)-1),$F1260)), $G1260)&gt;0, "OK", "ERROR")))</f>
        <v>OK</v>
      </c>
    </row>
    <row r="1261" spans="1:32" s="240" customFormat="1">
      <c r="A1261" s="48"/>
      <c r="B1261" s="31"/>
      <c r="C1261" s="48"/>
      <c r="D1261" s="47"/>
      <c r="E1261" s="47"/>
      <c r="F1261" s="31"/>
      <c r="G1261" s="31"/>
      <c r="H1261" s="31"/>
      <c r="I1261" s="47"/>
      <c r="J1261" s="31"/>
      <c r="K1261" s="47"/>
      <c r="L1261" s="47"/>
      <c r="M1261" s="47"/>
      <c r="N1261" s="31"/>
      <c r="O1261" s="47"/>
      <c r="P1261" s="31"/>
      <c r="Q1261" s="31"/>
      <c r="R1261" s="31"/>
      <c r="S1261" s="31"/>
      <c r="T1261" s="270">
        <f t="shared" si="152"/>
        <v>0</v>
      </c>
      <c r="U1261" s="270">
        <f t="shared" si="153"/>
        <v>0</v>
      </c>
      <c r="V1261" s="31"/>
      <c r="X1261" s="240" t="str">
        <f t="shared" si="154"/>
        <v>OK</v>
      </c>
      <c r="Y1261" s="240" t="str">
        <f t="shared" si="155"/>
        <v>OK</v>
      </c>
      <c r="Z1261" s="240" t="str">
        <f t="shared" si="156"/>
        <v>OK</v>
      </c>
      <c r="AA1261" s="240" t="str" cm="1">
        <f t="array" ref="AA1261">IF(OR(AND(J1261="Not accepted",N1261:O1261&lt;&gt;"",$S1261=""),AND(J1261="Accepted",S1261="")),"ERROR","OK")</f>
        <v>OK</v>
      </c>
      <c r="AB1261" s="240" t="str">
        <f t="shared" si="157"/>
        <v>OK</v>
      </c>
      <c r="AC1261" s="240" t="str" cm="1">
        <f t="array" ref="AC1261">IF(AND(F1261:H1261&lt;&gt;"",I1261=""),"ERROR","OK")</f>
        <v>OK</v>
      </c>
      <c r="AD1261" s="240" t="str">
        <f t="shared" si="158"/>
        <v>OK</v>
      </c>
      <c r="AE1261" s="240" t="str">
        <f t="shared" si="159"/>
        <v>OK</v>
      </c>
      <c r="AF1261" s="240" t="str" cm="1">
        <f t="array" aca="1" ref="AF1261" ca="1" xml:space="preserve">
IF(AND($G1261&lt;&gt;"",$F1261=""),"ERROR",
IF(OR($F1261:$G1261="",AND($G1261="",$F1261&lt;&gt;"")),"OK",
IF(COUNTIF(INDIRECT(IFERROR(LEFT($F1261,FIND(" ",$F1261)-1),$F1261)), $G1261)&gt;0, "OK", "ERROR")))</f>
        <v>OK</v>
      </c>
    </row>
    <row r="1262" spans="1:32" s="240" customFormat="1">
      <c r="A1262" s="48"/>
      <c r="B1262" s="31"/>
      <c r="C1262" s="48"/>
      <c r="D1262" s="47"/>
      <c r="E1262" s="47"/>
      <c r="F1262" s="31"/>
      <c r="G1262" s="31"/>
      <c r="H1262" s="31"/>
      <c r="I1262" s="47"/>
      <c r="J1262" s="31"/>
      <c r="K1262" s="47"/>
      <c r="L1262" s="47"/>
      <c r="M1262" s="47"/>
      <c r="N1262" s="31"/>
      <c r="O1262" s="47"/>
      <c r="P1262" s="31"/>
      <c r="Q1262" s="31"/>
      <c r="R1262" s="31"/>
      <c r="S1262" s="31"/>
      <c r="T1262" s="270">
        <f t="shared" si="152"/>
        <v>0</v>
      </c>
      <c r="U1262" s="270">
        <f t="shared" si="153"/>
        <v>0</v>
      </c>
      <c r="V1262" s="31"/>
      <c r="X1262" s="240" t="str">
        <f t="shared" si="154"/>
        <v>OK</v>
      </c>
      <c r="Y1262" s="240" t="str">
        <f t="shared" si="155"/>
        <v>OK</v>
      </c>
      <c r="Z1262" s="240" t="str">
        <f t="shared" si="156"/>
        <v>OK</v>
      </c>
      <c r="AA1262" s="240" t="str" cm="1">
        <f t="array" ref="AA1262">IF(OR(AND(J1262="Not accepted",N1262:O1262&lt;&gt;"",$S1262=""),AND(J1262="Accepted",S1262="")),"ERROR","OK")</f>
        <v>OK</v>
      </c>
      <c r="AB1262" s="240" t="str">
        <f t="shared" si="157"/>
        <v>OK</v>
      </c>
      <c r="AC1262" s="240" t="str" cm="1">
        <f t="array" ref="AC1262">IF(AND(F1262:H1262&lt;&gt;"",I1262=""),"ERROR","OK")</f>
        <v>OK</v>
      </c>
      <c r="AD1262" s="240" t="str">
        <f t="shared" si="158"/>
        <v>OK</v>
      </c>
      <c r="AE1262" s="240" t="str">
        <f t="shared" si="159"/>
        <v>OK</v>
      </c>
      <c r="AF1262" s="240" t="str" cm="1">
        <f t="array" aca="1" ref="AF1262" ca="1" xml:space="preserve">
IF(AND($G1262&lt;&gt;"",$F1262=""),"ERROR",
IF(OR($F1262:$G1262="",AND($G1262="",$F1262&lt;&gt;"")),"OK",
IF(COUNTIF(INDIRECT(IFERROR(LEFT($F1262,FIND(" ",$F1262)-1),$F1262)), $G1262)&gt;0, "OK", "ERROR")))</f>
        <v>OK</v>
      </c>
    </row>
    <row r="1263" spans="1:32" s="240" customFormat="1">
      <c r="A1263" s="48"/>
      <c r="B1263" s="31"/>
      <c r="C1263" s="48"/>
      <c r="D1263" s="47"/>
      <c r="E1263" s="47"/>
      <c r="F1263" s="31"/>
      <c r="G1263" s="31"/>
      <c r="H1263" s="31"/>
      <c r="I1263" s="47"/>
      <c r="J1263" s="31"/>
      <c r="K1263" s="47"/>
      <c r="L1263" s="47"/>
      <c r="M1263" s="47"/>
      <c r="N1263" s="31"/>
      <c r="O1263" s="47"/>
      <c r="P1263" s="31"/>
      <c r="Q1263" s="31"/>
      <c r="R1263" s="31"/>
      <c r="S1263" s="31"/>
      <c r="T1263" s="270">
        <f t="shared" si="152"/>
        <v>0</v>
      </c>
      <c r="U1263" s="270">
        <f t="shared" si="153"/>
        <v>0</v>
      </c>
      <c r="V1263" s="31"/>
      <c r="X1263" s="240" t="str">
        <f t="shared" si="154"/>
        <v>OK</v>
      </c>
      <c r="Y1263" s="240" t="str">
        <f t="shared" si="155"/>
        <v>OK</v>
      </c>
      <c r="Z1263" s="240" t="str">
        <f t="shared" si="156"/>
        <v>OK</v>
      </c>
      <c r="AA1263" s="240" t="str" cm="1">
        <f t="array" ref="AA1263">IF(OR(AND(J1263="Not accepted",N1263:O1263&lt;&gt;"",$S1263=""),AND(J1263="Accepted",S1263="")),"ERROR","OK")</f>
        <v>OK</v>
      </c>
      <c r="AB1263" s="240" t="str">
        <f t="shared" si="157"/>
        <v>OK</v>
      </c>
      <c r="AC1263" s="240" t="str" cm="1">
        <f t="array" ref="AC1263">IF(AND(F1263:H1263&lt;&gt;"",I1263=""),"ERROR","OK")</f>
        <v>OK</v>
      </c>
      <c r="AD1263" s="240" t="str">
        <f t="shared" si="158"/>
        <v>OK</v>
      </c>
      <c r="AE1263" s="240" t="str">
        <f t="shared" si="159"/>
        <v>OK</v>
      </c>
      <c r="AF1263" s="240" t="str" cm="1">
        <f t="array" aca="1" ref="AF1263" ca="1" xml:space="preserve">
IF(AND($G1263&lt;&gt;"",$F1263=""),"ERROR",
IF(OR($F1263:$G1263="",AND($G1263="",$F1263&lt;&gt;"")),"OK",
IF(COUNTIF(INDIRECT(IFERROR(LEFT($F1263,FIND(" ",$F1263)-1),$F1263)), $G1263)&gt;0, "OK", "ERROR")))</f>
        <v>OK</v>
      </c>
    </row>
    <row r="1264" spans="1:32" s="240" customFormat="1">
      <c r="A1264" s="48"/>
      <c r="B1264" s="31"/>
      <c r="C1264" s="48"/>
      <c r="D1264" s="47"/>
      <c r="E1264" s="47"/>
      <c r="F1264" s="31"/>
      <c r="G1264" s="31"/>
      <c r="H1264" s="31"/>
      <c r="I1264" s="47"/>
      <c r="J1264" s="31"/>
      <c r="K1264" s="47"/>
      <c r="L1264" s="47"/>
      <c r="M1264" s="47"/>
      <c r="N1264" s="31"/>
      <c r="O1264" s="47"/>
      <c r="P1264" s="31"/>
      <c r="Q1264" s="31"/>
      <c r="R1264" s="31"/>
      <c r="S1264" s="31"/>
      <c r="T1264" s="270">
        <f t="shared" si="152"/>
        <v>0</v>
      </c>
      <c r="U1264" s="270">
        <f t="shared" si="153"/>
        <v>0</v>
      </c>
      <c r="V1264" s="31"/>
      <c r="X1264" s="240" t="str">
        <f t="shared" si="154"/>
        <v>OK</v>
      </c>
      <c r="Y1264" s="240" t="str">
        <f t="shared" si="155"/>
        <v>OK</v>
      </c>
      <c r="Z1264" s="240" t="str">
        <f t="shared" si="156"/>
        <v>OK</v>
      </c>
      <c r="AA1264" s="240" t="str" cm="1">
        <f t="array" ref="AA1264">IF(OR(AND(J1264="Not accepted",N1264:O1264&lt;&gt;"",$S1264=""),AND(J1264="Accepted",S1264="")),"ERROR","OK")</f>
        <v>OK</v>
      </c>
      <c r="AB1264" s="240" t="str">
        <f t="shared" si="157"/>
        <v>OK</v>
      </c>
      <c r="AC1264" s="240" t="str" cm="1">
        <f t="array" ref="AC1264">IF(AND(F1264:H1264&lt;&gt;"",I1264=""),"ERROR","OK")</f>
        <v>OK</v>
      </c>
      <c r="AD1264" s="240" t="str">
        <f t="shared" si="158"/>
        <v>OK</v>
      </c>
      <c r="AE1264" s="240" t="str">
        <f t="shared" si="159"/>
        <v>OK</v>
      </c>
      <c r="AF1264" s="240" t="str" cm="1">
        <f t="array" aca="1" ref="AF1264" ca="1" xml:space="preserve">
IF(AND($G1264&lt;&gt;"",$F1264=""),"ERROR",
IF(OR($F1264:$G1264="",AND($G1264="",$F1264&lt;&gt;"")),"OK",
IF(COUNTIF(INDIRECT(IFERROR(LEFT($F1264,FIND(" ",$F1264)-1),$F1264)), $G1264)&gt;0, "OK", "ERROR")))</f>
        <v>OK</v>
      </c>
    </row>
    <row r="1265" spans="1:32" s="240" customFormat="1">
      <c r="A1265" s="48"/>
      <c r="B1265" s="31"/>
      <c r="C1265" s="48"/>
      <c r="D1265" s="47"/>
      <c r="E1265" s="47"/>
      <c r="F1265" s="31"/>
      <c r="G1265" s="31"/>
      <c r="H1265" s="31"/>
      <c r="I1265" s="47"/>
      <c r="J1265" s="31"/>
      <c r="K1265" s="47"/>
      <c r="L1265" s="47"/>
      <c r="M1265" s="47"/>
      <c r="N1265" s="31"/>
      <c r="O1265" s="47"/>
      <c r="P1265" s="31"/>
      <c r="Q1265" s="31"/>
      <c r="R1265" s="31"/>
      <c r="S1265" s="31"/>
      <c r="T1265" s="270">
        <f t="shared" si="152"/>
        <v>0</v>
      </c>
      <c r="U1265" s="270">
        <f t="shared" si="153"/>
        <v>0</v>
      </c>
      <c r="V1265" s="31"/>
      <c r="X1265" s="240" t="str">
        <f t="shared" si="154"/>
        <v>OK</v>
      </c>
      <c r="Y1265" s="240" t="str">
        <f t="shared" si="155"/>
        <v>OK</v>
      </c>
      <c r="Z1265" s="240" t="str">
        <f t="shared" si="156"/>
        <v>OK</v>
      </c>
      <c r="AA1265" s="240" t="str" cm="1">
        <f t="array" ref="AA1265">IF(OR(AND(J1265="Not accepted",N1265:O1265&lt;&gt;"",$S1265=""),AND(J1265="Accepted",S1265="")),"ERROR","OK")</f>
        <v>OK</v>
      </c>
      <c r="AB1265" s="240" t="str">
        <f t="shared" si="157"/>
        <v>OK</v>
      </c>
      <c r="AC1265" s="240" t="str" cm="1">
        <f t="array" ref="AC1265">IF(AND(F1265:H1265&lt;&gt;"",I1265=""),"ERROR","OK")</f>
        <v>OK</v>
      </c>
      <c r="AD1265" s="240" t="str">
        <f t="shared" si="158"/>
        <v>OK</v>
      </c>
      <c r="AE1265" s="240" t="str">
        <f t="shared" si="159"/>
        <v>OK</v>
      </c>
      <c r="AF1265" s="240" t="str" cm="1">
        <f t="array" aca="1" ref="AF1265" ca="1" xml:space="preserve">
IF(AND($G1265&lt;&gt;"",$F1265=""),"ERROR",
IF(OR($F1265:$G1265="",AND($G1265="",$F1265&lt;&gt;"")),"OK",
IF(COUNTIF(INDIRECT(IFERROR(LEFT($F1265,FIND(" ",$F1265)-1),$F1265)), $G1265)&gt;0, "OK", "ERROR")))</f>
        <v>OK</v>
      </c>
    </row>
    <row r="1266" spans="1:32" s="240" customFormat="1">
      <c r="A1266" s="48"/>
      <c r="B1266" s="31"/>
      <c r="C1266" s="48"/>
      <c r="D1266" s="47"/>
      <c r="E1266" s="47"/>
      <c r="F1266" s="31"/>
      <c r="G1266" s="31"/>
      <c r="H1266" s="31"/>
      <c r="I1266" s="47"/>
      <c r="J1266" s="31"/>
      <c r="K1266" s="47"/>
      <c r="L1266" s="47"/>
      <c r="M1266" s="47"/>
      <c r="N1266" s="31"/>
      <c r="O1266" s="47"/>
      <c r="P1266" s="31"/>
      <c r="Q1266" s="31"/>
      <c r="R1266" s="31"/>
      <c r="S1266" s="31"/>
      <c r="T1266" s="270">
        <f t="shared" si="152"/>
        <v>0</v>
      </c>
      <c r="U1266" s="270">
        <f t="shared" si="153"/>
        <v>0</v>
      </c>
      <c r="V1266" s="31"/>
      <c r="X1266" s="240" t="str">
        <f t="shared" si="154"/>
        <v>OK</v>
      </c>
      <c r="Y1266" s="240" t="str">
        <f t="shared" si="155"/>
        <v>OK</v>
      </c>
      <c r="Z1266" s="240" t="str">
        <f t="shared" si="156"/>
        <v>OK</v>
      </c>
      <c r="AA1266" s="240" t="str" cm="1">
        <f t="array" ref="AA1266">IF(OR(AND(J1266="Not accepted",N1266:O1266&lt;&gt;"",$S1266=""),AND(J1266="Accepted",S1266="")),"ERROR","OK")</f>
        <v>OK</v>
      </c>
      <c r="AB1266" s="240" t="str">
        <f t="shared" si="157"/>
        <v>OK</v>
      </c>
      <c r="AC1266" s="240" t="str" cm="1">
        <f t="array" ref="AC1266">IF(AND(F1266:H1266&lt;&gt;"",I1266=""),"ERROR","OK")</f>
        <v>OK</v>
      </c>
      <c r="AD1266" s="240" t="str">
        <f t="shared" si="158"/>
        <v>OK</v>
      </c>
      <c r="AE1266" s="240" t="str">
        <f t="shared" si="159"/>
        <v>OK</v>
      </c>
      <c r="AF1266" s="240" t="str" cm="1">
        <f t="array" aca="1" ref="AF1266" ca="1" xml:space="preserve">
IF(AND($G1266&lt;&gt;"",$F1266=""),"ERROR",
IF(OR($F1266:$G1266="",AND($G1266="",$F1266&lt;&gt;"")),"OK",
IF(COUNTIF(INDIRECT(IFERROR(LEFT($F1266,FIND(" ",$F1266)-1),$F1266)), $G1266)&gt;0, "OK", "ERROR")))</f>
        <v>OK</v>
      </c>
    </row>
    <row r="1267" spans="1:32" s="240" customFormat="1">
      <c r="A1267" s="48"/>
      <c r="B1267" s="31"/>
      <c r="C1267" s="48"/>
      <c r="D1267" s="47"/>
      <c r="E1267" s="47"/>
      <c r="F1267" s="31"/>
      <c r="G1267" s="31"/>
      <c r="H1267" s="31"/>
      <c r="I1267" s="47"/>
      <c r="J1267" s="31"/>
      <c r="K1267" s="47"/>
      <c r="L1267" s="47"/>
      <c r="M1267" s="47"/>
      <c r="N1267" s="31"/>
      <c r="O1267" s="47"/>
      <c r="P1267" s="31"/>
      <c r="Q1267" s="31"/>
      <c r="R1267" s="31"/>
      <c r="S1267" s="31"/>
      <c r="T1267" s="270">
        <f t="shared" si="152"/>
        <v>0</v>
      </c>
      <c r="U1267" s="270">
        <f t="shared" si="153"/>
        <v>0</v>
      </c>
      <c r="V1267" s="31"/>
      <c r="X1267" s="240" t="str">
        <f t="shared" si="154"/>
        <v>OK</v>
      </c>
      <c r="Y1267" s="240" t="str">
        <f t="shared" si="155"/>
        <v>OK</v>
      </c>
      <c r="Z1267" s="240" t="str">
        <f t="shared" si="156"/>
        <v>OK</v>
      </c>
      <c r="AA1267" s="240" t="str" cm="1">
        <f t="array" ref="AA1267">IF(OR(AND(J1267="Not accepted",N1267:O1267&lt;&gt;"",$S1267=""),AND(J1267="Accepted",S1267="")),"ERROR","OK")</f>
        <v>OK</v>
      </c>
      <c r="AB1267" s="240" t="str">
        <f t="shared" si="157"/>
        <v>OK</v>
      </c>
      <c r="AC1267" s="240" t="str" cm="1">
        <f t="array" ref="AC1267">IF(AND(F1267:H1267&lt;&gt;"",I1267=""),"ERROR","OK")</f>
        <v>OK</v>
      </c>
      <c r="AD1267" s="240" t="str">
        <f t="shared" si="158"/>
        <v>OK</v>
      </c>
      <c r="AE1267" s="240" t="str">
        <f t="shared" si="159"/>
        <v>OK</v>
      </c>
      <c r="AF1267" s="240" t="str" cm="1">
        <f t="array" aca="1" ref="AF1267" ca="1" xml:space="preserve">
IF(AND($G1267&lt;&gt;"",$F1267=""),"ERROR",
IF(OR($F1267:$G1267="",AND($G1267="",$F1267&lt;&gt;"")),"OK",
IF(COUNTIF(INDIRECT(IFERROR(LEFT($F1267,FIND(" ",$F1267)-1),$F1267)), $G1267)&gt;0, "OK", "ERROR")))</f>
        <v>OK</v>
      </c>
    </row>
    <row r="1268" spans="1:32" s="240" customFormat="1">
      <c r="A1268" s="48"/>
      <c r="B1268" s="31"/>
      <c r="C1268" s="48"/>
      <c r="D1268" s="47"/>
      <c r="E1268" s="47"/>
      <c r="F1268" s="31"/>
      <c r="G1268" s="31"/>
      <c r="H1268" s="31"/>
      <c r="I1268" s="47"/>
      <c r="J1268" s="31"/>
      <c r="K1268" s="47"/>
      <c r="L1268" s="47"/>
      <c r="M1268" s="47"/>
      <c r="N1268" s="31"/>
      <c r="O1268" s="47"/>
      <c r="P1268" s="31"/>
      <c r="Q1268" s="31"/>
      <c r="R1268" s="31"/>
      <c r="S1268" s="31"/>
      <c r="T1268" s="270">
        <f t="shared" si="152"/>
        <v>0</v>
      </c>
      <c r="U1268" s="270">
        <f t="shared" si="153"/>
        <v>0</v>
      </c>
      <c r="V1268" s="31"/>
      <c r="X1268" s="240" t="str">
        <f t="shared" si="154"/>
        <v>OK</v>
      </c>
      <c r="Y1268" s="240" t="str">
        <f t="shared" si="155"/>
        <v>OK</v>
      </c>
      <c r="Z1268" s="240" t="str">
        <f t="shared" si="156"/>
        <v>OK</v>
      </c>
      <c r="AA1268" s="240" t="str" cm="1">
        <f t="array" ref="AA1268">IF(OR(AND(J1268="Not accepted",N1268:O1268&lt;&gt;"",$S1268=""),AND(J1268="Accepted",S1268="")),"ERROR","OK")</f>
        <v>OK</v>
      </c>
      <c r="AB1268" s="240" t="str">
        <f t="shared" si="157"/>
        <v>OK</v>
      </c>
      <c r="AC1268" s="240" t="str" cm="1">
        <f t="array" ref="AC1268">IF(AND(F1268:H1268&lt;&gt;"",I1268=""),"ERROR","OK")</f>
        <v>OK</v>
      </c>
      <c r="AD1268" s="240" t="str">
        <f t="shared" si="158"/>
        <v>OK</v>
      </c>
      <c r="AE1268" s="240" t="str">
        <f t="shared" si="159"/>
        <v>OK</v>
      </c>
      <c r="AF1268" s="240" t="str" cm="1">
        <f t="array" aca="1" ref="AF1268" ca="1" xml:space="preserve">
IF(AND($G1268&lt;&gt;"",$F1268=""),"ERROR",
IF(OR($F1268:$G1268="",AND($G1268="",$F1268&lt;&gt;"")),"OK",
IF(COUNTIF(INDIRECT(IFERROR(LEFT($F1268,FIND(" ",$F1268)-1),$F1268)), $G1268)&gt;0, "OK", "ERROR")))</f>
        <v>OK</v>
      </c>
    </row>
    <row r="1269" spans="1:32" s="240" customFormat="1">
      <c r="A1269" s="48"/>
      <c r="B1269" s="31"/>
      <c r="C1269" s="48"/>
      <c r="D1269" s="47"/>
      <c r="E1269" s="47"/>
      <c r="F1269" s="31"/>
      <c r="G1269" s="31"/>
      <c r="H1269" s="31"/>
      <c r="I1269" s="47"/>
      <c r="J1269" s="31"/>
      <c r="K1269" s="47"/>
      <c r="L1269" s="47"/>
      <c r="M1269" s="47"/>
      <c r="N1269" s="31"/>
      <c r="O1269" s="47"/>
      <c r="P1269" s="31"/>
      <c r="Q1269" s="31"/>
      <c r="R1269" s="31"/>
      <c r="S1269" s="31"/>
      <c r="T1269" s="270">
        <f t="shared" si="152"/>
        <v>0</v>
      </c>
      <c r="U1269" s="270">
        <f t="shared" si="153"/>
        <v>0</v>
      </c>
      <c r="V1269" s="31"/>
      <c r="X1269" s="240" t="str">
        <f t="shared" si="154"/>
        <v>OK</v>
      </c>
      <c r="Y1269" s="240" t="str">
        <f t="shared" si="155"/>
        <v>OK</v>
      </c>
      <c r="Z1269" s="240" t="str">
        <f t="shared" si="156"/>
        <v>OK</v>
      </c>
      <c r="AA1269" s="240" t="str" cm="1">
        <f t="array" ref="AA1269">IF(OR(AND(J1269="Not accepted",N1269:O1269&lt;&gt;"",$S1269=""),AND(J1269="Accepted",S1269="")),"ERROR","OK")</f>
        <v>OK</v>
      </c>
      <c r="AB1269" s="240" t="str">
        <f t="shared" si="157"/>
        <v>OK</v>
      </c>
      <c r="AC1269" s="240" t="str" cm="1">
        <f t="array" ref="AC1269">IF(AND(F1269:H1269&lt;&gt;"",I1269=""),"ERROR","OK")</f>
        <v>OK</v>
      </c>
      <c r="AD1269" s="240" t="str">
        <f t="shared" si="158"/>
        <v>OK</v>
      </c>
      <c r="AE1269" s="240" t="str">
        <f t="shared" si="159"/>
        <v>OK</v>
      </c>
      <c r="AF1269" s="240" t="str" cm="1">
        <f t="array" aca="1" ref="AF1269" ca="1" xml:space="preserve">
IF(AND($G1269&lt;&gt;"",$F1269=""),"ERROR",
IF(OR($F1269:$G1269="",AND($G1269="",$F1269&lt;&gt;"")),"OK",
IF(COUNTIF(INDIRECT(IFERROR(LEFT($F1269,FIND(" ",$F1269)-1),$F1269)), $G1269)&gt;0, "OK", "ERROR")))</f>
        <v>OK</v>
      </c>
    </row>
    <row r="1270" spans="1:32" s="240" customFormat="1">
      <c r="A1270" s="48"/>
      <c r="B1270" s="31"/>
      <c r="C1270" s="48"/>
      <c r="D1270" s="47"/>
      <c r="E1270" s="47"/>
      <c r="F1270" s="31"/>
      <c r="G1270" s="31"/>
      <c r="H1270" s="31"/>
      <c r="I1270" s="47"/>
      <c r="J1270" s="31"/>
      <c r="K1270" s="47"/>
      <c r="L1270" s="47"/>
      <c r="M1270" s="47"/>
      <c r="N1270" s="31"/>
      <c r="O1270" s="47"/>
      <c r="P1270" s="31"/>
      <c r="Q1270" s="31"/>
      <c r="R1270" s="31"/>
      <c r="S1270" s="31"/>
      <c r="T1270" s="270">
        <f t="shared" si="152"/>
        <v>0</v>
      </c>
      <c r="U1270" s="270">
        <f t="shared" si="153"/>
        <v>0</v>
      </c>
      <c r="V1270" s="31"/>
      <c r="X1270" s="240" t="str">
        <f t="shared" si="154"/>
        <v>OK</v>
      </c>
      <c r="Y1270" s="240" t="str">
        <f t="shared" si="155"/>
        <v>OK</v>
      </c>
      <c r="Z1270" s="240" t="str">
        <f t="shared" si="156"/>
        <v>OK</v>
      </c>
      <c r="AA1270" s="240" t="str" cm="1">
        <f t="array" ref="AA1270">IF(OR(AND(J1270="Not accepted",N1270:O1270&lt;&gt;"",$S1270=""),AND(J1270="Accepted",S1270="")),"ERROR","OK")</f>
        <v>OK</v>
      </c>
      <c r="AB1270" s="240" t="str">
        <f t="shared" si="157"/>
        <v>OK</v>
      </c>
      <c r="AC1270" s="240" t="str" cm="1">
        <f t="array" ref="AC1270">IF(AND(F1270:H1270&lt;&gt;"",I1270=""),"ERROR","OK")</f>
        <v>OK</v>
      </c>
      <c r="AD1270" s="240" t="str">
        <f t="shared" si="158"/>
        <v>OK</v>
      </c>
      <c r="AE1270" s="240" t="str">
        <f t="shared" si="159"/>
        <v>OK</v>
      </c>
      <c r="AF1270" s="240" t="str" cm="1">
        <f t="array" aca="1" ref="AF1270" ca="1" xml:space="preserve">
IF(AND($G1270&lt;&gt;"",$F1270=""),"ERROR",
IF(OR($F1270:$G1270="",AND($G1270="",$F1270&lt;&gt;"")),"OK",
IF(COUNTIF(INDIRECT(IFERROR(LEFT($F1270,FIND(" ",$F1270)-1),$F1270)), $G1270)&gt;0, "OK", "ERROR")))</f>
        <v>OK</v>
      </c>
    </row>
    <row r="1271" spans="1:32" s="240" customFormat="1">
      <c r="A1271" s="48"/>
      <c r="B1271" s="31"/>
      <c r="C1271" s="48"/>
      <c r="D1271" s="47"/>
      <c r="E1271" s="47"/>
      <c r="F1271" s="31"/>
      <c r="G1271" s="31"/>
      <c r="H1271" s="31"/>
      <c r="I1271" s="47"/>
      <c r="J1271" s="31"/>
      <c r="K1271" s="47"/>
      <c r="L1271" s="47"/>
      <c r="M1271" s="47"/>
      <c r="N1271" s="31"/>
      <c r="O1271" s="47"/>
      <c r="P1271" s="31"/>
      <c r="Q1271" s="31"/>
      <c r="R1271" s="31"/>
      <c r="S1271" s="31"/>
      <c r="T1271" s="270">
        <f t="shared" si="152"/>
        <v>0</v>
      </c>
      <c r="U1271" s="270">
        <f t="shared" si="153"/>
        <v>0</v>
      </c>
      <c r="V1271" s="31"/>
      <c r="X1271" s="240" t="str">
        <f t="shared" si="154"/>
        <v>OK</v>
      </c>
      <c r="Y1271" s="240" t="str">
        <f t="shared" si="155"/>
        <v>OK</v>
      </c>
      <c r="Z1271" s="240" t="str">
        <f t="shared" si="156"/>
        <v>OK</v>
      </c>
      <c r="AA1271" s="240" t="str" cm="1">
        <f t="array" ref="AA1271">IF(OR(AND(J1271="Not accepted",N1271:O1271&lt;&gt;"",$S1271=""),AND(J1271="Accepted",S1271="")),"ERROR","OK")</f>
        <v>OK</v>
      </c>
      <c r="AB1271" s="240" t="str">
        <f t="shared" si="157"/>
        <v>OK</v>
      </c>
      <c r="AC1271" s="240" t="str" cm="1">
        <f t="array" ref="AC1271">IF(AND(F1271:H1271&lt;&gt;"",I1271=""),"ERROR","OK")</f>
        <v>OK</v>
      </c>
      <c r="AD1271" s="240" t="str">
        <f t="shared" si="158"/>
        <v>OK</v>
      </c>
      <c r="AE1271" s="240" t="str">
        <f t="shared" si="159"/>
        <v>OK</v>
      </c>
      <c r="AF1271" s="240" t="str" cm="1">
        <f t="array" aca="1" ref="AF1271" ca="1" xml:space="preserve">
IF(AND($G1271&lt;&gt;"",$F1271=""),"ERROR",
IF(OR($F1271:$G1271="",AND($G1271="",$F1271&lt;&gt;"")),"OK",
IF(COUNTIF(INDIRECT(IFERROR(LEFT($F1271,FIND(" ",$F1271)-1),$F1271)), $G1271)&gt;0, "OK", "ERROR")))</f>
        <v>OK</v>
      </c>
    </row>
    <row r="1272" spans="1:32" s="240" customFormat="1">
      <c r="A1272" s="48"/>
      <c r="B1272" s="31"/>
      <c r="C1272" s="48"/>
      <c r="D1272" s="47"/>
      <c r="E1272" s="47"/>
      <c r="F1272" s="31"/>
      <c r="G1272" s="31"/>
      <c r="H1272" s="31"/>
      <c r="I1272" s="47"/>
      <c r="J1272" s="31"/>
      <c r="K1272" s="47"/>
      <c r="L1272" s="47"/>
      <c r="M1272" s="47"/>
      <c r="N1272" s="31"/>
      <c r="O1272" s="47"/>
      <c r="P1272" s="31"/>
      <c r="Q1272" s="31"/>
      <c r="R1272" s="31"/>
      <c r="S1272" s="31"/>
      <c r="T1272" s="270">
        <f t="shared" si="152"/>
        <v>0</v>
      </c>
      <c r="U1272" s="270">
        <f t="shared" si="153"/>
        <v>0</v>
      </c>
      <c r="V1272" s="31"/>
      <c r="X1272" s="240" t="str">
        <f t="shared" si="154"/>
        <v>OK</v>
      </c>
      <c r="Y1272" s="240" t="str">
        <f t="shared" si="155"/>
        <v>OK</v>
      </c>
      <c r="Z1272" s="240" t="str">
        <f t="shared" si="156"/>
        <v>OK</v>
      </c>
      <c r="AA1272" s="240" t="str" cm="1">
        <f t="array" ref="AA1272">IF(OR(AND(J1272="Not accepted",N1272:O1272&lt;&gt;"",$S1272=""),AND(J1272="Accepted",S1272="")),"ERROR","OK")</f>
        <v>OK</v>
      </c>
      <c r="AB1272" s="240" t="str">
        <f t="shared" si="157"/>
        <v>OK</v>
      </c>
      <c r="AC1272" s="240" t="str" cm="1">
        <f t="array" ref="AC1272">IF(AND(F1272:H1272&lt;&gt;"",I1272=""),"ERROR","OK")</f>
        <v>OK</v>
      </c>
      <c r="AD1272" s="240" t="str">
        <f t="shared" si="158"/>
        <v>OK</v>
      </c>
      <c r="AE1272" s="240" t="str">
        <f t="shared" si="159"/>
        <v>OK</v>
      </c>
      <c r="AF1272" s="240" t="str" cm="1">
        <f t="array" aca="1" ref="AF1272" ca="1" xml:space="preserve">
IF(AND($G1272&lt;&gt;"",$F1272=""),"ERROR",
IF(OR($F1272:$G1272="",AND($G1272="",$F1272&lt;&gt;"")),"OK",
IF(COUNTIF(INDIRECT(IFERROR(LEFT($F1272,FIND(" ",$F1272)-1),$F1272)), $G1272)&gt;0, "OK", "ERROR")))</f>
        <v>OK</v>
      </c>
    </row>
    <row r="1273" spans="1:32" s="240" customFormat="1">
      <c r="A1273" s="48"/>
      <c r="B1273" s="31"/>
      <c r="C1273" s="48"/>
      <c r="D1273" s="47"/>
      <c r="E1273" s="47"/>
      <c r="F1273" s="31"/>
      <c r="G1273" s="31"/>
      <c r="H1273" s="31"/>
      <c r="I1273" s="47"/>
      <c r="J1273" s="31"/>
      <c r="K1273" s="47"/>
      <c r="L1273" s="47"/>
      <c r="M1273" s="47"/>
      <c r="N1273" s="31"/>
      <c r="O1273" s="47"/>
      <c r="P1273" s="31"/>
      <c r="Q1273" s="31"/>
      <c r="R1273" s="31"/>
      <c r="S1273" s="31"/>
      <c r="T1273" s="270">
        <f t="shared" si="152"/>
        <v>0</v>
      </c>
      <c r="U1273" s="270">
        <f t="shared" si="153"/>
        <v>0</v>
      </c>
      <c r="V1273" s="31"/>
      <c r="X1273" s="240" t="str">
        <f t="shared" si="154"/>
        <v>OK</v>
      </c>
      <c r="Y1273" s="240" t="str">
        <f t="shared" si="155"/>
        <v>OK</v>
      </c>
      <c r="Z1273" s="240" t="str">
        <f t="shared" si="156"/>
        <v>OK</v>
      </c>
      <c r="AA1273" s="240" t="str" cm="1">
        <f t="array" ref="AA1273">IF(OR(AND(J1273="Not accepted",N1273:O1273&lt;&gt;"",$S1273=""),AND(J1273="Accepted",S1273="")),"ERROR","OK")</f>
        <v>OK</v>
      </c>
      <c r="AB1273" s="240" t="str">
        <f t="shared" si="157"/>
        <v>OK</v>
      </c>
      <c r="AC1273" s="240" t="str" cm="1">
        <f t="array" ref="AC1273">IF(AND(F1273:H1273&lt;&gt;"",I1273=""),"ERROR","OK")</f>
        <v>OK</v>
      </c>
      <c r="AD1273" s="240" t="str">
        <f t="shared" si="158"/>
        <v>OK</v>
      </c>
      <c r="AE1273" s="240" t="str">
        <f t="shared" si="159"/>
        <v>OK</v>
      </c>
      <c r="AF1273" s="240" t="str" cm="1">
        <f t="array" aca="1" ref="AF1273" ca="1" xml:space="preserve">
IF(AND($G1273&lt;&gt;"",$F1273=""),"ERROR",
IF(OR($F1273:$G1273="",AND($G1273="",$F1273&lt;&gt;"")),"OK",
IF(COUNTIF(INDIRECT(IFERROR(LEFT($F1273,FIND(" ",$F1273)-1),$F1273)), $G1273)&gt;0, "OK", "ERROR")))</f>
        <v>OK</v>
      </c>
    </row>
    <row r="1274" spans="1:32" s="240" customFormat="1">
      <c r="A1274" s="48"/>
      <c r="B1274" s="31"/>
      <c r="C1274" s="48"/>
      <c r="D1274" s="47"/>
      <c r="E1274" s="47"/>
      <c r="F1274" s="31"/>
      <c r="G1274" s="31"/>
      <c r="H1274" s="31"/>
      <c r="I1274" s="47"/>
      <c r="J1274" s="31"/>
      <c r="K1274" s="47"/>
      <c r="L1274" s="47"/>
      <c r="M1274" s="47"/>
      <c r="N1274" s="31"/>
      <c r="O1274" s="47"/>
      <c r="P1274" s="31"/>
      <c r="Q1274" s="31"/>
      <c r="R1274" s="31"/>
      <c r="S1274" s="31"/>
      <c r="T1274" s="270">
        <f t="shared" si="152"/>
        <v>0</v>
      </c>
      <c r="U1274" s="270">
        <f t="shared" si="153"/>
        <v>0</v>
      </c>
      <c r="V1274" s="31"/>
      <c r="X1274" s="240" t="str">
        <f t="shared" si="154"/>
        <v>OK</v>
      </c>
      <c r="Y1274" s="240" t="str">
        <f t="shared" si="155"/>
        <v>OK</v>
      </c>
      <c r="Z1274" s="240" t="str">
        <f t="shared" si="156"/>
        <v>OK</v>
      </c>
      <c r="AA1274" s="240" t="str" cm="1">
        <f t="array" ref="AA1274">IF(OR(AND(J1274="Not accepted",N1274:O1274&lt;&gt;"",$S1274=""),AND(J1274="Accepted",S1274="")),"ERROR","OK")</f>
        <v>OK</v>
      </c>
      <c r="AB1274" s="240" t="str">
        <f t="shared" si="157"/>
        <v>OK</v>
      </c>
      <c r="AC1274" s="240" t="str" cm="1">
        <f t="array" ref="AC1274">IF(AND(F1274:H1274&lt;&gt;"",I1274=""),"ERROR","OK")</f>
        <v>OK</v>
      </c>
      <c r="AD1274" s="240" t="str">
        <f t="shared" si="158"/>
        <v>OK</v>
      </c>
      <c r="AE1274" s="240" t="str">
        <f t="shared" si="159"/>
        <v>OK</v>
      </c>
      <c r="AF1274" s="240" t="str" cm="1">
        <f t="array" aca="1" ref="AF1274" ca="1" xml:space="preserve">
IF(AND($G1274&lt;&gt;"",$F1274=""),"ERROR",
IF(OR($F1274:$G1274="",AND($G1274="",$F1274&lt;&gt;"")),"OK",
IF(COUNTIF(INDIRECT(IFERROR(LEFT($F1274,FIND(" ",$F1274)-1),$F1274)), $G1274)&gt;0, "OK", "ERROR")))</f>
        <v>OK</v>
      </c>
    </row>
    <row r="1275" spans="1:32" s="240" customFormat="1">
      <c r="A1275" s="48"/>
      <c r="B1275" s="31"/>
      <c r="C1275" s="48"/>
      <c r="D1275" s="47"/>
      <c r="E1275" s="47"/>
      <c r="F1275" s="31"/>
      <c r="G1275" s="31"/>
      <c r="H1275" s="31"/>
      <c r="I1275" s="47"/>
      <c r="J1275" s="31"/>
      <c r="K1275" s="47"/>
      <c r="L1275" s="47"/>
      <c r="M1275" s="47"/>
      <c r="N1275" s="31"/>
      <c r="O1275" s="47"/>
      <c r="P1275" s="31"/>
      <c r="Q1275" s="31"/>
      <c r="R1275" s="31"/>
      <c r="S1275" s="31"/>
      <c r="T1275" s="270">
        <f t="shared" si="152"/>
        <v>0</v>
      </c>
      <c r="U1275" s="270">
        <f t="shared" si="153"/>
        <v>0</v>
      </c>
      <c r="V1275" s="31"/>
      <c r="X1275" s="240" t="str">
        <f t="shared" si="154"/>
        <v>OK</v>
      </c>
      <c r="Y1275" s="240" t="str">
        <f t="shared" si="155"/>
        <v>OK</v>
      </c>
      <c r="Z1275" s="240" t="str">
        <f t="shared" si="156"/>
        <v>OK</v>
      </c>
      <c r="AA1275" s="240" t="str" cm="1">
        <f t="array" ref="AA1275">IF(OR(AND(J1275="Not accepted",N1275:O1275&lt;&gt;"",$S1275=""),AND(J1275="Accepted",S1275="")),"ERROR","OK")</f>
        <v>OK</v>
      </c>
      <c r="AB1275" s="240" t="str">
        <f t="shared" si="157"/>
        <v>OK</v>
      </c>
      <c r="AC1275" s="240" t="str" cm="1">
        <f t="array" ref="AC1275">IF(AND(F1275:H1275&lt;&gt;"",I1275=""),"ERROR","OK")</f>
        <v>OK</v>
      </c>
      <c r="AD1275" s="240" t="str">
        <f t="shared" si="158"/>
        <v>OK</v>
      </c>
      <c r="AE1275" s="240" t="str">
        <f t="shared" si="159"/>
        <v>OK</v>
      </c>
      <c r="AF1275" s="240" t="str" cm="1">
        <f t="array" aca="1" ref="AF1275" ca="1" xml:space="preserve">
IF(AND($G1275&lt;&gt;"",$F1275=""),"ERROR",
IF(OR($F1275:$G1275="",AND($G1275="",$F1275&lt;&gt;"")),"OK",
IF(COUNTIF(INDIRECT(IFERROR(LEFT($F1275,FIND(" ",$F1275)-1),$F1275)), $G1275)&gt;0, "OK", "ERROR")))</f>
        <v>OK</v>
      </c>
    </row>
    <row r="1276" spans="1:32" s="240" customFormat="1">
      <c r="A1276" s="48"/>
      <c r="B1276" s="31"/>
      <c r="C1276" s="48"/>
      <c r="D1276" s="47"/>
      <c r="E1276" s="47"/>
      <c r="F1276" s="31"/>
      <c r="G1276" s="31"/>
      <c r="H1276" s="31"/>
      <c r="I1276" s="47"/>
      <c r="J1276" s="31"/>
      <c r="K1276" s="47"/>
      <c r="L1276" s="47"/>
      <c r="M1276" s="47"/>
      <c r="N1276" s="31"/>
      <c r="O1276" s="47"/>
      <c r="P1276" s="31"/>
      <c r="Q1276" s="31"/>
      <c r="R1276" s="31"/>
      <c r="S1276" s="31"/>
      <c r="T1276" s="270">
        <f t="shared" si="152"/>
        <v>0</v>
      </c>
      <c r="U1276" s="270">
        <f t="shared" si="153"/>
        <v>0</v>
      </c>
      <c r="V1276" s="31"/>
      <c r="X1276" s="240" t="str">
        <f t="shared" si="154"/>
        <v>OK</v>
      </c>
      <c r="Y1276" s="240" t="str">
        <f t="shared" si="155"/>
        <v>OK</v>
      </c>
      <c r="Z1276" s="240" t="str">
        <f t="shared" si="156"/>
        <v>OK</v>
      </c>
      <c r="AA1276" s="240" t="str" cm="1">
        <f t="array" ref="AA1276">IF(OR(AND(J1276="Not accepted",N1276:O1276&lt;&gt;"",$S1276=""),AND(J1276="Accepted",S1276="")),"ERROR","OK")</f>
        <v>OK</v>
      </c>
      <c r="AB1276" s="240" t="str">
        <f t="shared" si="157"/>
        <v>OK</v>
      </c>
      <c r="AC1276" s="240" t="str" cm="1">
        <f t="array" ref="AC1276">IF(AND(F1276:H1276&lt;&gt;"",I1276=""),"ERROR","OK")</f>
        <v>OK</v>
      </c>
      <c r="AD1276" s="240" t="str">
        <f t="shared" si="158"/>
        <v>OK</v>
      </c>
      <c r="AE1276" s="240" t="str">
        <f t="shared" si="159"/>
        <v>OK</v>
      </c>
      <c r="AF1276" s="240" t="str" cm="1">
        <f t="array" aca="1" ref="AF1276" ca="1" xml:space="preserve">
IF(AND($G1276&lt;&gt;"",$F1276=""),"ERROR",
IF(OR($F1276:$G1276="",AND($G1276="",$F1276&lt;&gt;"")),"OK",
IF(COUNTIF(INDIRECT(IFERROR(LEFT($F1276,FIND(" ",$F1276)-1),$F1276)), $G1276)&gt;0, "OK", "ERROR")))</f>
        <v>OK</v>
      </c>
    </row>
    <row r="1277" spans="1:32" s="240" customFormat="1">
      <c r="A1277" s="48"/>
      <c r="B1277" s="31"/>
      <c r="C1277" s="48"/>
      <c r="D1277" s="47"/>
      <c r="E1277" s="47"/>
      <c r="F1277" s="31"/>
      <c r="G1277" s="31"/>
      <c r="H1277" s="31"/>
      <c r="I1277" s="47"/>
      <c r="J1277" s="31"/>
      <c r="K1277" s="47"/>
      <c r="L1277" s="47"/>
      <c r="M1277" s="47"/>
      <c r="N1277" s="31"/>
      <c r="O1277" s="47"/>
      <c r="P1277" s="31"/>
      <c r="Q1277" s="31"/>
      <c r="R1277" s="31"/>
      <c r="S1277" s="31"/>
      <c r="T1277" s="270">
        <f t="shared" si="152"/>
        <v>0</v>
      </c>
      <c r="U1277" s="270">
        <f t="shared" si="153"/>
        <v>0</v>
      </c>
      <c r="V1277" s="31"/>
      <c r="X1277" s="240" t="str">
        <f t="shared" si="154"/>
        <v>OK</v>
      </c>
      <c r="Y1277" s="240" t="str">
        <f t="shared" si="155"/>
        <v>OK</v>
      </c>
      <c r="Z1277" s="240" t="str">
        <f t="shared" si="156"/>
        <v>OK</v>
      </c>
      <c r="AA1277" s="240" t="str" cm="1">
        <f t="array" ref="AA1277">IF(OR(AND(J1277="Not accepted",N1277:O1277&lt;&gt;"",$S1277=""),AND(J1277="Accepted",S1277="")),"ERROR","OK")</f>
        <v>OK</v>
      </c>
      <c r="AB1277" s="240" t="str">
        <f t="shared" si="157"/>
        <v>OK</v>
      </c>
      <c r="AC1277" s="240" t="str" cm="1">
        <f t="array" ref="AC1277">IF(AND(F1277:H1277&lt;&gt;"",I1277=""),"ERROR","OK")</f>
        <v>OK</v>
      </c>
      <c r="AD1277" s="240" t="str">
        <f t="shared" si="158"/>
        <v>OK</v>
      </c>
      <c r="AE1277" s="240" t="str">
        <f t="shared" si="159"/>
        <v>OK</v>
      </c>
      <c r="AF1277" s="240" t="str" cm="1">
        <f t="array" aca="1" ref="AF1277" ca="1" xml:space="preserve">
IF(AND($G1277&lt;&gt;"",$F1277=""),"ERROR",
IF(OR($F1277:$G1277="",AND($G1277="",$F1277&lt;&gt;"")),"OK",
IF(COUNTIF(INDIRECT(IFERROR(LEFT($F1277,FIND(" ",$F1277)-1),$F1277)), $G1277)&gt;0, "OK", "ERROR")))</f>
        <v>OK</v>
      </c>
    </row>
    <row r="1278" spans="1:32" s="240" customFormat="1">
      <c r="A1278" s="48"/>
      <c r="B1278" s="31"/>
      <c r="C1278" s="48"/>
      <c r="D1278" s="47"/>
      <c r="E1278" s="47"/>
      <c r="F1278" s="31"/>
      <c r="G1278" s="31"/>
      <c r="H1278" s="31"/>
      <c r="I1278" s="47"/>
      <c r="J1278" s="31"/>
      <c r="K1278" s="47"/>
      <c r="L1278" s="47"/>
      <c r="M1278" s="47"/>
      <c r="N1278" s="31"/>
      <c r="O1278" s="47"/>
      <c r="P1278" s="31"/>
      <c r="Q1278" s="31"/>
      <c r="R1278" s="31"/>
      <c r="S1278" s="31"/>
      <c r="T1278" s="270">
        <f t="shared" si="152"/>
        <v>0</v>
      </c>
      <c r="U1278" s="270">
        <f t="shared" si="153"/>
        <v>0</v>
      </c>
      <c r="V1278" s="31"/>
      <c r="X1278" s="240" t="str">
        <f t="shared" si="154"/>
        <v>OK</v>
      </c>
      <c r="Y1278" s="240" t="str">
        <f t="shared" si="155"/>
        <v>OK</v>
      </c>
      <c r="Z1278" s="240" t="str">
        <f t="shared" si="156"/>
        <v>OK</v>
      </c>
      <c r="AA1278" s="240" t="str" cm="1">
        <f t="array" ref="AA1278">IF(OR(AND(J1278="Not accepted",N1278:O1278&lt;&gt;"",$S1278=""),AND(J1278="Accepted",S1278="")),"ERROR","OK")</f>
        <v>OK</v>
      </c>
      <c r="AB1278" s="240" t="str">
        <f t="shared" si="157"/>
        <v>OK</v>
      </c>
      <c r="AC1278" s="240" t="str" cm="1">
        <f t="array" ref="AC1278">IF(AND(F1278:H1278&lt;&gt;"",I1278=""),"ERROR","OK")</f>
        <v>OK</v>
      </c>
      <c r="AD1278" s="240" t="str">
        <f t="shared" si="158"/>
        <v>OK</v>
      </c>
      <c r="AE1278" s="240" t="str">
        <f t="shared" si="159"/>
        <v>OK</v>
      </c>
      <c r="AF1278" s="240" t="str" cm="1">
        <f t="array" aca="1" ref="AF1278" ca="1" xml:space="preserve">
IF(AND($G1278&lt;&gt;"",$F1278=""),"ERROR",
IF(OR($F1278:$G1278="",AND($G1278="",$F1278&lt;&gt;"")),"OK",
IF(COUNTIF(INDIRECT(IFERROR(LEFT($F1278,FIND(" ",$F1278)-1),$F1278)), $G1278)&gt;0, "OK", "ERROR")))</f>
        <v>OK</v>
      </c>
    </row>
    <row r="1279" spans="1:32" s="240" customFormat="1">
      <c r="A1279" s="48"/>
      <c r="B1279" s="31"/>
      <c r="C1279" s="48"/>
      <c r="D1279" s="47"/>
      <c r="E1279" s="47"/>
      <c r="F1279" s="31"/>
      <c r="G1279" s="31"/>
      <c r="H1279" s="31"/>
      <c r="I1279" s="47"/>
      <c r="J1279" s="31"/>
      <c r="K1279" s="47"/>
      <c r="L1279" s="47"/>
      <c r="M1279" s="47"/>
      <c r="N1279" s="31"/>
      <c r="O1279" s="47"/>
      <c r="P1279" s="31"/>
      <c r="Q1279" s="31"/>
      <c r="R1279" s="31"/>
      <c r="S1279" s="31"/>
      <c r="T1279" s="270">
        <f t="shared" si="152"/>
        <v>0</v>
      </c>
      <c r="U1279" s="270">
        <f t="shared" si="153"/>
        <v>0</v>
      </c>
      <c r="V1279" s="31"/>
      <c r="X1279" s="240" t="str">
        <f t="shared" si="154"/>
        <v>OK</v>
      </c>
      <c r="Y1279" s="240" t="str">
        <f t="shared" si="155"/>
        <v>OK</v>
      </c>
      <c r="Z1279" s="240" t="str">
        <f t="shared" si="156"/>
        <v>OK</v>
      </c>
      <c r="AA1279" s="240" t="str" cm="1">
        <f t="array" ref="AA1279">IF(OR(AND(J1279="Not accepted",N1279:O1279&lt;&gt;"",$S1279=""),AND(J1279="Accepted",S1279="")),"ERROR","OK")</f>
        <v>OK</v>
      </c>
      <c r="AB1279" s="240" t="str">
        <f t="shared" si="157"/>
        <v>OK</v>
      </c>
      <c r="AC1279" s="240" t="str" cm="1">
        <f t="array" ref="AC1279">IF(AND(F1279:H1279&lt;&gt;"",I1279=""),"ERROR","OK")</f>
        <v>OK</v>
      </c>
      <c r="AD1279" s="240" t="str">
        <f t="shared" si="158"/>
        <v>OK</v>
      </c>
      <c r="AE1279" s="240" t="str">
        <f t="shared" si="159"/>
        <v>OK</v>
      </c>
      <c r="AF1279" s="240" t="str" cm="1">
        <f t="array" aca="1" ref="AF1279" ca="1" xml:space="preserve">
IF(AND($G1279&lt;&gt;"",$F1279=""),"ERROR",
IF(OR($F1279:$G1279="",AND($G1279="",$F1279&lt;&gt;"")),"OK",
IF(COUNTIF(INDIRECT(IFERROR(LEFT($F1279,FIND(" ",$F1279)-1),$F1279)), $G1279)&gt;0, "OK", "ERROR")))</f>
        <v>OK</v>
      </c>
    </row>
    <row r="1280" spans="1:32" s="240" customFormat="1">
      <c r="A1280" s="48"/>
      <c r="B1280" s="31"/>
      <c r="C1280" s="48"/>
      <c r="D1280" s="47"/>
      <c r="E1280" s="47"/>
      <c r="F1280" s="31"/>
      <c r="G1280" s="31"/>
      <c r="H1280" s="31"/>
      <c r="I1280" s="47"/>
      <c r="J1280" s="31"/>
      <c r="K1280" s="47"/>
      <c r="L1280" s="47"/>
      <c r="M1280" s="47"/>
      <c r="N1280" s="31"/>
      <c r="O1280" s="47"/>
      <c r="P1280" s="31"/>
      <c r="Q1280" s="31"/>
      <c r="R1280" s="31"/>
      <c r="S1280" s="31"/>
      <c r="T1280" s="270">
        <f t="shared" si="152"/>
        <v>0</v>
      </c>
      <c r="U1280" s="270">
        <f t="shared" si="153"/>
        <v>0</v>
      </c>
      <c r="V1280" s="31"/>
      <c r="X1280" s="240" t="str">
        <f t="shared" si="154"/>
        <v>OK</v>
      </c>
      <c r="Y1280" s="240" t="str">
        <f t="shared" si="155"/>
        <v>OK</v>
      </c>
      <c r="Z1280" s="240" t="str">
        <f t="shared" si="156"/>
        <v>OK</v>
      </c>
      <c r="AA1280" s="240" t="str" cm="1">
        <f t="array" ref="AA1280">IF(OR(AND(J1280="Not accepted",N1280:O1280&lt;&gt;"",$S1280=""),AND(J1280="Accepted",S1280="")),"ERROR","OK")</f>
        <v>OK</v>
      </c>
      <c r="AB1280" s="240" t="str">
        <f t="shared" si="157"/>
        <v>OK</v>
      </c>
      <c r="AC1280" s="240" t="str" cm="1">
        <f t="array" ref="AC1280">IF(AND(F1280:H1280&lt;&gt;"",I1280=""),"ERROR","OK")</f>
        <v>OK</v>
      </c>
      <c r="AD1280" s="240" t="str">
        <f t="shared" si="158"/>
        <v>OK</v>
      </c>
      <c r="AE1280" s="240" t="str">
        <f t="shared" si="159"/>
        <v>OK</v>
      </c>
      <c r="AF1280" s="240" t="str" cm="1">
        <f t="array" aca="1" ref="AF1280" ca="1" xml:space="preserve">
IF(AND($G1280&lt;&gt;"",$F1280=""),"ERROR",
IF(OR($F1280:$G1280="",AND($G1280="",$F1280&lt;&gt;"")),"OK",
IF(COUNTIF(INDIRECT(IFERROR(LEFT($F1280,FIND(" ",$F1280)-1),$F1280)), $G1280)&gt;0, "OK", "ERROR")))</f>
        <v>OK</v>
      </c>
    </row>
    <row r="1281" spans="1:32" s="240" customFormat="1">
      <c r="A1281" s="48"/>
      <c r="B1281" s="31"/>
      <c r="C1281" s="48"/>
      <c r="D1281" s="47"/>
      <c r="E1281" s="47"/>
      <c r="F1281" s="31"/>
      <c r="G1281" s="31"/>
      <c r="H1281" s="31"/>
      <c r="I1281" s="47"/>
      <c r="J1281" s="31"/>
      <c r="K1281" s="47"/>
      <c r="L1281" s="47"/>
      <c r="M1281" s="47"/>
      <c r="N1281" s="31"/>
      <c r="O1281" s="47"/>
      <c r="P1281" s="31"/>
      <c r="Q1281" s="31"/>
      <c r="R1281" s="31"/>
      <c r="S1281" s="31"/>
      <c r="T1281" s="270">
        <f t="shared" si="152"/>
        <v>0</v>
      </c>
      <c r="U1281" s="270">
        <f t="shared" si="153"/>
        <v>0</v>
      </c>
      <c r="V1281" s="31"/>
      <c r="X1281" s="240" t="str">
        <f t="shared" si="154"/>
        <v>OK</v>
      </c>
      <c r="Y1281" s="240" t="str">
        <f t="shared" si="155"/>
        <v>OK</v>
      </c>
      <c r="Z1281" s="240" t="str">
        <f t="shared" si="156"/>
        <v>OK</v>
      </c>
      <c r="AA1281" s="240" t="str" cm="1">
        <f t="array" ref="AA1281">IF(OR(AND(J1281="Not accepted",N1281:O1281&lt;&gt;"",$S1281=""),AND(J1281="Accepted",S1281="")),"ERROR","OK")</f>
        <v>OK</v>
      </c>
      <c r="AB1281" s="240" t="str">
        <f t="shared" si="157"/>
        <v>OK</v>
      </c>
      <c r="AC1281" s="240" t="str" cm="1">
        <f t="array" ref="AC1281">IF(AND(F1281:H1281&lt;&gt;"",I1281=""),"ERROR","OK")</f>
        <v>OK</v>
      </c>
      <c r="AD1281" s="240" t="str">
        <f t="shared" si="158"/>
        <v>OK</v>
      </c>
      <c r="AE1281" s="240" t="str">
        <f t="shared" si="159"/>
        <v>OK</v>
      </c>
      <c r="AF1281" s="240" t="str" cm="1">
        <f t="array" aca="1" ref="AF1281" ca="1" xml:space="preserve">
IF(AND($G1281&lt;&gt;"",$F1281=""),"ERROR",
IF(OR($F1281:$G1281="",AND($G1281="",$F1281&lt;&gt;"")),"OK",
IF(COUNTIF(INDIRECT(IFERROR(LEFT($F1281,FIND(" ",$F1281)-1),$F1281)), $G1281)&gt;0, "OK", "ERROR")))</f>
        <v>OK</v>
      </c>
    </row>
    <row r="1282" spans="1:32" s="240" customFormat="1">
      <c r="A1282" s="48"/>
      <c r="B1282" s="31"/>
      <c r="C1282" s="48"/>
      <c r="D1282" s="47"/>
      <c r="E1282" s="47"/>
      <c r="F1282" s="31"/>
      <c r="G1282" s="31"/>
      <c r="H1282" s="31"/>
      <c r="I1282" s="47"/>
      <c r="J1282" s="31"/>
      <c r="K1282" s="47"/>
      <c r="L1282" s="47"/>
      <c r="M1282" s="47"/>
      <c r="N1282" s="31"/>
      <c r="O1282" s="47"/>
      <c r="P1282" s="31"/>
      <c r="Q1282" s="31"/>
      <c r="R1282" s="31"/>
      <c r="S1282" s="31"/>
      <c r="T1282" s="270">
        <f t="shared" si="152"/>
        <v>0</v>
      </c>
      <c r="U1282" s="270">
        <f t="shared" si="153"/>
        <v>0</v>
      </c>
      <c r="V1282" s="31"/>
      <c r="X1282" s="240" t="str">
        <f t="shared" si="154"/>
        <v>OK</v>
      </c>
      <c r="Y1282" s="240" t="str">
        <f t="shared" si="155"/>
        <v>OK</v>
      </c>
      <c r="Z1282" s="240" t="str">
        <f t="shared" si="156"/>
        <v>OK</v>
      </c>
      <c r="AA1282" s="240" t="str" cm="1">
        <f t="array" ref="AA1282">IF(OR(AND(J1282="Not accepted",N1282:O1282&lt;&gt;"",$S1282=""),AND(J1282="Accepted",S1282="")),"ERROR","OK")</f>
        <v>OK</v>
      </c>
      <c r="AB1282" s="240" t="str">
        <f t="shared" si="157"/>
        <v>OK</v>
      </c>
      <c r="AC1282" s="240" t="str" cm="1">
        <f t="array" ref="AC1282">IF(AND(F1282:H1282&lt;&gt;"",I1282=""),"ERROR","OK")</f>
        <v>OK</v>
      </c>
      <c r="AD1282" s="240" t="str">
        <f t="shared" si="158"/>
        <v>OK</v>
      </c>
      <c r="AE1282" s="240" t="str">
        <f t="shared" si="159"/>
        <v>OK</v>
      </c>
      <c r="AF1282" s="240" t="str" cm="1">
        <f t="array" aca="1" ref="AF1282" ca="1" xml:space="preserve">
IF(AND($G1282&lt;&gt;"",$F1282=""),"ERROR",
IF(OR($F1282:$G1282="",AND($G1282="",$F1282&lt;&gt;"")),"OK",
IF(COUNTIF(INDIRECT(IFERROR(LEFT($F1282,FIND(" ",$F1282)-1),$F1282)), $G1282)&gt;0, "OK", "ERROR")))</f>
        <v>OK</v>
      </c>
    </row>
    <row r="1283" spans="1:32" s="240" customFormat="1">
      <c r="A1283" s="48"/>
      <c r="B1283" s="31"/>
      <c r="C1283" s="48"/>
      <c r="D1283" s="47"/>
      <c r="E1283" s="47"/>
      <c r="F1283" s="31"/>
      <c r="G1283" s="31"/>
      <c r="H1283" s="31"/>
      <c r="I1283" s="47"/>
      <c r="J1283" s="31"/>
      <c r="K1283" s="47"/>
      <c r="L1283" s="47"/>
      <c r="M1283" s="47"/>
      <c r="N1283" s="31"/>
      <c r="O1283" s="47"/>
      <c r="P1283" s="31"/>
      <c r="Q1283" s="31"/>
      <c r="R1283" s="31"/>
      <c r="S1283" s="31"/>
      <c r="T1283" s="270">
        <f t="shared" si="152"/>
        <v>0</v>
      </c>
      <c r="U1283" s="270">
        <f t="shared" si="153"/>
        <v>0</v>
      </c>
      <c r="V1283" s="31"/>
      <c r="X1283" s="240" t="str">
        <f t="shared" si="154"/>
        <v>OK</v>
      </c>
      <c r="Y1283" s="240" t="str">
        <f t="shared" si="155"/>
        <v>OK</v>
      </c>
      <c r="Z1283" s="240" t="str">
        <f t="shared" si="156"/>
        <v>OK</v>
      </c>
      <c r="AA1283" s="240" t="str" cm="1">
        <f t="array" ref="AA1283">IF(OR(AND(J1283="Not accepted",N1283:O1283&lt;&gt;"",$S1283=""),AND(J1283="Accepted",S1283="")),"ERROR","OK")</f>
        <v>OK</v>
      </c>
      <c r="AB1283" s="240" t="str">
        <f t="shared" si="157"/>
        <v>OK</v>
      </c>
      <c r="AC1283" s="240" t="str" cm="1">
        <f t="array" ref="AC1283">IF(AND(F1283:H1283&lt;&gt;"",I1283=""),"ERROR","OK")</f>
        <v>OK</v>
      </c>
      <c r="AD1283" s="240" t="str">
        <f t="shared" si="158"/>
        <v>OK</v>
      </c>
      <c r="AE1283" s="240" t="str">
        <f t="shared" si="159"/>
        <v>OK</v>
      </c>
      <c r="AF1283" s="240" t="str" cm="1">
        <f t="array" aca="1" ref="AF1283" ca="1" xml:space="preserve">
IF(AND($G1283&lt;&gt;"",$F1283=""),"ERROR",
IF(OR($F1283:$G1283="",AND($G1283="",$F1283&lt;&gt;"")),"OK",
IF(COUNTIF(INDIRECT(IFERROR(LEFT($F1283,FIND(" ",$F1283)-1),$F1283)), $G1283)&gt;0, "OK", "ERROR")))</f>
        <v>OK</v>
      </c>
    </row>
    <row r="1284" spans="1:32" s="240" customFormat="1">
      <c r="A1284" s="48"/>
      <c r="B1284" s="31"/>
      <c r="C1284" s="48"/>
      <c r="D1284" s="47"/>
      <c r="E1284" s="47"/>
      <c r="F1284" s="31"/>
      <c r="G1284" s="31"/>
      <c r="H1284" s="31"/>
      <c r="I1284" s="47"/>
      <c r="J1284" s="31"/>
      <c r="K1284" s="47"/>
      <c r="L1284" s="47"/>
      <c r="M1284" s="47"/>
      <c r="N1284" s="31"/>
      <c r="O1284" s="47"/>
      <c r="P1284" s="31"/>
      <c r="Q1284" s="31"/>
      <c r="R1284" s="31"/>
      <c r="S1284" s="31"/>
      <c r="T1284" s="270">
        <f t="shared" si="152"/>
        <v>0</v>
      </c>
      <c r="U1284" s="270">
        <f t="shared" si="153"/>
        <v>0</v>
      </c>
      <c r="V1284" s="31"/>
      <c r="X1284" s="240" t="str">
        <f t="shared" si="154"/>
        <v>OK</v>
      </c>
      <c r="Y1284" s="240" t="str">
        <f t="shared" si="155"/>
        <v>OK</v>
      </c>
      <c r="Z1284" s="240" t="str">
        <f t="shared" si="156"/>
        <v>OK</v>
      </c>
      <c r="AA1284" s="240" t="str" cm="1">
        <f t="array" ref="AA1284">IF(OR(AND(J1284="Not accepted",N1284:O1284&lt;&gt;"",$S1284=""),AND(J1284="Accepted",S1284="")),"ERROR","OK")</f>
        <v>OK</v>
      </c>
      <c r="AB1284" s="240" t="str">
        <f t="shared" si="157"/>
        <v>OK</v>
      </c>
      <c r="AC1284" s="240" t="str" cm="1">
        <f t="array" ref="AC1284">IF(AND(F1284:H1284&lt;&gt;"",I1284=""),"ERROR","OK")</f>
        <v>OK</v>
      </c>
      <c r="AD1284" s="240" t="str">
        <f t="shared" si="158"/>
        <v>OK</v>
      </c>
      <c r="AE1284" s="240" t="str">
        <f t="shared" si="159"/>
        <v>OK</v>
      </c>
      <c r="AF1284" s="240" t="str" cm="1">
        <f t="array" aca="1" ref="AF1284" ca="1" xml:space="preserve">
IF(AND($G1284&lt;&gt;"",$F1284=""),"ERROR",
IF(OR($F1284:$G1284="",AND($G1284="",$F1284&lt;&gt;"")),"OK",
IF(COUNTIF(INDIRECT(IFERROR(LEFT($F1284,FIND(" ",$F1284)-1),$F1284)), $G1284)&gt;0, "OK", "ERROR")))</f>
        <v>OK</v>
      </c>
    </row>
    <row r="1285" spans="1:32" s="240" customFormat="1">
      <c r="A1285" s="48"/>
      <c r="B1285" s="31"/>
      <c r="C1285" s="48"/>
      <c r="D1285" s="47"/>
      <c r="E1285" s="47"/>
      <c r="F1285" s="31"/>
      <c r="G1285" s="31"/>
      <c r="H1285" s="31"/>
      <c r="I1285" s="47"/>
      <c r="J1285" s="31"/>
      <c r="K1285" s="47"/>
      <c r="L1285" s="47"/>
      <c r="M1285" s="47"/>
      <c r="N1285" s="31"/>
      <c r="O1285" s="47"/>
      <c r="P1285" s="31"/>
      <c r="Q1285" s="31"/>
      <c r="R1285" s="31"/>
      <c r="S1285" s="31"/>
      <c r="T1285" s="270">
        <f t="shared" ref="T1285:T1348" si="160">IF(OR($J1285="Accepted",ISBLANK($J1285)),IF(AND($G1285="Legacy Data",$Q1285="Legacy Data"),1,IF(OR($G1285="Legacy Data",$Q1285="Legacy Data"),1,0)),IF(OR($N1285="Agree with original translator",ISBLANK($N1285)),IF(AND($G1285="Source Text Data",$Q1285="Legacy Data"),1,IF(AND($G1285="Legacy Data",$Q1285="Legacy Data"),1,IF($Q1285="Legacy Data",1,0))),IF(AND($G1285="Legacy Data",$Q1285="Legacy Data"),1,IF(OR($Q1285="Legacy Data",ISBLANK($Q1285)),IF($G1285&lt;&gt;"Legacy Data",IF(AND($G1285="Source Text Data",$Q1285="Legacy Data"),1,0),1),0))))</f>
        <v>0</v>
      </c>
      <c r="U1285" s="270">
        <f t="shared" ref="U1285:U1348" si="161">IF(OR($J1285="Accepted",ISBLANK($J1285)),IF(AND($G1285="Source Text Data",$Q1285="Source Text Data"),1,IF(OR($G1285="Source Text Data",$Q1285="Source Text Data"),1,0)),IF(OR($N1285="Agree with original translator",ISBLANK($N1285)),IF(AND($G1285="Legacy Data",$Q1285="Source Text Data"),1,IF(AND($G1285="Source Text Data",$Q1285="Source Text Data"),1,IF($Q1285="Source Text Data",1,0))),IF(AND($G1285="Source Text Data",$Q1285="Source Text Data"),1,IF(OR($Q1285="Source Text Data",ISBLANK($Q1285)),IF($G1285&lt;&gt;"Source Text Data",IF(AND($G1285="Legacy Data",$Q1285="Source Text Data"),1,0),1),0))))</f>
        <v>0</v>
      </c>
      <c r="V1285" s="31"/>
      <c r="X1285" s="240" t="str">
        <f t="shared" ref="X1285:X1348" si="162">IF(AND(COUNTBLANK($F1285:$H1285)&lt;&gt;COLUMNS($F1285:$H1285),COUNTA($F1285:$H1285)&lt;&gt;COLUMNS($F1285:$H1285)),"ERROR","OK")</f>
        <v>OK</v>
      </c>
      <c r="Y1285" s="240" t="str">
        <f t="shared" ref="Y1285:Y1348" si="163">IF(AND($J1285="Not accepted",$K1285=""),"ERROR","OK")</f>
        <v>OK</v>
      </c>
      <c r="Z1285" s="240" t="str">
        <f t="shared" ref="Z1285:Z1348" si="164">IF(AND($F1285&lt;&gt;"",$J1285=""),"ERROR","OK")</f>
        <v>OK</v>
      </c>
      <c r="AA1285" s="240" t="str" cm="1">
        <f t="array" ref="AA1285">IF(OR(AND(J1285="Not accepted",N1285:O1285&lt;&gt;"",$S1285=""),AND(J1285="Accepted",S1285="")),"ERROR","OK")</f>
        <v>OK</v>
      </c>
      <c r="AB1285" s="240" t="str">
        <f t="shared" ref="AB1285:AB1348" si="165">IF(AND($S1285="Not Implemented",$V1285=""),"ERROR","OK")</f>
        <v>OK</v>
      </c>
      <c r="AC1285" s="240" t="str" cm="1">
        <f t="array" ref="AC1285">IF(AND(F1285:H1285&lt;&gt;"",I1285=""),"ERROR","OK")</f>
        <v>OK</v>
      </c>
      <c r="AD1285" s="240" t="str">
        <f t="shared" ref="AD1285:AD1348" si="166">IF(AND($N1285="",$J1285="Not accepted",$K1285&lt;&gt;""),"ERROR","OK")</f>
        <v>OK</v>
      </c>
      <c r="AE1285" s="240" t="str">
        <f t="shared" ref="AE1285:AE1348" si="167">IF(AND($O1285="",$N1285&lt;&gt;""),"ERROR","OK")</f>
        <v>OK</v>
      </c>
      <c r="AF1285" s="240" t="str" cm="1">
        <f t="array" aca="1" ref="AF1285" ca="1" xml:space="preserve">
IF(AND($G1285&lt;&gt;"",$F1285=""),"ERROR",
IF(OR($F1285:$G1285="",AND($G1285="",$F1285&lt;&gt;"")),"OK",
IF(COUNTIF(INDIRECT(IFERROR(LEFT($F1285,FIND(" ",$F1285)-1),$F1285)), $G1285)&gt;0, "OK", "ERROR")))</f>
        <v>OK</v>
      </c>
    </row>
    <row r="1286" spans="1:32" s="240" customFormat="1">
      <c r="A1286" s="48"/>
      <c r="B1286" s="31"/>
      <c r="C1286" s="48"/>
      <c r="D1286" s="47"/>
      <c r="E1286" s="47"/>
      <c r="F1286" s="31"/>
      <c r="G1286" s="31"/>
      <c r="H1286" s="31"/>
      <c r="I1286" s="47"/>
      <c r="J1286" s="31"/>
      <c r="K1286" s="47"/>
      <c r="L1286" s="47"/>
      <c r="M1286" s="47"/>
      <c r="N1286" s="31"/>
      <c r="O1286" s="47"/>
      <c r="P1286" s="31"/>
      <c r="Q1286" s="31"/>
      <c r="R1286" s="31"/>
      <c r="S1286" s="31"/>
      <c r="T1286" s="270">
        <f t="shared" si="160"/>
        <v>0</v>
      </c>
      <c r="U1286" s="270">
        <f t="shared" si="161"/>
        <v>0</v>
      </c>
      <c r="V1286" s="31"/>
      <c r="X1286" s="240" t="str">
        <f t="shared" si="162"/>
        <v>OK</v>
      </c>
      <c r="Y1286" s="240" t="str">
        <f t="shared" si="163"/>
        <v>OK</v>
      </c>
      <c r="Z1286" s="240" t="str">
        <f t="shared" si="164"/>
        <v>OK</v>
      </c>
      <c r="AA1286" s="240" t="str" cm="1">
        <f t="array" ref="AA1286">IF(OR(AND(J1286="Not accepted",N1286:O1286&lt;&gt;"",$S1286=""),AND(J1286="Accepted",S1286="")),"ERROR","OK")</f>
        <v>OK</v>
      </c>
      <c r="AB1286" s="240" t="str">
        <f t="shared" si="165"/>
        <v>OK</v>
      </c>
      <c r="AC1286" s="240" t="str" cm="1">
        <f t="array" ref="AC1286">IF(AND(F1286:H1286&lt;&gt;"",I1286=""),"ERROR","OK")</f>
        <v>OK</v>
      </c>
      <c r="AD1286" s="240" t="str">
        <f t="shared" si="166"/>
        <v>OK</v>
      </c>
      <c r="AE1286" s="240" t="str">
        <f t="shared" si="167"/>
        <v>OK</v>
      </c>
      <c r="AF1286" s="240" t="str" cm="1">
        <f t="array" aca="1" ref="AF1286" ca="1" xml:space="preserve">
IF(AND($G1286&lt;&gt;"",$F1286=""),"ERROR",
IF(OR($F1286:$G1286="",AND($G1286="",$F1286&lt;&gt;"")),"OK",
IF(COUNTIF(INDIRECT(IFERROR(LEFT($F1286,FIND(" ",$F1286)-1),$F1286)), $G1286)&gt;0, "OK", "ERROR")))</f>
        <v>OK</v>
      </c>
    </row>
    <row r="1287" spans="1:32" s="240" customFormat="1">
      <c r="A1287" s="48"/>
      <c r="B1287" s="31"/>
      <c r="C1287" s="48"/>
      <c r="D1287" s="47"/>
      <c r="E1287" s="47"/>
      <c r="F1287" s="31"/>
      <c r="G1287" s="31"/>
      <c r="H1287" s="31"/>
      <c r="I1287" s="47"/>
      <c r="J1287" s="31"/>
      <c r="K1287" s="47"/>
      <c r="L1287" s="47"/>
      <c r="M1287" s="47"/>
      <c r="N1287" s="31"/>
      <c r="O1287" s="47"/>
      <c r="P1287" s="31"/>
      <c r="Q1287" s="31"/>
      <c r="R1287" s="31"/>
      <c r="S1287" s="31"/>
      <c r="T1287" s="270">
        <f t="shared" si="160"/>
        <v>0</v>
      </c>
      <c r="U1287" s="270">
        <f t="shared" si="161"/>
        <v>0</v>
      </c>
      <c r="V1287" s="31"/>
      <c r="X1287" s="240" t="str">
        <f t="shared" si="162"/>
        <v>OK</v>
      </c>
      <c r="Y1287" s="240" t="str">
        <f t="shared" si="163"/>
        <v>OK</v>
      </c>
      <c r="Z1287" s="240" t="str">
        <f t="shared" si="164"/>
        <v>OK</v>
      </c>
      <c r="AA1287" s="240" t="str" cm="1">
        <f t="array" ref="AA1287">IF(OR(AND(J1287="Not accepted",N1287:O1287&lt;&gt;"",$S1287=""),AND(J1287="Accepted",S1287="")),"ERROR","OK")</f>
        <v>OK</v>
      </c>
      <c r="AB1287" s="240" t="str">
        <f t="shared" si="165"/>
        <v>OK</v>
      </c>
      <c r="AC1287" s="240" t="str" cm="1">
        <f t="array" ref="AC1287">IF(AND(F1287:H1287&lt;&gt;"",I1287=""),"ERROR","OK")</f>
        <v>OK</v>
      </c>
      <c r="AD1287" s="240" t="str">
        <f t="shared" si="166"/>
        <v>OK</v>
      </c>
      <c r="AE1287" s="240" t="str">
        <f t="shared" si="167"/>
        <v>OK</v>
      </c>
      <c r="AF1287" s="240" t="str" cm="1">
        <f t="array" aca="1" ref="AF1287" ca="1" xml:space="preserve">
IF(AND($G1287&lt;&gt;"",$F1287=""),"ERROR",
IF(OR($F1287:$G1287="",AND($G1287="",$F1287&lt;&gt;"")),"OK",
IF(COUNTIF(INDIRECT(IFERROR(LEFT($F1287,FIND(" ",$F1287)-1),$F1287)), $G1287)&gt;0, "OK", "ERROR")))</f>
        <v>OK</v>
      </c>
    </row>
    <row r="1288" spans="1:32" s="240" customFormat="1">
      <c r="A1288" s="48"/>
      <c r="B1288" s="31"/>
      <c r="C1288" s="48"/>
      <c r="D1288" s="47"/>
      <c r="E1288" s="47"/>
      <c r="F1288" s="31"/>
      <c r="G1288" s="31"/>
      <c r="H1288" s="31"/>
      <c r="I1288" s="47"/>
      <c r="J1288" s="31"/>
      <c r="K1288" s="47"/>
      <c r="L1288" s="47"/>
      <c r="M1288" s="47"/>
      <c r="N1288" s="31"/>
      <c r="O1288" s="47"/>
      <c r="P1288" s="31"/>
      <c r="Q1288" s="31"/>
      <c r="R1288" s="31"/>
      <c r="S1288" s="31"/>
      <c r="T1288" s="270">
        <f t="shared" si="160"/>
        <v>0</v>
      </c>
      <c r="U1288" s="270">
        <f t="shared" si="161"/>
        <v>0</v>
      </c>
      <c r="V1288" s="31"/>
      <c r="X1288" s="240" t="str">
        <f t="shared" si="162"/>
        <v>OK</v>
      </c>
      <c r="Y1288" s="240" t="str">
        <f t="shared" si="163"/>
        <v>OK</v>
      </c>
      <c r="Z1288" s="240" t="str">
        <f t="shared" si="164"/>
        <v>OK</v>
      </c>
      <c r="AA1288" s="240" t="str" cm="1">
        <f t="array" ref="AA1288">IF(OR(AND(J1288="Not accepted",N1288:O1288&lt;&gt;"",$S1288=""),AND(J1288="Accepted",S1288="")),"ERROR","OK")</f>
        <v>OK</v>
      </c>
      <c r="AB1288" s="240" t="str">
        <f t="shared" si="165"/>
        <v>OK</v>
      </c>
      <c r="AC1288" s="240" t="str" cm="1">
        <f t="array" ref="AC1288">IF(AND(F1288:H1288&lt;&gt;"",I1288=""),"ERROR","OK")</f>
        <v>OK</v>
      </c>
      <c r="AD1288" s="240" t="str">
        <f t="shared" si="166"/>
        <v>OK</v>
      </c>
      <c r="AE1288" s="240" t="str">
        <f t="shared" si="167"/>
        <v>OK</v>
      </c>
      <c r="AF1288" s="240" t="str" cm="1">
        <f t="array" aca="1" ref="AF1288" ca="1" xml:space="preserve">
IF(AND($G1288&lt;&gt;"",$F1288=""),"ERROR",
IF(OR($F1288:$G1288="",AND($G1288="",$F1288&lt;&gt;"")),"OK",
IF(COUNTIF(INDIRECT(IFERROR(LEFT($F1288,FIND(" ",$F1288)-1),$F1288)), $G1288)&gt;0, "OK", "ERROR")))</f>
        <v>OK</v>
      </c>
    </row>
    <row r="1289" spans="1:32" s="240" customFormat="1">
      <c r="A1289" s="48"/>
      <c r="B1289" s="31"/>
      <c r="C1289" s="48"/>
      <c r="D1289" s="47"/>
      <c r="E1289" s="47"/>
      <c r="F1289" s="31"/>
      <c r="G1289" s="31"/>
      <c r="H1289" s="31"/>
      <c r="I1289" s="47"/>
      <c r="J1289" s="31"/>
      <c r="K1289" s="47"/>
      <c r="L1289" s="47"/>
      <c r="M1289" s="47"/>
      <c r="N1289" s="31"/>
      <c r="O1289" s="47"/>
      <c r="P1289" s="31"/>
      <c r="Q1289" s="31"/>
      <c r="R1289" s="31"/>
      <c r="S1289" s="31"/>
      <c r="T1289" s="270">
        <f t="shared" si="160"/>
        <v>0</v>
      </c>
      <c r="U1289" s="270">
        <f t="shared" si="161"/>
        <v>0</v>
      </c>
      <c r="V1289" s="31"/>
      <c r="X1289" s="240" t="str">
        <f t="shared" si="162"/>
        <v>OK</v>
      </c>
      <c r="Y1289" s="240" t="str">
        <f t="shared" si="163"/>
        <v>OK</v>
      </c>
      <c r="Z1289" s="240" t="str">
        <f t="shared" si="164"/>
        <v>OK</v>
      </c>
      <c r="AA1289" s="240" t="str" cm="1">
        <f t="array" ref="AA1289">IF(OR(AND(J1289="Not accepted",N1289:O1289&lt;&gt;"",$S1289=""),AND(J1289="Accepted",S1289="")),"ERROR","OK")</f>
        <v>OK</v>
      </c>
      <c r="AB1289" s="240" t="str">
        <f t="shared" si="165"/>
        <v>OK</v>
      </c>
      <c r="AC1289" s="240" t="str" cm="1">
        <f t="array" ref="AC1289">IF(AND(F1289:H1289&lt;&gt;"",I1289=""),"ERROR","OK")</f>
        <v>OK</v>
      </c>
      <c r="AD1289" s="240" t="str">
        <f t="shared" si="166"/>
        <v>OK</v>
      </c>
      <c r="AE1289" s="240" t="str">
        <f t="shared" si="167"/>
        <v>OK</v>
      </c>
      <c r="AF1289" s="240" t="str" cm="1">
        <f t="array" aca="1" ref="AF1289" ca="1" xml:space="preserve">
IF(AND($G1289&lt;&gt;"",$F1289=""),"ERROR",
IF(OR($F1289:$G1289="",AND($G1289="",$F1289&lt;&gt;"")),"OK",
IF(COUNTIF(INDIRECT(IFERROR(LEFT($F1289,FIND(" ",$F1289)-1),$F1289)), $G1289)&gt;0, "OK", "ERROR")))</f>
        <v>OK</v>
      </c>
    </row>
    <row r="1290" spans="1:32" s="240" customFormat="1">
      <c r="A1290" s="48"/>
      <c r="B1290" s="31"/>
      <c r="C1290" s="48"/>
      <c r="D1290" s="47"/>
      <c r="E1290" s="47"/>
      <c r="F1290" s="31"/>
      <c r="G1290" s="31"/>
      <c r="H1290" s="31"/>
      <c r="I1290" s="47"/>
      <c r="J1290" s="31"/>
      <c r="K1290" s="47"/>
      <c r="L1290" s="47"/>
      <c r="M1290" s="47"/>
      <c r="N1290" s="31"/>
      <c r="O1290" s="47"/>
      <c r="P1290" s="31"/>
      <c r="Q1290" s="31"/>
      <c r="R1290" s="31"/>
      <c r="S1290" s="31"/>
      <c r="T1290" s="270">
        <f t="shared" si="160"/>
        <v>0</v>
      </c>
      <c r="U1290" s="270">
        <f t="shared" si="161"/>
        <v>0</v>
      </c>
      <c r="V1290" s="31"/>
      <c r="X1290" s="240" t="str">
        <f t="shared" si="162"/>
        <v>OK</v>
      </c>
      <c r="Y1290" s="240" t="str">
        <f t="shared" si="163"/>
        <v>OK</v>
      </c>
      <c r="Z1290" s="240" t="str">
        <f t="shared" si="164"/>
        <v>OK</v>
      </c>
      <c r="AA1290" s="240" t="str" cm="1">
        <f t="array" ref="AA1290">IF(OR(AND(J1290="Not accepted",N1290:O1290&lt;&gt;"",$S1290=""),AND(J1290="Accepted",S1290="")),"ERROR","OK")</f>
        <v>OK</v>
      </c>
      <c r="AB1290" s="240" t="str">
        <f t="shared" si="165"/>
        <v>OK</v>
      </c>
      <c r="AC1290" s="240" t="str" cm="1">
        <f t="array" ref="AC1290">IF(AND(F1290:H1290&lt;&gt;"",I1290=""),"ERROR","OK")</f>
        <v>OK</v>
      </c>
      <c r="AD1290" s="240" t="str">
        <f t="shared" si="166"/>
        <v>OK</v>
      </c>
      <c r="AE1290" s="240" t="str">
        <f t="shared" si="167"/>
        <v>OK</v>
      </c>
      <c r="AF1290" s="240" t="str" cm="1">
        <f t="array" aca="1" ref="AF1290" ca="1" xml:space="preserve">
IF(AND($G1290&lt;&gt;"",$F1290=""),"ERROR",
IF(OR($F1290:$G1290="",AND($G1290="",$F1290&lt;&gt;"")),"OK",
IF(COUNTIF(INDIRECT(IFERROR(LEFT($F1290,FIND(" ",$F1290)-1),$F1290)), $G1290)&gt;0, "OK", "ERROR")))</f>
        <v>OK</v>
      </c>
    </row>
    <row r="1291" spans="1:32" s="240" customFormat="1">
      <c r="A1291" s="48"/>
      <c r="B1291" s="31"/>
      <c r="C1291" s="48"/>
      <c r="D1291" s="47"/>
      <c r="E1291" s="47"/>
      <c r="F1291" s="31"/>
      <c r="G1291" s="31"/>
      <c r="H1291" s="31"/>
      <c r="I1291" s="47"/>
      <c r="J1291" s="31"/>
      <c r="K1291" s="47"/>
      <c r="L1291" s="47"/>
      <c r="M1291" s="47"/>
      <c r="N1291" s="31"/>
      <c r="O1291" s="47"/>
      <c r="P1291" s="31"/>
      <c r="Q1291" s="31"/>
      <c r="R1291" s="31"/>
      <c r="S1291" s="31"/>
      <c r="T1291" s="270">
        <f t="shared" si="160"/>
        <v>0</v>
      </c>
      <c r="U1291" s="270">
        <f t="shared" si="161"/>
        <v>0</v>
      </c>
      <c r="V1291" s="31"/>
      <c r="X1291" s="240" t="str">
        <f t="shared" si="162"/>
        <v>OK</v>
      </c>
      <c r="Y1291" s="240" t="str">
        <f t="shared" si="163"/>
        <v>OK</v>
      </c>
      <c r="Z1291" s="240" t="str">
        <f t="shared" si="164"/>
        <v>OK</v>
      </c>
      <c r="AA1291" s="240" t="str" cm="1">
        <f t="array" ref="AA1291">IF(OR(AND(J1291="Not accepted",N1291:O1291&lt;&gt;"",$S1291=""),AND(J1291="Accepted",S1291="")),"ERROR","OK")</f>
        <v>OK</v>
      </c>
      <c r="AB1291" s="240" t="str">
        <f t="shared" si="165"/>
        <v>OK</v>
      </c>
      <c r="AC1291" s="240" t="str" cm="1">
        <f t="array" ref="AC1291">IF(AND(F1291:H1291&lt;&gt;"",I1291=""),"ERROR","OK")</f>
        <v>OK</v>
      </c>
      <c r="AD1291" s="240" t="str">
        <f t="shared" si="166"/>
        <v>OK</v>
      </c>
      <c r="AE1291" s="240" t="str">
        <f t="shared" si="167"/>
        <v>OK</v>
      </c>
      <c r="AF1291" s="240" t="str" cm="1">
        <f t="array" aca="1" ref="AF1291" ca="1" xml:space="preserve">
IF(AND($G1291&lt;&gt;"",$F1291=""),"ERROR",
IF(OR($F1291:$G1291="",AND($G1291="",$F1291&lt;&gt;"")),"OK",
IF(COUNTIF(INDIRECT(IFERROR(LEFT($F1291,FIND(" ",$F1291)-1),$F1291)), $G1291)&gt;0, "OK", "ERROR")))</f>
        <v>OK</v>
      </c>
    </row>
    <row r="1292" spans="1:32" s="240" customFormat="1">
      <c r="A1292" s="48"/>
      <c r="B1292" s="31"/>
      <c r="C1292" s="48"/>
      <c r="D1292" s="47"/>
      <c r="E1292" s="47"/>
      <c r="F1292" s="31"/>
      <c r="G1292" s="31"/>
      <c r="H1292" s="31"/>
      <c r="I1292" s="47"/>
      <c r="J1292" s="31"/>
      <c r="K1292" s="47"/>
      <c r="L1292" s="47"/>
      <c r="M1292" s="47"/>
      <c r="N1292" s="31"/>
      <c r="O1292" s="47"/>
      <c r="P1292" s="31"/>
      <c r="Q1292" s="31"/>
      <c r="R1292" s="31"/>
      <c r="S1292" s="31"/>
      <c r="T1292" s="270">
        <f t="shared" si="160"/>
        <v>0</v>
      </c>
      <c r="U1292" s="270">
        <f t="shared" si="161"/>
        <v>0</v>
      </c>
      <c r="V1292" s="31"/>
      <c r="X1292" s="240" t="str">
        <f t="shared" si="162"/>
        <v>OK</v>
      </c>
      <c r="Y1292" s="240" t="str">
        <f t="shared" si="163"/>
        <v>OK</v>
      </c>
      <c r="Z1292" s="240" t="str">
        <f t="shared" si="164"/>
        <v>OK</v>
      </c>
      <c r="AA1292" s="240" t="str" cm="1">
        <f t="array" ref="AA1292">IF(OR(AND(J1292="Not accepted",N1292:O1292&lt;&gt;"",$S1292=""),AND(J1292="Accepted",S1292="")),"ERROR","OK")</f>
        <v>OK</v>
      </c>
      <c r="AB1292" s="240" t="str">
        <f t="shared" si="165"/>
        <v>OK</v>
      </c>
      <c r="AC1292" s="240" t="str" cm="1">
        <f t="array" ref="AC1292">IF(AND(F1292:H1292&lt;&gt;"",I1292=""),"ERROR","OK")</f>
        <v>OK</v>
      </c>
      <c r="AD1292" s="240" t="str">
        <f t="shared" si="166"/>
        <v>OK</v>
      </c>
      <c r="AE1292" s="240" t="str">
        <f t="shared" si="167"/>
        <v>OK</v>
      </c>
      <c r="AF1292" s="240" t="str" cm="1">
        <f t="array" aca="1" ref="AF1292" ca="1" xml:space="preserve">
IF(AND($G1292&lt;&gt;"",$F1292=""),"ERROR",
IF(OR($F1292:$G1292="",AND($G1292="",$F1292&lt;&gt;"")),"OK",
IF(COUNTIF(INDIRECT(IFERROR(LEFT($F1292,FIND(" ",$F1292)-1),$F1292)), $G1292)&gt;0, "OK", "ERROR")))</f>
        <v>OK</v>
      </c>
    </row>
    <row r="1293" spans="1:32" s="240" customFormat="1">
      <c r="A1293" s="48"/>
      <c r="B1293" s="31"/>
      <c r="C1293" s="48"/>
      <c r="D1293" s="47"/>
      <c r="E1293" s="47"/>
      <c r="F1293" s="31"/>
      <c r="G1293" s="31"/>
      <c r="H1293" s="31"/>
      <c r="I1293" s="47"/>
      <c r="J1293" s="31"/>
      <c r="K1293" s="47"/>
      <c r="L1293" s="47"/>
      <c r="M1293" s="47"/>
      <c r="N1293" s="31"/>
      <c r="O1293" s="47"/>
      <c r="P1293" s="31"/>
      <c r="Q1293" s="31"/>
      <c r="R1293" s="31"/>
      <c r="S1293" s="31"/>
      <c r="T1293" s="270">
        <f t="shared" si="160"/>
        <v>0</v>
      </c>
      <c r="U1293" s="270">
        <f t="shared" si="161"/>
        <v>0</v>
      </c>
      <c r="V1293" s="31"/>
      <c r="X1293" s="240" t="str">
        <f t="shared" si="162"/>
        <v>OK</v>
      </c>
      <c r="Y1293" s="240" t="str">
        <f t="shared" si="163"/>
        <v>OK</v>
      </c>
      <c r="Z1293" s="240" t="str">
        <f t="shared" si="164"/>
        <v>OK</v>
      </c>
      <c r="AA1293" s="240" t="str" cm="1">
        <f t="array" ref="AA1293">IF(OR(AND(J1293="Not accepted",N1293:O1293&lt;&gt;"",$S1293=""),AND(J1293="Accepted",S1293="")),"ERROR","OK")</f>
        <v>OK</v>
      </c>
      <c r="AB1293" s="240" t="str">
        <f t="shared" si="165"/>
        <v>OK</v>
      </c>
      <c r="AC1293" s="240" t="str" cm="1">
        <f t="array" ref="AC1293">IF(AND(F1293:H1293&lt;&gt;"",I1293=""),"ERROR","OK")</f>
        <v>OK</v>
      </c>
      <c r="AD1293" s="240" t="str">
        <f t="shared" si="166"/>
        <v>OK</v>
      </c>
      <c r="AE1293" s="240" t="str">
        <f t="shared" si="167"/>
        <v>OK</v>
      </c>
      <c r="AF1293" s="240" t="str" cm="1">
        <f t="array" aca="1" ref="AF1293" ca="1" xml:space="preserve">
IF(AND($G1293&lt;&gt;"",$F1293=""),"ERROR",
IF(OR($F1293:$G1293="",AND($G1293="",$F1293&lt;&gt;"")),"OK",
IF(COUNTIF(INDIRECT(IFERROR(LEFT($F1293,FIND(" ",$F1293)-1),$F1293)), $G1293)&gt;0, "OK", "ERROR")))</f>
        <v>OK</v>
      </c>
    </row>
    <row r="1294" spans="1:32" s="240" customFormat="1">
      <c r="A1294" s="48"/>
      <c r="B1294" s="31"/>
      <c r="C1294" s="48"/>
      <c r="D1294" s="47"/>
      <c r="E1294" s="47"/>
      <c r="F1294" s="31"/>
      <c r="G1294" s="31"/>
      <c r="H1294" s="31"/>
      <c r="I1294" s="47"/>
      <c r="J1294" s="31"/>
      <c r="K1294" s="47"/>
      <c r="L1294" s="47"/>
      <c r="M1294" s="47"/>
      <c r="N1294" s="31"/>
      <c r="O1294" s="47"/>
      <c r="P1294" s="31"/>
      <c r="Q1294" s="31"/>
      <c r="R1294" s="31"/>
      <c r="S1294" s="31"/>
      <c r="T1294" s="270">
        <f t="shared" si="160"/>
        <v>0</v>
      </c>
      <c r="U1294" s="270">
        <f t="shared" si="161"/>
        <v>0</v>
      </c>
      <c r="V1294" s="31"/>
      <c r="X1294" s="240" t="str">
        <f t="shared" si="162"/>
        <v>OK</v>
      </c>
      <c r="Y1294" s="240" t="str">
        <f t="shared" si="163"/>
        <v>OK</v>
      </c>
      <c r="Z1294" s="240" t="str">
        <f t="shared" si="164"/>
        <v>OK</v>
      </c>
      <c r="AA1294" s="240" t="str" cm="1">
        <f t="array" ref="AA1294">IF(OR(AND(J1294="Not accepted",N1294:O1294&lt;&gt;"",$S1294=""),AND(J1294="Accepted",S1294="")),"ERROR","OK")</f>
        <v>OK</v>
      </c>
      <c r="AB1294" s="240" t="str">
        <f t="shared" si="165"/>
        <v>OK</v>
      </c>
      <c r="AC1294" s="240" t="str" cm="1">
        <f t="array" ref="AC1294">IF(AND(F1294:H1294&lt;&gt;"",I1294=""),"ERROR","OK")</f>
        <v>OK</v>
      </c>
      <c r="AD1294" s="240" t="str">
        <f t="shared" si="166"/>
        <v>OK</v>
      </c>
      <c r="AE1294" s="240" t="str">
        <f t="shared" si="167"/>
        <v>OK</v>
      </c>
      <c r="AF1294" s="240" t="str" cm="1">
        <f t="array" aca="1" ref="AF1294" ca="1" xml:space="preserve">
IF(AND($G1294&lt;&gt;"",$F1294=""),"ERROR",
IF(OR($F1294:$G1294="",AND($G1294="",$F1294&lt;&gt;"")),"OK",
IF(COUNTIF(INDIRECT(IFERROR(LEFT($F1294,FIND(" ",$F1294)-1),$F1294)), $G1294)&gt;0, "OK", "ERROR")))</f>
        <v>OK</v>
      </c>
    </row>
    <row r="1295" spans="1:32" s="240" customFormat="1">
      <c r="A1295" s="48"/>
      <c r="B1295" s="31"/>
      <c r="C1295" s="48"/>
      <c r="D1295" s="47"/>
      <c r="E1295" s="47"/>
      <c r="F1295" s="31"/>
      <c r="G1295" s="31"/>
      <c r="H1295" s="31"/>
      <c r="I1295" s="47"/>
      <c r="J1295" s="31"/>
      <c r="K1295" s="47"/>
      <c r="L1295" s="47"/>
      <c r="M1295" s="47"/>
      <c r="N1295" s="31"/>
      <c r="O1295" s="47"/>
      <c r="P1295" s="31"/>
      <c r="Q1295" s="31"/>
      <c r="R1295" s="31"/>
      <c r="S1295" s="31"/>
      <c r="T1295" s="270">
        <f t="shared" si="160"/>
        <v>0</v>
      </c>
      <c r="U1295" s="270">
        <f t="shared" si="161"/>
        <v>0</v>
      </c>
      <c r="V1295" s="31"/>
      <c r="X1295" s="240" t="str">
        <f t="shared" si="162"/>
        <v>OK</v>
      </c>
      <c r="Y1295" s="240" t="str">
        <f t="shared" si="163"/>
        <v>OK</v>
      </c>
      <c r="Z1295" s="240" t="str">
        <f t="shared" si="164"/>
        <v>OK</v>
      </c>
      <c r="AA1295" s="240" t="str" cm="1">
        <f t="array" ref="AA1295">IF(OR(AND(J1295="Not accepted",N1295:O1295&lt;&gt;"",$S1295=""),AND(J1295="Accepted",S1295="")),"ERROR","OK")</f>
        <v>OK</v>
      </c>
      <c r="AB1295" s="240" t="str">
        <f t="shared" si="165"/>
        <v>OK</v>
      </c>
      <c r="AC1295" s="240" t="str" cm="1">
        <f t="array" ref="AC1295">IF(AND(F1295:H1295&lt;&gt;"",I1295=""),"ERROR","OK")</f>
        <v>OK</v>
      </c>
      <c r="AD1295" s="240" t="str">
        <f t="shared" si="166"/>
        <v>OK</v>
      </c>
      <c r="AE1295" s="240" t="str">
        <f t="shared" si="167"/>
        <v>OK</v>
      </c>
      <c r="AF1295" s="240" t="str" cm="1">
        <f t="array" aca="1" ref="AF1295" ca="1" xml:space="preserve">
IF(AND($G1295&lt;&gt;"",$F1295=""),"ERROR",
IF(OR($F1295:$G1295="",AND($G1295="",$F1295&lt;&gt;"")),"OK",
IF(COUNTIF(INDIRECT(IFERROR(LEFT($F1295,FIND(" ",$F1295)-1),$F1295)), $G1295)&gt;0, "OK", "ERROR")))</f>
        <v>OK</v>
      </c>
    </row>
    <row r="1296" spans="1:32" s="240" customFormat="1">
      <c r="A1296" s="48"/>
      <c r="B1296" s="31"/>
      <c r="C1296" s="48"/>
      <c r="D1296" s="47"/>
      <c r="E1296" s="47"/>
      <c r="F1296" s="31"/>
      <c r="G1296" s="31"/>
      <c r="H1296" s="31"/>
      <c r="I1296" s="47"/>
      <c r="J1296" s="31"/>
      <c r="K1296" s="47"/>
      <c r="L1296" s="47"/>
      <c r="M1296" s="47"/>
      <c r="N1296" s="31"/>
      <c r="O1296" s="47"/>
      <c r="P1296" s="31"/>
      <c r="Q1296" s="31"/>
      <c r="R1296" s="31"/>
      <c r="S1296" s="31"/>
      <c r="T1296" s="270">
        <f t="shared" si="160"/>
        <v>0</v>
      </c>
      <c r="U1296" s="270">
        <f t="shared" si="161"/>
        <v>0</v>
      </c>
      <c r="V1296" s="31"/>
      <c r="X1296" s="240" t="str">
        <f t="shared" si="162"/>
        <v>OK</v>
      </c>
      <c r="Y1296" s="240" t="str">
        <f t="shared" si="163"/>
        <v>OK</v>
      </c>
      <c r="Z1296" s="240" t="str">
        <f t="shared" si="164"/>
        <v>OK</v>
      </c>
      <c r="AA1296" s="240" t="str" cm="1">
        <f t="array" ref="AA1296">IF(OR(AND(J1296="Not accepted",N1296:O1296&lt;&gt;"",$S1296=""),AND(J1296="Accepted",S1296="")),"ERROR","OK")</f>
        <v>OK</v>
      </c>
      <c r="AB1296" s="240" t="str">
        <f t="shared" si="165"/>
        <v>OK</v>
      </c>
      <c r="AC1296" s="240" t="str" cm="1">
        <f t="array" ref="AC1296">IF(AND(F1296:H1296&lt;&gt;"",I1296=""),"ERROR","OK")</f>
        <v>OK</v>
      </c>
      <c r="AD1296" s="240" t="str">
        <f t="shared" si="166"/>
        <v>OK</v>
      </c>
      <c r="AE1296" s="240" t="str">
        <f t="shared" si="167"/>
        <v>OK</v>
      </c>
      <c r="AF1296" s="240" t="str" cm="1">
        <f t="array" aca="1" ref="AF1296" ca="1" xml:space="preserve">
IF(AND($G1296&lt;&gt;"",$F1296=""),"ERROR",
IF(OR($F1296:$G1296="",AND($G1296="",$F1296&lt;&gt;"")),"OK",
IF(COUNTIF(INDIRECT(IFERROR(LEFT($F1296,FIND(" ",$F1296)-1),$F1296)), $G1296)&gt;0, "OK", "ERROR")))</f>
        <v>OK</v>
      </c>
    </row>
    <row r="1297" spans="1:32" s="240" customFormat="1">
      <c r="A1297" s="48"/>
      <c r="B1297" s="31"/>
      <c r="C1297" s="48"/>
      <c r="D1297" s="47"/>
      <c r="E1297" s="47"/>
      <c r="F1297" s="31"/>
      <c r="G1297" s="31"/>
      <c r="H1297" s="31"/>
      <c r="I1297" s="47"/>
      <c r="J1297" s="31"/>
      <c r="K1297" s="47"/>
      <c r="L1297" s="47"/>
      <c r="M1297" s="47"/>
      <c r="N1297" s="31"/>
      <c r="O1297" s="47"/>
      <c r="P1297" s="31"/>
      <c r="Q1297" s="31"/>
      <c r="R1297" s="31"/>
      <c r="S1297" s="31"/>
      <c r="T1297" s="270">
        <f t="shared" si="160"/>
        <v>0</v>
      </c>
      <c r="U1297" s="270">
        <f t="shared" si="161"/>
        <v>0</v>
      </c>
      <c r="V1297" s="31"/>
      <c r="X1297" s="240" t="str">
        <f t="shared" si="162"/>
        <v>OK</v>
      </c>
      <c r="Y1297" s="240" t="str">
        <f t="shared" si="163"/>
        <v>OK</v>
      </c>
      <c r="Z1297" s="240" t="str">
        <f t="shared" si="164"/>
        <v>OK</v>
      </c>
      <c r="AA1297" s="240" t="str" cm="1">
        <f t="array" ref="AA1297">IF(OR(AND(J1297="Not accepted",N1297:O1297&lt;&gt;"",$S1297=""),AND(J1297="Accepted",S1297="")),"ERROR","OK")</f>
        <v>OK</v>
      </c>
      <c r="AB1297" s="240" t="str">
        <f t="shared" si="165"/>
        <v>OK</v>
      </c>
      <c r="AC1297" s="240" t="str" cm="1">
        <f t="array" ref="AC1297">IF(AND(F1297:H1297&lt;&gt;"",I1297=""),"ERROR","OK")</f>
        <v>OK</v>
      </c>
      <c r="AD1297" s="240" t="str">
        <f t="shared" si="166"/>
        <v>OK</v>
      </c>
      <c r="AE1297" s="240" t="str">
        <f t="shared" si="167"/>
        <v>OK</v>
      </c>
      <c r="AF1297" s="240" t="str" cm="1">
        <f t="array" aca="1" ref="AF1297" ca="1" xml:space="preserve">
IF(AND($G1297&lt;&gt;"",$F1297=""),"ERROR",
IF(OR($F1297:$G1297="",AND($G1297="",$F1297&lt;&gt;"")),"OK",
IF(COUNTIF(INDIRECT(IFERROR(LEFT($F1297,FIND(" ",$F1297)-1),$F1297)), $G1297)&gt;0, "OK", "ERROR")))</f>
        <v>OK</v>
      </c>
    </row>
    <row r="1298" spans="1:32" s="240" customFormat="1">
      <c r="A1298" s="48"/>
      <c r="B1298" s="31"/>
      <c r="C1298" s="48"/>
      <c r="D1298" s="47"/>
      <c r="E1298" s="47"/>
      <c r="F1298" s="31"/>
      <c r="G1298" s="31"/>
      <c r="H1298" s="31"/>
      <c r="I1298" s="47"/>
      <c r="J1298" s="31"/>
      <c r="K1298" s="47"/>
      <c r="L1298" s="47"/>
      <c r="M1298" s="47"/>
      <c r="N1298" s="31"/>
      <c r="O1298" s="47"/>
      <c r="P1298" s="31"/>
      <c r="Q1298" s="31"/>
      <c r="R1298" s="31"/>
      <c r="S1298" s="31"/>
      <c r="T1298" s="270">
        <f t="shared" si="160"/>
        <v>0</v>
      </c>
      <c r="U1298" s="270">
        <f t="shared" si="161"/>
        <v>0</v>
      </c>
      <c r="V1298" s="31"/>
      <c r="X1298" s="240" t="str">
        <f t="shared" si="162"/>
        <v>OK</v>
      </c>
      <c r="Y1298" s="240" t="str">
        <f t="shared" si="163"/>
        <v>OK</v>
      </c>
      <c r="Z1298" s="240" t="str">
        <f t="shared" si="164"/>
        <v>OK</v>
      </c>
      <c r="AA1298" s="240" t="str" cm="1">
        <f t="array" ref="AA1298">IF(OR(AND(J1298="Not accepted",N1298:O1298&lt;&gt;"",$S1298=""),AND(J1298="Accepted",S1298="")),"ERROR","OK")</f>
        <v>OK</v>
      </c>
      <c r="AB1298" s="240" t="str">
        <f t="shared" si="165"/>
        <v>OK</v>
      </c>
      <c r="AC1298" s="240" t="str" cm="1">
        <f t="array" ref="AC1298">IF(AND(F1298:H1298&lt;&gt;"",I1298=""),"ERROR","OK")</f>
        <v>OK</v>
      </c>
      <c r="AD1298" s="240" t="str">
        <f t="shared" si="166"/>
        <v>OK</v>
      </c>
      <c r="AE1298" s="240" t="str">
        <f t="shared" si="167"/>
        <v>OK</v>
      </c>
      <c r="AF1298" s="240" t="str" cm="1">
        <f t="array" aca="1" ref="AF1298" ca="1" xml:space="preserve">
IF(AND($G1298&lt;&gt;"",$F1298=""),"ERROR",
IF(OR($F1298:$G1298="",AND($G1298="",$F1298&lt;&gt;"")),"OK",
IF(COUNTIF(INDIRECT(IFERROR(LEFT($F1298,FIND(" ",$F1298)-1),$F1298)), $G1298)&gt;0, "OK", "ERROR")))</f>
        <v>OK</v>
      </c>
    </row>
    <row r="1299" spans="1:32" s="240" customFormat="1">
      <c r="A1299" s="48"/>
      <c r="B1299" s="31"/>
      <c r="C1299" s="48"/>
      <c r="D1299" s="47"/>
      <c r="E1299" s="47"/>
      <c r="F1299" s="31"/>
      <c r="G1299" s="31"/>
      <c r="H1299" s="31"/>
      <c r="I1299" s="47"/>
      <c r="J1299" s="31"/>
      <c r="K1299" s="47"/>
      <c r="L1299" s="47"/>
      <c r="M1299" s="47"/>
      <c r="N1299" s="31"/>
      <c r="O1299" s="47"/>
      <c r="P1299" s="31"/>
      <c r="Q1299" s="31"/>
      <c r="R1299" s="31"/>
      <c r="S1299" s="31"/>
      <c r="T1299" s="270">
        <f t="shared" si="160"/>
        <v>0</v>
      </c>
      <c r="U1299" s="270">
        <f t="shared" si="161"/>
        <v>0</v>
      </c>
      <c r="V1299" s="31"/>
      <c r="X1299" s="240" t="str">
        <f t="shared" si="162"/>
        <v>OK</v>
      </c>
      <c r="Y1299" s="240" t="str">
        <f t="shared" si="163"/>
        <v>OK</v>
      </c>
      <c r="Z1299" s="240" t="str">
        <f t="shared" si="164"/>
        <v>OK</v>
      </c>
      <c r="AA1299" s="240" t="str" cm="1">
        <f t="array" ref="AA1299">IF(OR(AND(J1299="Not accepted",N1299:O1299&lt;&gt;"",$S1299=""),AND(J1299="Accepted",S1299="")),"ERROR","OK")</f>
        <v>OK</v>
      </c>
      <c r="AB1299" s="240" t="str">
        <f t="shared" si="165"/>
        <v>OK</v>
      </c>
      <c r="AC1299" s="240" t="str" cm="1">
        <f t="array" ref="AC1299">IF(AND(F1299:H1299&lt;&gt;"",I1299=""),"ERROR","OK")</f>
        <v>OK</v>
      </c>
      <c r="AD1299" s="240" t="str">
        <f t="shared" si="166"/>
        <v>OK</v>
      </c>
      <c r="AE1299" s="240" t="str">
        <f t="shared" si="167"/>
        <v>OK</v>
      </c>
      <c r="AF1299" s="240" t="str" cm="1">
        <f t="array" aca="1" ref="AF1299" ca="1" xml:space="preserve">
IF(AND($G1299&lt;&gt;"",$F1299=""),"ERROR",
IF(OR($F1299:$G1299="",AND($G1299="",$F1299&lt;&gt;"")),"OK",
IF(COUNTIF(INDIRECT(IFERROR(LEFT($F1299,FIND(" ",$F1299)-1),$F1299)), $G1299)&gt;0, "OK", "ERROR")))</f>
        <v>OK</v>
      </c>
    </row>
    <row r="1300" spans="1:32" s="240" customFormat="1">
      <c r="A1300" s="48"/>
      <c r="B1300" s="31"/>
      <c r="C1300" s="48"/>
      <c r="D1300" s="47"/>
      <c r="E1300" s="47"/>
      <c r="F1300" s="31"/>
      <c r="G1300" s="31"/>
      <c r="H1300" s="31"/>
      <c r="I1300" s="47"/>
      <c r="J1300" s="31"/>
      <c r="K1300" s="47"/>
      <c r="L1300" s="47"/>
      <c r="M1300" s="47"/>
      <c r="N1300" s="31"/>
      <c r="O1300" s="47"/>
      <c r="P1300" s="31"/>
      <c r="Q1300" s="31"/>
      <c r="R1300" s="31"/>
      <c r="S1300" s="31"/>
      <c r="T1300" s="270">
        <f t="shared" si="160"/>
        <v>0</v>
      </c>
      <c r="U1300" s="270">
        <f t="shared" si="161"/>
        <v>0</v>
      </c>
      <c r="V1300" s="31"/>
      <c r="X1300" s="240" t="str">
        <f t="shared" si="162"/>
        <v>OK</v>
      </c>
      <c r="Y1300" s="240" t="str">
        <f t="shared" si="163"/>
        <v>OK</v>
      </c>
      <c r="Z1300" s="240" t="str">
        <f t="shared" si="164"/>
        <v>OK</v>
      </c>
      <c r="AA1300" s="240" t="str" cm="1">
        <f t="array" ref="AA1300">IF(OR(AND(J1300="Not accepted",N1300:O1300&lt;&gt;"",$S1300=""),AND(J1300="Accepted",S1300="")),"ERROR","OK")</f>
        <v>OK</v>
      </c>
      <c r="AB1300" s="240" t="str">
        <f t="shared" si="165"/>
        <v>OK</v>
      </c>
      <c r="AC1300" s="240" t="str" cm="1">
        <f t="array" ref="AC1300">IF(AND(F1300:H1300&lt;&gt;"",I1300=""),"ERROR","OK")</f>
        <v>OK</v>
      </c>
      <c r="AD1300" s="240" t="str">
        <f t="shared" si="166"/>
        <v>OK</v>
      </c>
      <c r="AE1300" s="240" t="str">
        <f t="shared" si="167"/>
        <v>OK</v>
      </c>
      <c r="AF1300" s="240" t="str" cm="1">
        <f t="array" aca="1" ref="AF1300" ca="1" xml:space="preserve">
IF(AND($G1300&lt;&gt;"",$F1300=""),"ERROR",
IF(OR($F1300:$G1300="",AND($G1300="",$F1300&lt;&gt;"")),"OK",
IF(COUNTIF(INDIRECT(IFERROR(LEFT($F1300,FIND(" ",$F1300)-1),$F1300)), $G1300)&gt;0, "OK", "ERROR")))</f>
        <v>OK</v>
      </c>
    </row>
    <row r="1301" spans="1:32" s="240" customFormat="1">
      <c r="A1301" s="48"/>
      <c r="B1301" s="31"/>
      <c r="C1301" s="48"/>
      <c r="D1301" s="47"/>
      <c r="E1301" s="47"/>
      <c r="F1301" s="31"/>
      <c r="G1301" s="31"/>
      <c r="H1301" s="31"/>
      <c r="I1301" s="47"/>
      <c r="J1301" s="31"/>
      <c r="K1301" s="47"/>
      <c r="L1301" s="47"/>
      <c r="M1301" s="47"/>
      <c r="N1301" s="31"/>
      <c r="O1301" s="47"/>
      <c r="P1301" s="31"/>
      <c r="Q1301" s="31"/>
      <c r="R1301" s="31"/>
      <c r="S1301" s="31"/>
      <c r="T1301" s="270">
        <f t="shared" si="160"/>
        <v>0</v>
      </c>
      <c r="U1301" s="270">
        <f t="shared" si="161"/>
        <v>0</v>
      </c>
      <c r="V1301" s="31"/>
      <c r="X1301" s="240" t="str">
        <f t="shared" si="162"/>
        <v>OK</v>
      </c>
      <c r="Y1301" s="240" t="str">
        <f t="shared" si="163"/>
        <v>OK</v>
      </c>
      <c r="Z1301" s="240" t="str">
        <f t="shared" si="164"/>
        <v>OK</v>
      </c>
      <c r="AA1301" s="240" t="str" cm="1">
        <f t="array" ref="AA1301">IF(OR(AND(J1301="Not accepted",N1301:O1301&lt;&gt;"",$S1301=""),AND(J1301="Accepted",S1301="")),"ERROR","OK")</f>
        <v>OK</v>
      </c>
      <c r="AB1301" s="240" t="str">
        <f t="shared" si="165"/>
        <v>OK</v>
      </c>
      <c r="AC1301" s="240" t="str" cm="1">
        <f t="array" ref="AC1301">IF(AND(F1301:H1301&lt;&gt;"",I1301=""),"ERROR","OK")</f>
        <v>OK</v>
      </c>
      <c r="AD1301" s="240" t="str">
        <f t="shared" si="166"/>
        <v>OK</v>
      </c>
      <c r="AE1301" s="240" t="str">
        <f t="shared" si="167"/>
        <v>OK</v>
      </c>
      <c r="AF1301" s="240" t="str" cm="1">
        <f t="array" aca="1" ref="AF1301" ca="1" xml:space="preserve">
IF(AND($G1301&lt;&gt;"",$F1301=""),"ERROR",
IF(OR($F1301:$G1301="",AND($G1301="",$F1301&lt;&gt;"")),"OK",
IF(COUNTIF(INDIRECT(IFERROR(LEFT($F1301,FIND(" ",$F1301)-1),$F1301)), $G1301)&gt;0, "OK", "ERROR")))</f>
        <v>OK</v>
      </c>
    </row>
    <row r="1302" spans="1:32" s="240" customFormat="1">
      <c r="A1302" s="48"/>
      <c r="B1302" s="31"/>
      <c r="C1302" s="48"/>
      <c r="D1302" s="47"/>
      <c r="E1302" s="47"/>
      <c r="F1302" s="31"/>
      <c r="G1302" s="31"/>
      <c r="H1302" s="31"/>
      <c r="I1302" s="47"/>
      <c r="J1302" s="31"/>
      <c r="K1302" s="47"/>
      <c r="L1302" s="47"/>
      <c r="M1302" s="47"/>
      <c r="N1302" s="31"/>
      <c r="O1302" s="47"/>
      <c r="P1302" s="31"/>
      <c r="Q1302" s="31"/>
      <c r="R1302" s="31"/>
      <c r="S1302" s="31"/>
      <c r="T1302" s="270">
        <f t="shared" si="160"/>
        <v>0</v>
      </c>
      <c r="U1302" s="270">
        <f t="shared" si="161"/>
        <v>0</v>
      </c>
      <c r="V1302" s="31"/>
      <c r="X1302" s="240" t="str">
        <f t="shared" si="162"/>
        <v>OK</v>
      </c>
      <c r="Y1302" s="240" t="str">
        <f t="shared" si="163"/>
        <v>OK</v>
      </c>
      <c r="Z1302" s="240" t="str">
        <f t="shared" si="164"/>
        <v>OK</v>
      </c>
      <c r="AA1302" s="240" t="str" cm="1">
        <f t="array" ref="AA1302">IF(OR(AND(J1302="Not accepted",N1302:O1302&lt;&gt;"",$S1302=""),AND(J1302="Accepted",S1302="")),"ERROR","OK")</f>
        <v>OK</v>
      </c>
      <c r="AB1302" s="240" t="str">
        <f t="shared" si="165"/>
        <v>OK</v>
      </c>
      <c r="AC1302" s="240" t="str" cm="1">
        <f t="array" ref="AC1302">IF(AND(F1302:H1302&lt;&gt;"",I1302=""),"ERROR","OK")</f>
        <v>OK</v>
      </c>
      <c r="AD1302" s="240" t="str">
        <f t="shared" si="166"/>
        <v>OK</v>
      </c>
      <c r="AE1302" s="240" t="str">
        <f t="shared" si="167"/>
        <v>OK</v>
      </c>
      <c r="AF1302" s="240" t="str" cm="1">
        <f t="array" aca="1" ref="AF1302" ca="1" xml:space="preserve">
IF(AND($G1302&lt;&gt;"",$F1302=""),"ERROR",
IF(OR($F1302:$G1302="",AND($G1302="",$F1302&lt;&gt;"")),"OK",
IF(COUNTIF(INDIRECT(IFERROR(LEFT($F1302,FIND(" ",$F1302)-1),$F1302)), $G1302)&gt;0, "OK", "ERROR")))</f>
        <v>OK</v>
      </c>
    </row>
    <row r="1303" spans="1:32" s="240" customFormat="1">
      <c r="A1303" s="48"/>
      <c r="B1303" s="31"/>
      <c r="C1303" s="48"/>
      <c r="D1303" s="47"/>
      <c r="E1303" s="47"/>
      <c r="F1303" s="31"/>
      <c r="G1303" s="31"/>
      <c r="H1303" s="31"/>
      <c r="I1303" s="47"/>
      <c r="J1303" s="31"/>
      <c r="K1303" s="47"/>
      <c r="L1303" s="47"/>
      <c r="M1303" s="47"/>
      <c r="N1303" s="31"/>
      <c r="O1303" s="47"/>
      <c r="P1303" s="31"/>
      <c r="Q1303" s="31"/>
      <c r="R1303" s="31"/>
      <c r="S1303" s="31"/>
      <c r="T1303" s="270">
        <f t="shared" si="160"/>
        <v>0</v>
      </c>
      <c r="U1303" s="270">
        <f t="shared" si="161"/>
        <v>0</v>
      </c>
      <c r="V1303" s="31"/>
      <c r="X1303" s="240" t="str">
        <f t="shared" si="162"/>
        <v>OK</v>
      </c>
      <c r="Y1303" s="240" t="str">
        <f t="shared" si="163"/>
        <v>OK</v>
      </c>
      <c r="Z1303" s="240" t="str">
        <f t="shared" si="164"/>
        <v>OK</v>
      </c>
      <c r="AA1303" s="240" t="str" cm="1">
        <f t="array" ref="AA1303">IF(OR(AND(J1303="Not accepted",N1303:O1303&lt;&gt;"",$S1303=""),AND(J1303="Accepted",S1303="")),"ERROR","OK")</f>
        <v>OK</v>
      </c>
      <c r="AB1303" s="240" t="str">
        <f t="shared" si="165"/>
        <v>OK</v>
      </c>
      <c r="AC1303" s="240" t="str" cm="1">
        <f t="array" ref="AC1303">IF(AND(F1303:H1303&lt;&gt;"",I1303=""),"ERROR","OK")</f>
        <v>OK</v>
      </c>
      <c r="AD1303" s="240" t="str">
        <f t="shared" si="166"/>
        <v>OK</v>
      </c>
      <c r="AE1303" s="240" t="str">
        <f t="shared" si="167"/>
        <v>OK</v>
      </c>
      <c r="AF1303" s="240" t="str" cm="1">
        <f t="array" aca="1" ref="AF1303" ca="1" xml:space="preserve">
IF(AND($G1303&lt;&gt;"",$F1303=""),"ERROR",
IF(OR($F1303:$G1303="",AND($G1303="",$F1303&lt;&gt;"")),"OK",
IF(COUNTIF(INDIRECT(IFERROR(LEFT($F1303,FIND(" ",$F1303)-1),$F1303)), $G1303)&gt;0, "OK", "ERROR")))</f>
        <v>OK</v>
      </c>
    </row>
    <row r="1304" spans="1:32" s="240" customFormat="1">
      <c r="A1304" s="48"/>
      <c r="B1304" s="31"/>
      <c r="C1304" s="48"/>
      <c r="D1304" s="47"/>
      <c r="E1304" s="47"/>
      <c r="F1304" s="31"/>
      <c r="G1304" s="31"/>
      <c r="H1304" s="31"/>
      <c r="I1304" s="47"/>
      <c r="J1304" s="31"/>
      <c r="K1304" s="47"/>
      <c r="L1304" s="47"/>
      <c r="M1304" s="47"/>
      <c r="N1304" s="31"/>
      <c r="O1304" s="47"/>
      <c r="P1304" s="31"/>
      <c r="Q1304" s="31"/>
      <c r="R1304" s="31"/>
      <c r="S1304" s="31"/>
      <c r="T1304" s="270">
        <f t="shared" si="160"/>
        <v>0</v>
      </c>
      <c r="U1304" s="270">
        <f t="shared" si="161"/>
        <v>0</v>
      </c>
      <c r="V1304" s="31"/>
      <c r="X1304" s="240" t="str">
        <f t="shared" si="162"/>
        <v>OK</v>
      </c>
      <c r="Y1304" s="240" t="str">
        <f t="shared" si="163"/>
        <v>OK</v>
      </c>
      <c r="Z1304" s="240" t="str">
        <f t="shared" si="164"/>
        <v>OK</v>
      </c>
      <c r="AA1304" s="240" t="str" cm="1">
        <f t="array" ref="AA1304">IF(OR(AND(J1304="Not accepted",N1304:O1304&lt;&gt;"",$S1304=""),AND(J1304="Accepted",S1304="")),"ERROR","OK")</f>
        <v>OK</v>
      </c>
      <c r="AB1304" s="240" t="str">
        <f t="shared" si="165"/>
        <v>OK</v>
      </c>
      <c r="AC1304" s="240" t="str" cm="1">
        <f t="array" ref="AC1304">IF(AND(F1304:H1304&lt;&gt;"",I1304=""),"ERROR","OK")</f>
        <v>OK</v>
      </c>
      <c r="AD1304" s="240" t="str">
        <f t="shared" si="166"/>
        <v>OK</v>
      </c>
      <c r="AE1304" s="240" t="str">
        <f t="shared" si="167"/>
        <v>OK</v>
      </c>
      <c r="AF1304" s="240" t="str" cm="1">
        <f t="array" aca="1" ref="AF1304" ca="1" xml:space="preserve">
IF(AND($G1304&lt;&gt;"",$F1304=""),"ERROR",
IF(OR($F1304:$G1304="",AND($G1304="",$F1304&lt;&gt;"")),"OK",
IF(COUNTIF(INDIRECT(IFERROR(LEFT($F1304,FIND(" ",$F1304)-1),$F1304)), $G1304)&gt;0, "OK", "ERROR")))</f>
        <v>OK</v>
      </c>
    </row>
    <row r="1305" spans="1:32" s="240" customFormat="1">
      <c r="A1305" s="48"/>
      <c r="B1305" s="31"/>
      <c r="C1305" s="48"/>
      <c r="D1305" s="47"/>
      <c r="E1305" s="47"/>
      <c r="F1305" s="31"/>
      <c r="G1305" s="31"/>
      <c r="H1305" s="31"/>
      <c r="I1305" s="47"/>
      <c r="J1305" s="31"/>
      <c r="K1305" s="47"/>
      <c r="L1305" s="47"/>
      <c r="M1305" s="47"/>
      <c r="N1305" s="31"/>
      <c r="O1305" s="47"/>
      <c r="P1305" s="31"/>
      <c r="Q1305" s="31"/>
      <c r="R1305" s="31"/>
      <c r="S1305" s="31"/>
      <c r="T1305" s="270">
        <f t="shared" si="160"/>
        <v>0</v>
      </c>
      <c r="U1305" s="270">
        <f t="shared" si="161"/>
        <v>0</v>
      </c>
      <c r="V1305" s="31"/>
      <c r="X1305" s="240" t="str">
        <f t="shared" si="162"/>
        <v>OK</v>
      </c>
      <c r="Y1305" s="240" t="str">
        <f t="shared" si="163"/>
        <v>OK</v>
      </c>
      <c r="Z1305" s="240" t="str">
        <f t="shared" si="164"/>
        <v>OK</v>
      </c>
      <c r="AA1305" s="240" t="str" cm="1">
        <f t="array" ref="AA1305">IF(OR(AND(J1305="Not accepted",N1305:O1305&lt;&gt;"",$S1305=""),AND(J1305="Accepted",S1305="")),"ERROR","OK")</f>
        <v>OK</v>
      </c>
      <c r="AB1305" s="240" t="str">
        <f t="shared" si="165"/>
        <v>OK</v>
      </c>
      <c r="AC1305" s="240" t="str" cm="1">
        <f t="array" ref="AC1305">IF(AND(F1305:H1305&lt;&gt;"",I1305=""),"ERROR","OK")</f>
        <v>OK</v>
      </c>
      <c r="AD1305" s="240" t="str">
        <f t="shared" si="166"/>
        <v>OK</v>
      </c>
      <c r="AE1305" s="240" t="str">
        <f t="shared" si="167"/>
        <v>OK</v>
      </c>
      <c r="AF1305" s="240" t="str" cm="1">
        <f t="array" aca="1" ref="AF1305" ca="1" xml:space="preserve">
IF(AND($G1305&lt;&gt;"",$F1305=""),"ERROR",
IF(OR($F1305:$G1305="",AND($G1305="",$F1305&lt;&gt;"")),"OK",
IF(COUNTIF(INDIRECT(IFERROR(LEFT($F1305,FIND(" ",$F1305)-1),$F1305)), $G1305)&gt;0, "OK", "ERROR")))</f>
        <v>OK</v>
      </c>
    </row>
    <row r="1306" spans="1:32" s="240" customFormat="1">
      <c r="A1306" s="48"/>
      <c r="B1306" s="31"/>
      <c r="C1306" s="48"/>
      <c r="D1306" s="47"/>
      <c r="E1306" s="47"/>
      <c r="F1306" s="31"/>
      <c r="G1306" s="31"/>
      <c r="H1306" s="31"/>
      <c r="I1306" s="47"/>
      <c r="J1306" s="31"/>
      <c r="K1306" s="47"/>
      <c r="L1306" s="47"/>
      <c r="M1306" s="47"/>
      <c r="N1306" s="31"/>
      <c r="O1306" s="47"/>
      <c r="P1306" s="31"/>
      <c r="Q1306" s="31"/>
      <c r="R1306" s="31"/>
      <c r="S1306" s="31"/>
      <c r="T1306" s="270">
        <f t="shared" si="160"/>
        <v>0</v>
      </c>
      <c r="U1306" s="270">
        <f t="shared" si="161"/>
        <v>0</v>
      </c>
      <c r="V1306" s="31"/>
      <c r="X1306" s="240" t="str">
        <f t="shared" si="162"/>
        <v>OK</v>
      </c>
      <c r="Y1306" s="240" t="str">
        <f t="shared" si="163"/>
        <v>OK</v>
      </c>
      <c r="Z1306" s="240" t="str">
        <f t="shared" si="164"/>
        <v>OK</v>
      </c>
      <c r="AA1306" s="240" t="str" cm="1">
        <f t="array" ref="AA1306">IF(OR(AND(J1306="Not accepted",N1306:O1306&lt;&gt;"",$S1306=""),AND(J1306="Accepted",S1306="")),"ERROR","OK")</f>
        <v>OK</v>
      </c>
      <c r="AB1306" s="240" t="str">
        <f t="shared" si="165"/>
        <v>OK</v>
      </c>
      <c r="AC1306" s="240" t="str" cm="1">
        <f t="array" ref="AC1306">IF(AND(F1306:H1306&lt;&gt;"",I1306=""),"ERROR","OK")</f>
        <v>OK</v>
      </c>
      <c r="AD1306" s="240" t="str">
        <f t="shared" si="166"/>
        <v>OK</v>
      </c>
      <c r="AE1306" s="240" t="str">
        <f t="shared" si="167"/>
        <v>OK</v>
      </c>
      <c r="AF1306" s="240" t="str" cm="1">
        <f t="array" aca="1" ref="AF1306" ca="1" xml:space="preserve">
IF(AND($G1306&lt;&gt;"",$F1306=""),"ERROR",
IF(OR($F1306:$G1306="",AND($G1306="",$F1306&lt;&gt;"")),"OK",
IF(COUNTIF(INDIRECT(IFERROR(LEFT($F1306,FIND(" ",$F1306)-1),$F1306)), $G1306)&gt;0, "OK", "ERROR")))</f>
        <v>OK</v>
      </c>
    </row>
    <row r="1307" spans="1:32" s="240" customFormat="1">
      <c r="A1307" s="48"/>
      <c r="B1307" s="31"/>
      <c r="C1307" s="48"/>
      <c r="D1307" s="47"/>
      <c r="E1307" s="47"/>
      <c r="F1307" s="31"/>
      <c r="G1307" s="31"/>
      <c r="H1307" s="31"/>
      <c r="I1307" s="47"/>
      <c r="J1307" s="31"/>
      <c r="K1307" s="47"/>
      <c r="L1307" s="47"/>
      <c r="M1307" s="47"/>
      <c r="N1307" s="31"/>
      <c r="O1307" s="47"/>
      <c r="P1307" s="31"/>
      <c r="Q1307" s="31"/>
      <c r="R1307" s="31"/>
      <c r="S1307" s="31"/>
      <c r="T1307" s="270">
        <f t="shared" si="160"/>
        <v>0</v>
      </c>
      <c r="U1307" s="270">
        <f t="shared" si="161"/>
        <v>0</v>
      </c>
      <c r="V1307" s="31"/>
      <c r="X1307" s="240" t="str">
        <f t="shared" si="162"/>
        <v>OK</v>
      </c>
      <c r="Y1307" s="240" t="str">
        <f t="shared" si="163"/>
        <v>OK</v>
      </c>
      <c r="Z1307" s="240" t="str">
        <f t="shared" si="164"/>
        <v>OK</v>
      </c>
      <c r="AA1307" s="240" t="str" cm="1">
        <f t="array" ref="AA1307">IF(OR(AND(J1307="Not accepted",N1307:O1307&lt;&gt;"",$S1307=""),AND(J1307="Accepted",S1307="")),"ERROR","OK")</f>
        <v>OK</v>
      </c>
      <c r="AB1307" s="240" t="str">
        <f t="shared" si="165"/>
        <v>OK</v>
      </c>
      <c r="AC1307" s="240" t="str" cm="1">
        <f t="array" ref="AC1307">IF(AND(F1307:H1307&lt;&gt;"",I1307=""),"ERROR","OK")</f>
        <v>OK</v>
      </c>
      <c r="AD1307" s="240" t="str">
        <f t="shared" si="166"/>
        <v>OK</v>
      </c>
      <c r="AE1307" s="240" t="str">
        <f t="shared" si="167"/>
        <v>OK</v>
      </c>
      <c r="AF1307" s="240" t="str" cm="1">
        <f t="array" aca="1" ref="AF1307" ca="1" xml:space="preserve">
IF(AND($G1307&lt;&gt;"",$F1307=""),"ERROR",
IF(OR($F1307:$G1307="",AND($G1307="",$F1307&lt;&gt;"")),"OK",
IF(COUNTIF(INDIRECT(IFERROR(LEFT($F1307,FIND(" ",$F1307)-1),$F1307)), $G1307)&gt;0, "OK", "ERROR")))</f>
        <v>OK</v>
      </c>
    </row>
    <row r="1308" spans="1:32" s="240" customFormat="1">
      <c r="A1308" s="48"/>
      <c r="B1308" s="31"/>
      <c r="C1308" s="48"/>
      <c r="D1308" s="47"/>
      <c r="E1308" s="47"/>
      <c r="F1308" s="31"/>
      <c r="G1308" s="31"/>
      <c r="H1308" s="31"/>
      <c r="I1308" s="47"/>
      <c r="J1308" s="31"/>
      <c r="K1308" s="47"/>
      <c r="L1308" s="47"/>
      <c r="M1308" s="47"/>
      <c r="N1308" s="31"/>
      <c r="O1308" s="47"/>
      <c r="P1308" s="31"/>
      <c r="Q1308" s="31"/>
      <c r="R1308" s="31"/>
      <c r="S1308" s="31"/>
      <c r="T1308" s="270">
        <f t="shared" si="160"/>
        <v>0</v>
      </c>
      <c r="U1308" s="270">
        <f t="shared" si="161"/>
        <v>0</v>
      </c>
      <c r="V1308" s="31"/>
      <c r="X1308" s="240" t="str">
        <f t="shared" si="162"/>
        <v>OK</v>
      </c>
      <c r="Y1308" s="240" t="str">
        <f t="shared" si="163"/>
        <v>OK</v>
      </c>
      <c r="Z1308" s="240" t="str">
        <f t="shared" si="164"/>
        <v>OK</v>
      </c>
      <c r="AA1308" s="240" t="str" cm="1">
        <f t="array" ref="AA1308">IF(OR(AND(J1308="Not accepted",N1308:O1308&lt;&gt;"",$S1308=""),AND(J1308="Accepted",S1308="")),"ERROR","OK")</f>
        <v>OK</v>
      </c>
      <c r="AB1308" s="240" t="str">
        <f t="shared" si="165"/>
        <v>OK</v>
      </c>
      <c r="AC1308" s="240" t="str" cm="1">
        <f t="array" ref="AC1308">IF(AND(F1308:H1308&lt;&gt;"",I1308=""),"ERROR","OK")</f>
        <v>OK</v>
      </c>
      <c r="AD1308" s="240" t="str">
        <f t="shared" si="166"/>
        <v>OK</v>
      </c>
      <c r="AE1308" s="240" t="str">
        <f t="shared" si="167"/>
        <v>OK</v>
      </c>
      <c r="AF1308" s="240" t="str" cm="1">
        <f t="array" aca="1" ref="AF1308" ca="1" xml:space="preserve">
IF(AND($G1308&lt;&gt;"",$F1308=""),"ERROR",
IF(OR($F1308:$G1308="",AND($G1308="",$F1308&lt;&gt;"")),"OK",
IF(COUNTIF(INDIRECT(IFERROR(LEFT($F1308,FIND(" ",$F1308)-1),$F1308)), $G1308)&gt;0, "OK", "ERROR")))</f>
        <v>OK</v>
      </c>
    </row>
    <row r="1309" spans="1:32" s="240" customFormat="1">
      <c r="A1309" s="48"/>
      <c r="B1309" s="31"/>
      <c r="C1309" s="48"/>
      <c r="D1309" s="47"/>
      <c r="E1309" s="47"/>
      <c r="F1309" s="31"/>
      <c r="G1309" s="31"/>
      <c r="H1309" s="31"/>
      <c r="I1309" s="47"/>
      <c r="J1309" s="31"/>
      <c r="K1309" s="47"/>
      <c r="L1309" s="47"/>
      <c r="M1309" s="47"/>
      <c r="N1309" s="31"/>
      <c r="O1309" s="47"/>
      <c r="P1309" s="31"/>
      <c r="Q1309" s="31"/>
      <c r="R1309" s="31"/>
      <c r="S1309" s="31"/>
      <c r="T1309" s="270">
        <f t="shared" si="160"/>
        <v>0</v>
      </c>
      <c r="U1309" s="270">
        <f t="shared" si="161"/>
        <v>0</v>
      </c>
      <c r="V1309" s="31"/>
      <c r="X1309" s="240" t="str">
        <f t="shared" si="162"/>
        <v>OK</v>
      </c>
      <c r="Y1309" s="240" t="str">
        <f t="shared" si="163"/>
        <v>OK</v>
      </c>
      <c r="Z1309" s="240" t="str">
        <f t="shared" si="164"/>
        <v>OK</v>
      </c>
      <c r="AA1309" s="240" t="str" cm="1">
        <f t="array" ref="AA1309">IF(OR(AND(J1309="Not accepted",N1309:O1309&lt;&gt;"",$S1309=""),AND(J1309="Accepted",S1309="")),"ERROR","OK")</f>
        <v>OK</v>
      </c>
      <c r="AB1309" s="240" t="str">
        <f t="shared" si="165"/>
        <v>OK</v>
      </c>
      <c r="AC1309" s="240" t="str" cm="1">
        <f t="array" ref="AC1309">IF(AND(F1309:H1309&lt;&gt;"",I1309=""),"ERROR","OK")</f>
        <v>OK</v>
      </c>
      <c r="AD1309" s="240" t="str">
        <f t="shared" si="166"/>
        <v>OK</v>
      </c>
      <c r="AE1309" s="240" t="str">
        <f t="shared" si="167"/>
        <v>OK</v>
      </c>
      <c r="AF1309" s="240" t="str" cm="1">
        <f t="array" aca="1" ref="AF1309" ca="1" xml:space="preserve">
IF(AND($G1309&lt;&gt;"",$F1309=""),"ERROR",
IF(OR($F1309:$G1309="",AND($G1309="",$F1309&lt;&gt;"")),"OK",
IF(COUNTIF(INDIRECT(IFERROR(LEFT($F1309,FIND(" ",$F1309)-1),$F1309)), $G1309)&gt;0, "OK", "ERROR")))</f>
        <v>OK</v>
      </c>
    </row>
    <row r="1310" spans="1:32" s="240" customFormat="1">
      <c r="A1310" s="48"/>
      <c r="B1310" s="31"/>
      <c r="C1310" s="48"/>
      <c r="D1310" s="47"/>
      <c r="E1310" s="47"/>
      <c r="F1310" s="31"/>
      <c r="G1310" s="31"/>
      <c r="H1310" s="31"/>
      <c r="I1310" s="47"/>
      <c r="J1310" s="31"/>
      <c r="K1310" s="47"/>
      <c r="L1310" s="47"/>
      <c r="M1310" s="47"/>
      <c r="N1310" s="31"/>
      <c r="O1310" s="47"/>
      <c r="P1310" s="31"/>
      <c r="Q1310" s="31"/>
      <c r="R1310" s="31"/>
      <c r="S1310" s="31"/>
      <c r="T1310" s="270">
        <f t="shared" si="160"/>
        <v>0</v>
      </c>
      <c r="U1310" s="270">
        <f t="shared" si="161"/>
        <v>0</v>
      </c>
      <c r="V1310" s="31"/>
      <c r="X1310" s="240" t="str">
        <f t="shared" si="162"/>
        <v>OK</v>
      </c>
      <c r="Y1310" s="240" t="str">
        <f t="shared" si="163"/>
        <v>OK</v>
      </c>
      <c r="Z1310" s="240" t="str">
        <f t="shared" si="164"/>
        <v>OK</v>
      </c>
      <c r="AA1310" s="240" t="str" cm="1">
        <f t="array" ref="AA1310">IF(OR(AND(J1310="Not accepted",N1310:O1310&lt;&gt;"",$S1310=""),AND(J1310="Accepted",S1310="")),"ERROR","OK")</f>
        <v>OK</v>
      </c>
      <c r="AB1310" s="240" t="str">
        <f t="shared" si="165"/>
        <v>OK</v>
      </c>
      <c r="AC1310" s="240" t="str" cm="1">
        <f t="array" ref="AC1310">IF(AND(F1310:H1310&lt;&gt;"",I1310=""),"ERROR","OK")</f>
        <v>OK</v>
      </c>
      <c r="AD1310" s="240" t="str">
        <f t="shared" si="166"/>
        <v>OK</v>
      </c>
      <c r="AE1310" s="240" t="str">
        <f t="shared" si="167"/>
        <v>OK</v>
      </c>
      <c r="AF1310" s="240" t="str" cm="1">
        <f t="array" aca="1" ref="AF1310" ca="1" xml:space="preserve">
IF(AND($G1310&lt;&gt;"",$F1310=""),"ERROR",
IF(OR($F1310:$G1310="",AND($G1310="",$F1310&lt;&gt;"")),"OK",
IF(COUNTIF(INDIRECT(IFERROR(LEFT($F1310,FIND(" ",$F1310)-1),$F1310)), $G1310)&gt;0, "OK", "ERROR")))</f>
        <v>OK</v>
      </c>
    </row>
    <row r="1311" spans="1:32" s="240" customFormat="1">
      <c r="A1311" s="48"/>
      <c r="B1311" s="31"/>
      <c r="C1311" s="48"/>
      <c r="D1311" s="47"/>
      <c r="E1311" s="47"/>
      <c r="F1311" s="31"/>
      <c r="G1311" s="31"/>
      <c r="H1311" s="31"/>
      <c r="I1311" s="47"/>
      <c r="J1311" s="31"/>
      <c r="K1311" s="47"/>
      <c r="L1311" s="47"/>
      <c r="M1311" s="47"/>
      <c r="N1311" s="31"/>
      <c r="O1311" s="47"/>
      <c r="P1311" s="31"/>
      <c r="Q1311" s="31"/>
      <c r="R1311" s="31"/>
      <c r="S1311" s="31"/>
      <c r="T1311" s="270">
        <f t="shared" si="160"/>
        <v>0</v>
      </c>
      <c r="U1311" s="270">
        <f t="shared" si="161"/>
        <v>0</v>
      </c>
      <c r="V1311" s="31"/>
      <c r="X1311" s="240" t="str">
        <f t="shared" si="162"/>
        <v>OK</v>
      </c>
      <c r="Y1311" s="240" t="str">
        <f t="shared" si="163"/>
        <v>OK</v>
      </c>
      <c r="Z1311" s="240" t="str">
        <f t="shared" si="164"/>
        <v>OK</v>
      </c>
      <c r="AA1311" s="240" t="str" cm="1">
        <f t="array" ref="AA1311">IF(OR(AND(J1311="Not accepted",N1311:O1311&lt;&gt;"",$S1311=""),AND(J1311="Accepted",S1311="")),"ERROR","OK")</f>
        <v>OK</v>
      </c>
      <c r="AB1311" s="240" t="str">
        <f t="shared" si="165"/>
        <v>OK</v>
      </c>
      <c r="AC1311" s="240" t="str" cm="1">
        <f t="array" ref="AC1311">IF(AND(F1311:H1311&lt;&gt;"",I1311=""),"ERROR","OK")</f>
        <v>OK</v>
      </c>
      <c r="AD1311" s="240" t="str">
        <f t="shared" si="166"/>
        <v>OK</v>
      </c>
      <c r="AE1311" s="240" t="str">
        <f t="shared" si="167"/>
        <v>OK</v>
      </c>
      <c r="AF1311" s="240" t="str" cm="1">
        <f t="array" aca="1" ref="AF1311" ca="1" xml:space="preserve">
IF(AND($G1311&lt;&gt;"",$F1311=""),"ERROR",
IF(OR($F1311:$G1311="",AND($G1311="",$F1311&lt;&gt;"")),"OK",
IF(COUNTIF(INDIRECT(IFERROR(LEFT($F1311,FIND(" ",$F1311)-1),$F1311)), $G1311)&gt;0, "OK", "ERROR")))</f>
        <v>OK</v>
      </c>
    </row>
    <row r="1312" spans="1:32" s="240" customFormat="1">
      <c r="A1312" s="48"/>
      <c r="B1312" s="31"/>
      <c r="C1312" s="48"/>
      <c r="D1312" s="47"/>
      <c r="E1312" s="47"/>
      <c r="F1312" s="31"/>
      <c r="G1312" s="31"/>
      <c r="H1312" s="31"/>
      <c r="I1312" s="47"/>
      <c r="J1312" s="31"/>
      <c r="K1312" s="47"/>
      <c r="L1312" s="47"/>
      <c r="M1312" s="47"/>
      <c r="N1312" s="31"/>
      <c r="O1312" s="47"/>
      <c r="P1312" s="31"/>
      <c r="Q1312" s="31"/>
      <c r="R1312" s="31"/>
      <c r="S1312" s="31"/>
      <c r="T1312" s="270">
        <f t="shared" si="160"/>
        <v>0</v>
      </c>
      <c r="U1312" s="270">
        <f t="shared" si="161"/>
        <v>0</v>
      </c>
      <c r="V1312" s="31"/>
      <c r="X1312" s="240" t="str">
        <f t="shared" si="162"/>
        <v>OK</v>
      </c>
      <c r="Y1312" s="240" t="str">
        <f t="shared" si="163"/>
        <v>OK</v>
      </c>
      <c r="Z1312" s="240" t="str">
        <f t="shared" si="164"/>
        <v>OK</v>
      </c>
      <c r="AA1312" s="240" t="str" cm="1">
        <f t="array" ref="AA1312">IF(OR(AND(J1312="Not accepted",N1312:O1312&lt;&gt;"",$S1312=""),AND(J1312="Accepted",S1312="")),"ERROR","OK")</f>
        <v>OK</v>
      </c>
      <c r="AB1312" s="240" t="str">
        <f t="shared" si="165"/>
        <v>OK</v>
      </c>
      <c r="AC1312" s="240" t="str" cm="1">
        <f t="array" ref="AC1312">IF(AND(F1312:H1312&lt;&gt;"",I1312=""),"ERROR","OK")</f>
        <v>OK</v>
      </c>
      <c r="AD1312" s="240" t="str">
        <f t="shared" si="166"/>
        <v>OK</v>
      </c>
      <c r="AE1312" s="240" t="str">
        <f t="shared" si="167"/>
        <v>OK</v>
      </c>
      <c r="AF1312" s="240" t="str" cm="1">
        <f t="array" aca="1" ref="AF1312" ca="1" xml:space="preserve">
IF(AND($G1312&lt;&gt;"",$F1312=""),"ERROR",
IF(OR($F1312:$G1312="",AND($G1312="",$F1312&lt;&gt;"")),"OK",
IF(COUNTIF(INDIRECT(IFERROR(LEFT($F1312,FIND(" ",$F1312)-1),$F1312)), $G1312)&gt;0, "OK", "ERROR")))</f>
        <v>OK</v>
      </c>
    </row>
    <row r="1313" spans="1:32" s="240" customFormat="1">
      <c r="A1313" s="48"/>
      <c r="B1313" s="31"/>
      <c r="C1313" s="48"/>
      <c r="D1313" s="47"/>
      <c r="E1313" s="47"/>
      <c r="F1313" s="31"/>
      <c r="G1313" s="31"/>
      <c r="H1313" s="31"/>
      <c r="I1313" s="47"/>
      <c r="J1313" s="31"/>
      <c r="K1313" s="47"/>
      <c r="L1313" s="47"/>
      <c r="M1313" s="47"/>
      <c r="N1313" s="31"/>
      <c r="O1313" s="47"/>
      <c r="P1313" s="31"/>
      <c r="Q1313" s="31"/>
      <c r="R1313" s="31"/>
      <c r="S1313" s="31"/>
      <c r="T1313" s="270">
        <f t="shared" si="160"/>
        <v>0</v>
      </c>
      <c r="U1313" s="270">
        <f t="shared" si="161"/>
        <v>0</v>
      </c>
      <c r="V1313" s="31"/>
      <c r="X1313" s="240" t="str">
        <f t="shared" si="162"/>
        <v>OK</v>
      </c>
      <c r="Y1313" s="240" t="str">
        <f t="shared" si="163"/>
        <v>OK</v>
      </c>
      <c r="Z1313" s="240" t="str">
        <f t="shared" si="164"/>
        <v>OK</v>
      </c>
      <c r="AA1313" s="240" t="str" cm="1">
        <f t="array" ref="AA1313">IF(OR(AND(J1313="Not accepted",N1313:O1313&lt;&gt;"",$S1313=""),AND(J1313="Accepted",S1313="")),"ERROR","OK")</f>
        <v>OK</v>
      </c>
      <c r="AB1313" s="240" t="str">
        <f t="shared" si="165"/>
        <v>OK</v>
      </c>
      <c r="AC1313" s="240" t="str" cm="1">
        <f t="array" ref="AC1313">IF(AND(F1313:H1313&lt;&gt;"",I1313=""),"ERROR","OK")</f>
        <v>OK</v>
      </c>
      <c r="AD1313" s="240" t="str">
        <f t="shared" si="166"/>
        <v>OK</v>
      </c>
      <c r="AE1313" s="240" t="str">
        <f t="shared" si="167"/>
        <v>OK</v>
      </c>
      <c r="AF1313" s="240" t="str" cm="1">
        <f t="array" aca="1" ref="AF1313" ca="1" xml:space="preserve">
IF(AND($G1313&lt;&gt;"",$F1313=""),"ERROR",
IF(OR($F1313:$G1313="",AND($G1313="",$F1313&lt;&gt;"")),"OK",
IF(COUNTIF(INDIRECT(IFERROR(LEFT($F1313,FIND(" ",$F1313)-1),$F1313)), $G1313)&gt;0, "OK", "ERROR")))</f>
        <v>OK</v>
      </c>
    </row>
    <row r="1314" spans="1:32" s="240" customFormat="1">
      <c r="A1314" s="48"/>
      <c r="B1314" s="31"/>
      <c r="C1314" s="48"/>
      <c r="D1314" s="47"/>
      <c r="E1314" s="47"/>
      <c r="F1314" s="31"/>
      <c r="G1314" s="31"/>
      <c r="H1314" s="31"/>
      <c r="I1314" s="47"/>
      <c r="J1314" s="31"/>
      <c r="K1314" s="47"/>
      <c r="L1314" s="47"/>
      <c r="M1314" s="47"/>
      <c r="N1314" s="31"/>
      <c r="O1314" s="47"/>
      <c r="P1314" s="31"/>
      <c r="Q1314" s="31"/>
      <c r="R1314" s="31"/>
      <c r="S1314" s="31"/>
      <c r="T1314" s="270">
        <f t="shared" si="160"/>
        <v>0</v>
      </c>
      <c r="U1314" s="270">
        <f t="shared" si="161"/>
        <v>0</v>
      </c>
      <c r="V1314" s="31"/>
      <c r="X1314" s="240" t="str">
        <f t="shared" si="162"/>
        <v>OK</v>
      </c>
      <c r="Y1314" s="240" t="str">
        <f t="shared" si="163"/>
        <v>OK</v>
      </c>
      <c r="Z1314" s="240" t="str">
        <f t="shared" si="164"/>
        <v>OK</v>
      </c>
      <c r="AA1314" s="240" t="str" cm="1">
        <f t="array" ref="AA1314">IF(OR(AND(J1314="Not accepted",N1314:O1314&lt;&gt;"",$S1314=""),AND(J1314="Accepted",S1314="")),"ERROR","OK")</f>
        <v>OK</v>
      </c>
      <c r="AB1314" s="240" t="str">
        <f t="shared" si="165"/>
        <v>OK</v>
      </c>
      <c r="AC1314" s="240" t="str" cm="1">
        <f t="array" ref="AC1314">IF(AND(F1314:H1314&lt;&gt;"",I1314=""),"ERROR","OK")</f>
        <v>OK</v>
      </c>
      <c r="AD1314" s="240" t="str">
        <f t="shared" si="166"/>
        <v>OK</v>
      </c>
      <c r="AE1314" s="240" t="str">
        <f t="shared" si="167"/>
        <v>OK</v>
      </c>
      <c r="AF1314" s="240" t="str" cm="1">
        <f t="array" aca="1" ref="AF1314" ca="1" xml:space="preserve">
IF(AND($G1314&lt;&gt;"",$F1314=""),"ERROR",
IF(OR($F1314:$G1314="",AND($G1314="",$F1314&lt;&gt;"")),"OK",
IF(COUNTIF(INDIRECT(IFERROR(LEFT($F1314,FIND(" ",$F1314)-1),$F1314)), $G1314)&gt;0, "OK", "ERROR")))</f>
        <v>OK</v>
      </c>
    </row>
    <row r="1315" spans="1:32" s="240" customFormat="1">
      <c r="A1315" s="48"/>
      <c r="B1315" s="31"/>
      <c r="C1315" s="48"/>
      <c r="D1315" s="47"/>
      <c r="E1315" s="47"/>
      <c r="F1315" s="31"/>
      <c r="G1315" s="31"/>
      <c r="H1315" s="31"/>
      <c r="I1315" s="47"/>
      <c r="J1315" s="31"/>
      <c r="K1315" s="47"/>
      <c r="L1315" s="47"/>
      <c r="M1315" s="47"/>
      <c r="N1315" s="31"/>
      <c r="O1315" s="47"/>
      <c r="P1315" s="31"/>
      <c r="Q1315" s="31"/>
      <c r="R1315" s="31"/>
      <c r="S1315" s="31"/>
      <c r="T1315" s="270">
        <f t="shared" si="160"/>
        <v>0</v>
      </c>
      <c r="U1315" s="270">
        <f t="shared" si="161"/>
        <v>0</v>
      </c>
      <c r="V1315" s="31"/>
      <c r="X1315" s="240" t="str">
        <f t="shared" si="162"/>
        <v>OK</v>
      </c>
      <c r="Y1315" s="240" t="str">
        <f t="shared" si="163"/>
        <v>OK</v>
      </c>
      <c r="Z1315" s="240" t="str">
        <f t="shared" si="164"/>
        <v>OK</v>
      </c>
      <c r="AA1315" s="240" t="str" cm="1">
        <f t="array" ref="AA1315">IF(OR(AND(J1315="Not accepted",N1315:O1315&lt;&gt;"",$S1315=""),AND(J1315="Accepted",S1315="")),"ERROR","OK")</f>
        <v>OK</v>
      </c>
      <c r="AB1315" s="240" t="str">
        <f t="shared" si="165"/>
        <v>OK</v>
      </c>
      <c r="AC1315" s="240" t="str" cm="1">
        <f t="array" ref="AC1315">IF(AND(F1315:H1315&lt;&gt;"",I1315=""),"ERROR","OK")</f>
        <v>OK</v>
      </c>
      <c r="AD1315" s="240" t="str">
        <f t="shared" si="166"/>
        <v>OK</v>
      </c>
      <c r="AE1315" s="240" t="str">
        <f t="shared" si="167"/>
        <v>OK</v>
      </c>
      <c r="AF1315" s="240" t="str" cm="1">
        <f t="array" aca="1" ref="AF1315" ca="1" xml:space="preserve">
IF(AND($G1315&lt;&gt;"",$F1315=""),"ERROR",
IF(OR($F1315:$G1315="",AND($G1315="",$F1315&lt;&gt;"")),"OK",
IF(COUNTIF(INDIRECT(IFERROR(LEFT($F1315,FIND(" ",$F1315)-1),$F1315)), $G1315)&gt;0, "OK", "ERROR")))</f>
        <v>OK</v>
      </c>
    </row>
    <row r="1316" spans="1:32" s="240" customFormat="1">
      <c r="A1316" s="48"/>
      <c r="B1316" s="31"/>
      <c r="C1316" s="48"/>
      <c r="D1316" s="47"/>
      <c r="E1316" s="47"/>
      <c r="F1316" s="31"/>
      <c r="G1316" s="31"/>
      <c r="H1316" s="31"/>
      <c r="I1316" s="47"/>
      <c r="J1316" s="31"/>
      <c r="K1316" s="47"/>
      <c r="L1316" s="47"/>
      <c r="M1316" s="47"/>
      <c r="N1316" s="31"/>
      <c r="O1316" s="47"/>
      <c r="P1316" s="31"/>
      <c r="Q1316" s="31"/>
      <c r="R1316" s="31"/>
      <c r="S1316" s="31"/>
      <c r="T1316" s="270">
        <f t="shared" si="160"/>
        <v>0</v>
      </c>
      <c r="U1316" s="270">
        <f t="shared" si="161"/>
        <v>0</v>
      </c>
      <c r="V1316" s="31"/>
      <c r="X1316" s="240" t="str">
        <f t="shared" si="162"/>
        <v>OK</v>
      </c>
      <c r="Y1316" s="240" t="str">
        <f t="shared" si="163"/>
        <v>OK</v>
      </c>
      <c r="Z1316" s="240" t="str">
        <f t="shared" si="164"/>
        <v>OK</v>
      </c>
      <c r="AA1316" s="240" t="str" cm="1">
        <f t="array" ref="AA1316">IF(OR(AND(J1316="Not accepted",N1316:O1316&lt;&gt;"",$S1316=""),AND(J1316="Accepted",S1316="")),"ERROR","OK")</f>
        <v>OK</v>
      </c>
      <c r="AB1316" s="240" t="str">
        <f t="shared" si="165"/>
        <v>OK</v>
      </c>
      <c r="AC1316" s="240" t="str" cm="1">
        <f t="array" ref="AC1316">IF(AND(F1316:H1316&lt;&gt;"",I1316=""),"ERROR","OK")</f>
        <v>OK</v>
      </c>
      <c r="AD1316" s="240" t="str">
        <f t="shared" si="166"/>
        <v>OK</v>
      </c>
      <c r="AE1316" s="240" t="str">
        <f t="shared" si="167"/>
        <v>OK</v>
      </c>
      <c r="AF1316" s="240" t="str" cm="1">
        <f t="array" aca="1" ref="AF1316" ca="1" xml:space="preserve">
IF(AND($G1316&lt;&gt;"",$F1316=""),"ERROR",
IF(OR($F1316:$G1316="",AND($G1316="",$F1316&lt;&gt;"")),"OK",
IF(COUNTIF(INDIRECT(IFERROR(LEFT($F1316,FIND(" ",$F1316)-1),$F1316)), $G1316)&gt;0, "OK", "ERROR")))</f>
        <v>OK</v>
      </c>
    </row>
    <row r="1317" spans="1:32" s="240" customFormat="1">
      <c r="A1317" s="48"/>
      <c r="B1317" s="31"/>
      <c r="C1317" s="48"/>
      <c r="D1317" s="47"/>
      <c r="E1317" s="47"/>
      <c r="F1317" s="31"/>
      <c r="G1317" s="31"/>
      <c r="H1317" s="31"/>
      <c r="I1317" s="47"/>
      <c r="J1317" s="31"/>
      <c r="K1317" s="47"/>
      <c r="L1317" s="47"/>
      <c r="M1317" s="47"/>
      <c r="N1317" s="31"/>
      <c r="O1317" s="47"/>
      <c r="P1317" s="31"/>
      <c r="Q1317" s="31"/>
      <c r="R1317" s="31"/>
      <c r="S1317" s="31"/>
      <c r="T1317" s="270">
        <f t="shared" si="160"/>
        <v>0</v>
      </c>
      <c r="U1317" s="270">
        <f t="shared" si="161"/>
        <v>0</v>
      </c>
      <c r="V1317" s="31"/>
      <c r="X1317" s="240" t="str">
        <f t="shared" si="162"/>
        <v>OK</v>
      </c>
      <c r="Y1317" s="240" t="str">
        <f t="shared" si="163"/>
        <v>OK</v>
      </c>
      <c r="Z1317" s="240" t="str">
        <f t="shared" si="164"/>
        <v>OK</v>
      </c>
      <c r="AA1317" s="240" t="str" cm="1">
        <f t="array" ref="AA1317">IF(OR(AND(J1317="Not accepted",N1317:O1317&lt;&gt;"",$S1317=""),AND(J1317="Accepted",S1317="")),"ERROR","OK")</f>
        <v>OK</v>
      </c>
      <c r="AB1317" s="240" t="str">
        <f t="shared" si="165"/>
        <v>OK</v>
      </c>
      <c r="AC1317" s="240" t="str" cm="1">
        <f t="array" ref="AC1317">IF(AND(F1317:H1317&lt;&gt;"",I1317=""),"ERROR","OK")</f>
        <v>OK</v>
      </c>
      <c r="AD1317" s="240" t="str">
        <f t="shared" si="166"/>
        <v>OK</v>
      </c>
      <c r="AE1317" s="240" t="str">
        <f t="shared" si="167"/>
        <v>OK</v>
      </c>
      <c r="AF1317" s="240" t="str" cm="1">
        <f t="array" aca="1" ref="AF1317" ca="1" xml:space="preserve">
IF(AND($G1317&lt;&gt;"",$F1317=""),"ERROR",
IF(OR($F1317:$G1317="",AND($G1317="",$F1317&lt;&gt;"")),"OK",
IF(COUNTIF(INDIRECT(IFERROR(LEFT($F1317,FIND(" ",$F1317)-1),$F1317)), $G1317)&gt;0, "OK", "ERROR")))</f>
        <v>OK</v>
      </c>
    </row>
    <row r="1318" spans="1:32" s="240" customFormat="1">
      <c r="A1318" s="48"/>
      <c r="B1318" s="31"/>
      <c r="C1318" s="48"/>
      <c r="D1318" s="47"/>
      <c r="E1318" s="47"/>
      <c r="F1318" s="31"/>
      <c r="G1318" s="31"/>
      <c r="H1318" s="31"/>
      <c r="I1318" s="47"/>
      <c r="J1318" s="31"/>
      <c r="K1318" s="47"/>
      <c r="L1318" s="47"/>
      <c r="M1318" s="47"/>
      <c r="N1318" s="31"/>
      <c r="O1318" s="47"/>
      <c r="P1318" s="31"/>
      <c r="Q1318" s="31"/>
      <c r="R1318" s="31"/>
      <c r="S1318" s="31"/>
      <c r="T1318" s="270">
        <f t="shared" si="160"/>
        <v>0</v>
      </c>
      <c r="U1318" s="270">
        <f t="shared" si="161"/>
        <v>0</v>
      </c>
      <c r="V1318" s="31"/>
      <c r="X1318" s="240" t="str">
        <f t="shared" si="162"/>
        <v>OK</v>
      </c>
      <c r="Y1318" s="240" t="str">
        <f t="shared" si="163"/>
        <v>OK</v>
      </c>
      <c r="Z1318" s="240" t="str">
        <f t="shared" si="164"/>
        <v>OK</v>
      </c>
      <c r="AA1318" s="240" t="str" cm="1">
        <f t="array" ref="AA1318">IF(OR(AND(J1318="Not accepted",N1318:O1318&lt;&gt;"",$S1318=""),AND(J1318="Accepted",S1318="")),"ERROR","OK")</f>
        <v>OK</v>
      </c>
      <c r="AB1318" s="240" t="str">
        <f t="shared" si="165"/>
        <v>OK</v>
      </c>
      <c r="AC1318" s="240" t="str" cm="1">
        <f t="array" ref="AC1318">IF(AND(F1318:H1318&lt;&gt;"",I1318=""),"ERROR","OK")</f>
        <v>OK</v>
      </c>
      <c r="AD1318" s="240" t="str">
        <f t="shared" si="166"/>
        <v>OK</v>
      </c>
      <c r="AE1318" s="240" t="str">
        <f t="shared" si="167"/>
        <v>OK</v>
      </c>
      <c r="AF1318" s="240" t="str" cm="1">
        <f t="array" aca="1" ref="AF1318" ca="1" xml:space="preserve">
IF(AND($G1318&lt;&gt;"",$F1318=""),"ERROR",
IF(OR($F1318:$G1318="",AND($G1318="",$F1318&lt;&gt;"")),"OK",
IF(COUNTIF(INDIRECT(IFERROR(LEFT($F1318,FIND(" ",$F1318)-1),$F1318)), $G1318)&gt;0, "OK", "ERROR")))</f>
        <v>OK</v>
      </c>
    </row>
    <row r="1319" spans="1:32" s="240" customFormat="1">
      <c r="A1319" s="48"/>
      <c r="B1319" s="31"/>
      <c r="C1319" s="48"/>
      <c r="D1319" s="47"/>
      <c r="E1319" s="47"/>
      <c r="F1319" s="31"/>
      <c r="G1319" s="31"/>
      <c r="H1319" s="31"/>
      <c r="I1319" s="47"/>
      <c r="J1319" s="31"/>
      <c r="K1319" s="47"/>
      <c r="L1319" s="47"/>
      <c r="M1319" s="47"/>
      <c r="N1319" s="31"/>
      <c r="O1319" s="47"/>
      <c r="P1319" s="31"/>
      <c r="Q1319" s="31"/>
      <c r="R1319" s="31"/>
      <c r="S1319" s="31"/>
      <c r="T1319" s="270">
        <f t="shared" si="160"/>
        <v>0</v>
      </c>
      <c r="U1319" s="270">
        <f t="shared" si="161"/>
        <v>0</v>
      </c>
      <c r="V1319" s="31"/>
      <c r="X1319" s="240" t="str">
        <f t="shared" si="162"/>
        <v>OK</v>
      </c>
      <c r="Y1319" s="240" t="str">
        <f t="shared" si="163"/>
        <v>OK</v>
      </c>
      <c r="Z1319" s="240" t="str">
        <f t="shared" si="164"/>
        <v>OK</v>
      </c>
      <c r="AA1319" s="240" t="str" cm="1">
        <f t="array" ref="AA1319">IF(OR(AND(J1319="Not accepted",N1319:O1319&lt;&gt;"",$S1319=""),AND(J1319="Accepted",S1319="")),"ERROR","OK")</f>
        <v>OK</v>
      </c>
      <c r="AB1319" s="240" t="str">
        <f t="shared" si="165"/>
        <v>OK</v>
      </c>
      <c r="AC1319" s="240" t="str" cm="1">
        <f t="array" ref="AC1319">IF(AND(F1319:H1319&lt;&gt;"",I1319=""),"ERROR","OK")</f>
        <v>OK</v>
      </c>
      <c r="AD1319" s="240" t="str">
        <f t="shared" si="166"/>
        <v>OK</v>
      </c>
      <c r="AE1319" s="240" t="str">
        <f t="shared" si="167"/>
        <v>OK</v>
      </c>
      <c r="AF1319" s="240" t="str" cm="1">
        <f t="array" aca="1" ref="AF1319" ca="1" xml:space="preserve">
IF(AND($G1319&lt;&gt;"",$F1319=""),"ERROR",
IF(OR($F1319:$G1319="",AND($G1319="",$F1319&lt;&gt;"")),"OK",
IF(COUNTIF(INDIRECT(IFERROR(LEFT($F1319,FIND(" ",$F1319)-1),$F1319)), $G1319)&gt;0, "OK", "ERROR")))</f>
        <v>OK</v>
      </c>
    </row>
    <row r="1320" spans="1:32" s="240" customFormat="1">
      <c r="A1320" s="48"/>
      <c r="B1320" s="31"/>
      <c r="C1320" s="48"/>
      <c r="D1320" s="47"/>
      <c r="E1320" s="47"/>
      <c r="F1320" s="31"/>
      <c r="G1320" s="31"/>
      <c r="H1320" s="31"/>
      <c r="I1320" s="47"/>
      <c r="J1320" s="31"/>
      <c r="K1320" s="47"/>
      <c r="L1320" s="47"/>
      <c r="M1320" s="47"/>
      <c r="N1320" s="31"/>
      <c r="O1320" s="47"/>
      <c r="P1320" s="31"/>
      <c r="Q1320" s="31"/>
      <c r="R1320" s="31"/>
      <c r="S1320" s="31"/>
      <c r="T1320" s="270">
        <f t="shared" si="160"/>
        <v>0</v>
      </c>
      <c r="U1320" s="270">
        <f t="shared" si="161"/>
        <v>0</v>
      </c>
      <c r="V1320" s="31"/>
      <c r="X1320" s="240" t="str">
        <f t="shared" si="162"/>
        <v>OK</v>
      </c>
      <c r="Y1320" s="240" t="str">
        <f t="shared" si="163"/>
        <v>OK</v>
      </c>
      <c r="Z1320" s="240" t="str">
        <f t="shared" si="164"/>
        <v>OK</v>
      </c>
      <c r="AA1320" s="240" t="str" cm="1">
        <f t="array" ref="AA1320">IF(OR(AND(J1320="Not accepted",N1320:O1320&lt;&gt;"",$S1320=""),AND(J1320="Accepted",S1320="")),"ERROR","OK")</f>
        <v>OK</v>
      </c>
      <c r="AB1320" s="240" t="str">
        <f t="shared" si="165"/>
        <v>OK</v>
      </c>
      <c r="AC1320" s="240" t="str" cm="1">
        <f t="array" ref="AC1320">IF(AND(F1320:H1320&lt;&gt;"",I1320=""),"ERROR","OK")</f>
        <v>OK</v>
      </c>
      <c r="AD1320" s="240" t="str">
        <f t="shared" si="166"/>
        <v>OK</v>
      </c>
      <c r="AE1320" s="240" t="str">
        <f t="shared" si="167"/>
        <v>OK</v>
      </c>
      <c r="AF1320" s="240" t="str" cm="1">
        <f t="array" aca="1" ref="AF1320" ca="1" xml:space="preserve">
IF(AND($G1320&lt;&gt;"",$F1320=""),"ERROR",
IF(OR($F1320:$G1320="",AND($G1320="",$F1320&lt;&gt;"")),"OK",
IF(COUNTIF(INDIRECT(IFERROR(LEFT($F1320,FIND(" ",$F1320)-1),$F1320)), $G1320)&gt;0, "OK", "ERROR")))</f>
        <v>OK</v>
      </c>
    </row>
    <row r="1321" spans="1:32" s="240" customFormat="1">
      <c r="A1321" s="48"/>
      <c r="B1321" s="31"/>
      <c r="C1321" s="48"/>
      <c r="D1321" s="47"/>
      <c r="E1321" s="47"/>
      <c r="F1321" s="31"/>
      <c r="G1321" s="31"/>
      <c r="H1321" s="31"/>
      <c r="I1321" s="47"/>
      <c r="J1321" s="31"/>
      <c r="K1321" s="47"/>
      <c r="L1321" s="47"/>
      <c r="M1321" s="47"/>
      <c r="N1321" s="31"/>
      <c r="O1321" s="47"/>
      <c r="P1321" s="31"/>
      <c r="Q1321" s="31"/>
      <c r="R1321" s="31"/>
      <c r="S1321" s="31"/>
      <c r="T1321" s="270">
        <f t="shared" si="160"/>
        <v>0</v>
      </c>
      <c r="U1321" s="270">
        <f t="shared" si="161"/>
        <v>0</v>
      </c>
      <c r="V1321" s="31"/>
      <c r="X1321" s="240" t="str">
        <f t="shared" si="162"/>
        <v>OK</v>
      </c>
      <c r="Y1321" s="240" t="str">
        <f t="shared" si="163"/>
        <v>OK</v>
      </c>
      <c r="Z1321" s="240" t="str">
        <f t="shared" si="164"/>
        <v>OK</v>
      </c>
      <c r="AA1321" s="240" t="str" cm="1">
        <f t="array" ref="AA1321">IF(OR(AND(J1321="Not accepted",N1321:O1321&lt;&gt;"",$S1321=""),AND(J1321="Accepted",S1321="")),"ERROR","OK")</f>
        <v>OK</v>
      </c>
      <c r="AB1321" s="240" t="str">
        <f t="shared" si="165"/>
        <v>OK</v>
      </c>
      <c r="AC1321" s="240" t="str" cm="1">
        <f t="array" ref="AC1321">IF(AND(F1321:H1321&lt;&gt;"",I1321=""),"ERROR","OK")</f>
        <v>OK</v>
      </c>
      <c r="AD1321" s="240" t="str">
        <f t="shared" si="166"/>
        <v>OK</v>
      </c>
      <c r="AE1321" s="240" t="str">
        <f t="shared" si="167"/>
        <v>OK</v>
      </c>
      <c r="AF1321" s="240" t="str" cm="1">
        <f t="array" aca="1" ref="AF1321" ca="1" xml:space="preserve">
IF(AND($G1321&lt;&gt;"",$F1321=""),"ERROR",
IF(OR($F1321:$G1321="",AND($G1321="",$F1321&lt;&gt;"")),"OK",
IF(COUNTIF(INDIRECT(IFERROR(LEFT($F1321,FIND(" ",$F1321)-1),$F1321)), $G1321)&gt;0, "OK", "ERROR")))</f>
        <v>OK</v>
      </c>
    </row>
    <row r="1322" spans="1:32" s="240" customFormat="1">
      <c r="A1322" s="48"/>
      <c r="B1322" s="31"/>
      <c r="C1322" s="48"/>
      <c r="D1322" s="47"/>
      <c r="E1322" s="47"/>
      <c r="F1322" s="31"/>
      <c r="G1322" s="31"/>
      <c r="H1322" s="31"/>
      <c r="I1322" s="47"/>
      <c r="J1322" s="31"/>
      <c r="K1322" s="47"/>
      <c r="L1322" s="47"/>
      <c r="M1322" s="47"/>
      <c r="N1322" s="31"/>
      <c r="O1322" s="47"/>
      <c r="P1322" s="31"/>
      <c r="Q1322" s="31"/>
      <c r="R1322" s="31"/>
      <c r="S1322" s="31"/>
      <c r="T1322" s="270">
        <f t="shared" si="160"/>
        <v>0</v>
      </c>
      <c r="U1322" s="270">
        <f t="shared" si="161"/>
        <v>0</v>
      </c>
      <c r="V1322" s="31"/>
      <c r="X1322" s="240" t="str">
        <f t="shared" si="162"/>
        <v>OK</v>
      </c>
      <c r="Y1322" s="240" t="str">
        <f t="shared" si="163"/>
        <v>OK</v>
      </c>
      <c r="Z1322" s="240" t="str">
        <f t="shared" si="164"/>
        <v>OK</v>
      </c>
      <c r="AA1322" s="240" t="str" cm="1">
        <f t="array" ref="AA1322">IF(OR(AND(J1322="Not accepted",N1322:O1322&lt;&gt;"",$S1322=""),AND(J1322="Accepted",S1322="")),"ERROR","OK")</f>
        <v>OK</v>
      </c>
      <c r="AB1322" s="240" t="str">
        <f t="shared" si="165"/>
        <v>OK</v>
      </c>
      <c r="AC1322" s="240" t="str" cm="1">
        <f t="array" ref="AC1322">IF(AND(F1322:H1322&lt;&gt;"",I1322=""),"ERROR","OK")</f>
        <v>OK</v>
      </c>
      <c r="AD1322" s="240" t="str">
        <f t="shared" si="166"/>
        <v>OK</v>
      </c>
      <c r="AE1322" s="240" t="str">
        <f t="shared" si="167"/>
        <v>OK</v>
      </c>
      <c r="AF1322" s="240" t="str" cm="1">
        <f t="array" aca="1" ref="AF1322" ca="1" xml:space="preserve">
IF(AND($G1322&lt;&gt;"",$F1322=""),"ERROR",
IF(OR($F1322:$G1322="",AND($G1322="",$F1322&lt;&gt;"")),"OK",
IF(COUNTIF(INDIRECT(IFERROR(LEFT($F1322,FIND(" ",$F1322)-1),$F1322)), $G1322)&gt;0, "OK", "ERROR")))</f>
        <v>OK</v>
      </c>
    </row>
    <row r="1323" spans="1:32" s="240" customFormat="1">
      <c r="A1323" s="48"/>
      <c r="B1323" s="31"/>
      <c r="C1323" s="48"/>
      <c r="D1323" s="47"/>
      <c r="E1323" s="47"/>
      <c r="F1323" s="31"/>
      <c r="G1323" s="31"/>
      <c r="H1323" s="31"/>
      <c r="I1323" s="47"/>
      <c r="J1323" s="31"/>
      <c r="K1323" s="47"/>
      <c r="L1323" s="47"/>
      <c r="M1323" s="47"/>
      <c r="N1323" s="31"/>
      <c r="O1323" s="47"/>
      <c r="P1323" s="31"/>
      <c r="Q1323" s="31"/>
      <c r="R1323" s="31"/>
      <c r="S1323" s="31"/>
      <c r="T1323" s="270">
        <f t="shared" si="160"/>
        <v>0</v>
      </c>
      <c r="U1323" s="270">
        <f t="shared" si="161"/>
        <v>0</v>
      </c>
      <c r="V1323" s="31"/>
      <c r="X1323" s="240" t="str">
        <f t="shared" si="162"/>
        <v>OK</v>
      </c>
      <c r="Y1323" s="240" t="str">
        <f t="shared" si="163"/>
        <v>OK</v>
      </c>
      <c r="Z1323" s="240" t="str">
        <f t="shared" si="164"/>
        <v>OK</v>
      </c>
      <c r="AA1323" s="240" t="str" cm="1">
        <f t="array" ref="AA1323">IF(OR(AND(J1323="Not accepted",N1323:O1323&lt;&gt;"",$S1323=""),AND(J1323="Accepted",S1323="")),"ERROR","OK")</f>
        <v>OK</v>
      </c>
      <c r="AB1323" s="240" t="str">
        <f t="shared" si="165"/>
        <v>OK</v>
      </c>
      <c r="AC1323" s="240" t="str" cm="1">
        <f t="array" ref="AC1323">IF(AND(F1323:H1323&lt;&gt;"",I1323=""),"ERROR","OK")</f>
        <v>OK</v>
      </c>
      <c r="AD1323" s="240" t="str">
        <f t="shared" si="166"/>
        <v>OK</v>
      </c>
      <c r="AE1323" s="240" t="str">
        <f t="shared" si="167"/>
        <v>OK</v>
      </c>
      <c r="AF1323" s="240" t="str" cm="1">
        <f t="array" aca="1" ref="AF1323" ca="1" xml:space="preserve">
IF(AND($G1323&lt;&gt;"",$F1323=""),"ERROR",
IF(OR($F1323:$G1323="",AND($G1323="",$F1323&lt;&gt;"")),"OK",
IF(COUNTIF(INDIRECT(IFERROR(LEFT($F1323,FIND(" ",$F1323)-1),$F1323)), $G1323)&gt;0, "OK", "ERROR")))</f>
        <v>OK</v>
      </c>
    </row>
    <row r="1324" spans="1:32" s="240" customFormat="1">
      <c r="A1324" s="48"/>
      <c r="B1324" s="31"/>
      <c r="C1324" s="48"/>
      <c r="D1324" s="47"/>
      <c r="E1324" s="47"/>
      <c r="F1324" s="31"/>
      <c r="G1324" s="31"/>
      <c r="H1324" s="31"/>
      <c r="I1324" s="47"/>
      <c r="J1324" s="31"/>
      <c r="K1324" s="47"/>
      <c r="L1324" s="47"/>
      <c r="M1324" s="47"/>
      <c r="N1324" s="31"/>
      <c r="O1324" s="47"/>
      <c r="P1324" s="31"/>
      <c r="Q1324" s="31"/>
      <c r="R1324" s="31"/>
      <c r="S1324" s="31"/>
      <c r="T1324" s="270">
        <f t="shared" si="160"/>
        <v>0</v>
      </c>
      <c r="U1324" s="270">
        <f t="shared" si="161"/>
        <v>0</v>
      </c>
      <c r="V1324" s="31"/>
      <c r="X1324" s="240" t="str">
        <f t="shared" si="162"/>
        <v>OK</v>
      </c>
      <c r="Y1324" s="240" t="str">
        <f t="shared" si="163"/>
        <v>OK</v>
      </c>
      <c r="Z1324" s="240" t="str">
        <f t="shared" si="164"/>
        <v>OK</v>
      </c>
      <c r="AA1324" s="240" t="str" cm="1">
        <f t="array" ref="AA1324">IF(OR(AND(J1324="Not accepted",N1324:O1324&lt;&gt;"",$S1324=""),AND(J1324="Accepted",S1324="")),"ERROR","OK")</f>
        <v>OK</v>
      </c>
      <c r="AB1324" s="240" t="str">
        <f t="shared" si="165"/>
        <v>OK</v>
      </c>
      <c r="AC1324" s="240" t="str" cm="1">
        <f t="array" ref="AC1324">IF(AND(F1324:H1324&lt;&gt;"",I1324=""),"ERROR","OK")</f>
        <v>OK</v>
      </c>
      <c r="AD1324" s="240" t="str">
        <f t="shared" si="166"/>
        <v>OK</v>
      </c>
      <c r="AE1324" s="240" t="str">
        <f t="shared" si="167"/>
        <v>OK</v>
      </c>
      <c r="AF1324" s="240" t="str" cm="1">
        <f t="array" aca="1" ref="AF1324" ca="1" xml:space="preserve">
IF(AND($G1324&lt;&gt;"",$F1324=""),"ERROR",
IF(OR($F1324:$G1324="",AND($G1324="",$F1324&lt;&gt;"")),"OK",
IF(COUNTIF(INDIRECT(IFERROR(LEFT($F1324,FIND(" ",$F1324)-1),$F1324)), $G1324)&gt;0, "OK", "ERROR")))</f>
        <v>OK</v>
      </c>
    </row>
    <row r="1325" spans="1:32" s="240" customFormat="1">
      <c r="A1325" s="48"/>
      <c r="B1325" s="31"/>
      <c r="C1325" s="48"/>
      <c r="D1325" s="47"/>
      <c r="E1325" s="47"/>
      <c r="F1325" s="31"/>
      <c r="G1325" s="31"/>
      <c r="H1325" s="31"/>
      <c r="I1325" s="47"/>
      <c r="J1325" s="31"/>
      <c r="K1325" s="47"/>
      <c r="L1325" s="47"/>
      <c r="M1325" s="47"/>
      <c r="N1325" s="31"/>
      <c r="O1325" s="47"/>
      <c r="P1325" s="31"/>
      <c r="Q1325" s="31"/>
      <c r="R1325" s="31"/>
      <c r="S1325" s="31"/>
      <c r="T1325" s="270">
        <f t="shared" si="160"/>
        <v>0</v>
      </c>
      <c r="U1325" s="270">
        <f t="shared" si="161"/>
        <v>0</v>
      </c>
      <c r="V1325" s="31"/>
      <c r="X1325" s="240" t="str">
        <f t="shared" si="162"/>
        <v>OK</v>
      </c>
      <c r="Y1325" s="240" t="str">
        <f t="shared" si="163"/>
        <v>OK</v>
      </c>
      <c r="Z1325" s="240" t="str">
        <f t="shared" si="164"/>
        <v>OK</v>
      </c>
      <c r="AA1325" s="240" t="str" cm="1">
        <f t="array" ref="AA1325">IF(OR(AND(J1325="Not accepted",N1325:O1325&lt;&gt;"",$S1325=""),AND(J1325="Accepted",S1325="")),"ERROR","OK")</f>
        <v>OK</v>
      </c>
      <c r="AB1325" s="240" t="str">
        <f t="shared" si="165"/>
        <v>OK</v>
      </c>
      <c r="AC1325" s="240" t="str" cm="1">
        <f t="array" ref="AC1325">IF(AND(F1325:H1325&lt;&gt;"",I1325=""),"ERROR","OK")</f>
        <v>OK</v>
      </c>
      <c r="AD1325" s="240" t="str">
        <f t="shared" si="166"/>
        <v>OK</v>
      </c>
      <c r="AE1325" s="240" t="str">
        <f t="shared" si="167"/>
        <v>OK</v>
      </c>
      <c r="AF1325" s="240" t="str" cm="1">
        <f t="array" aca="1" ref="AF1325" ca="1" xml:space="preserve">
IF(AND($G1325&lt;&gt;"",$F1325=""),"ERROR",
IF(OR($F1325:$G1325="",AND($G1325="",$F1325&lt;&gt;"")),"OK",
IF(COUNTIF(INDIRECT(IFERROR(LEFT($F1325,FIND(" ",$F1325)-1),$F1325)), $G1325)&gt;0, "OK", "ERROR")))</f>
        <v>OK</v>
      </c>
    </row>
    <row r="1326" spans="1:32" s="240" customFormat="1">
      <c r="A1326" s="48"/>
      <c r="B1326" s="31"/>
      <c r="C1326" s="48"/>
      <c r="D1326" s="47"/>
      <c r="E1326" s="47"/>
      <c r="F1326" s="31"/>
      <c r="G1326" s="31"/>
      <c r="H1326" s="31"/>
      <c r="I1326" s="47"/>
      <c r="J1326" s="31"/>
      <c r="K1326" s="47"/>
      <c r="L1326" s="47"/>
      <c r="M1326" s="47"/>
      <c r="N1326" s="31"/>
      <c r="O1326" s="47"/>
      <c r="P1326" s="31"/>
      <c r="Q1326" s="31"/>
      <c r="R1326" s="31"/>
      <c r="S1326" s="31"/>
      <c r="T1326" s="270">
        <f t="shared" si="160"/>
        <v>0</v>
      </c>
      <c r="U1326" s="270">
        <f t="shared" si="161"/>
        <v>0</v>
      </c>
      <c r="V1326" s="31"/>
      <c r="X1326" s="240" t="str">
        <f t="shared" si="162"/>
        <v>OK</v>
      </c>
      <c r="Y1326" s="240" t="str">
        <f t="shared" si="163"/>
        <v>OK</v>
      </c>
      <c r="Z1326" s="240" t="str">
        <f t="shared" si="164"/>
        <v>OK</v>
      </c>
      <c r="AA1326" s="240" t="str" cm="1">
        <f t="array" ref="AA1326">IF(OR(AND(J1326="Not accepted",N1326:O1326&lt;&gt;"",$S1326=""),AND(J1326="Accepted",S1326="")),"ERROR","OK")</f>
        <v>OK</v>
      </c>
      <c r="AB1326" s="240" t="str">
        <f t="shared" si="165"/>
        <v>OK</v>
      </c>
      <c r="AC1326" s="240" t="str" cm="1">
        <f t="array" ref="AC1326">IF(AND(F1326:H1326&lt;&gt;"",I1326=""),"ERROR","OK")</f>
        <v>OK</v>
      </c>
      <c r="AD1326" s="240" t="str">
        <f t="shared" si="166"/>
        <v>OK</v>
      </c>
      <c r="AE1326" s="240" t="str">
        <f t="shared" si="167"/>
        <v>OK</v>
      </c>
      <c r="AF1326" s="240" t="str" cm="1">
        <f t="array" aca="1" ref="AF1326" ca="1" xml:space="preserve">
IF(AND($G1326&lt;&gt;"",$F1326=""),"ERROR",
IF(OR($F1326:$G1326="",AND($G1326="",$F1326&lt;&gt;"")),"OK",
IF(COUNTIF(INDIRECT(IFERROR(LEFT($F1326,FIND(" ",$F1326)-1),$F1326)), $G1326)&gt;0, "OK", "ERROR")))</f>
        <v>OK</v>
      </c>
    </row>
    <row r="1327" spans="1:32" s="240" customFormat="1">
      <c r="A1327" s="48"/>
      <c r="B1327" s="31"/>
      <c r="C1327" s="48"/>
      <c r="D1327" s="47"/>
      <c r="E1327" s="47"/>
      <c r="F1327" s="31"/>
      <c r="G1327" s="31"/>
      <c r="H1327" s="31"/>
      <c r="I1327" s="47"/>
      <c r="J1327" s="31"/>
      <c r="K1327" s="47"/>
      <c r="L1327" s="47"/>
      <c r="M1327" s="47"/>
      <c r="N1327" s="31"/>
      <c r="O1327" s="47"/>
      <c r="P1327" s="31"/>
      <c r="Q1327" s="31"/>
      <c r="R1327" s="31"/>
      <c r="S1327" s="31"/>
      <c r="T1327" s="270">
        <f t="shared" si="160"/>
        <v>0</v>
      </c>
      <c r="U1327" s="270">
        <f t="shared" si="161"/>
        <v>0</v>
      </c>
      <c r="V1327" s="31"/>
      <c r="X1327" s="240" t="str">
        <f t="shared" si="162"/>
        <v>OK</v>
      </c>
      <c r="Y1327" s="240" t="str">
        <f t="shared" si="163"/>
        <v>OK</v>
      </c>
      <c r="Z1327" s="240" t="str">
        <f t="shared" si="164"/>
        <v>OK</v>
      </c>
      <c r="AA1327" s="240" t="str" cm="1">
        <f t="array" ref="AA1327">IF(OR(AND(J1327="Not accepted",N1327:O1327&lt;&gt;"",$S1327=""),AND(J1327="Accepted",S1327="")),"ERROR","OK")</f>
        <v>OK</v>
      </c>
      <c r="AB1327" s="240" t="str">
        <f t="shared" si="165"/>
        <v>OK</v>
      </c>
      <c r="AC1327" s="240" t="str" cm="1">
        <f t="array" ref="AC1327">IF(AND(F1327:H1327&lt;&gt;"",I1327=""),"ERROR","OK")</f>
        <v>OK</v>
      </c>
      <c r="AD1327" s="240" t="str">
        <f t="shared" si="166"/>
        <v>OK</v>
      </c>
      <c r="AE1327" s="240" t="str">
        <f t="shared" si="167"/>
        <v>OK</v>
      </c>
      <c r="AF1327" s="240" t="str" cm="1">
        <f t="array" aca="1" ref="AF1327" ca="1" xml:space="preserve">
IF(AND($G1327&lt;&gt;"",$F1327=""),"ERROR",
IF(OR($F1327:$G1327="",AND($G1327="",$F1327&lt;&gt;"")),"OK",
IF(COUNTIF(INDIRECT(IFERROR(LEFT($F1327,FIND(" ",$F1327)-1),$F1327)), $G1327)&gt;0, "OK", "ERROR")))</f>
        <v>OK</v>
      </c>
    </row>
    <row r="1328" spans="1:32" s="240" customFormat="1">
      <c r="A1328" s="48"/>
      <c r="B1328" s="31"/>
      <c r="C1328" s="48"/>
      <c r="D1328" s="47"/>
      <c r="E1328" s="47"/>
      <c r="F1328" s="31"/>
      <c r="G1328" s="31"/>
      <c r="H1328" s="31"/>
      <c r="I1328" s="47"/>
      <c r="J1328" s="31"/>
      <c r="K1328" s="47"/>
      <c r="L1328" s="47"/>
      <c r="M1328" s="47"/>
      <c r="N1328" s="31"/>
      <c r="O1328" s="47"/>
      <c r="P1328" s="31"/>
      <c r="Q1328" s="31"/>
      <c r="R1328" s="31"/>
      <c r="S1328" s="31"/>
      <c r="T1328" s="270">
        <f t="shared" si="160"/>
        <v>0</v>
      </c>
      <c r="U1328" s="270">
        <f t="shared" si="161"/>
        <v>0</v>
      </c>
      <c r="V1328" s="31"/>
      <c r="X1328" s="240" t="str">
        <f t="shared" si="162"/>
        <v>OK</v>
      </c>
      <c r="Y1328" s="240" t="str">
        <f t="shared" si="163"/>
        <v>OK</v>
      </c>
      <c r="Z1328" s="240" t="str">
        <f t="shared" si="164"/>
        <v>OK</v>
      </c>
      <c r="AA1328" s="240" t="str" cm="1">
        <f t="array" ref="AA1328">IF(OR(AND(J1328="Not accepted",N1328:O1328&lt;&gt;"",$S1328=""),AND(J1328="Accepted",S1328="")),"ERROR","OK")</f>
        <v>OK</v>
      </c>
      <c r="AB1328" s="240" t="str">
        <f t="shared" si="165"/>
        <v>OK</v>
      </c>
      <c r="AC1328" s="240" t="str" cm="1">
        <f t="array" ref="AC1328">IF(AND(F1328:H1328&lt;&gt;"",I1328=""),"ERROR","OK")</f>
        <v>OK</v>
      </c>
      <c r="AD1328" s="240" t="str">
        <f t="shared" si="166"/>
        <v>OK</v>
      </c>
      <c r="AE1328" s="240" t="str">
        <f t="shared" si="167"/>
        <v>OK</v>
      </c>
      <c r="AF1328" s="240" t="str" cm="1">
        <f t="array" aca="1" ref="AF1328" ca="1" xml:space="preserve">
IF(AND($G1328&lt;&gt;"",$F1328=""),"ERROR",
IF(OR($F1328:$G1328="",AND($G1328="",$F1328&lt;&gt;"")),"OK",
IF(COUNTIF(INDIRECT(IFERROR(LEFT($F1328,FIND(" ",$F1328)-1),$F1328)), $G1328)&gt;0, "OK", "ERROR")))</f>
        <v>OK</v>
      </c>
    </row>
    <row r="1329" spans="1:32" s="240" customFormat="1">
      <c r="A1329" s="48"/>
      <c r="B1329" s="31"/>
      <c r="C1329" s="48"/>
      <c r="D1329" s="47"/>
      <c r="E1329" s="47"/>
      <c r="F1329" s="31"/>
      <c r="G1329" s="31"/>
      <c r="H1329" s="31"/>
      <c r="I1329" s="47"/>
      <c r="J1329" s="31"/>
      <c r="K1329" s="47"/>
      <c r="L1329" s="47"/>
      <c r="M1329" s="47"/>
      <c r="N1329" s="31"/>
      <c r="O1329" s="47"/>
      <c r="P1329" s="31"/>
      <c r="Q1329" s="31"/>
      <c r="R1329" s="31"/>
      <c r="S1329" s="31"/>
      <c r="T1329" s="270">
        <f t="shared" si="160"/>
        <v>0</v>
      </c>
      <c r="U1329" s="270">
        <f t="shared" si="161"/>
        <v>0</v>
      </c>
      <c r="V1329" s="31"/>
      <c r="X1329" s="240" t="str">
        <f t="shared" si="162"/>
        <v>OK</v>
      </c>
      <c r="Y1329" s="240" t="str">
        <f t="shared" si="163"/>
        <v>OK</v>
      </c>
      <c r="Z1329" s="240" t="str">
        <f t="shared" si="164"/>
        <v>OK</v>
      </c>
      <c r="AA1329" s="240" t="str" cm="1">
        <f t="array" ref="AA1329">IF(OR(AND(J1329="Not accepted",N1329:O1329&lt;&gt;"",$S1329=""),AND(J1329="Accepted",S1329="")),"ERROR","OK")</f>
        <v>OK</v>
      </c>
      <c r="AB1329" s="240" t="str">
        <f t="shared" si="165"/>
        <v>OK</v>
      </c>
      <c r="AC1329" s="240" t="str" cm="1">
        <f t="array" ref="AC1329">IF(AND(F1329:H1329&lt;&gt;"",I1329=""),"ERROR","OK")</f>
        <v>OK</v>
      </c>
      <c r="AD1329" s="240" t="str">
        <f t="shared" si="166"/>
        <v>OK</v>
      </c>
      <c r="AE1329" s="240" t="str">
        <f t="shared" si="167"/>
        <v>OK</v>
      </c>
      <c r="AF1329" s="240" t="str" cm="1">
        <f t="array" aca="1" ref="AF1329" ca="1" xml:space="preserve">
IF(AND($G1329&lt;&gt;"",$F1329=""),"ERROR",
IF(OR($F1329:$G1329="",AND($G1329="",$F1329&lt;&gt;"")),"OK",
IF(COUNTIF(INDIRECT(IFERROR(LEFT($F1329,FIND(" ",$F1329)-1),$F1329)), $G1329)&gt;0, "OK", "ERROR")))</f>
        <v>OK</v>
      </c>
    </row>
    <row r="1330" spans="1:32" s="240" customFormat="1">
      <c r="A1330" s="48"/>
      <c r="B1330" s="31"/>
      <c r="C1330" s="48"/>
      <c r="D1330" s="47"/>
      <c r="E1330" s="47"/>
      <c r="F1330" s="31"/>
      <c r="G1330" s="31"/>
      <c r="H1330" s="31"/>
      <c r="I1330" s="47"/>
      <c r="J1330" s="31"/>
      <c r="K1330" s="47"/>
      <c r="L1330" s="47"/>
      <c r="M1330" s="47"/>
      <c r="N1330" s="31"/>
      <c r="O1330" s="47"/>
      <c r="P1330" s="31"/>
      <c r="Q1330" s="31"/>
      <c r="R1330" s="31"/>
      <c r="S1330" s="31"/>
      <c r="T1330" s="270">
        <f t="shared" si="160"/>
        <v>0</v>
      </c>
      <c r="U1330" s="270">
        <f t="shared" si="161"/>
        <v>0</v>
      </c>
      <c r="V1330" s="31"/>
      <c r="X1330" s="240" t="str">
        <f t="shared" si="162"/>
        <v>OK</v>
      </c>
      <c r="Y1330" s="240" t="str">
        <f t="shared" si="163"/>
        <v>OK</v>
      </c>
      <c r="Z1330" s="240" t="str">
        <f t="shared" si="164"/>
        <v>OK</v>
      </c>
      <c r="AA1330" s="240" t="str" cm="1">
        <f t="array" ref="AA1330">IF(OR(AND(J1330="Not accepted",N1330:O1330&lt;&gt;"",$S1330=""),AND(J1330="Accepted",S1330="")),"ERROR","OK")</f>
        <v>OK</v>
      </c>
      <c r="AB1330" s="240" t="str">
        <f t="shared" si="165"/>
        <v>OK</v>
      </c>
      <c r="AC1330" s="240" t="str" cm="1">
        <f t="array" ref="AC1330">IF(AND(F1330:H1330&lt;&gt;"",I1330=""),"ERROR","OK")</f>
        <v>OK</v>
      </c>
      <c r="AD1330" s="240" t="str">
        <f t="shared" si="166"/>
        <v>OK</v>
      </c>
      <c r="AE1330" s="240" t="str">
        <f t="shared" si="167"/>
        <v>OK</v>
      </c>
      <c r="AF1330" s="240" t="str" cm="1">
        <f t="array" aca="1" ref="AF1330" ca="1" xml:space="preserve">
IF(AND($G1330&lt;&gt;"",$F1330=""),"ERROR",
IF(OR($F1330:$G1330="",AND($G1330="",$F1330&lt;&gt;"")),"OK",
IF(COUNTIF(INDIRECT(IFERROR(LEFT($F1330,FIND(" ",$F1330)-1),$F1330)), $G1330)&gt;0, "OK", "ERROR")))</f>
        <v>OK</v>
      </c>
    </row>
    <row r="1331" spans="1:32" s="240" customFormat="1">
      <c r="A1331" s="48"/>
      <c r="B1331" s="31"/>
      <c r="C1331" s="48"/>
      <c r="D1331" s="47"/>
      <c r="E1331" s="47"/>
      <c r="F1331" s="31"/>
      <c r="G1331" s="31"/>
      <c r="H1331" s="31"/>
      <c r="I1331" s="47"/>
      <c r="J1331" s="31"/>
      <c r="K1331" s="47"/>
      <c r="L1331" s="47"/>
      <c r="M1331" s="47"/>
      <c r="N1331" s="31"/>
      <c r="O1331" s="47"/>
      <c r="P1331" s="31"/>
      <c r="Q1331" s="31"/>
      <c r="R1331" s="31"/>
      <c r="S1331" s="31"/>
      <c r="T1331" s="270">
        <f t="shared" si="160"/>
        <v>0</v>
      </c>
      <c r="U1331" s="270">
        <f t="shared" si="161"/>
        <v>0</v>
      </c>
      <c r="V1331" s="31"/>
      <c r="X1331" s="240" t="str">
        <f t="shared" si="162"/>
        <v>OK</v>
      </c>
      <c r="Y1331" s="240" t="str">
        <f t="shared" si="163"/>
        <v>OK</v>
      </c>
      <c r="Z1331" s="240" t="str">
        <f t="shared" si="164"/>
        <v>OK</v>
      </c>
      <c r="AA1331" s="240" t="str" cm="1">
        <f t="array" ref="AA1331">IF(OR(AND(J1331="Not accepted",N1331:O1331&lt;&gt;"",$S1331=""),AND(J1331="Accepted",S1331="")),"ERROR","OK")</f>
        <v>OK</v>
      </c>
      <c r="AB1331" s="240" t="str">
        <f t="shared" si="165"/>
        <v>OK</v>
      </c>
      <c r="AC1331" s="240" t="str" cm="1">
        <f t="array" ref="AC1331">IF(AND(F1331:H1331&lt;&gt;"",I1331=""),"ERROR","OK")</f>
        <v>OK</v>
      </c>
      <c r="AD1331" s="240" t="str">
        <f t="shared" si="166"/>
        <v>OK</v>
      </c>
      <c r="AE1331" s="240" t="str">
        <f t="shared" si="167"/>
        <v>OK</v>
      </c>
      <c r="AF1331" s="240" t="str" cm="1">
        <f t="array" aca="1" ref="AF1331" ca="1" xml:space="preserve">
IF(AND($G1331&lt;&gt;"",$F1331=""),"ERROR",
IF(OR($F1331:$G1331="",AND($G1331="",$F1331&lt;&gt;"")),"OK",
IF(COUNTIF(INDIRECT(IFERROR(LEFT($F1331,FIND(" ",$F1331)-1),$F1331)), $G1331)&gt;0, "OK", "ERROR")))</f>
        <v>OK</v>
      </c>
    </row>
    <row r="1332" spans="1:32" s="240" customFormat="1">
      <c r="A1332" s="48"/>
      <c r="B1332" s="31"/>
      <c r="C1332" s="48"/>
      <c r="D1332" s="47"/>
      <c r="E1332" s="47"/>
      <c r="F1332" s="31"/>
      <c r="G1332" s="31"/>
      <c r="H1332" s="31"/>
      <c r="I1332" s="47"/>
      <c r="J1332" s="31"/>
      <c r="K1332" s="47"/>
      <c r="L1332" s="47"/>
      <c r="M1332" s="47"/>
      <c r="N1332" s="31"/>
      <c r="O1332" s="47"/>
      <c r="P1332" s="31"/>
      <c r="Q1332" s="31"/>
      <c r="R1332" s="31"/>
      <c r="S1332" s="31"/>
      <c r="T1332" s="270">
        <f t="shared" si="160"/>
        <v>0</v>
      </c>
      <c r="U1332" s="270">
        <f t="shared" si="161"/>
        <v>0</v>
      </c>
      <c r="V1332" s="31"/>
      <c r="X1332" s="240" t="str">
        <f t="shared" si="162"/>
        <v>OK</v>
      </c>
      <c r="Y1332" s="240" t="str">
        <f t="shared" si="163"/>
        <v>OK</v>
      </c>
      <c r="Z1332" s="240" t="str">
        <f t="shared" si="164"/>
        <v>OK</v>
      </c>
      <c r="AA1332" s="240" t="str" cm="1">
        <f t="array" ref="AA1332">IF(OR(AND(J1332="Not accepted",N1332:O1332&lt;&gt;"",$S1332=""),AND(J1332="Accepted",S1332="")),"ERROR","OK")</f>
        <v>OK</v>
      </c>
      <c r="AB1332" s="240" t="str">
        <f t="shared" si="165"/>
        <v>OK</v>
      </c>
      <c r="AC1332" s="240" t="str" cm="1">
        <f t="array" ref="AC1332">IF(AND(F1332:H1332&lt;&gt;"",I1332=""),"ERROR","OK")</f>
        <v>OK</v>
      </c>
      <c r="AD1332" s="240" t="str">
        <f t="shared" si="166"/>
        <v>OK</v>
      </c>
      <c r="AE1332" s="240" t="str">
        <f t="shared" si="167"/>
        <v>OK</v>
      </c>
      <c r="AF1332" s="240" t="str" cm="1">
        <f t="array" aca="1" ref="AF1332" ca="1" xml:space="preserve">
IF(AND($G1332&lt;&gt;"",$F1332=""),"ERROR",
IF(OR($F1332:$G1332="",AND($G1332="",$F1332&lt;&gt;"")),"OK",
IF(COUNTIF(INDIRECT(IFERROR(LEFT($F1332,FIND(" ",$F1332)-1),$F1332)), $G1332)&gt;0, "OK", "ERROR")))</f>
        <v>OK</v>
      </c>
    </row>
    <row r="1333" spans="1:32" s="240" customFormat="1">
      <c r="A1333" s="48"/>
      <c r="B1333" s="31"/>
      <c r="C1333" s="48"/>
      <c r="D1333" s="47"/>
      <c r="E1333" s="47"/>
      <c r="F1333" s="31"/>
      <c r="G1333" s="31"/>
      <c r="H1333" s="31"/>
      <c r="I1333" s="47"/>
      <c r="J1333" s="31"/>
      <c r="K1333" s="47"/>
      <c r="L1333" s="47"/>
      <c r="M1333" s="47"/>
      <c r="N1333" s="31"/>
      <c r="O1333" s="47"/>
      <c r="P1333" s="31"/>
      <c r="Q1333" s="31"/>
      <c r="R1333" s="31"/>
      <c r="S1333" s="31"/>
      <c r="T1333" s="270">
        <f t="shared" si="160"/>
        <v>0</v>
      </c>
      <c r="U1333" s="270">
        <f t="shared" si="161"/>
        <v>0</v>
      </c>
      <c r="V1333" s="31"/>
      <c r="X1333" s="240" t="str">
        <f t="shared" si="162"/>
        <v>OK</v>
      </c>
      <c r="Y1333" s="240" t="str">
        <f t="shared" si="163"/>
        <v>OK</v>
      </c>
      <c r="Z1333" s="240" t="str">
        <f t="shared" si="164"/>
        <v>OK</v>
      </c>
      <c r="AA1333" s="240" t="str" cm="1">
        <f t="array" ref="AA1333">IF(OR(AND(J1333="Not accepted",N1333:O1333&lt;&gt;"",$S1333=""),AND(J1333="Accepted",S1333="")),"ERROR","OK")</f>
        <v>OK</v>
      </c>
      <c r="AB1333" s="240" t="str">
        <f t="shared" si="165"/>
        <v>OK</v>
      </c>
      <c r="AC1333" s="240" t="str" cm="1">
        <f t="array" ref="AC1333">IF(AND(F1333:H1333&lt;&gt;"",I1333=""),"ERROR","OK")</f>
        <v>OK</v>
      </c>
      <c r="AD1333" s="240" t="str">
        <f t="shared" si="166"/>
        <v>OK</v>
      </c>
      <c r="AE1333" s="240" t="str">
        <f t="shared" si="167"/>
        <v>OK</v>
      </c>
      <c r="AF1333" s="240" t="str" cm="1">
        <f t="array" aca="1" ref="AF1333" ca="1" xml:space="preserve">
IF(AND($G1333&lt;&gt;"",$F1333=""),"ERROR",
IF(OR($F1333:$G1333="",AND($G1333="",$F1333&lt;&gt;"")),"OK",
IF(COUNTIF(INDIRECT(IFERROR(LEFT($F1333,FIND(" ",$F1333)-1),$F1333)), $G1333)&gt;0, "OK", "ERROR")))</f>
        <v>OK</v>
      </c>
    </row>
    <row r="1334" spans="1:32" s="240" customFormat="1">
      <c r="A1334" s="48"/>
      <c r="B1334" s="31"/>
      <c r="C1334" s="48"/>
      <c r="D1334" s="47"/>
      <c r="E1334" s="47"/>
      <c r="F1334" s="31"/>
      <c r="G1334" s="31"/>
      <c r="H1334" s="31"/>
      <c r="I1334" s="47"/>
      <c r="J1334" s="31"/>
      <c r="K1334" s="47"/>
      <c r="L1334" s="47"/>
      <c r="M1334" s="47"/>
      <c r="N1334" s="31"/>
      <c r="O1334" s="47"/>
      <c r="P1334" s="31"/>
      <c r="Q1334" s="31"/>
      <c r="R1334" s="31"/>
      <c r="S1334" s="31"/>
      <c r="T1334" s="270">
        <f t="shared" si="160"/>
        <v>0</v>
      </c>
      <c r="U1334" s="270">
        <f t="shared" si="161"/>
        <v>0</v>
      </c>
      <c r="V1334" s="31"/>
      <c r="X1334" s="240" t="str">
        <f t="shared" si="162"/>
        <v>OK</v>
      </c>
      <c r="Y1334" s="240" t="str">
        <f t="shared" si="163"/>
        <v>OK</v>
      </c>
      <c r="Z1334" s="240" t="str">
        <f t="shared" si="164"/>
        <v>OK</v>
      </c>
      <c r="AA1334" s="240" t="str" cm="1">
        <f t="array" ref="AA1334">IF(OR(AND(J1334="Not accepted",N1334:O1334&lt;&gt;"",$S1334=""),AND(J1334="Accepted",S1334="")),"ERROR","OK")</f>
        <v>OK</v>
      </c>
      <c r="AB1334" s="240" t="str">
        <f t="shared" si="165"/>
        <v>OK</v>
      </c>
      <c r="AC1334" s="240" t="str" cm="1">
        <f t="array" ref="AC1334">IF(AND(F1334:H1334&lt;&gt;"",I1334=""),"ERROR","OK")</f>
        <v>OK</v>
      </c>
      <c r="AD1334" s="240" t="str">
        <f t="shared" si="166"/>
        <v>OK</v>
      </c>
      <c r="AE1334" s="240" t="str">
        <f t="shared" si="167"/>
        <v>OK</v>
      </c>
      <c r="AF1334" s="240" t="str" cm="1">
        <f t="array" aca="1" ref="AF1334" ca="1" xml:space="preserve">
IF(AND($G1334&lt;&gt;"",$F1334=""),"ERROR",
IF(OR($F1334:$G1334="",AND($G1334="",$F1334&lt;&gt;"")),"OK",
IF(COUNTIF(INDIRECT(IFERROR(LEFT($F1334,FIND(" ",$F1334)-1),$F1334)), $G1334)&gt;0, "OK", "ERROR")))</f>
        <v>OK</v>
      </c>
    </row>
    <row r="1335" spans="1:32" s="240" customFormat="1">
      <c r="A1335" s="48"/>
      <c r="B1335" s="31"/>
      <c r="C1335" s="48"/>
      <c r="D1335" s="47"/>
      <c r="E1335" s="47"/>
      <c r="F1335" s="31"/>
      <c r="G1335" s="31"/>
      <c r="H1335" s="31"/>
      <c r="I1335" s="47"/>
      <c r="J1335" s="31"/>
      <c r="K1335" s="47"/>
      <c r="L1335" s="47"/>
      <c r="M1335" s="47"/>
      <c r="N1335" s="31"/>
      <c r="O1335" s="47"/>
      <c r="P1335" s="31"/>
      <c r="Q1335" s="31"/>
      <c r="R1335" s="31"/>
      <c r="S1335" s="31"/>
      <c r="T1335" s="270">
        <f t="shared" si="160"/>
        <v>0</v>
      </c>
      <c r="U1335" s="270">
        <f t="shared" si="161"/>
        <v>0</v>
      </c>
      <c r="V1335" s="31"/>
      <c r="X1335" s="240" t="str">
        <f t="shared" si="162"/>
        <v>OK</v>
      </c>
      <c r="Y1335" s="240" t="str">
        <f t="shared" si="163"/>
        <v>OK</v>
      </c>
      <c r="Z1335" s="240" t="str">
        <f t="shared" si="164"/>
        <v>OK</v>
      </c>
      <c r="AA1335" s="240" t="str" cm="1">
        <f t="array" ref="AA1335">IF(OR(AND(J1335="Not accepted",N1335:O1335&lt;&gt;"",$S1335=""),AND(J1335="Accepted",S1335="")),"ERROR","OK")</f>
        <v>OK</v>
      </c>
      <c r="AB1335" s="240" t="str">
        <f t="shared" si="165"/>
        <v>OK</v>
      </c>
      <c r="AC1335" s="240" t="str" cm="1">
        <f t="array" ref="AC1335">IF(AND(F1335:H1335&lt;&gt;"",I1335=""),"ERROR","OK")</f>
        <v>OK</v>
      </c>
      <c r="AD1335" s="240" t="str">
        <f t="shared" si="166"/>
        <v>OK</v>
      </c>
      <c r="AE1335" s="240" t="str">
        <f t="shared" si="167"/>
        <v>OK</v>
      </c>
      <c r="AF1335" s="240" t="str" cm="1">
        <f t="array" aca="1" ref="AF1335" ca="1" xml:space="preserve">
IF(AND($G1335&lt;&gt;"",$F1335=""),"ERROR",
IF(OR($F1335:$G1335="",AND($G1335="",$F1335&lt;&gt;"")),"OK",
IF(COUNTIF(INDIRECT(IFERROR(LEFT($F1335,FIND(" ",$F1335)-1),$F1335)), $G1335)&gt;0, "OK", "ERROR")))</f>
        <v>OK</v>
      </c>
    </row>
    <row r="1336" spans="1:32" s="240" customFormat="1">
      <c r="A1336" s="48"/>
      <c r="B1336" s="31"/>
      <c r="C1336" s="48"/>
      <c r="D1336" s="47"/>
      <c r="E1336" s="47"/>
      <c r="F1336" s="31"/>
      <c r="G1336" s="31"/>
      <c r="H1336" s="31"/>
      <c r="I1336" s="47"/>
      <c r="J1336" s="31"/>
      <c r="K1336" s="47"/>
      <c r="L1336" s="47"/>
      <c r="M1336" s="47"/>
      <c r="N1336" s="31"/>
      <c r="O1336" s="47"/>
      <c r="P1336" s="31"/>
      <c r="Q1336" s="31"/>
      <c r="R1336" s="31"/>
      <c r="S1336" s="31"/>
      <c r="T1336" s="270">
        <f t="shared" si="160"/>
        <v>0</v>
      </c>
      <c r="U1336" s="270">
        <f t="shared" si="161"/>
        <v>0</v>
      </c>
      <c r="V1336" s="31"/>
      <c r="X1336" s="240" t="str">
        <f t="shared" si="162"/>
        <v>OK</v>
      </c>
      <c r="Y1336" s="240" t="str">
        <f t="shared" si="163"/>
        <v>OK</v>
      </c>
      <c r="Z1336" s="240" t="str">
        <f t="shared" si="164"/>
        <v>OK</v>
      </c>
      <c r="AA1336" s="240" t="str" cm="1">
        <f t="array" ref="AA1336">IF(OR(AND(J1336="Not accepted",N1336:O1336&lt;&gt;"",$S1336=""),AND(J1336="Accepted",S1336="")),"ERROR","OK")</f>
        <v>OK</v>
      </c>
      <c r="AB1336" s="240" t="str">
        <f t="shared" si="165"/>
        <v>OK</v>
      </c>
      <c r="AC1336" s="240" t="str" cm="1">
        <f t="array" ref="AC1336">IF(AND(F1336:H1336&lt;&gt;"",I1336=""),"ERROR","OK")</f>
        <v>OK</v>
      </c>
      <c r="AD1336" s="240" t="str">
        <f t="shared" si="166"/>
        <v>OK</v>
      </c>
      <c r="AE1336" s="240" t="str">
        <f t="shared" si="167"/>
        <v>OK</v>
      </c>
      <c r="AF1336" s="240" t="str" cm="1">
        <f t="array" aca="1" ref="AF1336" ca="1" xml:space="preserve">
IF(AND($G1336&lt;&gt;"",$F1336=""),"ERROR",
IF(OR($F1336:$G1336="",AND($G1336="",$F1336&lt;&gt;"")),"OK",
IF(COUNTIF(INDIRECT(IFERROR(LEFT($F1336,FIND(" ",$F1336)-1),$F1336)), $G1336)&gt;0, "OK", "ERROR")))</f>
        <v>OK</v>
      </c>
    </row>
    <row r="1337" spans="1:32" s="240" customFormat="1">
      <c r="A1337" s="48"/>
      <c r="B1337" s="31"/>
      <c r="C1337" s="48"/>
      <c r="D1337" s="47"/>
      <c r="E1337" s="47"/>
      <c r="F1337" s="31"/>
      <c r="G1337" s="31"/>
      <c r="H1337" s="31"/>
      <c r="I1337" s="47"/>
      <c r="J1337" s="31"/>
      <c r="K1337" s="47"/>
      <c r="L1337" s="47"/>
      <c r="M1337" s="47"/>
      <c r="N1337" s="31"/>
      <c r="O1337" s="47"/>
      <c r="P1337" s="31"/>
      <c r="Q1337" s="31"/>
      <c r="R1337" s="31"/>
      <c r="S1337" s="31"/>
      <c r="T1337" s="270">
        <f t="shared" si="160"/>
        <v>0</v>
      </c>
      <c r="U1337" s="270">
        <f t="shared" si="161"/>
        <v>0</v>
      </c>
      <c r="V1337" s="31"/>
      <c r="X1337" s="240" t="str">
        <f t="shared" si="162"/>
        <v>OK</v>
      </c>
      <c r="Y1337" s="240" t="str">
        <f t="shared" si="163"/>
        <v>OK</v>
      </c>
      <c r="Z1337" s="240" t="str">
        <f t="shared" si="164"/>
        <v>OK</v>
      </c>
      <c r="AA1337" s="240" t="str" cm="1">
        <f t="array" ref="AA1337">IF(OR(AND(J1337="Not accepted",N1337:O1337&lt;&gt;"",$S1337=""),AND(J1337="Accepted",S1337="")),"ERROR","OK")</f>
        <v>OK</v>
      </c>
      <c r="AB1337" s="240" t="str">
        <f t="shared" si="165"/>
        <v>OK</v>
      </c>
      <c r="AC1337" s="240" t="str" cm="1">
        <f t="array" ref="AC1337">IF(AND(F1337:H1337&lt;&gt;"",I1337=""),"ERROR","OK")</f>
        <v>OK</v>
      </c>
      <c r="AD1337" s="240" t="str">
        <f t="shared" si="166"/>
        <v>OK</v>
      </c>
      <c r="AE1337" s="240" t="str">
        <f t="shared" si="167"/>
        <v>OK</v>
      </c>
      <c r="AF1337" s="240" t="str" cm="1">
        <f t="array" aca="1" ref="AF1337" ca="1" xml:space="preserve">
IF(AND($G1337&lt;&gt;"",$F1337=""),"ERROR",
IF(OR($F1337:$G1337="",AND($G1337="",$F1337&lt;&gt;"")),"OK",
IF(COUNTIF(INDIRECT(IFERROR(LEFT($F1337,FIND(" ",$F1337)-1),$F1337)), $G1337)&gt;0, "OK", "ERROR")))</f>
        <v>OK</v>
      </c>
    </row>
    <row r="1338" spans="1:32" s="240" customFormat="1">
      <c r="A1338" s="48"/>
      <c r="B1338" s="31"/>
      <c r="C1338" s="48"/>
      <c r="D1338" s="47"/>
      <c r="E1338" s="47"/>
      <c r="F1338" s="31"/>
      <c r="G1338" s="31"/>
      <c r="H1338" s="31"/>
      <c r="I1338" s="47"/>
      <c r="J1338" s="31"/>
      <c r="K1338" s="47"/>
      <c r="L1338" s="47"/>
      <c r="M1338" s="47"/>
      <c r="N1338" s="31"/>
      <c r="O1338" s="47"/>
      <c r="P1338" s="31"/>
      <c r="Q1338" s="31"/>
      <c r="R1338" s="31"/>
      <c r="S1338" s="31"/>
      <c r="T1338" s="270">
        <f t="shared" si="160"/>
        <v>0</v>
      </c>
      <c r="U1338" s="270">
        <f t="shared" si="161"/>
        <v>0</v>
      </c>
      <c r="V1338" s="31"/>
      <c r="X1338" s="240" t="str">
        <f t="shared" si="162"/>
        <v>OK</v>
      </c>
      <c r="Y1338" s="240" t="str">
        <f t="shared" si="163"/>
        <v>OK</v>
      </c>
      <c r="Z1338" s="240" t="str">
        <f t="shared" si="164"/>
        <v>OK</v>
      </c>
      <c r="AA1338" s="240" t="str" cm="1">
        <f t="array" ref="AA1338">IF(OR(AND(J1338="Not accepted",N1338:O1338&lt;&gt;"",$S1338=""),AND(J1338="Accepted",S1338="")),"ERROR","OK")</f>
        <v>OK</v>
      </c>
      <c r="AB1338" s="240" t="str">
        <f t="shared" si="165"/>
        <v>OK</v>
      </c>
      <c r="AC1338" s="240" t="str" cm="1">
        <f t="array" ref="AC1338">IF(AND(F1338:H1338&lt;&gt;"",I1338=""),"ERROR","OK")</f>
        <v>OK</v>
      </c>
      <c r="AD1338" s="240" t="str">
        <f t="shared" si="166"/>
        <v>OK</v>
      </c>
      <c r="AE1338" s="240" t="str">
        <f t="shared" si="167"/>
        <v>OK</v>
      </c>
      <c r="AF1338" s="240" t="str" cm="1">
        <f t="array" aca="1" ref="AF1338" ca="1" xml:space="preserve">
IF(AND($G1338&lt;&gt;"",$F1338=""),"ERROR",
IF(OR($F1338:$G1338="",AND($G1338="",$F1338&lt;&gt;"")),"OK",
IF(COUNTIF(INDIRECT(IFERROR(LEFT($F1338,FIND(" ",$F1338)-1),$F1338)), $G1338)&gt;0, "OK", "ERROR")))</f>
        <v>OK</v>
      </c>
    </row>
    <row r="1339" spans="1:32" s="240" customFormat="1">
      <c r="A1339" s="48"/>
      <c r="B1339" s="31"/>
      <c r="C1339" s="48"/>
      <c r="D1339" s="47"/>
      <c r="E1339" s="47"/>
      <c r="F1339" s="31"/>
      <c r="G1339" s="31"/>
      <c r="H1339" s="31"/>
      <c r="I1339" s="47"/>
      <c r="J1339" s="31"/>
      <c r="K1339" s="47"/>
      <c r="L1339" s="47"/>
      <c r="M1339" s="47"/>
      <c r="N1339" s="31"/>
      <c r="O1339" s="47"/>
      <c r="P1339" s="31"/>
      <c r="Q1339" s="31"/>
      <c r="R1339" s="31"/>
      <c r="S1339" s="31"/>
      <c r="T1339" s="270">
        <f t="shared" si="160"/>
        <v>0</v>
      </c>
      <c r="U1339" s="270">
        <f t="shared" si="161"/>
        <v>0</v>
      </c>
      <c r="V1339" s="31"/>
      <c r="X1339" s="240" t="str">
        <f t="shared" si="162"/>
        <v>OK</v>
      </c>
      <c r="Y1339" s="240" t="str">
        <f t="shared" si="163"/>
        <v>OK</v>
      </c>
      <c r="Z1339" s="240" t="str">
        <f t="shared" si="164"/>
        <v>OK</v>
      </c>
      <c r="AA1339" s="240" t="str" cm="1">
        <f t="array" ref="AA1339">IF(OR(AND(J1339="Not accepted",N1339:O1339&lt;&gt;"",$S1339=""),AND(J1339="Accepted",S1339="")),"ERROR","OK")</f>
        <v>OK</v>
      </c>
      <c r="AB1339" s="240" t="str">
        <f t="shared" si="165"/>
        <v>OK</v>
      </c>
      <c r="AC1339" s="240" t="str" cm="1">
        <f t="array" ref="AC1339">IF(AND(F1339:H1339&lt;&gt;"",I1339=""),"ERROR","OK")</f>
        <v>OK</v>
      </c>
      <c r="AD1339" s="240" t="str">
        <f t="shared" si="166"/>
        <v>OK</v>
      </c>
      <c r="AE1339" s="240" t="str">
        <f t="shared" si="167"/>
        <v>OK</v>
      </c>
      <c r="AF1339" s="240" t="str" cm="1">
        <f t="array" aca="1" ref="AF1339" ca="1" xml:space="preserve">
IF(AND($G1339&lt;&gt;"",$F1339=""),"ERROR",
IF(OR($F1339:$G1339="",AND($G1339="",$F1339&lt;&gt;"")),"OK",
IF(COUNTIF(INDIRECT(IFERROR(LEFT($F1339,FIND(" ",$F1339)-1),$F1339)), $G1339)&gt;0, "OK", "ERROR")))</f>
        <v>OK</v>
      </c>
    </row>
    <row r="1340" spans="1:32" s="240" customFormat="1">
      <c r="A1340" s="48"/>
      <c r="B1340" s="31"/>
      <c r="C1340" s="48"/>
      <c r="D1340" s="47"/>
      <c r="E1340" s="47"/>
      <c r="F1340" s="31"/>
      <c r="G1340" s="31"/>
      <c r="H1340" s="31"/>
      <c r="I1340" s="47"/>
      <c r="J1340" s="31"/>
      <c r="K1340" s="47"/>
      <c r="L1340" s="47"/>
      <c r="M1340" s="47"/>
      <c r="N1340" s="31"/>
      <c r="O1340" s="47"/>
      <c r="P1340" s="31"/>
      <c r="Q1340" s="31"/>
      <c r="R1340" s="31"/>
      <c r="S1340" s="31"/>
      <c r="T1340" s="270">
        <f t="shared" si="160"/>
        <v>0</v>
      </c>
      <c r="U1340" s="270">
        <f t="shared" si="161"/>
        <v>0</v>
      </c>
      <c r="V1340" s="31"/>
      <c r="X1340" s="240" t="str">
        <f t="shared" si="162"/>
        <v>OK</v>
      </c>
      <c r="Y1340" s="240" t="str">
        <f t="shared" si="163"/>
        <v>OK</v>
      </c>
      <c r="Z1340" s="240" t="str">
        <f t="shared" si="164"/>
        <v>OK</v>
      </c>
      <c r="AA1340" s="240" t="str" cm="1">
        <f t="array" ref="AA1340">IF(OR(AND(J1340="Not accepted",N1340:O1340&lt;&gt;"",$S1340=""),AND(J1340="Accepted",S1340="")),"ERROR","OK")</f>
        <v>OK</v>
      </c>
      <c r="AB1340" s="240" t="str">
        <f t="shared" si="165"/>
        <v>OK</v>
      </c>
      <c r="AC1340" s="240" t="str" cm="1">
        <f t="array" ref="AC1340">IF(AND(F1340:H1340&lt;&gt;"",I1340=""),"ERROR","OK")</f>
        <v>OK</v>
      </c>
      <c r="AD1340" s="240" t="str">
        <f t="shared" si="166"/>
        <v>OK</v>
      </c>
      <c r="AE1340" s="240" t="str">
        <f t="shared" si="167"/>
        <v>OK</v>
      </c>
      <c r="AF1340" s="240" t="str" cm="1">
        <f t="array" aca="1" ref="AF1340" ca="1" xml:space="preserve">
IF(AND($G1340&lt;&gt;"",$F1340=""),"ERROR",
IF(OR($F1340:$G1340="",AND($G1340="",$F1340&lt;&gt;"")),"OK",
IF(COUNTIF(INDIRECT(IFERROR(LEFT($F1340,FIND(" ",$F1340)-1),$F1340)), $G1340)&gt;0, "OK", "ERROR")))</f>
        <v>OK</v>
      </c>
    </row>
    <row r="1341" spans="1:32" s="240" customFormat="1">
      <c r="A1341" s="48"/>
      <c r="B1341" s="31"/>
      <c r="C1341" s="48"/>
      <c r="D1341" s="47"/>
      <c r="E1341" s="47"/>
      <c r="F1341" s="31"/>
      <c r="G1341" s="31"/>
      <c r="H1341" s="31"/>
      <c r="I1341" s="47"/>
      <c r="J1341" s="31"/>
      <c r="K1341" s="47"/>
      <c r="L1341" s="47"/>
      <c r="M1341" s="47"/>
      <c r="N1341" s="31"/>
      <c r="O1341" s="47"/>
      <c r="P1341" s="31"/>
      <c r="Q1341" s="31"/>
      <c r="R1341" s="31"/>
      <c r="S1341" s="31"/>
      <c r="T1341" s="270">
        <f t="shared" si="160"/>
        <v>0</v>
      </c>
      <c r="U1341" s="270">
        <f t="shared" si="161"/>
        <v>0</v>
      </c>
      <c r="V1341" s="31"/>
      <c r="X1341" s="240" t="str">
        <f t="shared" si="162"/>
        <v>OK</v>
      </c>
      <c r="Y1341" s="240" t="str">
        <f t="shared" si="163"/>
        <v>OK</v>
      </c>
      <c r="Z1341" s="240" t="str">
        <f t="shared" si="164"/>
        <v>OK</v>
      </c>
      <c r="AA1341" s="240" t="str" cm="1">
        <f t="array" ref="AA1341">IF(OR(AND(J1341="Not accepted",N1341:O1341&lt;&gt;"",$S1341=""),AND(J1341="Accepted",S1341="")),"ERROR","OK")</f>
        <v>OK</v>
      </c>
      <c r="AB1341" s="240" t="str">
        <f t="shared" si="165"/>
        <v>OK</v>
      </c>
      <c r="AC1341" s="240" t="str" cm="1">
        <f t="array" ref="AC1341">IF(AND(F1341:H1341&lt;&gt;"",I1341=""),"ERROR","OK")</f>
        <v>OK</v>
      </c>
      <c r="AD1341" s="240" t="str">
        <f t="shared" si="166"/>
        <v>OK</v>
      </c>
      <c r="AE1341" s="240" t="str">
        <f t="shared" si="167"/>
        <v>OK</v>
      </c>
      <c r="AF1341" s="240" t="str" cm="1">
        <f t="array" aca="1" ref="AF1341" ca="1" xml:space="preserve">
IF(AND($G1341&lt;&gt;"",$F1341=""),"ERROR",
IF(OR($F1341:$G1341="",AND($G1341="",$F1341&lt;&gt;"")),"OK",
IF(COUNTIF(INDIRECT(IFERROR(LEFT($F1341,FIND(" ",$F1341)-1),$F1341)), $G1341)&gt;0, "OK", "ERROR")))</f>
        <v>OK</v>
      </c>
    </row>
    <row r="1342" spans="1:32" s="240" customFormat="1">
      <c r="A1342" s="48"/>
      <c r="B1342" s="31"/>
      <c r="C1342" s="48"/>
      <c r="D1342" s="47"/>
      <c r="E1342" s="47"/>
      <c r="F1342" s="31"/>
      <c r="G1342" s="31"/>
      <c r="H1342" s="31"/>
      <c r="I1342" s="47"/>
      <c r="J1342" s="31"/>
      <c r="K1342" s="47"/>
      <c r="L1342" s="47"/>
      <c r="M1342" s="47"/>
      <c r="N1342" s="31"/>
      <c r="O1342" s="47"/>
      <c r="P1342" s="31"/>
      <c r="Q1342" s="31"/>
      <c r="R1342" s="31"/>
      <c r="S1342" s="31"/>
      <c r="T1342" s="270">
        <f t="shared" si="160"/>
        <v>0</v>
      </c>
      <c r="U1342" s="270">
        <f t="shared" si="161"/>
        <v>0</v>
      </c>
      <c r="V1342" s="31"/>
      <c r="X1342" s="240" t="str">
        <f t="shared" si="162"/>
        <v>OK</v>
      </c>
      <c r="Y1342" s="240" t="str">
        <f t="shared" si="163"/>
        <v>OK</v>
      </c>
      <c r="Z1342" s="240" t="str">
        <f t="shared" si="164"/>
        <v>OK</v>
      </c>
      <c r="AA1342" s="240" t="str" cm="1">
        <f t="array" ref="AA1342">IF(OR(AND(J1342="Not accepted",N1342:O1342&lt;&gt;"",$S1342=""),AND(J1342="Accepted",S1342="")),"ERROR","OK")</f>
        <v>OK</v>
      </c>
      <c r="AB1342" s="240" t="str">
        <f t="shared" si="165"/>
        <v>OK</v>
      </c>
      <c r="AC1342" s="240" t="str" cm="1">
        <f t="array" ref="AC1342">IF(AND(F1342:H1342&lt;&gt;"",I1342=""),"ERROR","OK")</f>
        <v>OK</v>
      </c>
      <c r="AD1342" s="240" t="str">
        <f t="shared" si="166"/>
        <v>OK</v>
      </c>
      <c r="AE1342" s="240" t="str">
        <f t="shared" si="167"/>
        <v>OK</v>
      </c>
      <c r="AF1342" s="240" t="str" cm="1">
        <f t="array" aca="1" ref="AF1342" ca="1" xml:space="preserve">
IF(AND($G1342&lt;&gt;"",$F1342=""),"ERROR",
IF(OR($F1342:$G1342="",AND($G1342="",$F1342&lt;&gt;"")),"OK",
IF(COUNTIF(INDIRECT(IFERROR(LEFT($F1342,FIND(" ",$F1342)-1),$F1342)), $G1342)&gt;0, "OK", "ERROR")))</f>
        <v>OK</v>
      </c>
    </row>
    <row r="1343" spans="1:32" s="240" customFormat="1">
      <c r="A1343" s="48"/>
      <c r="B1343" s="31"/>
      <c r="C1343" s="48"/>
      <c r="D1343" s="47"/>
      <c r="E1343" s="47"/>
      <c r="F1343" s="31"/>
      <c r="G1343" s="31"/>
      <c r="H1343" s="31"/>
      <c r="I1343" s="47"/>
      <c r="J1343" s="31"/>
      <c r="K1343" s="47"/>
      <c r="L1343" s="47"/>
      <c r="M1343" s="47"/>
      <c r="N1343" s="31"/>
      <c r="O1343" s="47"/>
      <c r="P1343" s="31"/>
      <c r="Q1343" s="31"/>
      <c r="R1343" s="31"/>
      <c r="S1343" s="31"/>
      <c r="T1343" s="270">
        <f t="shared" si="160"/>
        <v>0</v>
      </c>
      <c r="U1343" s="270">
        <f t="shared" si="161"/>
        <v>0</v>
      </c>
      <c r="V1343" s="31"/>
      <c r="X1343" s="240" t="str">
        <f t="shared" si="162"/>
        <v>OK</v>
      </c>
      <c r="Y1343" s="240" t="str">
        <f t="shared" si="163"/>
        <v>OK</v>
      </c>
      <c r="Z1343" s="240" t="str">
        <f t="shared" si="164"/>
        <v>OK</v>
      </c>
      <c r="AA1343" s="240" t="str" cm="1">
        <f t="array" ref="AA1343">IF(OR(AND(J1343="Not accepted",N1343:O1343&lt;&gt;"",$S1343=""),AND(J1343="Accepted",S1343="")),"ERROR","OK")</f>
        <v>OK</v>
      </c>
      <c r="AB1343" s="240" t="str">
        <f t="shared" si="165"/>
        <v>OK</v>
      </c>
      <c r="AC1343" s="240" t="str" cm="1">
        <f t="array" ref="AC1343">IF(AND(F1343:H1343&lt;&gt;"",I1343=""),"ERROR","OK")</f>
        <v>OK</v>
      </c>
      <c r="AD1343" s="240" t="str">
        <f t="shared" si="166"/>
        <v>OK</v>
      </c>
      <c r="AE1343" s="240" t="str">
        <f t="shared" si="167"/>
        <v>OK</v>
      </c>
      <c r="AF1343" s="240" t="str" cm="1">
        <f t="array" aca="1" ref="AF1343" ca="1" xml:space="preserve">
IF(AND($G1343&lt;&gt;"",$F1343=""),"ERROR",
IF(OR($F1343:$G1343="",AND($G1343="",$F1343&lt;&gt;"")),"OK",
IF(COUNTIF(INDIRECT(IFERROR(LEFT($F1343,FIND(" ",$F1343)-1),$F1343)), $G1343)&gt;0, "OK", "ERROR")))</f>
        <v>OK</v>
      </c>
    </row>
    <row r="1344" spans="1:32" s="240" customFormat="1">
      <c r="A1344" s="48"/>
      <c r="B1344" s="31"/>
      <c r="C1344" s="48"/>
      <c r="D1344" s="47"/>
      <c r="E1344" s="47"/>
      <c r="F1344" s="31"/>
      <c r="G1344" s="31"/>
      <c r="H1344" s="31"/>
      <c r="I1344" s="47"/>
      <c r="J1344" s="31"/>
      <c r="K1344" s="47"/>
      <c r="L1344" s="47"/>
      <c r="M1344" s="47"/>
      <c r="N1344" s="31"/>
      <c r="O1344" s="47"/>
      <c r="P1344" s="31"/>
      <c r="Q1344" s="31"/>
      <c r="R1344" s="31"/>
      <c r="S1344" s="31"/>
      <c r="T1344" s="270">
        <f t="shared" si="160"/>
        <v>0</v>
      </c>
      <c r="U1344" s="270">
        <f t="shared" si="161"/>
        <v>0</v>
      </c>
      <c r="V1344" s="31"/>
      <c r="X1344" s="240" t="str">
        <f t="shared" si="162"/>
        <v>OK</v>
      </c>
      <c r="Y1344" s="240" t="str">
        <f t="shared" si="163"/>
        <v>OK</v>
      </c>
      <c r="Z1344" s="240" t="str">
        <f t="shared" si="164"/>
        <v>OK</v>
      </c>
      <c r="AA1344" s="240" t="str" cm="1">
        <f t="array" ref="AA1344">IF(OR(AND(J1344="Not accepted",N1344:O1344&lt;&gt;"",$S1344=""),AND(J1344="Accepted",S1344="")),"ERROR","OK")</f>
        <v>OK</v>
      </c>
      <c r="AB1344" s="240" t="str">
        <f t="shared" si="165"/>
        <v>OK</v>
      </c>
      <c r="AC1344" s="240" t="str" cm="1">
        <f t="array" ref="AC1344">IF(AND(F1344:H1344&lt;&gt;"",I1344=""),"ERROR","OK")</f>
        <v>OK</v>
      </c>
      <c r="AD1344" s="240" t="str">
        <f t="shared" si="166"/>
        <v>OK</v>
      </c>
      <c r="AE1344" s="240" t="str">
        <f t="shared" si="167"/>
        <v>OK</v>
      </c>
      <c r="AF1344" s="240" t="str" cm="1">
        <f t="array" aca="1" ref="AF1344" ca="1" xml:space="preserve">
IF(AND($G1344&lt;&gt;"",$F1344=""),"ERROR",
IF(OR($F1344:$G1344="",AND($G1344="",$F1344&lt;&gt;"")),"OK",
IF(COUNTIF(INDIRECT(IFERROR(LEFT($F1344,FIND(" ",$F1344)-1),$F1344)), $G1344)&gt;0, "OK", "ERROR")))</f>
        <v>OK</v>
      </c>
    </row>
    <row r="1345" spans="1:32" s="240" customFormat="1">
      <c r="A1345" s="48"/>
      <c r="B1345" s="31"/>
      <c r="C1345" s="48"/>
      <c r="D1345" s="47"/>
      <c r="E1345" s="47"/>
      <c r="F1345" s="31"/>
      <c r="G1345" s="31"/>
      <c r="H1345" s="31"/>
      <c r="I1345" s="47"/>
      <c r="J1345" s="31"/>
      <c r="K1345" s="47"/>
      <c r="L1345" s="47"/>
      <c r="M1345" s="47"/>
      <c r="N1345" s="31"/>
      <c r="O1345" s="47"/>
      <c r="P1345" s="31"/>
      <c r="Q1345" s="31"/>
      <c r="R1345" s="31"/>
      <c r="S1345" s="31"/>
      <c r="T1345" s="270">
        <f t="shared" si="160"/>
        <v>0</v>
      </c>
      <c r="U1345" s="270">
        <f t="shared" si="161"/>
        <v>0</v>
      </c>
      <c r="V1345" s="31"/>
      <c r="X1345" s="240" t="str">
        <f t="shared" si="162"/>
        <v>OK</v>
      </c>
      <c r="Y1345" s="240" t="str">
        <f t="shared" si="163"/>
        <v>OK</v>
      </c>
      <c r="Z1345" s="240" t="str">
        <f t="shared" si="164"/>
        <v>OK</v>
      </c>
      <c r="AA1345" s="240" t="str" cm="1">
        <f t="array" ref="AA1345">IF(OR(AND(J1345="Not accepted",N1345:O1345&lt;&gt;"",$S1345=""),AND(J1345="Accepted",S1345="")),"ERROR","OK")</f>
        <v>OK</v>
      </c>
      <c r="AB1345" s="240" t="str">
        <f t="shared" si="165"/>
        <v>OK</v>
      </c>
      <c r="AC1345" s="240" t="str" cm="1">
        <f t="array" ref="AC1345">IF(AND(F1345:H1345&lt;&gt;"",I1345=""),"ERROR","OK")</f>
        <v>OK</v>
      </c>
      <c r="AD1345" s="240" t="str">
        <f t="shared" si="166"/>
        <v>OK</v>
      </c>
      <c r="AE1345" s="240" t="str">
        <f t="shared" si="167"/>
        <v>OK</v>
      </c>
      <c r="AF1345" s="240" t="str" cm="1">
        <f t="array" aca="1" ref="AF1345" ca="1" xml:space="preserve">
IF(AND($G1345&lt;&gt;"",$F1345=""),"ERROR",
IF(OR($F1345:$G1345="",AND($G1345="",$F1345&lt;&gt;"")),"OK",
IF(COUNTIF(INDIRECT(IFERROR(LEFT($F1345,FIND(" ",$F1345)-1),$F1345)), $G1345)&gt;0, "OK", "ERROR")))</f>
        <v>OK</v>
      </c>
    </row>
    <row r="1346" spans="1:32" s="240" customFormat="1">
      <c r="A1346" s="48"/>
      <c r="B1346" s="31"/>
      <c r="C1346" s="48"/>
      <c r="D1346" s="47"/>
      <c r="E1346" s="47"/>
      <c r="F1346" s="31"/>
      <c r="G1346" s="31"/>
      <c r="H1346" s="31"/>
      <c r="I1346" s="47"/>
      <c r="J1346" s="31"/>
      <c r="K1346" s="47"/>
      <c r="L1346" s="47"/>
      <c r="M1346" s="47"/>
      <c r="N1346" s="31"/>
      <c r="O1346" s="47"/>
      <c r="P1346" s="31"/>
      <c r="Q1346" s="31"/>
      <c r="R1346" s="31"/>
      <c r="S1346" s="31"/>
      <c r="T1346" s="270">
        <f t="shared" si="160"/>
        <v>0</v>
      </c>
      <c r="U1346" s="270">
        <f t="shared" si="161"/>
        <v>0</v>
      </c>
      <c r="V1346" s="31"/>
      <c r="X1346" s="240" t="str">
        <f t="shared" si="162"/>
        <v>OK</v>
      </c>
      <c r="Y1346" s="240" t="str">
        <f t="shared" si="163"/>
        <v>OK</v>
      </c>
      <c r="Z1346" s="240" t="str">
        <f t="shared" si="164"/>
        <v>OK</v>
      </c>
      <c r="AA1346" s="240" t="str" cm="1">
        <f t="array" ref="AA1346">IF(OR(AND(J1346="Not accepted",N1346:O1346&lt;&gt;"",$S1346=""),AND(J1346="Accepted",S1346="")),"ERROR","OK")</f>
        <v>OK</v>
      </c>
      <c r="AB1346" s="240" t="str">
        <f t="shared" si="165"/>
        <v>OK</v>
      </c>
      <c r="AC1346" s="240" t="str" cm="1">
        <f t="array" ref="AC1346">IF(AND(F1346:H1346&lt;&gt;"",I1346=""),"ERROR","OK")</f>
        <v>OK</v>
      </c>
      <c r="AD1346" s="240" t="str">
        <f t="shared" si="166"/>
        <v>OK</v>
      </c>
      <c r="AE1346" s="240" t="str">
        <f t="shared" si="167"/>
        <v>OK</v>
      </c>
      <c r="AF1346" s="240" t="str" cm="1">
        <f t="array" aca="1" ref="AF1346" ca="1" xml:space="preserve">
IF(AND($G1346&lt;&gt;"",$F1346=""),"ERROR",
IF(OR($F1346:$G1346="",AND($G1346="",$F1346&lt;&gt;"")),"OK",
IF(COUNTIF(INDIRECT(IFERROR(LEFT($F1346,FIND(" ",$F1346)-1),$F1346)), $G1346)&gt;0, "OK", "ERROR")))</f>
        <v>OK</v>
      </c>
    </row>
    <row r="1347" spans="1:32" s="240" customFormat="1">
      <c r="A1347" s="48"/>
      <c r="B1347" s="31"/>
      <c r="C1347" s="48"/>
      <c r="D1347" s="47"/>
      <c r="E1347" s="47"/>
      <c r="F1347" s="31"/>
      <c r="G1347" s="31"/>
      <c r="H1347" s="31"/>
      <c r="I1347" s="47"/>
      <c r="J1347" s="31"/>
      <c r="K1347" s="47"/>
      <c r="L1347" s="47"/>
      <c r="M1347" s="47"/>
      <c r="N1347" s="31"/>
      <c r="O1347" s="47"/>
      <c r="P1347" s="31"/>
      <c r="Q1347" s="31"/>
      <c r="R1347" s="31"/>
      <c r="S1347" s="31"/>
      <c r="T1347" s="270">
        <f t="shared" si="160"/>
        <v>0</v>
      </c>
      <c r="U1347" s="270">
        <f t="shared" si="161"/>
        <v>0</v>
      </c>
      <c r="V1347" s="31"/>
      <c r="X1347" s="240" t="str">
        <f t="shared" si="162"/>
        <v>OK</v>
      </c>
      <c r="Y1347" s="240" t="str">
        <f t="shared" si="163"/>
        <v>OK</v>
      </c>
      <c r="Z1347" s="240" t="str">
        <f t="shared" si="164"/>
        <v>OK</v>
      </c>
      <c r="AA1347" s="240" t="str" cm="1">
        <f t="array" ref="AA1347">IF(OR(AND(J1347="Not accepted",N1347:O1347&lt;&gt;"",$S1347=""),AND(J1347="Accepted",S1347="")),"ERROR","OK")</f>
        <v>OK</v>
      </c>
      <c r="AB1347" s="240" t="str">
        <f t="shared" si="165"/>
        <v>OK</v>
      </c>
      <c r="AC1347" s="240" t="str" cm="1">
        <f t="array" ref="AC1347">IF(AND(F1347:H1347&lt;&gt;"",I1347=""),"ERROR","OK")</f>
        <v>OK</v>
      </c>
      <c r="AD1347" s="240" t="str">
        <f t="shared" si="166"/>
        <v>OK</v>
      </c>
      <c r="AE1347" s="240" t="str">
        <f t="shared" si="167"/>
        <v>OK</v>
      </c>
      <c r="AF1347" s="240" t="str" cm="1">
        <f t="array" aca="1" ref="AF1347" ca="1" xml:space="preserve">
IF(AND($G1347&lt;&gt;"",$F1347=""),"ERROR",
IF(OR($F1347:$G1347="",AND($G1347="",$F1347&lt;&gt;"")),"OK",
IF(COUNTIF(INDIRECT(IFERROR(LEFT($F1347,FIND(" ",$F1347)-1),$F1347)), $G1347)&gt;0, "OK", "ERROR")))</f>
        <v>OK</v>
      </c>
    </row>
    <row r="1348" spans="1:32" s="240" customFormat="1">
      <c r="A1348" s="48"/>
      <c r="B1348" s="31"/>
      <c r="C1348" s="48"/>
      <c r="D1348" s="47"/>
      <c r="E1348" s="47"/>
      <c r="F1348" s="31"/>
      <c r="G1348" s="31"/>
      <c r="H1348" s="31"/>
      <c r="I1348" s="47"/>
      <c r="J1348" s="31"/>
      <c r="K1348" s="47"/>
      <c r="L1348" s="47"/>
      <c r="M1348" s="47"/>
      <c r="N1348" s="31"/>
      <c r="O1348" s="47"/>
      <c r="P1348" s="31"/>
      <c r="Q1348" s="31"/>
      <c r="R1348" s="31"/>
      <c r="S1348" s="31"/>
      <c r="T1348" s="270">
        <f t="shared" si="160"/>
        <v>0</v>
      </c>
      <c r="U1348" s="270">
        <f t="shared" si="161"/>
        <v>0</v>
      </c>
      <c r="V1348" s="31"/>
      <c r="X1348" s="240" t="str">
        <f t="shared" si="162"/>
        <v>OK</v>
      </c>
      <c r="Y1348" s="240" t="str">
        <f t="shared" si="163"/>
        <v>OK</v>
      </c>
      <c r="Z1348" s="240" t="str">
        <f t="shared" si="164"/>
        <v>OK</v>
      </c>
      <c r="AA1348" s="240" t="str" cm="1">
        <f t="array" ref="AA1348">IF(OR(AND(J1348="Not accepted",N1348:O1348&lt;&gt;"",$S1348=""),AND(J1348="Accepted",S1348="")),"ERROR","OK")</f>
        <v>OK</v>
      </c>
      <c r="AB1348" s="240" t="str">
        <f t="shared" si="165"/>
        <v>OK</v>
      </c>
      <c r="AC1348" s="240" t="str" cm="1">
        <f t="array" ref="AC1348">IF(AND(F1348:H1348&lt;&gt;"",I1348=""),"ERROR","OK")</f>
        <v>OK</v>
      </c>
      <c r="AD1348" s="240" t="str">
        <f t="shared" si="166"/>
        <v>OK</v>
      </c>
      <c r="AE1348" s="240" t="str">
        <f t="shared" si="167"/>
        <v>OK</v>
      </c>
      <c r="AF1348" s="240" t="str" cm="1">
        <f t="array" aca="1" ref="AF1348" ca="1" xml:space="preserve">
IF(AND($G1348&lt;&gt;"",$F1348=""),"ERROR",
IF(OR($F1348:$G1348="",AND($G1348="",$F1348&lt;&gt;"")),"OK",
IF(COUNTIF(INDIRECT(IFERROR(LEFT($F1348,FIND(" ",$F1348)-1),$F1348)), $G1348)&gt;0, "OK", "ERROR")))</f>
        <v>OK</v>
      </c>
    </row>
    <row r="1349" spans="1:32" s="240" customFormat="1">
      <c r="A1349" s="48"/>
      <c r="B1349" s="31"/>
      <c r="C1349" s="48"/>
      <c r="D1349" s="47"/>
      <c r="E1349" s="47"/>
      <c r="F1349" s="31"/>
      <c r="G1349" s="31"/>
      <c r="H1349" s="31"/>
      <c r="I1349" s="47"/>
      <c r="J1349" s="31"/>
      <c r="K1349" s="47"/>
      <c r="L1349" s="47"/>
      <c r="M1349" s="47"/>
      <c r="N1349" s="31"/>
      <c r="O1349" s="47"/>
      <c r="P1349" s="31"/>
      <c r="Q1349" s="31"/>
      <c r="R1349" s="31"/>
      <c r="S1349" s="31"/>
      <c r="T1349" s="270">
        <f t="shared" ref="T1349:T1412" si="168">IF(OR($J1349="Accepted",ISBLANK($J1349)),IF(AND($G1349="Legacy Data",$Q1349="Legacy Data"),1,IF(OR($G1349="Legacy Data",$Q1349="Legacy Data"),1,0)),IF(OR($N1349="Agree with original translator",ISBLANK($N1349)),IF(AND($G1349="Source Text Data",$Q1349="Legacy Data"),1,IF(AND($G1349="Legacy Data",$Q1349="Legacy Data"),1,IF($Q1349="Legacy Data",1,0))),IF(AND($G1349="Legacy Data",$Q1349="Legacy Data"),1,IF(OR($Q1349="Legacy Data",ISBLANK($Q1349)),IF($G1349&lt;&gt;"Legacy Data",IF(AND($G1349="Source Text Data",$Q1349="Legacy Data"),1,0),1),0))))</f>
        <v>0</v>
      </c>
      <c r="U1349" s="270">
        <f t="shared" ref="U1349:U1412" si="169">IF(OR($J1349="Accepted",ISBLANK($J1349)),IF(AND($G1349="Source Text Data",$Q1349="Source Text Data"),1,IF(OR($G1349="Source Text Data",$Q1349="Source Text Data"),1,0)),IF(OR($N1349="Agree with original translator",ISBLANK($N1349)),IF(AND($G1349="Legacy Data",$Q1349="Source Text Data"),1,IF(AND($G1349="Source Text Data",$Q1349="Source Text Data"),1,IF($Q1349="Source Text Data",1,0))),IF(AND($G1349="Source Text Data",$Q1349="Source Text Data"),1,IF(OR($Q1349="Source Text Data",ISBLANK($Q1349)),IF($G1349&lt;&gt;"Source Text Data",IF(AND($G1349="Legacy Data",$Q1349="Source Text Data"),1,0),1),0))))</f>
        <v>0</v>
      </c>
      <c r="V1349" s="31"/>
      <c r="X1349" s="240" t="str">
        <f t="shared" ref="X1349:X1412" si="170">IF(AND(COUNTBLANK($F1349:$H1349)&lt;&gt;COLUMNS($F1349:$H1349),COUNTA($F1349:$H1349)&lt;&gt;COLUMNS($F1349:$H1349)),"ERROR","OK")</f>
        <v>OK</v>
      </c>
      <c r="Y1349" s="240" t="str">
        <f t="shared" ref="Y1349:Y1412" si="171">IF(AND($J1349="Not accepted",$K1349=""),"ERROR","OK")</f>
        <v>OK</v>
      </c>
      <c r="Z1349" s="240" t="str">
        <f t="shared" ref="Z1349:Z1412" si="172">IF(AND($F1349&lt;&gt;"",$J1349=""),"ERROR","OK")</f>
        <v>OK</v>
      </c>
      <c r="AA1349" s="240" t="str" cm="1">
        <f t="array" ref="AA1349">IF(OR(AND(J1349="Not accepted",N1349:O1349&lt;&gt;"",$S1349=""),AND(J1349="Accepted",S1349="")),"ERROR","OK")</f>
        <v>OK</v>
      </c>
      <c r="AB1349" s="240" t="str">
        <f t="shared" ref="AB1349:AB1412" si="173">IF(AND($S1349="Not Implemented",$V1349=""),"ERROR","OK")</f>
        <v>OK</v>
      </c>
      <c r="AC1349" s="240" t="str" cm="1">
        <f t="array" ref="AC1349">IF(AND(F1349:H1349&lt;&gt;"",I1349=""),"ERROR","OK")</f>
        <v>OK</v>
      </c>
      <c r="AD1349" s="240" t="str">
        <f t="shared" ref="AD1349:AD1412" si="174">IF(AND($N1349="",$J1349="Not accepted",$K1349&lt;&gt;""),"ERROR","OK")</f>
        <v>OK</v>
      </c>
      <c r="AE1349" s="240" t="str">
        <f t="shared" ref="AE1349:AE1412" si="175">IF(AND($O1349="",$N1349&lt;&gt;""),"ERROR","OK")</f>
        <v>OK</v>
      </c>
      <c r="AF1349" s="240" t="str" cm="1">
        <f t="array" aca="1" ref="AF1349" ca="1" xml:space="preserve">
IF(AND($G1349&lt;&gt;"",$F1349=""),"ERROR",
IF(OR($F1349:$G1349="",AND($G1349="",$F1349&lt;&gt;"")),"OK",
IF(COUNTIF(INDIRECT(IFERROR(LEFT($F1349,FIND(" ",$F1349)-1),$F1349)), $G1349)&gt;0, "OK", "ERROR")))</f>
        <v>OK</v>
      </c>
    </row>
    <row r="1350" spans="1:32" s="240" customFormat="1">
      <c r="A1350" s="48"/>
      <c r="B1350" s="31"/>
      <c r="C1350" s="48"/>
      <c r="D1350" s="47"/>
      <c r="E1350" s="47"/>
      <c r="F1350" s="31"/>
      <c r="G1350" s="31"/>
      <c r="H1350" s="31"/>
      <c r="I1350" s="47"/>
      <c r="J1350" s="31"/>
      <c r="K1350" s="47"/>
      <c r="L1350" s="47"/>
      <c r="M1350" s="47"/>
      <c r="N1350" s="31"/>
      <c r="O1350" s="47"/>
      <c r="P1350" s="31"/>
      <c r="Q1350" s="31"/>
      <c r="R1350" s="31"/>
      <c r="S1350" s="31"/>
      <c r="T1350" s="270">
        <f t="shared" si="168"/>
        <v>0</v>
      </c>
      <c r="U1350" s="270">
        <f t="shared" si="169"/>
        <v>0</v>
      </c>
      <c r="V1350" s="31"/>
      <c r="X1350" s="240" t="str">
        <f t="shared" si="170"/>
        <v>OK</v>
      </c>
      <c r="Y1350" s="240" t="str">
        <f t="shared" si="171"/>
        <v>OK</v>
      </c>
      <c r="Z1350" s="240" t="str">
        <f t="shared" si="172"/>
        <v>OK</v>
      </c>
      <c r="AA1350" s="240" t="str" cm="1">
        <f t="array" ref="AA1350">IF(OR(AND(J1350="Not accepted",N1350:O1350&lt;&gt;"",$S1350=""),AND(J1350="Accepted",S1350="")),"ERROR","OK")</f>
        <v>OK</v>
      </c>
      <c r="AB1350" s="240" t="str">
        <f t="shared" si="173"/>
        <v>OK</v>
      </c>
      <c r="AC1350" s="240" t="str" cm="1">
        <f t="array" ref="AC1350">IF(AND(F1350:H1350&lt;&gt;"",I1350=""),"ERROR","OK")</f>
        <v>OK</v>
      </c>
      <c r="AD1350" s="240" t="str">
        <f t="shared" si="174"/>
        <v>OK</v>
      </c>
      <c r="AE1350" s="240" t="str">
        <f t="shared" si="175"/>
        <v>OK</v>
      </c>
      <c r="AF1350" s="240" t="str" cm="1">
        <f t="array" aca="1" ref="AF1350" ca="1" xml:space="preserve">
IF(AND($G1350&lt;&gt;"",$F1350=""),"ERROR",
IF(OR($F1350:$G1350="",AND($G1350="",$F1350&lt;&gt;"")),"OK",
IF(COUNTIF(INDIRECT(IFERROR(LEFT($F1350,FIND(" ",$F1350)-1),$F1350)), $G1350)&gt;0, "OK", "ERROR")))</f>
        <v>OK</v>
      </c>
    </row>
    <row r="1351" spans="1:32" s="240" customFormat="1">
      <c r="A1351" s="48"/>
      <c r="B1351" s="31"/>
      <c r="C1351" s="48"/>
      <c r="D1351" s="47"/>
      <c r="E1351" s="47"/>
      <c r="F1351" s="31"/>
      <c r="G1351" s="31"/>
      <c r="H1351" s="31"/>
      <c r="I1351" s="47"/>
      <c r="J1351" s="31"/>
      <c r="K1351" s="47"/>
      <c r="L1351" s="47"/>
      <c r="M1351" s="47"/>
      <c r="N1351" s="31"/>
      <c r="O1351" s="47"/>
      <c r="P1351" s="31"/>
      <c r="Q1351" s="31"/>
      <c r="R1351" s="31"/>
      <c r="S1351" s="31"/>
      <c r="T1351" s="270">
        <f t="shared" si="168"/>
        <v>0</v>
      </c>
      <c r="U1351" s="270">
        <f t="shared" si="169"/>
        <v>0</v>
      </c>
      <c r="V1351" s="31"/>
      <c r="X1351" s="240" t="str">
        <f t="shared" si="170"/>
        <v>OK</v>
      </c>
      <c r="Y1351" s="240" t="str">
        <f t="shared" si="171"/>
        <v>OK</v>
      </c>
      <c r="Z1351" s="240" t="str">
        <f t="shared" si="172"/>
        <v>OK</v>
      </c>
      <c r="AA1351" s="240" t="str" cm="1">
        <f t="array" ref="AA1351">IF(OR(AND(J1351="Not accepted",N1351:O1351&lt;&gt;"",$S1351=""),AND(J1351="Accepted",S1351="")),"ERROR","OK")</f>
        <v>OK</v>
      </c>
      <c r="AB1351" s="240" t="str">
        <f t="shared" si="173"/>
        <v>OK</v>
      </c>
      <c r="AC1351" s="240" t="str" cm="1">
        <f t="array" ref="AC1351">IF(AND(F1351:H1351&lt;&gt;"",I1351=""),"ERROR","OK")</f>
        <v>OK</v>
      </c>
      <c r="AD1351" s="240" t="str">
        <f t="shared" si="174"/>
        <v>OK</v>
      </c>
      <c r="AE1351" s="240" t="str">
        <f t="shared" si="175"/>
        <v>OK</v>
      </c>
      <c r="AF1351" s="240" t="str" cm="1">
        <f t="array" aca="1" ref="AF1351" ca="1" xml:space="preserve">
IF(AND($G1351&lt;&gt;"",$F1351=""),"ERROR",
IF(OR($F1351:$G1351="",AND($G1351="",$F1351&lt;&gt;"")),"OK",
IF(COUNTIF(INDIRECT(IFERROR(LEFT($F1351,FIND(" ",$F1351)-1),$F1351)), $G1351)&gt;0, "OK", "ERROR")))</f>
        <v>OK</v>
      </c>
    </row>
    <row r="1352" spans="1:32" s="240" customFormat="1">
      <c r="A1352" s="48"/>
      <c r="B1352" s="31"/>
      <c r="C1352" s="48"/>
      <c r="D1352" s="47"/>
      <c r="E1352" s="47"/>
      <c r="F1352" s="31"/>
      <c r="G1352" s="31"/>
      <c r="H1352" s="31"/>
      <c r="I1352" s="47"/>
      <c r="J1352" s="31"/>
      <c r="K1352" s="47"/>
      <c r="L1352" s="47"/>
      <c r="M1352" s="47"/>
      <c r="N1352" s="31"/>
      <c r="O1352" s="47"/>
      <c r="P1352" s="31"/>
      <c r="Q1352" s="31"/>
      <c r="R1352" s="31"/>
      <c r="S1352" s="31"/>
      <c r="T1352" s="270">
        <f t="shared" si="168"/>
        <v>0</v>
      </c>
      <c r="U1352" s="270">
        <f t="shared" si="169"/>
        <v>0</v>
      </c>
      <c r="V1352" s="31"/>
      <c r="X1352" s="240" t="str">
        <f t="shared" si="170"/>
        <v>OK</v>
      </c>
      <c r="Y1352" s="240" t="str">
        <f t="shared" si="171"/>
        <v>OK</v>
      </c>
      <c r="Z1352" s="240" t="str">
        <f t="shared" si="172"/>
        <v>OK</v>
      </c>
      <c r="AA1352" s="240" t="str" cm="1">
        <f t="array" ref="AA1352">IF(OR(AND(J1352="Not accepted",N1352:O1352&lt;&gt;"",$S1352=""),AND(J1352="Accepted",S1352="")),"ERROR","OK")</f>
        <v>OK</v>
      </c>
      <c r="AB1352" s="240" t="str">
        <f t="shared" si="173"/>
        <v>OK</v>
      </c>
      <c r="AC1352" s="240" t="str" cm="1">
        <f t="array" ref="AC1352">IF(AND(F1352:H1352&lt;&gt;"",I1352=""),"ERROR","OK")</f>
        <v>OK</v>
      </c>
      <c r="AD1352" s="240" t="str">
        <f t="shared" si="174"/>
        <v>OK</v>
      </c>
      <c r="AE1352" s="240" t="str">
        <f t="shared" si="175"/>
        <v>OK</v>
      </c>
      <c r="AF1352" s="240" t="str" cm="1">
        <f t="array" aca="1" ref="AF1352" ca="1" xml:space="preserve">
IF(AND($G1352&lt;&gt;"",$F1352=""),"ERROR",
IF(OR($F1352:$G1352="",AND($G1352="",$F1352&lt;&gt;"")),"OK",
IF(COUNTIF(INDIRECT(IFERROR(LEFT($F1352,FIND(" ",$F1352)-1),$F1352)), $G1352)&gt;0, "OK", "ERROR")))</f>
        <v>OK</v>
      </c>
    </row>
    <row r="1353" spans="1:32" s="240" customFormat="1">
      <c r="A1353" s="48"/>
      <c r="B1353" s="31"/>
      <c r="C1353" s="48"/>
      <c r="D1353" s="47"/>
      <c r="E1353" s="47"/>
      <c r="F1353" s="31"/>
      <c r="G1353" s="31"/>
      <c r="H1353" s="31"/>
      <c r="I1353" s="47"/>
      <c r="J1353" s="31"/>
      <c r="K1353" s="47"/>
      <c r="L1353" s="47"/>
      <c r="M1353" s="47"/>
      <c r="N1353" s="31"/>
      <c r="O1353" s="47"/>
      <c r="P1353" s="31"/>
      <c r="Q1353" s="31"/>
      <c r="R1353" s="31"/>
      <c r="S1353" s="31"/>
      <c r="T1353" s="270">
        <f t="shared" si="168"/>
        <v>0</v>
      </c>
      <c r="U1353" s="270">
        <f t="shared" si="169"/>
        <v>0</v>
      </c>
      <c r="V1353" s="31"/>
      <c r="X1353" s="240" t="str">
        <f t="shared" si="170"/>
        <v>OK</v>
      </c>
      <c r="Y1353" s="240" t="str">
        <f t="shared" si="171"/>
        <v>OK</v>
      </c>
      <c r="Z1353" s="240" t="str">
        <f t="shared" si="172"/>
        <v>OK</v>
      </c>
      <c r="AA1353" s="240" t="str" cm="1">
        <f t="array" ref="AA1353">IF(OR(AND(J1353="Not accepted",N1353:O1353&lt;&gt;"",$S1353=""),AND(J1353="Accepted",S1353="")),"ERROR","OK")</f>
        <v>OK</v>
      </c>
      <c r="AB1353" s="240" t="str">
        <f t="shared" si="173"/>
        <v>OK</v>
      </c>
      <c r="AC1353" s="240" t="str" cm="1">
        <f t="array" ref="AC1353">IF(AND(F1353:H1353&lt;&gt;"",I1353=""),"ERROR","OK")</f>
        <v>OK</v>
      </c>
      <c r="AD1353" s="240" t="str">
        <f t="shared" si="174"/>
        <v>OK</v>
      </c>
      <c r="AE1353" s="240" t="str">
        <f t="shared" si="175"/>
        <v>OK</v>
      </c>
      <c r="AF1353" s="240" t="str" cm="1">
        <f t="array" aca="1" ref="AF1353" ca="1" xml:space="preserve">
IF(AND($G1353&lt;&gt;"",$F1353=""),"ERROR",
IF(OR($F1353:$G1353="",AND($G1353="",$F1353&lt;&gt;"")),"OK",
IF(COUNTIF(INDIRECT(IFERROR(LEFT($F1353,FIND(" ",$F1353)-1),$F1353)), $G1353)&gt;0, "OK", "ERROR")))</f>
        <v>OK</v>
      </c>
    </row>
    <row r="1354" spans="1:32" s="240" customFormat="1">
      <c r="A1354" s="48"/>
      <c r="B1354" s="31"/>
      <c r="C1354" s="48"/>
      <c r="D1354" s="47"/>
      <c r="E1354" s="47"/>
      <c r="F1354" s="31"/>
      <c r="G1354" s="31"/>
      <c r="H1354" s="31"/>
      <c r="I1354" s="47"/>
      <c r="J1354" s="31"/>
      <c r="K1354" s="47"/>
      <c r="L1354" s="47"/>
      <c r="M1354" s="47"/>
      <c r="N1354" s="31"/>
      <c r="O1354" s="47"/>
      <c r="P1354" s="31"/>
      <c r="Q1354" s="31"/>
      <c r="R1354" s="31"/>
      <c r="S1354" s="31"/>
      <c r="T1354" s="270">
        <f t="shared" si="168"/>
        <v>0</v>
      </c>
      <c r="U1354" s="270">
        <f t="shared" si="169"/>
        <v>0</v>
      </c>
      <c r="V1354" s="31"/>
      <c r="X1354" s="240" t="str">
        <f t="shared" si="170"/>
        <v>OK</v>
      </c>
      <c r="Y1354" s="240" t="str">
        <f t="shared" si="171"/>
        <v>OK</v>
      </c>
      <c r="Z1354" s="240" t="str">
        <f t="shared" si="172"/>
        <v>OK</v>
      </c>
      <c r="AA1354" s="240" t="str" cm="1">
        <f t="array" ref="AA1354">IF(OR(AND(J1354="Not accepted",N1354:O1354&lt;&gt;"",$S1354=""),AND(J1354="Accepted",S1354="")),"ERROR","OK")</f>
        <v>OK</v>
      </c>
      <c r="AB1354" s="240" t="str">
        <f t="shared" si="173"/>
        <v>OK</v>
      </c>
      <c r="AC1354" s="240" t="str" cm="1">
        <f t="array" ref="AC1354">IF(AND(F1354:H1354&lt;&gt;"",I1354=""),"ERROR","OK")</f>
        <v>OK</v>
      </c>
      <c r="AD1354" s="240" t="str">
        <f t="shared" si="174"/>
        <v>OK</v>
      </c>
      <c r="AE1354" s="240" t="str">
        <f t="shared" si="175"/>
        <v>OK</v>
      </c>
      <c r="AF1354" s="240" t="str" cm="1">
        <f t="array" aca="1" ref="AF1354" ca="1" xml:space="preserve">
IF(AND($G1354&lt;&gt;"",$F1354=""),"ERROR",
IF(OR($F1354:$G1354="",AND($G1354="",$F1354&lt;&gt;"")),"OK",
IF(COUNTIF(INDIRECT(IFERROR(LEFT($F1354,FIND(" ",$F1354)-1),$F1354)), $G1354)&gt;0, "OK", "ERROR")))</f>
        <v>OK</v>
      </c>
    </row>
    <row r="1355" spans="1:32" s="240" customFormat="1">
      <c r="A1355" s="48"/>
      <c r="B1355" s="31"/>
      <c r="C1355" s="48"/>
      <c r="D1355" s="47"/>
      <c r="E1355" s="47"/>
      <c r="F1355" s="31"/>
      <c r="G1355" s="31"/>
      <c r="H1355" s="31"/>
      <c r="I1355" s="47"/>
      <c r="J1355" s="31"/>
      <c r="K1355" s="47"/>
      <c r="L1355" s="47"/>
      <c r="M1355" s="47"/>
      <c r="N1355" s="31"/>
      <c r="O1355" s="47"/>
      <c r="P1355" s="31"/>
      <c r="Q1355" s="31"/>
      <c r="R1355" s="31"/>
      <c r="S1355" s="31"/>
      <c r="T1355" s="270">
        <f t="shared" si="168"/>
        <v>0</v>
      </c>
      <c r="U1355" s="270">
        <f t="shared" si="169"/>
        <v>0</v>
      </c>
      <c r="V1355" s="31"/>
      <c r="X1355" s="240" t="str">
        <f t="shared" si="170"/>
        <v>OK</v>
      </c>
      <c r="Y1355" s="240" t="str">
        <f t="shared" si="171"/>
        <v>OK</v>
      </c>
      <c r="Z1355" s="240" t="str">
        <f t="shared" si="172"/>
        <v>OK</v>
      </c>
      <c r="AA1355" s="240" t="str" cm="1">
        <f t="array" ref="AA1355">IF(OR(AND(J1355="Not accepted",N1355:O1355&lt;&gt;"",$S1355=""),AND(J1355="Accepted",S1355="")),"ERROR","OK")</f>
        <v>OK</v>
      </c>
      <c r="AB1355" s="240" t="str">
        <f t="shared" si="173"/>
        <v>OK</v>
      </c>
      <c r="AC1355" s="240" t="str" cm="1">
        <f t="array" ref="AC1355">IF(AND(F1355:H1355&lt;&gt;"",I1355=""),"ERROR","OK")</f>
        <v>OK</v>
      </c>
      <c r="AD1355" s="240" t="str">
        <f t="shared" si="174"/>
        <v>OK</v>
      </c>
      <c r="AE1355" s="240" t="str">
        <f t="shared" si="175"/>
        <v>OK</v>
      </c>
      <c r="AF1355" s="240" t="str" cm="1">
        <f t="array" aca="1" ref="AF1355" ca="1" xml:space="preserve">
IF(AND($G1355&lt;&gt;"",$F1355=""),"ERROR",
IF(OR($F1355:$G1355="",AND($G1355="",$F1355&lt;&gt;"")),"OK",
IF(COUNTIF(INDIRECT(IFERROR(LEFT($F1355,FIND(" ",$F1355)-1),$F1355)), $G1355)&gt;0, "OK", "ERROR")))</f>
        <v>OK</v>
      </c>
    </row>
    <row r="1356" spans="1:32" s="240" customFormat="1">
      <c r="A1356" s="48"/>
      <c r="B1356" s="31"/>
      <c r="C1356" s="48"/>
      <c r="D1356" s="47"/>
      <c r="E1356" s="47"/>
      <c r="F1356" s="31"/>
      <c r="G1356" s="31"/>
      <c r="H1356" s="31"/>
      <c r="I1356" s="47"/>
      <c r="J1356" s="31"/>
      <c r="K1356" s="47"/>
      <c r="L1356" s="47"/>
      <c r="M1356" s="47"/>
      <c r="N1356" s="31"/>
      <c r="O1356" s="47"/>
      <c r="P1356" s="31"/>
      <c r="Q1356" s="31"/>
      <c r="R1356" s="31"/>
      <c r="S1356" s="31"/>
      <c r="T1356" s="270">
        <f t="shared" si="168"/>
        <v>0</v>
      </c>
      <c r="U1356" s="270">
        <f t="shared" si="169"/>
        <v>0</v>
      </c>
      <c r="V1356" s="31"/>
      <c r="X1356" s="240" t="str">
        <f t="shared" si="170"/>
        <v>OK</v>
      </c>
      <c r="Y1356" s="240" t="str">
        <f t="shared" si="171"/>
        <v>OK</v>
      </c>
      <c r="Z1356" s="240" t="str">
        <f t="shared" si="172"/>
        <v>OK</v>
      </c>
      <c r="AA1356" s="240" t="str" cm="1">
        <f t="array" ref="AA1356">IF(OR(AND(J1356="Not accepted",N1356:O1356&lt;&gt;"",$S1356=""),AND(J1356="Accepted",S1356="")),"ERROR","OK")</f>
        <v>OK</v>
      </c>
      <c r="AB1356" s="240" t="str">
        <f t="shared" si="173"/>
        <v>OK</v>
      </c>
      <c r="AC1356" s="240" t="str" cm="1">
        <f t="array" ref="AC1356">IF(AND(F1356:H1356&lt;&gt;"",I1356=""),"ERROR","OK")</f>
        <v>OK</v>
      </c>
      <c r="AD1356" s="240" t="str">
        <f t="shared" si="174"/>
        <v>OK</v>
      </c>
      <c r="AE1356" s="240" t="str">
        <f t="shared" si="175"/>
        <v>OK</v>
      </c>
      <c r="AF1356" s="240" t="str" cm="1">
        <f t="array" aca="1" ref="AF1356" ca="1" xml:space="preserve">
IF(AND($G1356&lt;&gt;"",$F1356=""),"ERROR",
IF(OR($F1356:$G1356="",AND($G1356="",$F1356&lt;&gt;"")),"OK",
IF(COUNTIF(INDIRECT(IFERROR(LEFT($F1356,FIND(" ",$F1356)-1),$F1356)), $G1356)&gt;0, "OK", "ERROR")))</f>
        <v>OK</v>
      </c>
    </row>
    <row r="1357" spans="1:32" s="240" customFormat="1">
      <c r="A1357" s="48"/>
      <c r="B1357" s="31"/>
      <c r="C1357" s="48"/>
      <c r="D1357" s="47"/>
      <c r="E1357" s="47"/>
      <c r="F1357" s="31"/>
      <c r="G1357" s="31"/>
      <c r="H1357" s="31"/>
      <c r="I1357" s="47"/>
      <c r="J1357" s="31"/>
      <c r="K1357" s="47"/>
      <c r="L1357" s="47"/>
      <c r="M1357" s="47"/>
      <c r="N1357" s="31"/>
      <c r="O1357" s="47"/>
      <c r="P1357" s="31"/>
      <c r="Q1357" s="31"/>
      <c r="R1357" s="31"/>
      <c r="S1357" s="31"/>
      <c r="T1357" s="270">
        <f t="shared" si="168"/>
        <v>0</v>
      </c>
      <c r="U1357" s="270">
        <f t="shared" si="169"/>
        <v>0</v>
      </c>
      <c r="V1357" s="31"/>
      <c r="X1357" s="240" t="str">
        <f t="shared" si="170"/>
        <v>OK</v>
      </c>
      <c r="Y1357" s="240" t="str">
        <f t="shared" si="171"/>
        <v>OK</v>
      </c>
      <c r="Z1357" s="240" t="str">
        <f t="shared" si="172"/>
        <v>OK</v>
      </c>
      <c r="AA1357" s="240" t="str" cm="1">
        <f t="array" ref="AA1357">IF(OR(AND(J1357="Not accepted",N1357:O1357&lt;&gt;"",$S1357=""),AND(J1357="Accepted",S1357="")),"ERROR","OK")</f>
        <v>OK</v>
      </c>
      <c r="AB1357" s="240" t="str">
        <f t="shared" si="173"/>
        <v>OK</v>
      </c>
      <c r="AC1357" s="240" t="str" cm="1">
        <f t="array" ref="AC1357">IF(AND(F1357:H1357&lt;&gt;"",I1357=""),"ERROR","OK")</f>
        <v>OK</v>
      </c>
      <c r="AD1357" s="240" t="str">
        <f t="shared" si="174"/>
        <v>OK</v>
      </c>
      <c r="AE1357" s="240" t="str">
        <f t="shared" si="175"/>
        <v>OK</v>
      </c>
      <c r="AF1357" s="240" t="str" cm="1">
        <f t="array" aca="1" ref="AF1357" ca="1" xml:space="preserve">
IF(AND($G1357&lt;&gt;"",$F1357=""),"ERROR",
IF(OR($F1357:$G1357="",AND($G1357="",$F1357&lt;&gt;"")),"OK",
IF(COUNTIF(INDIRECT(IFERROR(LEFT($F1357,FIND(" ",$F1357)-1),$F1357)), $G1357)&gt;0, "OK", "ERROR")))</f>
        <v>OK</v>
      </c>
    </row>
    <row r="1358" spans="1:32" s="240" customFormat="1">
      <c r="A1358" s="48"/>
      <c r="B1358" s="31"/>
      <c r="C1358" s="48"/>
      <c r="D1358" s="47"/>
      <c r="E1358" s="47"/>
      <c r="F1358" s="31"/>
      <c r="G1358" s="31"/>
      <c r="H1358" s="31"/>
      <c r="I1358" s="47"/>
      <c r="J1358" s="31"/>
      <c r="K1358" s="47"/>
      <c r="L1358" s="47"/>
      <c r="M1358" s="47"/>
      <c r="N1358" s="31"/>
      <c r="O1358" s="47"/>
      <c r="P1358" s="31"/>
      <c r="Q1358" s="31"/>
      <c r="R1358" s="31"/>
      <c r="S1358" s="31"/>
      <c r="T1358" s="270">
        <f t="shared" si="168"/>
        <v>0</v>
      </c>
      <c r="U1358" s="270">
        <f t="shared" si="169"/>
        <v>0</v>
      </c>
      <c r="V1358" s="31"/>
      <c r="X1358" s="240" t="str">
        <f t="shared" si="170"/>
        <v>OK</v>
      </c>
      <c r="Y1358" s="240" t="str">
        <f t="shared" si="171"/>
        <v>OK</v>
      </c>
      <c r="Z1358" s="240" t="str">
        <f t="shared" si="172"/>
        <v>OK</v>
      </c>
      <c r="AA1358" s="240" t="str" cm="1">
        <f t="array" ref="AA1358">IF(OR(AND(J1358="Not accepted",N1358:O1358&lt;&gt;"",$S1358=""),AND(J1358="Accepted",S1358="")),"ERROR","OK")</f>
        <v>OK</v>
      </c>
      <c r="AB1358" s="240" t="str">
        <f t="shared" si="173"/>
        <v>OK</v>
      </c>
      <c r="AC1358" s="240" t="str" cm="1">
        <f t="array" ref="AC1358">IF(AND(F1358:H1358&lt;&gt;"",I1358=""),"ERROR","OK")</f>
        <v>OK</v>
      </c>
      <c r="AD1358" s="240" t="str">
        <f t="shared" si="174"/>
        <v>OK</v>
      </c>
      <c r="AE1358" s="240" t="str">
        <f t="shared" si="175"/>
        <v>OK</v>
      </c>
      <c r="AF1358" s="240" t="str" cm="1">
        <f t="array" aca="1" ref="AF1358" ca="1" xml:space="preserve">
IF(AND($G1358&lt;&gt;"",$F1358=""),"ERROR",
IF(OR($F1358:$G1358="",AND($G1358="",$F1358&lt;&gt;"")),"OK",
IF(COUNTIF(INDIRECT(IFERROR(LEFT($F1358,FIND(" ",$F1358)-1),$F1358)), $G1358)&gt;0, "OK", "ERROR")))</f>
        <v>OK</v>
      </c>
    </row>
    <row r="1359" spans="1:32" s="240" customFormat="1">
      <c r="A1359" s="48"/>
      <c r="B1359" s="31"/>
      <c r="C1359" s="48"/>
      <c r="D1359" s="47"/>
      <c r="E1359" s="47"/>
      <c r="F1359" s="31"/>
      <c r="G1359" s="31"/>
      <c r="H1359" s="31"/>
      <c r="I1359" s="47"/>
      <c r="J1359" s="31"/>
      <c r="K1359" s="47"/>
      <c r="L1359" s="47"/>
      <c r="M1359" s="47"/>
      <c r="N1359" s="31"/>
      <c r="O1359" s="47"/>
      <c r="P1359" s="31"/>
      <c r="Q1359" s="31"/>
      <c r="R1359" s="31"/>
      <c r="S1359" s="31"/>
      <c r="T1359" s="270">
        <f t="shared" si="168"/>
        <v>0</v>
      </c>
      <c r="U1359" s="270">
        <f t="shared" si="169"/>
        <v>0</v>
      </c>
      <c r="V1359" s="31"/>
      <c r="X1359" s="240" t="str">
        <f t="shared" si="170"/>
        <v>OK</v>
      </c>
      <c r="Y1359" s="240" t="str">
        <f t="shared" si="171"/>
        <v>OK</v>
      </c>
      <c r="Z1359" s="240" t="str">
        <f t="shared" si="172"/>
        <v>OK</v>
      </c>
      <c r="AA1359" s="240" t="str" cm="1">
        <f t="array" ref="AA1359">IF(OR(AND(J1359="Not accepted",N1359:O1359&lt;&gt;"",$S1359=""),AND(J1359="Accepted",S1359="")),"ERROR","OK")</f>
        <v>OK</v>
      </c>
      <c r="AB1359" s="240" t="str">
        <f t="shared" si="173"/>
        <v>OK</v>
      </c>
      <c r="AC1359" s="240" t="str" cm="1">
        <f t="array" ref="AC1359">IF(AND(F1359:H1359&lt;&gt;"",I1359=""),"ERROR","OK")</f>
        <v>OK</v>
      </c>
      <c r="AD1359" s="240" t="str">
        <f t="shared" si="174"/>
        <v>OK</v>
      </c>
      <c r="AE1359" s="240" t="str">
        <f t="shared" si="175"/>
        <v>OK</v>
      </c>
      <c r="AF1359" s="240" t="str" cm="1">
        <f t="array" aca="1" ref="AF1359" ca="1" xml:space="preserve">
IF(AND($G1359&lt;&gt;"",$F1359=""),"ERROR",
IF(OR($F1359:$G1359="",AND($G1359="",$F1359&lt;&gt;"")),"OK",
IF(COUNTIF(INDIRECT(IFERROR(LEFT($F1359,FIND(" ",$F1359)-1),$F1359)), $G1359)&gt;0, "OK", "ERROR")))</f>
        <v>OK</v>
      </c>
    </row>
    <row r="1360" spans="1:32" s="240" customFormat="1">
      <c r="A1360" s="48"/>
      <c r="B1360" s="31"/>
      <c r="C1360" s="48"/>
      <c r="D1360" s="47"/>
      <c r="E1360" s="47"/>
      <c r="F1360" s="31"/>
      <c r="G1360" s="31"/>
      <c r="H1360" s="31"/>
      <c r="I1360" s="47"/>
      <c r="J1360" s="31"/>
      <c r="K1360" s="47"/>
      <c r="L1360" s="47"/>
      <c r="M1360" s="47"/>
      <c r="N1360" s="31"/>
      <c r="O1360" s="47"/>
      <c r="P1360" s="31"/>
      <c r="Q1360" s="31"/>
      <c r="R1360" s="31"/>
      <c r="S1360" s="31"/>
      <c r="T1360" s="270">
        <f t="shared" si="168"/>
        <v>0</v>
      </c>
      <c r="U1360" s="270">
        <f t="shared" si="169"/>
        <v>0</v>
      </c>
      <c r="V1360" s="31"/>
      <c r="X1360" s="240" t="str">
        <f t="shared" si="170"/>
        <v>OK</v>
      </c>
      <c r="Y1360" s="240" t="str">
        <f t="shared" si="171"/>
        <v>OK</v>
      </c>
      <c r="Z1360" s="240" t="str">
        <f t="shared" si="172"/>
        <v>OK</v>
      </c>
      <c r="AA1360" s="240" t="str" cm="1">
        <f t="array" ref="AA1360">IF(OR(AND(J1360="Not accepted",N1360:O1360&lt;&gt;"",$S1360=""),AND(J1360="Accepted",S1360="")),"ERROR","OK")</f>
        <v>OK</v>
      </c>
      <c r="AB1360" s="240" t="str">
        <f t="shared" si="173"/>
        <v>OK</v>
      </c>
      <c r="AC1360" s="240" t="str" cm="1">
        <f t="array" ref="AC1360">IF(AND(F1360:H1360&lt;&gt;"",I1360=""),"ERROR","OK")</f>
        <v>OK</v>
      </c>
      <c r="AD1360" s="240" t="str">
        <f t="shared" si="174"/>
        <v>OK</v>
      </c>
      <c r="AE1360" s="240" t="str">
        <f t="shared" si="175"/>
        <v>OK</v>
      </c>
      <c r="AF1360" s="240" t="str" cm="1">
        <f t="array" aca="1" ref="AF1360" ca="1" xml:space="preserve">
IF(AND($G1360&lt;&gt;"",$F1360=""),"ERROR",
IF(OR($F1360:$G1360="",AND($G1360="",$F1360&lt;&gt;"")),"OK",
IF(COUNTIF(INDIRECT(IFERROR(LEFT($F1360,FIND(" ",$F1360)-1),$F1360)), $G1360)&gt;0, "OK", "ERROR")))</f>
        <v>OK</v>
      </c>
    </row>
    <row r="1361" spans="1:32" s="240" customFormat="1">
      <c r="A1361" s="48"/>
      <c r="B1361" s="31"/>
      <c r="C1361" s="48"/>
      <c r="D1361" s="47"/>
      <c r="E1361" s="47"/>
      <c r="F1361" s="31"/>
      <c r="G1361" s="31"/>
      <c r="H1361" s="31"/>
      <c r="I1361" s="47"/>
      <c r="J1361" s="31"/>
      <c r="K1361" s="47"/>
      <c r="L1361" s="47"/>
      <c r="M1361" s="47"/>
      <c r="N1361" s="31"/>
      <c r="O1361" s="47"/>
      <c r="P1361" s="31"/>
      <c r="Q1361" s="31"/>
      <c r="R1361" s="31"/>
      <c r="S1361" s="31"/>
      <c r="T1361" s="270">
        <f t="shared" si="168"/>
        <v>0</v>
      </c>
      <c r="U1361" s="270">
        <f t="shared" si="169"/>
        <v>0</v>
      </c>
      <c r="V1361" s="31"/>
      <c r="X1361" s="240" t="str">
        <f t="shared" si="170"/>
        <v>OK</v>
      </c>
      <c r="Y1361" s="240" t="str">
        <f t="shared" si="171"/>
        <v>OK</v>
      </c>
      <c r="Z1361" s="240" t="str">
        <f t="shared" si="172"/>
        <v>OK</v>
      </c>
      <c r="AA1361" s="240" t="str" cm="1">
        <f t="array" ref="AA1361">IF(OR(AND(J1361="Not accepted",N1361:O1361&lt;&gt;"",$S1361=""),AND(J1361="Accepted",S1361="")),"ERROR","OK")</f>
        <v>OK</v>
      </c>
      <c r="AB1361" s="240" t="str">
        <f t="shared" si="173"/>
        <v>OK</v>
      </c>
      <c r="AC1361" s="240" t="str" cm="1">
        <f t="array" ref="AC1361">IF(AND(F1361:H1361&lt;&gt;"",I1361=""),"ERROR","OK")</f>
        <v>OK</v>
      </c>
      <c r="AD1361" s="240" t="str">
        <f t="shared" si="174"/>
        <v>OK</v>
      </c>
      <c r="AE1361" s="240" t="str">
        <f t="shared" si="175"/>
        <v>OK</v>
      </c>
      <c r="AF1361" s="240" t="str" cm="1">
        <f t="array" aca="1" ref="AF1361" ca="1" xml:space="preserve">
IF(AND($G1361&lt;&gt;"",$F1361=""),"ERROR",
IF(OR($F1361:$G1361="",AND($G1361="",$F1361&lt;&gt;"")),"OK",
IF(COUNTIF(INDIRECT(IFERROR(LEFT($F1361,FIND(" ",$F1361)-1),$F1361)), $G1361)&gt;0, "OK", "ERROR")))</f>
        <v>OK</v>
      </c>
    </row>
    <row r="1362" spans="1:32" s="240" customFormat="1">
      <c r="A1362" s="48"/>
      <c r="B1362" s="31"/>
      <c r="C1362" s="48"/>
      <c r="D1362" s="47"/>
      <c r="E1362" s="47"/>
      <c r="F1362" s="31"/>
      <c r="G1362" s="31"/>
      <c r="H1362" s="31"/>
      <c r="I1362" s="47"/>
      <c r="J1362" s="31"/>
      <c r="K1362" s="47"/>
      <c r="L1362" s="47"/>
      <c r="M1362" s="47"/>
      <c r="N1362" s="31"/>
      <c r="O1362" s="47"/>
      <c r="P1362" s="31"/>
      <c r="Q1362" s="31"/>
      <c r="R1362" s="31"/>
      <c r="S1362" s="31"/>
      <c r="T1362" s="270">
        <f t="shared" si="168"/>
        <v>0</v>
      </c>
      <c r="U1362" s="270">
        <f t="shared" si="169"/>
        <v>0</v>
      </c>
      <c r="V1362" s="31"/>
      <c r="X1362" s="240" t="str">
        <f t="shared" si="170"/>
        <v>OK</v>
      </c>
      <c r="Y1362" s="240" t="str">
        <f t="shared" si="171"/>
        <v>OK</v>
      </c>
      <c r="Z1362" s="240" t="str">
        <f t="shared" si="172"/>
        <v>OK</v>
      </c>
      <c r="AA1362" s="240" t="str" cm="1">
        <f t="array" ref="AA1362">IF(OR(AND(J1362="Not accepted",N1362:O1362&lt;&gt;"",$S1362=""),AND(J1362="Accepted",S1362="")),"ERROR","OK")</f>
        <v>OK</v>
      </c>
      <c r="AB1362" s="240" t="str">
        <f t="shared" si="173"/>
        <v>OK</v>
      </c>
      <c r="AC1362" s="240" t="str" cm="1">
        <f t="array" ref="AC1362">IF(AND(F1362:H1362&lt;&gt;"",I1362=""),"ERROR","OK")</f>
        <v>OK</v>
      </c>
      <c r="AD1362" s="240" t="str">
        <f t="shared" si="174"/>
        <v>OK</v>
      </c>
      <c r="AE1362" s="240" t="str">
        <f t="shared" si="175"/>
        <v>OK</v>
      </c>
      <c r="AF1362" s="240" t="str" cm="1">
        <f t="array" aca="1" ref="AF1362" ca="1" xml:space="preserve">
IF(AND($G1362&lt;&gt;"",$F1362=""),"ERROR",
IF(OR($F1362:$G1362="",AND($G1362="",$F1362&lt;&gt;"")),"OK",
IF(COUNTIF(INDIRECT(IFERROR(LEFT($F1362,FIND(" ",$F1362)-1),$F1362)), $G1362)&gt;0, "OK", "ERROR")))</f>
        <v>OK</v>
      </c>
    </row>
    <row r="1363" spans="1:32" s="240" customFormat="1">
      <c r="A1363" s="48"/>
      <c r="B1363" s="31"/>
      <c r="C1363" s="48"/>
      <c r="D1363" s="47"/>
      <c r="E1363" s="47"/>
      <c r="F1363" s="31"/>
      <c r="G1363" s="31"/>
      <c r="H1363" s="31"/>
      <c r="I1363" s="47"/>
      <c r="J1363" s="31"/>
      <c r="K1363" s="47"/>
      <c r="L1363" s="47"/>
      <c r="M1363" s="47"/>
      <c r="N1363" s="31"/>
      <c r="O1363" s="47"/>
      <c r="P1363" s="31"/>
      <c r="Q1363" s="31"/>
      <c r="R1363" s="31"/>
      <c r="S1363" s="31"/>
      <c r="T1363" s="270">
        <f t="shared" si="168"/>
        <v>0</v>
      </c>
      <c r="U1363" s="270">
        <f t="shared" si="169"/>
        <v>0</v>
      </c>
      <c r="V1363" s="31"/>
      <c r="X1363" s="240" t="str">
        <f t="shared" si="170"/>
        <v>OK</v>
      </c>
      <c r="Y1363" s="240" t="str">
        <f t="shared" si="171"/>
        <v>OK</v>
      </c>
      <c r="Z1363" s="240" t="str">
        <f t="shared" si="172"/>
        <v>OK</v>
      </c>
      <c r="AA1363" s="240" t="str" cm="1">
        <f t="array" ref="AA1363">IF(OR(AND(J1363="Not accepted",N1363:O1363&lt;&gt;"",$S1363=""),AND(J1363="Accepted",S1363="")),"ERROR","OK")</f>
        <v>OK</v>
      </c>
      <c r="AB1363" s="240" t="str">
        <f t="shared" si="173"/>
        <v>OK</v>
      </c>
      <c r="AC1363" s="240" t="str" cm="1">
        <f t="array" ref="AC1363">IF(AND(F1363:H1363&lt;&gt;"",I1363=""),"ERROR","OK")</f>
        <v>OK</v>
      </c>
      <c r="AD1363" s="240" t="str">
        <f t="shared" si="174"/>
        <v>OK</v>
      </c>
      <c r="AE1363" s="240" t="str">
        <f t="shared" si="175"/>
        <v>OK</v>
      </c>
      <c r="AF1363" s="240" t="str" cm="1">
        <f t="array" aca="1" ref="AF1363" ca="1" xml:space="preserve">
IF(AND($G1363&lt;&gt;"",$F1363=""),"ERROR",
IF(OR($F1363:$G1363="",AND($G1363="",$F1363&lt;&gt;"")),"OK",
IF(COUNTIF(INDIRECT(IFERROR(LEFT($F1363,FIND(" ",$F1363)-1),$F1363)), $G1363)&gt;0, "OK", "ERROR")))</f>
        <v>OK</v>
      </c>
    </row>
    <row r="1364" spans="1:32" s="240" customFormat="1">
      <c r="A1364" s="48"/>
      <c r="B1364" s="31"/>
      <c r="C1364" s="48"/>
      <c r="D1364" s="47"/>
      <c r="E1364" s="47"/>
      <c r="F1364" s="31"/>
      <c r="G1364" s="31"/>
      <c r="H1364" s="31"/>
      <c r="I1364" s="47"/>
      <c r="J1364" s="31"/>
      <c r="K1364" s="47"/>
      <c r="L1364" s="47"/>
      <c r="M1364" s="47"/>
      <c r="N1364" s="31"/>
      <c r="O1364" s="47"/>
      <c r="P1364" s="31"/>
      <c r="Q1364" s="31"/>
      <c r="R1364" s="31"/>
      <c r="S1364" s="31"/>
      <c r="T1364" s="270">
        <f t="shared" si="168"/>
        <v>0</v>
      </c>
      <c r="U1364" s="270">
        <f t="shared" si="169"/>
        <v>0</v>
      </c>
      <c r="V1364" s="31"/>
      <c r="X1364" s="240" t="str">
        <f t="shared" si="170"/>
        <v>OK</v>
      </c>
      <c r="Y1364" s="240" t="str">
        <f t="shared" si="171"/>
        <v>OK</v>
      </c>
      <c r="Z1364" s="240" t="str">
        <f t="shared" si="172"/>
        <v>OK</v>
      </c>
      <c r="AA1364" s="240" t="str" cm="1">
        <f t="array" ref="AA1364">IF(OR(AND(J1364="Not accepted",N1364:O1364&lt;&gt;"",$S1364=""),AND(J1364="Accepted",S1364="")),"ERROR","OK")</f>
        <v>OK</v>
      </c>
      <c r="AB1364" s="240" t="str">
        <f t="shared" si="173"/>
        <v>OK</v>
      </c>
      <c r="AC1364" s="240" t="str" cm="1">
        <f t="array" ref="AC1364">IF(AND(F1364:H1364&lt;&gt;"",I1364=""),"ERROR","OK")</f>
        <v>OK</v>
      </c>
      <c r="AD1364" s="240" t="str">
        <f t="shared" si="174"/>
        <v>OK</v>
      </c>
      <c r="AE1364" s="240" t="str">
        <f t="shared" si="175"/>
        <v>OK</v>
      </c>
      <c r="AF1364" s="240" t="str" cm="1">
        <f t="array" aca="1" ref="AF1364" ca="1" xml:space="preserve">
IF(AND($G1364&lt;&gt;"",$F1364=""),"ERROR",
IF(OR($F1364:$G1364="",AND($G1364="",$F1364&lt;&gt;"")),"OK",
IF(COUNTIF(INDIRECT(IFERROR(LEFT($F1364,FIND(" ",$F1364)-1),$F1364)), $G1364)&gt;0, "OK", "ERROR")))</f>
        <v>OK</v>
      </c>
    </row>
    <row r="1365" spans="1:32" s="240" customFormat="1">
      <c r="A1365" s="48"/>
      <c r="B1365" s="31"/>
      <c r="C1365" s="48"/>
      <c r="D1365" s="47"/>
      <c r="E1365" s="47"/>
      <c r="F1365" s="31"/>
      <c r="G1365" s="31"/>
      <c r="H1365" s="31"/>
      <c r="I1365" s="47"/>
      <c r="J1365" s="31"/>
      <c r="K1365" s="47"/>
      <c r="L1365" s="47"/>
      <c r="M1365" s="47"/>
      <c r="N1365" s="31"/>
      <c r="O1365" s="47"/>
      <c r="P1365" s="31"/>
      <c r="Q1365" s="31"/>
      <c r="R1365" s="31"/>
      <c r="S1365" s="31"/>
      <c r="T1365" s="270">
        <f t="shared" si="168"/>
        <v>0</v>
      </c>
      <c r="U1365" s="270">
        <f t="shared" si="169"/>
        <v>0</v>
      </c>
      <c r="V1365" s="31"/>
      <c r="X1365" s="240" t="str">
        <f t="shared" si="170"/>
        <v>OK</v>
      </c>
      <c r="Y1365" s="240" t="str">
        <f t="shared" si="171"/>
        <v>OK</v>
      </c>
      <c r="Z1365" s="240" t="str">
        <f t="shared" si="172"/>
        <v>OK</v>
      </c>
      <c r="AA1365" s="240" t="str" cm="1">
        <f t="array" ref="AA1365">IF(OR(AND(J1365="Not accepted",N1365:O1365&lt;&gt;"",$S1365=""),AND(J1365="Accepted",S1365="")),"ERROR","OK")</f>
        <v>OK</v>
      </c>
      <c r="AB1365" s="240" t="str">
        <f t="shared" si="173"/>
        <v>OK</v>
      </c>
      <c r="AC1365" s="240" t="str" cm="1">
        <f t="array" ref="AC1365">IF(AND(F1365:H1365&lt;&gt;"",I1365=""),"ERROR","OK")</f>
        <v>OK</v>
      </c>
      <c r="AD1365" s="240" t="str">
        <f t="shared" si="174"/>
        <v>OK</v>
      </c>
      <c r="AE1365" s="240" t="str">
        <f t="shared" si="175"/>
        <v>OK</v>
      </c>
      <c r="AF1365" s="240" t="str" cm="1">
        <f t="array" aca="1" ref="AF1365" ca="1" xml:space="preserve">
IF(AND($G1365&lt;&gt;"",$F1365=""),"ERROR",
IF(OR($F1365:$G1365="",AND($G1365="",$F1365&lt;&gt;"")),"OK",
IF(COUNTIF(INDIRECT(IFERROR(LEFT($F1365,FIND(" ",$F1365)-1),$F1365)), $G1365)&gt;0, "OK", "ERROR")))</f>
        <v>OK</v>
      </c>
    </row>
    <row r="1366" spans="1:32" s="240" customFormat="1">
      <c r="A1366" s="48"/>
      <c r="B1366" s="31"/>
      <c r="C1366" s="48"/>
      <c r="D1366" s="47"/>
      <c r="E1366" s="47"/>
      <c r="F1366" s="31"/>
      <c r="G1366" s="31"/>
      <c r="H1366" s="31"/>
      <c r="I1366" s="47"/>
      <c r="J1366" s="31"/>
      <c r="K1366" s="47"/>
      <c r="L1366" s="47"/>
      <c r="M1366" s="47"/>
      <c r="N1366" s="31"/>
      <c r="O1366" s="47"/>
      <c r="P1366" s="31"/>
      <c r="Q1366" s="31"/>
      <c r="R1366" s="31"/>
      <c r="S1366" s="31"/>
      <c r="T1366" s="270">
        <f t="shared" si="168"/>
        <v>0</v>
      </c>
      <c r="U1366" s="270">
        <f t="shared" si="169"/>
        <v>0</v>
      </c>
      <c r="V1366" s="31"/>
      <c r="X1366" s="240" t="str">
        <f t="shared" si="170"/>
        <v>OK</v>
      </c>
      <c r="Y1366" s="240" t="str">
        <f t="shared" si="171"/>
        <v>OK</v>
      </c>
      <c r="Z1366" s="240" t="str">
        <f t="shared" si="172"/>
        <v>OK</v>
      </c>
      <c r="AA1366" s="240" t="str" cm="1">
        <f t="array" ref="AA1366">IF(OR(AND(J1366="Not accepted",N1366:O1366&lt;&gt;"",$S1366=""),AND(J1366="Accepted",S1366="")),"ERROR","OK")</f>
        <v>OK</v>
      </c>
      <c r="AB1366" s="240" t="str">
        <f t="shared" si="173"/>
        <v>OK</v>
      </c>
      <c r="AC1366" s="240" t="str" cm="1">
        <f t="array" ref="AC1366">IF(AND(F1366:H1366&lt;&gt;"",I1366=""),"ERROR","OK")</f>
        <v>OK</v>
      </c>
      <c r="AD1366" s="240" t="str">
        <f t="shared" si="174"/>
        <v>OK</v>
      </c>
      <c r="AE1366" s="240" t="str">
        <f t="shared" si="175"/>
        <v>OK</v>
      </c>
      <c r="AF1366" s="240" t="str" cm="1">
        <f t="array" aca="1" ref="AF1366" ca="1" xml:space="preserve">
IF(AND($G1366&lt;&gt;"",$F1366=""),"ERROR",
IF(OR($F1366:$G1366="",AND($G1366="",$F1366&lt;&gt;"")),"OK",
IF(COUNTIF(INDIRECT(IFERROR(LEFT($F1366,FIND(" ",$F1366)-1),$F1366)), $G1366)&gt;0, "OK", "ERROR")))</f>
        <v>OK</v>
      </c>
    </row>
    <row r="1367" spans="1:32" s="240" customFormat="1">
      <c r="A1367" s="48"/>
      <c r="B1367" s="31"/>
      <c r="C1367" s="48"/>
      <c r="D1367" s="47"/>
      <c r="E1367" s="47"/>
      <c r="F1367" s="31"/>
      <c r="G1367" s="31"/>
      <c r="H1367" s="31"/>
      <c r="I1367" s="47"/>
      <c r="J1367" s="31"/>
      <c r="K1367" s="47"/>
      <c r="L1367" s="47"/>
      <c r="M1367" s="47"/>
      <c r="N1367" s="31"/>
      <c r="O1367" s="47"/>
      <c r="P1367" s="31"/>
      <c r="Q1367" s="31"/>
      <c r="R1367" s="31"/>
      <c r="S1367" s="31"/>
      <c r="T1367" s="270">
        <f t="shared" si="168"/>
        <v>0</v>
      </c>
      <c r="U1367" s="270">
        <f t="shared" si="169"/>
        <v>0</v>
      </c>
      <c r="V1367" s="31"/>
      <c r="X1367" s="240" t="str">
        <f t="shared" si="170"/>
        <v>OK</v>
      </c>
      <c r="Y1367" s="240" t="str">
        <f t="shared" si="171"/>
        <v>OK</v>
      </c>
      <c r="Z1367" s="240" t="str">
        <f t="shared" si="172"/>
        <v>OK</v>
      </c>
      <c r="AA1367" s="240" t="str" cm="1">
        <f t="array" ref="AA1367">IF(OR(AND(J1367="Not accepted",N1367:O1367&lt;&gt;"",$S1367=""),AND(J1367="Accepted",S1367="")),"ERROR","OK")</f>
        <v>OK</v>
      </c>
      <c r="AB1367" s="240" t="str">
        <f t="shared" si="173"/>
        <v>OK</v>
      </c>
      <c r="AC1367" s="240" t="str" cm="1">
        <f t="array" ref="AC1367">IF(AND(F1367:H1367&lt;&gt;"",I1367=""),"ERROR","OK")</f>
        <v>OK</v>
      </c>
      <c r="AD1367" s="240" t="str">
        <f t="shared" si="174"/>
        <v>OK</v>
      </c>
      <c r="AE1367" s="240" t="str">
        <f t="shared" si="175"/>
        <v>OK</v>
      </c>
      <c r="AF1367" s="240" t="str" cm="1">
        <f t="array" aca="1" ref="AF1367" ca="1" xml:space="preserve">
IF(AND($G1367&lt;&gt;"",$F1367=""),"ERROR",
IF(OR($F1367:$G1367="",AND($G1367="",$F1367&lt;&gt;"")),"OK",
IF(COUNTIF(INDIRECT(IFERROR(LEFT($F1367,FIND(" ",$F1367)-1),$F1367)), $G1367)&gt;0, "OK", "ERROR")))</f>
        <v>OK</v>
      </c>
    </row>
    <row r="1368" spans="1:32" s="240" customFormat="1">
      <c r="A1368" s="48"/>
      <c r="B1368" s="31"/>
      <c r="C1368" s="48"/>
      <c r="D1368" s="47"/>
      <c r="E1368" s="47"/>
      <c r="F1368" s="31"/>
      <c r="G1368" s="31"/>
      <c r="H1368" s="31"/>
      <c r="I1368" s="47"/>
      <c r="J1368" s="31"/>
      <c r="K1368" s="47"/>
      <c r="L1368" s="47"/>
      <c r="M1368" s="47"/>
      <c r="N1368" s="31"/>
      <c r="O1368" s="47"/>
      <c r="P1368" s="31"/>
      <c r="Q1368" s="31"/>
      <c r="R1368" s="31"/>
      <c r="S1368" s="31"/>
      <c r="T1368" s="270">
        <f t="shared" si="168"/>
        <v>0</v>
      </c>
      <c r="U1368" s="270">
        <f t="shared" si="169"/>
        <v>0</v>
      </c>
      <c r="V1368" s="31"/>
      <c r="X1368" s="240" t="str">
        <f t="shared" si="170"/>
        <v>OK</v>
      </c>
      <c r="Y1368" s="240" t="str">
        <f t="shared" si="171"/>
        <v>OK</v>
      </c>
      <c r="Z1368" s="240" t="str">
        <f t="shared" si="172"/>
        <v>OK</v>
      </c>
      <c r="AA1368" s="240" t="str" cm="1">
        <f t="array" ref="AA1368">IF(OR(AND(J1368="Not accepted",N1368:O1368&lt;&gt;"",$S1368=""),AND(J1368="Accepted",S1368="")),"ERROR","OK")</f>
        <v>OK</v>
      </c>
      <c r="AB1368" s="240" t="str">
        <f t="shared" si="173"/>
        <v>OK</v>
      </c>
      <c r="AC1368" s="240" t="str" cm="1">
        <f t="array" ref="AC1368">IF(AND(F1368:H1368&lt;&gt;"",I1368=""),"ERROR","OK")</f>
        <v>OK</v>
      </c>
      <c r="AD1368" s="240" t="str">
        <f t="shared" si="174"/>
        <v>OK</v>
      </c>
      <c r="AE1368" s="240" t="str">
        <f t="shared" si="175"/>
        <v>OK</v>
      </c>
      <c r="AF1368" s="240" t="str" cm="1">
        <f t="array" aca="1" ref="AF1368" ca="1" xml:space="preserve">
IF(AND($G1368&lt;&gt;"",$F1368=""),"ERROR",
IF(OR($F1368:$G1368="",AND($G1368="",$F1368&lt;&gt;"")),"OK",
IF(COUNTIF(INDIRECT(IFERROR(LEFT($F1368,FIND(" ",$F1368)-1),$F1368)), $G1368)&gt;0, "OK", "ERROR")))</f>
        <v>OK</v>
      </c>
    </row>
    <row r="1369" spans="1:32" s="240" customFormat="1">
      <c r="A1369" s="48"/>
      <c r="B1369" s="31"/>
      <c r="C1369" s="48"/>
      <c r="D1369" s="47"/>
      <c r="E1369" s="47"/>
      <c r="F1369" s="31"/>
      <c r="G1369" s="31"/>
      <c r="H1369" s="31"/>
      <c r="I1369" s="47"/>
      <c r="J1369" s="31"/>
      <c r="K1369" s="47"/>
      <c r="L1369" s="47"/>
      <c r="M1369" s="47"/>
      <c r="N1369" s="31"/>
      <c r="O1369" s="47"/>
      <c r="P1369" s="31"/>
      <c r="Q1369" s="31"/>
      <c r="R1369" s="31"/>
      <c r="S1369" s="31"/>
      <c r="T1369" s="270">
        <f t="shared" si="168"/>
        <v>0</v>
      </c>
      <c r="U1369" s="270">
        <f t="shared" si="169"/>
        <v>0</v>
      </c>
      <c r="V1369" s="31"/>
      <c r="X1369" s="240" t="str">
        <f t="shared" si="170"/>
        <v>OK</v>
      </c>
      <c r="Y1369" s="240" t="str">
        <f t="shared" si="171"/>
        <v>OK</v>
      </c>
      <c r="Z1369" s="240" t="str">
        <f t="shared" si="172"/>
        <v>OK</v>
      </c>
      <c r="AA1369" s="240" t="str" cm="1">
        <f t="array" ref="AA1369">IF(OR(AND(J1369="Not accepted",N1369:O1369&lt;&gt;"",$S1369=""),AND(J1369="Accepted",S1369="")),"ERROR","OK")</f>
        <v>OK</v>
      </c>
      <c r="AB1369" s="240" t="str">
        <f t="shared" si="173"/>
        <v>OK</v>
      </c>
      <c r="AC1369" s="240" t="str" cm="1">
        <f t="array" ref="AC1369">IF(AND(F1369:H1369&lt;&gt;"",I1369=""),"ERROR","OK")</f>
        <v>OK</v>
      </c>
      <c r="AD1369" s="240" t="str">
        <f t="shared" si="174"/>
        <v>OK</v>
      </c>
      <c r="AE1369" s="240" t="str">
        <f t="shared" si="175"/>
        <v>OK</v>
      </c>
      <c r="AF1369" s="240" t="str" cm="1">
        <f t="array" aca="1" ref="AF1369" ca="1" xml:space="preserve">
IF(AND($G1369&lt;&gt;"",$F1369=""),"ERROR",
IF(OR($F1369:$G1369="",AND($G1369="",$F1369&lt;&gt;"")),"OK",
IF(COUNTIF(INDIRECT(IFERROR(LEFT($F1369,FIND(" ",$F1369)-1),$F1369)), $G1369)&gt;0, "OK", "ERROR")))</f>
        <v>OK</v>
      </c>
    </row>
    <row r="1370" spans="1:32" s="240" customFormat="1">
      <c r="A1370" s="48"/>
      <c r="B1370" s="31"/>
      <c r="C1370" s="48"/>
      <c r="D1370" s="47"/>
      <c r="E1370" s="47"/>
      <c r="F1370" s="31"/>
      <c r="G1370" s="31"/>
      <c r="H1370" s="31"/>
      <c r="I1370" s="47"/>
      <c r="J1370" s="31"/>
      <c r="K1370" s="47"/>
      <c r="L1370" s="47"/>
      <c r="M1370" s="47"/>
      <c r="N1370" s="31"/>
      <c r="O1370" s="47"/>
      <c r="P1370" s="31"/>
      <c r="Q1370" s="31"/>
      <c r="R1370" s="31"/>
      <c r="S1370" s="31"/>
      <c r="T1370" s="270">
        <f t="shared" si="168"/>
        <v>0</v>
      </c>
      <c r="U1370" s="270">
        <f t="shared" si="169"/>
        <v>0</v>
      </c>
      <c r="V1370" s="31"/>
      <c r="X1370" s="240" t="str">
        <f t="shared" si="170"/>
        <v>OK</v>
      </c>
      <c r="Y1370" s="240" t="str">
        <f t="shared" si="171"/>
        <v>OK</v>
      </c>
      <c r="Z1370" s="240" t="str">
        <f t="shared" si="172"/>
        <v>OK</v>
      </c>
      <c r="AA1370" s="240" t="str" cm="1">
        <f t="array" ref="AA1370">IF(OR(AND(J1370="Not accepted",N1370:O1370&lt;&gt;"",$S1370=""),AND(J1370="Accepted",S1370="")),"ERROR","OK")</f>
        <v>OK</v>
      </c>
      <c r="AB1370" s="240" t="str">
        <f t="shared" si="173"/>
        <v>OK</v>
      </c>
      <c r="AC1370" s="240" t="str" cm="1">
        <f t="array" ref="AC1370">IF(AND(F1370:H1370&lt;&gt;"",I1370=""),"ERROR","OK")</f>
        <v>OK</v>
      </c>
      <c r="AD1370" s="240" t="str">
        <f t="shared" si="174"/>
        <v>OK</v>
      </c>
      <c r="AE1370" s="240" t="str">
        <f t="shared" si="175"/>
        <v>OK</v>
      </c>
      <c r="AF1370" s="240" t="str" cm="1">
        <f t="array" aca="1" ref="AF1370" ca="1" xml:space="preserve">
IF(AND($G1370&lt;&gt;"",$F1370=""),"ERROR",
IF(OR($F1370:$G1370="",AND($G1370="",$F1370&lt;&gt;"")),"OK",
IF(COUNTIF(INDIRECT(IFERROR(LEFT($F1370,FIND(" ",$F1370)-1),$F1370)), $G1370)&gt;0, "OK", "ERROR")))</f>
        <v>OK</v>
      </c>
    </row>
    <row r="1371" spans="1:32" s="240" customFormat="1">
      <c r="A1371" s="48"/>
      <c r="B1371" s="31"/>
      <c r="C1371" s="48"/>
      <c r="D1371" s="47"/>
      <c r="E1371" s="47"/>
      <c r="F1371" s="31"/>
      <c r="G1371" s="31"/>
      <c r="H1371" s="31"/>
      <c r="I1371" s="47"/>
      <c r="J1371" s="31"/>
      <c r="K1371" s="47"/>
      <c r="L1371" s="47"/>
      <c r="M1371" s="47"/>
      <c r="N1371" s="31"/>
      <c r="O1371" s="47"/>
      <c r="P1371" s="31"/>
      <c r="Q1371" s="31"/>
      <c r="R1371" s="31"/>
      <c r="S1371" s="31"/>
      <c r="T1371" s="270">
        <f t="shared" si="168"/>
        <v>0</v>
      </c>
      <c r="U1371" s="270">
        <f t="shared" si="169"/>
        <v>0</v>
      </c>
      <c r="V1371" s="31"/>
      <c r="X1371" s="240" t="str">
        <f t="shared" si="170"/>
        <v>OK</v>
      </c>
      <c r="Y1371" s="240" t="str">
        <f t="shared" si="171"/>
        <v>OK</v>
      </c>
      <c r="Z1371" s="240" t="str">
        <f t="shared" si="172"/>
        <v>OK</v>
      </c>
      <c r="AA1371" s="240" t="str" cm="1">
        <f t="array" ref="AA1371">IF(OR(AND(J1371="Not accepted",N1371:O1371&lt;&gt;"",$S1371=""),AND(J1371="Accepted",S1371="")),"ERROR","OK")</f>
        <v>OK</v>
      </c>
      <c r="AB1371" s="240" t="str">
        <f t="shared" si="173"/>
        <v>OK</v>
      </c>
      <c r="AC1371" s="240" t="str" cm="1">
        <f t="array" ref="AC1371">IF(AND(F1371:H1371&lt;&gt;"",I1371=""),"ERROR","OK")</f>
        <v>OK</v>
      </c>
      <c r="AD1371" s="240" t="str">
        <f t="shared" si="174"/>
        <v>OK</v>
      </c>
      <c r="AE1371" s="240" t="str">
        <f t="shared" si="175"/>
        <v>OK</v>
      </c>
      <c r="AF1371" s="240" t="str" cm="1">
        <f t="array" aca="1" ref="AF1371" ca="1" xml:space="preserve">
IF(AND($G1371&lt;&gt;"",$F1371=""),"ERROR",
IF(OR($F1371:$G1371="",AND($G1371="",$F1371&lt;&gt;"")),"OK",
IF(COUNTIF(INDIRECT(IFERROR(LEFT($F1371,FIND(" ",$F1371)-1),$F1371)), $G1371)&gt;0, "OK", "ERROR")))</f>
        <v>OK</v>
      </c>
    </row>
    <row r="1372" spans="1:32" s="240" customFormat="1">
      <c r="A1372" s="48"/>
      <c r="B1372" s="31"/>
      <c r="C1372" s="48"/>
      <c r="D1372" s="47"/>
      <c r="E1372" s="47"/>
      <c r="F1372" s="31"/>
      <c r="G1372" s="31"/>
      <c r="H1372" s="31"/>
      <c r="I1372" s="47"/>
      <c r="J1372" s="31"/>
      <c r="K1372" s="47"/>
      <c r="L1372" s="47"/>
      <c r="M1372" s="47"/>
      <c r="N1372" s="31"/>
      <c r="O1372" s="47"/>
      <c r="P1372" s="31"/>
      <c r="Q1372" s="31"/>
      <c r="R1372" s="31"/>
      <c r="S1372" s="31"/>
      <c r="T1372" s="270">
        <f t="shared" si="168"/>
        <v>0</v>
      </c>
      <c r="U1372" s="270">
        <f t="shared" si="169"/>
        <v>0</v>
      </c>
      <c r="V1372" s="31"/>
      <c r="X1372" s="240" t="str">
        <f t="shared" si="170"/>
        <v>OK</v>
      </c>
      <c r="Y1372" s="240" t="str">
        <f t="shared" si="171"/>
        <v>OK</v>
      </c>
      <c r="Z1372" s="240" t="str">
        <f t="shared" si="172"/>
        <v>OK</v>
      </c>
      <c r="AA1372" s="240" t="str" cm="1">
        <f t="array" ref="AA1372">IF(OR(AND(J1372="Not accepted",N1372:O1372&lt;&gt;"",$S1372=""),AND(J1372="Accepted",S1372="")),"ERROR","OK")</f>
        <v>OK</v>
      </c>
      <c r="AB1372" s="240" t="str">
        <f t="shared" si="173"/>
        <v>OK</v>
      </c>
      <c r="AC1372" s="240" t="str" cm="1">
        <f t="array" ref="AC1372">IF(AND(F1372:H1372&lt;&gt;"",I1372=""),"ERROR","OK")</f>
        <v>OK</v>
      </c>
      <c r="AD1372" s="240" t="str">
        <f t="shared" si="174"/>
        <v>OK</v>
      </c>
      <c r="AE1372" s="240" t="str">
        <f t="shared" si="175"/>
        <v>OK</v>
      </c>
      <c r="AF1372" s="240" t="str" cm="1">
        <f t="array" aca="1" ref="AF1372" ca="1" xml:space="preserve">
IF(AND($G1372&lt;&gt;"",$F1372=""),"ERROR",
IF(OR($F1372:$G1372="",AND($G1372="",$F1372&lt;&gt;"")),"OK",
IF(COUNTIF(INDIRECT(IFERROR(LEFT($F1372,FIND(" ",$F1372)-1),$F1372)), $G1372)&gt;0, "OK", "ERROR")))</f>
        <v>OK</v>
      </c>
    </row>
    <row r="1373" spans="1:32" s="240" customFormat="1">
      <c r="A1373" s="48"/>
      <c r="B1373" s="31"/>
      <c r="C1373" s="48"/>
      <c r="D1373" s="47"/>
      <c r="E1373" s="47"/>
      <c r="F1373" s="31"/>
      <c r="G1373" s="31"/>
      <c r="H1373" s="31"/>
      <c r="I1373" s="47"/>
      <c r="J1373" s="31"/>
      <c r="K1373" s="47"/>
      <c r="L1373" s="47"/>
      <c r="M1373" s="47"/>
      <c r="N1373" s="31"/>
      <c r="O1373" s="47"/>
      <c r="P1373" s="31"/>
      <c r="Q1373" s="31"/>
      <c r="R1373" s="31"/>
      <c r="S1373" s="31"/>
      <c r="T1373" s="270">
        <f t="shared" si="168"/>
        <v>0</v>
      </c>
      <c r="U1373" s="270">
        <f t="shared" si="169"/>
        <v>0</v>
      </c>
      <c r="V1373" s="31"/>
      <c r="X1373" s="240" t="str">
        <f t="shared" si="170"/>
        <v>OK</v>
      </c>
      <c r="Y1373" s="240" t="str">
        <f t="shared" si="171"/>
        <v>OK</v>
      </c>
      <c r="Z1373" s="240" t="str">
        <f t="shared" si="172"/>
        <v>OK</v>
      </c>
      <c r="AA1373" s="240" t="str" cm="1">
        <f t="array" ref="AA1373">IF(OR(AND(J1373="Not accepted",N1373:O1373&lt;&gt;"",$S1373=""),AND(J1373="Accepted",S1373="")),"ERROR","OK")</f>
        <v>OK</v>
      </c>
      <c r="AB1373" s="240" t="str">
        <f t="shared" si="173"/>
        <v>OK</v>
      </c>
      <c r="AC1373" s="240" t="str" cm="1">
        <f t="array" ref="AC1373">IF(AND(F1373:H1373&lt;&gt;"",I1373=""),"ERROR","OK")</f>
        <v>OK</v>
      </c>
      <c r="AD1373" s="240" t="str">
        <f t="shared" si="174"/>
        <v>OK</v>
      </c>
      <c r="AE1373" s="240" t="str">
        <f t="shared" si="175"/>
        <v>OK</v>
      </c>
      <c r="AF1373" s="240" t="str" cm="1">
        <f t="array" aca="1" ref="AF1373" ca="1" xml:space="preserve">
IF(AND($G1373&lt;&gt;"",$F1373=""),"ERROR",
IF(OR($F1373:$G1373="",AND($G1373="",$F1373&lt;&gt;"")),"OK",
IF(COUNTIF(INDIRECT(IFERROR(LEFT($F1373,FIND(" ",$F1373)-1),$F1373)), $G1373)&gt;0, "OK", "ERROR")))</f>
        <v>OK</v>
      </c>
    </row>
    <row r="1374" spans="1:32" s="240" customFormat="1">
      <c r="A1374" s="48"/>
      <c r="B1374" s="31"/>
      <c r="C1374" s="48"/>
      <c r="D1374" s="47"/>
      <c r="E1374" s="47"/>
      <c r="F1374" s="31"/>
      <c r="G1374" s="31"/>
      <c r="H1374" s="31"/>
      <c r="I1374" s="47"/>
      <c r="J1374" s="31"/>
      <c r="K1374" s="47"/>
      <c r="L1374" s="47"/>
      <c r="M1374" s="47"/>
      <c r="N1374" s="31"/>
      <c r="O1374" s="47"/>
      <c r="P1374" s="31"/>
      <c r="Q1374" s="31"/>
      <c r="R1374" s="31"/>
      <c r="S1374" s="31"/>
      <c r="T1374" s="270">
        <f t="shared" si="168"/>
        <v>0</v>
      </c>
      <c r="U1374" s="270">
        <f t="shared" si="169"/>
        <v>0</v>
      </c>
      <c r="V1374" s="31"/>
      <c r="X1374" s="240" t="str">
        <f t="shared" si="170"/>
        <v>OK</v>
      </c>
      <c r="Y1374" s="240" t="str">
        <f t="shared" si="171"/>
        <v>OK</v>
      </c>
      <c r="Z1374" s="240" t="str">
        <f t="shared" si="172"/>
        <v>OK</v>
      </c>
      <c r="AA1374" s="240" t="str" cm="1">
        <f t="array" ref="AA1374">IF(OR(AND(J1374="Not accepted",N1374:O1374&lt;&gt;"",$S1374=""),AND(J1374="Accepted",S1374="")),"ERROR","OK")</f>
        <v>OK</v>
      </c>
      <c r="AB1374" s="240" t="str">
        <f t="shared" si="173"/>
        <v>OK</v>
      </c>
      <c r="AC1374" s="240" t="str" cm="1">
        <f t="array" ref="AC1374">IF(AND(F1374:H1374&lt;&gt;"",I1374=""),"ERROR","OK")</f>
        <v>OK</v>
      </c>
      <c r="AD1374" s="240" t="str">
        <f t="shared" si="174"/>
        <v>OK</v>
      </c>
      <c r="AE1374" s="240" t="str">
        <f t="shared" si="175"/>
        <v>OK</v>
      </c>
      <c r="AF1374" s="240" t="str" cm="1">
        <f t="array" aca="1" ref="AF1374" ca="1" xml:space="preserve">
IF(AND($G1374&lt;&gt;"",$F1374=""),"ERROR",
IF(OR($F1374:$G1374="",AND($G1374="",$F1374&lt;&gt;"")),"OK",
IF(COUNTIF(INDIRECT(IFERROR(LEFT($F1374,FIND(" ",$F1374)-1),$F1374)), $G1374)&gt;0, "OK", "ERROR")))</f>
        <v>OK</v>
      </c>
    </row>
    <row r="1375" spans="1:32" s="240" customFormat="1">
      <c r="A1375" s="48"/>
      <c r="B1375" s="31"/>
      <c r="C1375" s="48"/>
      <c r="D1375" s="47"/>
      <c r="E1375" s="47"/>
      <c r="F1375" s="31"/>
      <c r="G1375" s="31"/>
      <c r="H1375" s="31"/>
      <c r="I1375" s="47"/>
      <c r="J1375" s="31"/>
      <c r="K1375" s="47"/>
      <c r="L1375" s="47"/>
      <c r="M1375" s="47"/>
      <c r="N1375" s="31"/>
      <c r="O1375" s="47"/>
      <c r="P1375" s="31"/>
      <c r="Q1375" s="31"/>
      <c r="R1375" s="31"/>
      <c r="S1375" s="31"/>
      <c r="T1375" s="270">
        <f t="shared" si="168"/>
        <v>0</v>
      </c>
      <c r="U1375" s="270">
        <f t="shared" si="169"/>
        <v>0</v>
      </c>
      <c r="V1375" s="31"/>
      <c r="X1375" s="240" t="str">
        <f t="shared" si="170"/>
        <v>OK</v>
      </c>
      <c r="Y1375" s="240" t="str">
        <f t="shared" si="171"/>
        <v>OK</v>
      </c>
      <c r="Z1375" s="240" t="str">
        <f t="shared" si="172"/>
        <v>OK</v>
      </c>
      <c r="AA1375" s="240" t="str" cm="1">
        <f t="array" ref="AA1375">IF(OR(AND(J1375="Not accepted",N1375:O1375&lt;&gt;"",$S1375=""),AND(J1375="Accepted",S1375="")),"ERROR","OK")</f>
        <v>OK</v>
      </c>
      <c r="AB1375" s="240" t="str">
        <f t="shared" si="173"/>
        <v>OK</v>
      </c>
      <c r="AC1375" s="240" t="str" cm="1">
        <f t="array" ref="AC1375">IF(AND(F1375:H1375&lt;&gt;"",I1375=""),"ERROR","OK")</f>
        <v>OK</v>
      </c>
      <c r="AD1375" s="240" t="str">
        <f t="shared" si="174"/>
        <v>OK</v>
      </c>
      <c r="AE1375" s="240" t="str">
        <f t="shared" si="175"/>
        <v>OK</v>
      </c>
      <c r="AF1375" s="240" t="str" cm="1">
        <f t="array" aca="1" ref="AF1375" ca="1" xml:space="preserve">
IF(AND($G1375&lt;&gt;"",$F1375=""),"ERROR",
IF(OR($F1375:$G1375="",AND($G1375="",$F1375&lt;&gt;"")),"OK",
IF(COUNTIF(INDIRECT(IFERROR(LEFT($F1375,FIND(" ",$F1375)-1),$F1375)), $G1375)&gt;0, "OK", "ERROR")))</f>
        <v>OK</v>
      </c>
    </row>
    <row r="1376" spans="1:32" s="240" customFormat="1">
      <c r="A1376" s="48"/>
      <c r="B1376" s="31"/>
      <c r="C1376" s="48"/>
      <c r="D1376" s="47"/>
      <c r="E1376" s="47"/>
      <c r="F1376" s="31"/>
      <c r="G1376" s="31"/>
      <c r="H1376" s="31"/>
      <c r="I1376" s="47"/>
      <c r="J1376" s="31"/>
      <c r="K1376" s="47"/>
      <c r="L1376" s="47"/>
      <c r="M1376" s="47"/>
      <c r="N1376" s="31"/>
      <c r="O1376" s="47"/>
      <c r="P1376" s="31"/>
      <c r="Q1376" s="31"/>
      <c r="R1376" s="31"/>
      <c r="S1376" s="31"/>
      <c r="T1376" s="270">
        <f t="shared" si="168"/>
        <v>0</v>
      </c>
      <c r="U1376" s="270">
        <f t="shared" si="169"/>
        <v>0</v>
      </c>
      <c r="V1376" s="31"/>
      <c r="X1376" s="240" t="str">
        <f t="shared" si="170"/>
        <v>OK</v>
      </c>
      <c r="Y1376" s="240" t="str">
        <f t="shared" si="171"/>
        <v>OK</v>
      </c>
      <c r="Z1376" s="240" t="str">
        <f t="shared" si="172"/>
        <v>OK</v>
      </c>
      <c r="AA1376" s="240" t="str" cm="1">
        <f t="array" ref="AA1376">IF(OR(AND(J1376="Not accepted",N1376:O1376&lt;&gt;"",$S1376=""),AND(J1376="Accepted",S1376="")),"ERROR","OK")</f>
        <v>OK</v>
      </c>
      <c r="AB1376" s="240" t="str">
        <f t="shared" si="173"/>
        <v>OK</v>
      </c>
      <c r="AC1376" s="240" t="str" cm="1">
        <f t="array" ref="AC1376">IF(AND(F1376:H1376&lt;&gt;"",I1376=""),"ERROR","OK")</f>
        <v>OK</v>
      </c>
      <c r="AD1376" s="240" t="str">
        <f t="shared" si="174"/>
        <v>OK</v>
      </c>
      <c r="AE1376" s="240" t="str">
        <f t="shared" si="175"/>
        <v>OK</v>
      </c>
      <c r="AF1376" s="240" t="str" cm="1">
        <f t="array" aca="1" ref="AF1376" ca="1" xml:space="preserve">
IF(AND($G1376&lt;&gt;"",$F1376=""),"ERROR",
IF(OR($F1376:$G1376="",AND($G1376="",$F1376&lt;&gt;"")),"OK",
IF(COUNTIF(INDIRECT(IFERROR(LEFT($F1376,FIND(" ",$F1376)-1),$F1376)), $G1376)&gt;0, "OK", "ERROR")))</f>
        <v>OK</v>
      </c>
    </row>
    <row r="1377" spans="1:32" s="240" customFormat="1">
      <c r="A1377" s="48"/>
      <c r="B1377" s="31"/>
      <c r="C1377" s="48"/>
      <c r="D1377" s="47"/>
      <c r="E1377" s="47"/>
      <c r="F1377" s="31"/>
      <c r="G1377" s="31"/>
      <c r="H1377" s="31"/>
      <c r="I1377" s="47"/>
      <c r="J1377" s="31"/>
      <c r="K1377" s="47"/>
      <c r="L1377" s="47"/>
      <c r="M1377" s="47"/>
      <c r="N1377" s="31"/>
      <c r="O1377" s="47"/>
      <c r="P1377" s="31"/>
      <c r="Q1377" s="31"/>
      <c r="R1377" s="31"/>
      <c r="S1377" s="31"/>
      <c r="T1377" s="270">
        <f t="shared" si="168"/>
        <v>0</v>
      </c>
      <c r="U1377" s="270">
        <f t="shared" si="169"/>
        <v>0</v>
      </c>
      <c r="V1377" s="31"/>
      <c r="X1377" s="240" t="str">
        <f t="shared" si="170"/>
        <v>OK</v>
      </c>
      <c r="Y1377" s="240" t="str">
        <f t="shared" si="171"/>
        <v>OK</v>
      </c>
      <c r="Z1377" s="240" t="str">
        <f t="shared" si="172"/>
        <v>OK</v>
      </c>
      <c r="AA1377" s="240" t="str" cm="1">
        <f t="array" ref="AA1377">IF(OR(AND(J1377="Not accepted",N1377:O1377&lt;&gt;"",$S1377=""),AND(J1377="Accepted",S1377="")),"ERROR","OK")</f>
        <v>OK</v>
      </c>
      <c r="AB1377" s="240" t="str">
        <f t="shared" si="173"/>
        <v>OK</v>
      </c>
      <c r="AC1377" s="240" t="str" cm="1">
        <f t="array" ref="AC1377">IF(AND(F1377:H1377&lt;&gt;"",I1377=""),"ERROR","OK")</f>
        <v>OK</v>
      </c>
      <c r="AD1377" s="240" t="str">
        <f t="shared" si="174"/>
        <v>OK</v>
      </c>
      <c r="AE1377" s="240" t="str">
        <f t="shared" si="175"/>
        <v>OK</v>
      </c>
      <c r="AF1377" s="240" t="str" cm="1">
        <f t="array" aca="1" ref="AF1377" ca="1" xml:space="preserve">
IF(AND($G1377&lt;&gt;"",$F1377=""),"ERROR",
IF(OR($F1377:$G1377="",AND($G1377="",$F1377&lt;&gt;"")),"OK",
IF(COUNTIF(INDIRECT(IFERROR(LEFT($F1377,FIND(" ",$F1377)-1),$F1377)), $G1377)&gt;0, "OK", "ERROR")))</f>
        <v>OK</v>
      </c>
    </row>
    <row r="1378" spans="1:32" s="240" customFormat="1">
      <c r="A1378" s="48"/>
      <c r="B1378" s="31"/>
      <c r="C1378" s="48"/>
      <c r="D1378" s="47"/>
      <c r="E1378" s="47"/>
      <c r="F1378" s="31"/>
      <c r="G1378" s="31"/>
      <c r="H1378" s="31"/>
      <c r="I1378" s="47"/>
      <c r="J1378" s="31"/>
      <c r="K1378" s="47"/>
      <c r="L1378" s="47"/>
      <c r="M1378" s="47"/>
      <c r="N1378" s="31"/>
      <c r="O1378" s="47"/>
      <c r="P1378" s="31"/>
      <c r="Q1378" s="31"/>
      <c r="R1378" s="31"/>
      <c r="S1378" s="31"/>
      <c r="T1378" s="270">
        <f t="shared" si="168"/>
        <v>0</v>
      </c>
      <c r="U1378" s="270">
        <f t="shared" si="169"/>
        <v>0</v>
      </c>
      <c r="V1378" s="31"/>
      <c r="X1378" s="240" t="str">
        <f t="shared" si="170"/>
        <v>OK</v>
      </c>
      <c r="Y1378" s="240" t="str">
        <f t="shared" si="171"/>
        <v>OK</v>
      </c>
      <c r="Z1378" s="240" t="str">
        <f t="shared" si="172"/>
        <v>OK</v>
      </c>
      <c r="AA1378" s="240" t="str" cm="1">
        <f t="array" ref="AA1378">IF(OR(AND(J1378="Not accepted",N1378:O1378&lt;&gt;"",$S1378=""),AND(J1378="Accepted",S1378="")),"ERROR","OK")</f>
        <v>OK</v>
      </c>
      <c r="AB1378" s="240" t="str">
        <f t="shared" si="173"/>
        <v>OK</v>
      </c>
      <c r="AC1378" s="240" t="str" cm="1">
        <f t="array" ref="AC1378">IF(AND(F1378:H1378&lt;&gt;"",I1378=""),"ERROR","OK")</f>
        <v>OK</v>
      </c>
      <c r="AD1378" s="240" t="str">
        <f t="shared" si="174"/>
        <v>OK</v>
      </c>
      <c r="AE1378" s="240" t="str">
        <f t="shared" si="175"/>
        <v>OK</v>
      </c>
      <c r="AF1378" s="240" t="str" cm="1">
        <f t="array" aca="1" ref="AF1378" ca="1" xml:space="preserve">
IF(AND($G1378&lt;&gt;"",$F1378=""),"ERROR",
IF(OR($F1378:$G1378="",AND($G1378="",$F1378&lt;&gt;"")),"OK",
IF(COUNTIF(INDIRECT(IFERROR(LEFT($F1378,FIND(" ",$F1378)-1),$F1378)), $G1378)&gt;0, "OK", "ERROR")))</f>
        <v>OK</v>
      </c>
    </row>
    <row r="1379" spans="1:32" s="240" customFormat="1">
      <c r="A1379" s="48"/>
      <c r="B1379" s="31"/>
      <c r="C1379" s="48"/>
      <c r="D1379" s="47"/>
      <c r="E1379" s="47"/>
      <c r="F1379" s="31"/>
      <c r="G1379" s="31"/>
      <c r="H1379" s="31"/>
      <c r="I1379" s="47"/>
      <c r="J1379" s="31"/>
      <c r="K1379" s="47"/>
      <c r="L1379" s="47"/>
      <c r="M1379" s="47"/>
      <c r="N1379" s="31"/>
      <c r="O1379" s="47"/>
      <c r="P1379" s="31"/>
      <c r="Q1379" s="31"/>
      <c r="R1379" s="31"/>
      <c r="S1379" s="31"/>
      <c r="T1379" s="270">
        <f t="shared" si="168"/>
        <v>0</v>
      </c>
      <c r="U1379" s="270">
        <f t="shared" si="169"/>
        <v>0</v>
      </c>
      <c r="V1379" s="31"/>
      <c r="X1379" s="240" t="str">
        <f t="shared" si="170"/>
        <v>OK</v>
      </c>
      <c r="Y1379" s="240" t="str">
        <f t="shared" si="171"/>
        <v>OK</v>
      </c>
      <c r="Z1379" s="240" t="str">
        <f t="shared" si="172"/>
        <v>OK</v>
      </c>
      <c r="AA1379" s="240" t="str" cm="1">
        <f t="array" ref="AA1379">IF(OR(AND(J1379="Not accepted",N1379:O1379&lt;&gt;"",$S1379=""),AND(J1379="Accepted",S1379="")),"ERROR","OK")</f>
        <v>OK</v>
      </c>
      <c r="AB1379" s="240" t="str">
        <f t="shared" si="173"/>
        <v>OK</v>
      </c>
      <c r="AC1379" s="240" t="str" cm="1">
        <f t="array" ref="AC1379">IF(AND(F1379:H1379&lt;&gt;"",I1379=""),"ERROR","OK")</f>
        <v>OK</v>
      </c>
      <c r="AD1379" s="240" t="str">
        <f t="shared" si="174"/>
        <v>OK</v>
      </c>
      <c r="AE1379" s="240" t="str">
        <f t="shared" si="175"/>
        <v>OK</v>
      </c>
      <c r="AF1379" s="240" t="str" cm="1">
        <f t="array" aca="1" ref="AF1379" ca="1" xml:space="preserve">
IF(AND($G1379&lt;&gt;"",$F1379=""),"ERROR",
IF(OR($F1379:$G1379="",AND($G1379="",$F1379&lt;&gt;"")),"OK",
IF(COUNTIF(INDIRECT(IFERROR(LEFT($F1379,FIND(" ",$F1379)-1),$F1379)), $G1379)&gt;0, "OK", "ERROR")))</f>
        <v>OK</v>
      </c>
    </row>
    <row r="1380" spans="1:32" s="240" customFormat="1">
      <c r="A1380" s="48"/>
      <c r="B1380" s="31"/>
      <c r="C1380" s="48"/>
      <c r="D1380" s="47"/>
      <c r="E1380" s="47"/>
      <c r="F1380" s="31"/>
      <c r="G1380" s="31"/>
      <c r="H1380" s="31"/>
      <c r="I1380" s="47"/>
      <c r="J1380" s="31"/>
      <c r="K1380" s="47"/>
      <c r="L1380" s="47"/>
      <c r="M1380" s="47"/>
      <c r="N1380" s="31"/>
      <c r="O1380" s="47"/>
      <c r="P1380" s="31"/>
      <c r="Q1380" s="31"/>
      <c r="R1380" s="31"/>
      <c r="S1380" s="31"/>
      <c r="T1380" s="270">
        <f t="shared" si="168"/>
        <v>0</v>
      </c>
      <c r="U1380" s="270">
        <f t="shared" si="169"/>
        <v>0</v>
      </c>
      <c r="V1380" s="31"/>
      <c r="X1380" s="240" t="str">
        <f t="shared" si="170"/>
        <v>OK</v>
      </c>
      <c r="Y1380" s="240" t="str">
        <f t="shared" si="171"/>
        <v>OK</v>
      </c>
      <c r="Z1380" s="240" t="str">
        <f t="shared" si="172"/>
        <v>OK</v>
      </c>
      <c r="AA1380" s="240" t="str" cm="1">
        <f t="array" ref="AA1380">IF(OR(AND(J1380="Not accepted",N1380:O1380&lt;&gt;"",$S1380=""),AND(J1380="Accepted",S1380="")),"ERROR","OK")</f>
        <v>OK</v>
      </c>
      <c r="AB1380" s="240" t="str">
        <f t="shared" si="173"/>
        <v>OK</v>
      </c>
      <c r="AC1380" s="240" t="str" cm="1">
        <f t="array" ref="AC1380">IF(AND(F1380:H1380&lt;&gt;"",I1380=""),"ERROR","OK")</f>
        <v>OK</v>
      </c>
      <c r="AD1380" s="240" t="str">
        <f t="shared" si="174"/>
        <v>OK</v>
      </c>
      <c r="AE1380" s="240" t="str">
        <f t="shared" si="175"/>
        <v>OK</v>
      </c>
      <c r="AF1380" s="240" t="str" cm="1">
        <f t="array" aca="1" ref="AF1380" ca="1" xml:space="preserve">
IF(AND($G1380&lt;&gt;"",$F1380=""),"ERROR",
IF(OR($F1380:$G1380="",AND($G1380="",$F1380&lt;&gt;"")),"OK",
IF(COUNTIF(INDIRECT(IFERROR(LEFT($F1380,FIND(" ",$F1380)-1),$F1380)), $G1380)&gt;0, "OK", "ERROR")))</f>
        <v>OK</v>
      </c>
    </row>
    <row r="1381" spans="1:32" s="240" customFormat="1">
      <c r="A1381" s="48"/>
      <c r="B1381" s="31"/>
      <c r="C1381" s="48"/>
      <c r="D1381" s="47"/>
      <c r="E1381" s="47"/>
      <c r="F1381" s="31"/>
      <c r="G1381" s="31"/>
      <c r="H1381" s="31"/>
      <c r="I1381" s="47"/>
      <c r="J1381" s="31"/>
      <c r="K1381" s="47"/>
      <c r="L1381" s="47"/>
      <c r="M1381" s="47"/>
      <c r="N1381" s="31"/>
      <c r="O1381" s="47"/>
      <c r="P1381" s="31"/>
      <c r="Q1381" s="31"/>
      <c r="R1381" s="31"/>
      <c r="S1381" s="31"/>
      <c r="T1381" s="270">
        <f t="shared" si="168"/>
        <v>0</v>
      </c>
      <c r="U1381" s="270">
        <f t="shared" si="169"/>
        <v>0</v>
      </c>
      <c r="V1381" s="31"/>
      <c r="X1381" s="240" t="str">
        <f t="shared" si="170"/>
        <v>OK</v>
      </c>
      <c r="Y1381" s="240" t="str">
        <f t="shared" si="171"/>
        <v>OK</v>
      </c>
      <c r="Z1381" s="240" t="str">
        <f t="shared" si="172"/>
        <v>OK</v>
      </c>
      <c r="AA1381" s="240" t="str" cm="1">
        <f t="array" ref="AA1381">IF(OR(AND(J1381="Not accepted",N1381:O1381&lt;&gt;"",$S1381=""),AND(J1381="Accepted",S1381="")),"ERROR","OK")</f>
        <v>OK</v>
      </c>
      <c r="AB1381" s="240" t="str">
        <f t="shared" si="173"/>
        <v>OK</v>
      </c>
      <c r="AC1381" s="240" t="str" cm="1">
        <f t="array" ref="AC1381">IF(AND(F1381:H1381&lt;&gt;"",I1381=""),"ERROR","OK")</f>
        <v>OK</v>
      </c>
      <c r="AD1381" s="240" t="str">
        <f t="shared" si="174"/>
        <v>OK</v>
      </c>
      <c r="AE1381" s="240" t="str">
        <f t="shared" si="175"/>
        <v>OK</v>
      </c>
      <c r="AF1381" s="240" t="str" cm="1">
        <f t="array" aca="1" ref="AF1381" ca="1" xml:space="preserve">
IF(AND($G1381&lt;&gt;"",$F1381=""),"ERROR",
IF(OR($F1381:$G1381="",AND($G1381="",$F1381&lt;&gt;"")),"OK",
IF(COUNTIF(INDIRECT(IFERROR(LEFT($F1381,FIND(" ",$F1381)-1),$F1381)), $G1381)&gt;0, "OK", "ERROR")))</f>
        <v>OK</v>
      </c>
    </row>
    <row r="1382" spans="1:32" s="240" customFormat="1">
      <c r="A1382" s="48"/>
      <c r="B1382" s="31"/>
      <c r="C1382" s="48"/>
      <c r="D1382" s="47"/>
      <c r="E1382" s="47"/>
      <c r="F1382" s="31"/>
      <c r="G1382" s="31"/>
      <c r="H1382" s="31"/>
      <c r="I1382" s="47"/>
      <c r="J1382" s="31"/>
      <c r="K1382" s="47"/>
      <c r="L1382" s="47"/>
      <c r="M1382" s="47"/>
      <c r="N1382" s="31"/>
      <c r="O1382" s="47"/>
      <c r="P1382" s="31"/>
      <c r="Q1382" s="31"/>
      <c r="R1382" s="31"/>
      <c r="S1382" s="31"/>
      <c r="T1382" s="270">
        <f t="shared" si="168"/>
        <v>0</v>
      </c>
      <c r="U1382" s="270">
        <f t="shared" si="169"/>
        <v>0</v>
      </c>
      <c r="V1382" s="31"/>
      <c r="X1382" s="240" t="str">
        <f t="shared" si="170"/>
        <v>OK</v>
      </c>
      <c r="Y1382" s="240" t="str">
        <f t="shared" si="171"/>
        <v>OK</v>
      </c>
      <c r="Z1382" s="240" t="str">
        <f t="shared" si="172"/>
        <v>OK</v>
      </c>
      <c r="AA1382" s="240" t="str" cm="1">
        <f t="array" ref="AA1382">IF(OR(AND(J1382="Not accepted",N1382:O1382&lt;&gt;"",$S1382=""),AND(J1382="Accepted",S1382="")),"ERROR","OK")</f>
        <v>OK</v>
      </c>
      <c r="AB1382" s="240" t="str">
        <f t="shared" si="173"/>
        <v>OK</v>
      </c>
      <c r="AC1382" s="240" t="str" cm="1">
        <f t="array" ref="AC1382">IF(AND(F1382:H1382&lt;&gt;"",I1382=""),"ERROR","OK")</f>
        <v>OK</v>
      </c>
      <c r="AD1382" s="240" t="str">
        <f t="shared" si="174"/>
        <v>OK</v>
      </c>
      <c r="AE1382" s="240" t="str">
        <f t="shared" si="175"/>
        <v>OK</v>
      </c>
      <c r="AF1382" s="240" t="str" cm="1">
        <f t="array" aca="1" ref="AF1382" ca="1" xml:space="preserve">
IF(AND($G1382&lt;&gt;"",$F1382=""),"ERROR",
IF(OR($F1382:$G1382="",AND($G1382="",$F1382&lt;&gt;"")),"OK",
IF(COUNTIF(INDIRECT(IFERROR(LEFT($F1382,FIND(" ",$F1382)-1),$F1382)), $G1382)&gt;0, "OK", "ERROR")))</f>
        <v>OK</v>
      </c>
    </row>
    <row r="1383" spans="1:32" s="240" customFormat="1">
      <c r="A1383" s="48"/>
      <c r="B1383" s="31"/>
      <c r="C1383" s="48"/>
      <c r="D1383" s="47"/>
      <c r="E1383" s="47"/>
      <c r="F1383" s="31"/>
      <c r="G1383" s="31"/>
      <c r="H1383" s="31"/>
      <c r="I1383" s="47"/>
      <c r="J1383" s="31"/>
      <c r="K1383" s="47"/>
      <c r="L1383" s="47"/>
      <c r="M1383" s="47"/>
      <c r="N1383" s="31"/>
      <c r="O1383" s="47"/>
      <c r="P1383" s="31"/>
      <c r="Q1383" s="31"/>
      <c r="R1383" s="31"/>
      <c r="S1383" s="31"/>
      <c r="T1383" s="270">
        <f t="shared" si="168"/>
        <v>0</v>
      </c>
      <c r="U1383" s="270">
        <f t="shared" si="169"/>
        <v>0</v>
      </c>
      <c r="V1383" s="31"/>
      <c r="X1383" s="240" t="str">
        <f t="shared" si="170"/>
        <v>OK</v>
      </c>
      <c r="Y1383" s="240" t="str">
        <f t="shared" si="171"/>
        <v>OK</v>
      </c>
      <c r="Z1383" s="240" t="str">
        <f t="shared" si="172"/>
        <v>OK</v>
      </c>
      <c r="AA1383" s="240" t="str" cm="1">
        <f t="array" ref="AA1383">IF(OR(AND(J1383="Not accepted",N1383:O1383&lt;&gt;"",$S1383=""),AND(J1383="Accepted",S1383="")),"ERROR","OK")</f>
        <v>OK</v>
      </c>
      <c r="AB1383" s="240" t="str">
        <f t="shared" si="173"/>
        <v>OK</v>
      </c>
      <c r="AC1383" s="240" t="str" cm="1">
        <f t="array" ref="AC1383">IF(AND(F1383:H1383&lt;&gt;"",I1383=""),"ERROR","OK")</f>
        <v>OK</v>
      </c>
      <c r="AD1383" s="240" t="str">
        <f t="shared" si="174"/>
        <v>OK</v>
      </c>
      <c r="AE1383" s="240" t="str">
        <f t="shared" si="175"/>
        <v>OK</v>
      </c>
      <c r="AF1383" s="240" t="str" cm="1">
        <f t="array" aca="1" ref="AF1383" ca="1" xml:space="preserve">
IF(AND($G1383&lt;&gt;"",$F1383=""),"ERROR",
IF(OR($F1383:$G1383="",AND($G1383="",$F1383&lt;&gt;"")),"OK",
IF(COUNTIF(INDIRECT(IFERROR(LEFT($F1383,FIND(" ",$F1383)-1),$F1383)), $G1383)&gt;0, "OK", "ERROR")))</f>
        <v>OK</v>
      </c>
    </row>
    <row r="1384" spans="1:32" s="240" customFormat="1">
      <c r="A1384" s="48"/>
      <c r="B1384" s="31"/>
      <c r="C1384" s="48"/>
      <c r="D1384" s="47"/>
      <c r="E1384" s="47"/>
      <c r="F1384" s="31"/>
      <c r="G1384" s="31"/>
      <c r="H1384" s="31"/>
      <c r="I1384" s="47"/>
      <c r="J1384" s="31"/>
      <c r="K1384" s="47"/>
      <c r="L1384" s="47"/>
      <c r="M1384" s="47"/>
      <c r="N1384" s="31"/>
      <c r="O1384" s="47"/>
      <c r="P1384" s="31"/>
      <c r="Q1384" s="31"/>
      <c r="R1384" s="31"/>
      <c r="S1384" s="31"/>
      <c r="T1384" s="270">
        <f t="shared" si="168"/>
        <v>0</v>
      </c>
      <c r="U1384" s="270">
        <f t="shared" si="169"/>
        <v>0</v>
      </c>
      <c r="V1384" s="31"/>
      <c r="X1384" s="240" t="str">
        <f t="shared" si="170"/>
        <v>OK</v>
      </c>
      <c r="Y1384" s="240" t="str">
        <f t="shared" si="171"/>
        <v>OK</v>
      </c>
      <c r="Z1384" s="240" t="str">
        <f t="shared" si="172"/>
        <v>OK</v>
      </c>
      <c r="AA1384" s="240" t="str" cm="1">
        <f t="array" ref="AA1384">IF(OR(AND(J1384="Not accepted",N1384:O1384&lt;&gt;"",$S1384=""),AND(J1384="Accepted",S1384="")),"ERROR","OK")</f>
        <v>OK</v>
      </c>
      <c r="AB1384" s="240" t="str">
        <f t="shared" si="173"/>
        <v>OK</v>
      </c>
      <c r="AC1384" s="240" t="str" cm="1">
        <f t="array" ref="AC1384">IF(AND(F1384:H1384&lt;&gt;"",I1384=""),"ERROR","OK")</f>
        <v>OK</v>
      </c>
      <c r="AD1384" s="240" t="str">
        <f t="shared" si="174"/>
        <v>OK</v>
      </c>
      <c r="AE1384" s="240" t="str">
        <f t="shared" si="175"/>
        <v>OK</v>
      </c>
      <c r="AF1384" s="240" t="str" cm="1">
        <f t="array" aca="1" ref="AF1384" ca="1" xml:space="preserve">
IF(AND($G1384&lt;&gt;"",$F1384=""),"ERROR",
IF(OR($F1384:$G1384="",AND($G1384="",$F1384&lt;&gt;"")),"OK",
IF(COUNTIF(INDIRECT(IFERROR(LEFT($F1384,FIND(" ",$F1384)-1),$F1384)), $G1384)&gt;0, "OK", "ERROR")))</f>
        <v>OK</v>
      </c>
    </row>
    <row r="1385" spans="1:32" s="240" customFormat="1">
      <c r="A1385" s="48"/>
      <c r="B1385" s="31"/>
      <c r="C1385" s="48"/>
      <c r="D1385" s="47"/>
      <c r="E1385" s="47"/>
      <c r="F1385" s="31"/>
      <c r="G1385" s="31"/>
      <c r="H1385" s="31"/>
      <c r="I1385" s="47"/>
      <c r="J1385" s="31"/>
      <c r="K1385" s="47"/>
      <c r="L1385" s="47"/>
      <c r="M1385" s="47"/>
      <c r="N1385" s="31"/>
      <c r="O1385" s="47"/>
      <c r="P1385" s="31"/>
      <c r="Q1385" s="31"/>
      <c r="R1385" s="31"/>
      <c r="S1385" s="31"/>
      <c r="T1385" s="270">
        <f t="shared" si="168"/>
        <v>0</v>
      </c>
      <c r="U1385" s="270">
        <f t="shared" si="169"/>
        <v>0</v>
      </c>
      <c r="V1385" s="31"/>
      <c r="X1385" s="240" t="str">
        <f t="shared" si="170"/>
        <v>OK</v>
      </c>
      <c r="Y1385" s="240" t="str">
        <f t="shared" si="171"/>
        <v>OK</v>
      </c>
      <c r="Z1385" s="240" t="str">
        <f t="shared" si="172"/>
        <v>OK</v>
      </c>
      <c r="AA1385" s="240" t="str" cm="1">
        <f t="array" ref="AA1385">IF(OR(AND(J1385="Not accepted",N1385:O1385&lt;&gt;"",$S1385=""),AND(J1385="Accepted",S1385="")),"ERROR","OK")</f>
        <v>OK</v>
      </c>
      <c r="AB1385" s="240" t="str">
        <f t="shared" si="173"/>
        <v>OK</v>
      </c>
      <c r="AC1385" s="240" t="str" cm="1">
        <f t="array" ref="AC1385">IF(AND(F1385:H1385&lt;&gt;"",I1385=""),"ERROR","OK")</f>
        <v>OK</v>
      </c>
      <c r="AD1385" s="240" t="str">
        <f t="shared" si="174"/>
        <v>OK</v>
      </c>
      <c r="AE1385" s="240" t="str">
        <f t="shared" si="175"/>
        <v>OK</v>
      </c>
      <c r="AF1385" s="240" t="str" cm="1">
        <f t="array" aca="1" ref="AF1385" ca="1" xml:space="preserve">
IF(AND($G1385&lt;&gt;"",$F1385=""),"ERROR",
IF(OR($F1385:$G1385="",AND($G1385="",$F1385&lt;&gt;"")),"OK",
IF(COUNTIF(INDIRECT(IFERROR(LEFT($F1385,FIND(" ",$F1385)-1),$F1385)), $G1385)&gt;0, "OK", "ERROR")))</f>
        <v>OK</v>
      </c>
    </row>
    <row r="1386" spans="1:32" s="240" customFormat="1">
      <c r="A1386" s="48"/>
      <c r="B1386" s="31"/>
      <c r="C1386" s="48"/>
      <c r="D1386" s="47"/>
      <c r="E1386" s="47"/>
      <c r="F1386" s="31"/>
      <c r="G1386" s="31"/>
      <c r="H1386" s="31"/>
      <c r="I1386" s="47"/>
      <c r="J1386" s="31"/>
      <c r="K1386" s="47"/>
      <c r="L1386" s="47"/>
      <c r="M1386" s="47"/>
      <c r="N1386" s="31"/>
      <c r="O1386" s="47"/>
      <c r="P1386" s="31"/>
      <c r="Q1386" s="31"/>
      <c r="R1386" s="31"/>
      <c r="S1386" s="31"/>
      <c r="T1386" s="270">
        <f t="shared" si="168"/>
        <v>0</v>
      </c>
      <c r="U1386" s="270">
        <f t="shared" si="169"/>
        <v>0</v>
      </c>
      <c r="V1386" s="31"/>
      <c r="X1386" s="240" t="str">
        <f t="shared" si="170"/>
        <v>OK</v>
      </c>
      <c r="Y1386" s="240" t="str">
        <f t="shared" si="171"/>
        <v>OK</v>
      </c>
      <c r="Z1386" s="240" t="str">
        <f t="shared" si="172"/>
        <v>OK</v>
      </c>
      <c r="AA1386" s="240" t="str" cm="1">
        <f t="array" ref="AA1386">IF(OR(AND(J1386="Not accepted",N1386:O1386&lt;&gt;"",$S1386=""),AND(J1386="Accepted",S1386="")),"ERROR","OK")</f>
        <v>OK</v>
      </c>
      <c r="AB1386" s="240" t="str">
        <f t="shared" si="173"/>
        <v>OK</v>
      </c>
      <c r="AC1386" s="240" t="str" cm="1">
        <f t="array" ref="AC1386">IF(AND(F1386:H1386&lt;&gt;"",I1386=""),"ERROR","OK")</f>
        <v>OK</v>
      </c>
      <c r="AD1386" s="240" t="str">
        <f t="shared" si="174"/>
        <v>OK</v>
      </c>
      <c r="AE1386" s="240" t="str">
        <f t="shared" si="175"/>
        <v>OK</v>
      </c>
      <c r="AF1386" s="240" t="str" cm="1">
        <f t="array" aca="1" ref="AF1386" ca="1" xml:space="preserve">
IF(AND($G1386&lt;&gt;"",$F1386=""),"ERROR",
IF(OR($F1386:$G1386="",AND($G1386="",$F1386&lt;&gt;"")),"OK",
IF(COUNTIF(INDIRECT(IFERROR(LEFT($F1386,FIND(" ",$F1386)-1),$F1386)), $G1386)&gt;0, "OK", "ERROR")))</f>
        <v>OK</v>
      </c>
    </row>
    <row r="1387" spans="1:32" s="240" customFormat="1">
      <c r="A1387" s="48"/>
      <c r="B1387" s="31"/>
      <c r="C1387" s="48"/>
      <c r="D1387" s="47"/>
      <c r="E1387" s="47"/>
      <c r="F1387" s="31"/>
      <c r="G1387" s="31"/>
      <c r="H1387" s="31"/>
      <c r="I1387" s="47"/>
      <c r="J1387" s="31"/>
      <c r="K1387" s="47"/>
      <c r="L1387" s="47"/>
      <c r="M1387" s="47"/>
      <c r="N1387" s="31"/>
      <c r="O1387" s="47"/>
      <c r="P1387" s="31"/>
      <c r="Q1387" s="31"/>
      <c r="R1387" s="31"/>
      <c r="S1387" s="31"/>
      <c r="T1387" s="270">
        <f t="shared" si="168"/>
        <v>0</v>
      </c>
      <c r="U1387" s="270">
        <f t="shared" si="169"/>
        <v>0</v>
      </c>
      <c r="V1387" s="31"/>
      <c r="X1387" s="240" t="str">
        <f t="shared" si="170"/>
        <v>OK</v>
      </c>
      <c r="Y1387" s="240" t="str">
        <f t="shared" si="171"/>
        <v>OK</v>
      </c>
      <c r="Z1387" s="240" t="str">
        <f t="shared" si="172"/>
        <v>OK</v>
      </c>
      <c r="AA1387" s="240" t="str" cm="1">
        <f t="array" ref="AA1387">IF(OR(AND(J1387="Not accepted",N1387:O1387&lt;&gt;"",$S1387=""),AND(J1387="Accepted",S1387="")),"ERROR","OK")</f>
        <v>OK</v>
      </c>
      <c r="AB1387" s="240" t="str">
        <f t="shared" si="173"/>
        <v>OK</v>
      </c>
      <c r="AC1387" s="240" t="str" cm="1">
        <f t="array" ref="AC1387">IF(AND(F1387:H1387&lt;&gt;"",I1387=""),"ERROR","OK")</f>
        <v>OK</v>
      </c>
      <c r="AD1387" s="240" t="str">
        <f t="shared" si="174"/>
        <v>OK</v>
      </c>
      <c r="AE1387" s="240" t="str">
        <f t="shared" si="175"/>
        <v>OK</v>
      </c>
      <c r="AF1387" s="240" t="str" cm="1">
        <f t="array" aca="1" ref="AF1387" ca="1" xml:space="preserve">
IF(AND($G1387&lt;&gt;"",$F1387=""),"ERROR",
IF(OR($F1387:$G1387="",AND($G1387="",$F1387&lt;&gt;"")),"OK",
IF(COUNTIF(INDIRECT(IFERROR(LEFT($F1387,FIND(" ",$F1387)-1),$F1387)), $G1387)&gt;0, "OK", "ERROR")))</f>
        <v>OK</v>
      </c>
    </row>
    <row r="1388" spans="1:32" s="240" customFormat="1">
      <c r="A1388" s="48"/>
      <c r="B1388" s="31"/>
      <c r="C1388" s="48"/>
      <c r="D1388" s="47"/>
      <c r="E1388" s="47"/>
      <c r="F1388" s="31"/>
      <c r="G1388" s="31"/>
      <c r="H1388" s="31"/>
      <c r="I1388" s="47"/>
      <c r="J1388" s="31"/>
      <c r="K1388" s="47"/>
      <c r="L1388" s="47"/>
      <c r="M1388" s="47"/>
      <c r="N1388" s="31"/>
      <c r="O1388" s="47"/>
      <c r="P1388" s="31"/>
      <c r="Q1388" s="31"/>
      <c r="R1388" s="31"/>
      <c r="S1388" s="31"/>
      <c r="T1388" s="270">
        <f t="shared" si="168"/>
        <v>0</v>
      </c>
      <c r="U1388" s="270">
        <f t="shared" si="169"/>
        <v>0</v>
      </c>
      <c r="V1388" s="31"/>
      <c r="X1388" s="240" t="str">
        <f t="shared" si="170"/>
        <v>OK</v>
      </c>
      <c r="Y1388" s="240" t="str">
        <f t="shared" si="171"/>
        <v>OK</v>
      </c>
      <c r="Z1388" s="240" t="str">
        <f t="shared" si="172"/>
        <v>OK</v>
      </c>
      <c r="AA1388" s="240" t="str" cm="1">
        <f t="array" ref="AA1388">IF(OR(AND(J1388="Not accepted",N1388:O1388&lt;&gt;"",$S1388=""),AND(J1388="Accepted",S1388="")),"ERROR","OK")</f>
        <v>OK</v>
      </c>
      <c r="AB1388" s="240" t="str">
        <f t="shared" si="173"/>
        <v>OK</v>
      </c>
      <c r="AC1388" s="240" t="str" cm="1">
        <f t="array" ref="AC1388">IF(AND(F1388:H1388&lt;&gt;"",I1388=""),"ERROR","OK")</f>
        <v>OK</v>
      </c>
      <c r="AD1388" s="240" t="str">
        <f t="shared" si="174"/>
        <v>OK</v>
      </c>
      <c r="AE1388" s="240" t="str">
        <f t="shared" si="175"/>
        <v>OK</v>
      </c>
      <c r="AF1388" s="240" t="str" cm="1">
        <f t="array" aca="1" ref="AF1388" ca="1" xml:space="preserve">
IF(AND($G1388&lt;&gt;"",$F1388=""),"ERROR",
IF(OR($F1388:$G1388="",AND($G1388="",$F1388&lt;&gt;"")),"OK",
IF(COUNTIF(INDIRECT(IFERROR(LEFT($F1388,FIND(" ",$F1388)-1),$F1388)), $G1388)&gt;0, "OK", "ERROR")))</f>
        <v>OK</v>
      </c>
    </row>
    <row r="1389" spans="1:32" s="240" customFormat="1">
      <c r="A1389" s="48"/>
      <c r="B1389" s="31"/>
      <c r="C1389" s="48"/>
      <c r="D1389" s="47"/>
      <c r="E1389" s="47"/>
      <c r="F1389" s="31"/>
      <c r="G1389" s="31"/>
      <c r="H1389" s="31"/>
      <c r="I1389" s="47"/>
      <c r="J1389" s="31"/>
      <c r="K1389" s="47"/>
      <c r="L1389" s="47"/>
      <c r="M1389" s="47"/>
      <c r="N1389" s="31"/>
      <c r="O1389" s="47"/>
      <c r="P1389" s="31"/>
      <c r="Q1389" s="31"/>
      <c r="R1389" s="31"/>
      <c r="S1389" s="31"/>
      <c r="T1389" s="270">
        <f t="shared" si="168"/>
        <v>0</v>
      </c>
      <c r="U1389" s="270">
        <f t="shared" si="169"/>
        <v>0</v>
      </c>
      <c r="V1389" s="31"/>
      <c r="X1389" s="240" t="str">
        <f t="shared" si="170"/>
        <v>OK</v>
      </c>
      <c r="Y1389" s="240" t="str">
        <f t="shared" si="171"/>
        <v>OK</v>
      </c>
      <c r="Z1389" s="240" t="str">
        <f t="shared" si="172"/>
        <v>OK</v>
      </c>
      <c r="AA1389" s="240" t="str" cm="1">
        <f t="array" ref="AA1389">IF(OR(AND(J1389="Not accepted",N1389:O1389&lt;&gt;"",$S1389=""),AND(J1389="Accepted",S1389="")),"ERROR","OK")</f>
        <v>OK</v>
      </c>
      <c r="AB1389" s="240" t="str">
        <f t="shared" si="173"/>
        <v>OK</v>
      </c>
      <c r="AC1389" s="240" t="str" cm="1">
        <f t="array" ref="AC1389">IF(AND(F1389:H1389&lt;&gt;"",I1389=""),"ERROR","OK")</f>
        <v>OK</v>
      </c>
      <c r="AD1389" s="240" t="str">
        <f t="shared" si="174"/>
        <v>OK</v>
      </c>
      <c r="AE1389" s="240" t="str">
        <f t="shared" si="175"/>
        <v>OK</v>
      </c>
      <c r="AF1389" s="240" t="str" cm="1">
        <f t="array" aca="1" ref="AF1389" ca="1" xml:space="preserve">
IF(AND($G1389&lt;&gt;"",$F1389=""),"ERROR",
IF(OR($F1389:$G1389="",AND($G1389="",$F1389&lt;&gt;"")),"OK",
IF(COUNTIF(INDIRECT(IFERROR(LEFT($F1389,FIND(" ",$F1389)-1),$F1389)), $G1389)&gt;0, "OK", "ERROR")))</f>
        <v>OK</v>
      </c>
    </row>
    <row r="1390" spans="1:32" s="240" customFormat="1">
      <c r="A1390" s="48"/>
      <c r="B1390" s="31"/>
      <c r="C1390" s="48"/>
      <c r="D1390" s="47"/>
      <c r="E1390" s="47"/>
      <c r="F1390" s="31"/>
      <c r="G1390" s="31"/>
      <c r="H1390" s="31"/>
      <c r="I1390" s="47"/>
      <c r="J1390" s="31"/>
      <c r="K1390" s="47"/>
      <c r="L1390" s="47"/>
      <c r="M1390" s="47"/>
      <c r="N1390" s="31"/>
      <c r="O1390" s="47"/>
      <c r="P1390" s="31"/>
      <c r="Q1390" s="31"/>
      <c r="R1390" s="31"/>
      <c r="S1390" s="31"/>
      <c r="T1390" s="270">
        <f t="shared" si="168"/>
        <v>0</v>
      </c>
      <c r="U1390" s="270">
        <f t="shared" si="169"/>
        <v>0</v>
      </c>
      <c r="V1390" s="31"/>
      <c r="X1390" s="240" t="str">
        <f t="shared" si="170"/>
        <v>OK</v>
      </c>
      <c r="Y1390" s="240" t="str">
        <f t="shared" si="171"/>
        <v>OK</v>
      </c>
      <c r="Z1390" s="240" t="str">
        <f t="shared" si="172"/>
        <v>OK</v>
      </c>
      <c r="AA1390" s="240" t="str" cm="1">
        <f t="array" ref="AA1390">IF(OR(AND(J1390="Not accepted",N1390:O1390&lt;&gt;"",$S1390=""),AND(J1390="Accepted",S1390="")),"ERROR","OK")</f>
        <v>OK</v>
      </c>
      <c r="AB1390" s="240" t="str">
        <f t="shared" si="173"/>
        <v>OK</v>
      </c>
      <c r="AC1390" s="240" t="str" cm="1">
        <f t="array" ref="AC1390">IF(AND(F1390:H1390&lt;&gt;"",I1390=""),"ERROR","OK")</f>
        <v>OK</v>
      </c>
      <c r="AD1390" s="240" t="str">
        <f t="shared" si="174"/>
        <v>OK</v>
      </c>
      <c r="AE1390" s="240" t="str">
        <f t="shared" si="175"/>
        <v>OK</v>
      </c>
      <c r="AF1390" s="240" t="str" cm="1">
        <f t="array" aca="1" ref="AF1390" ca="1" xml:space="preserve">
IF(AND($G1390&lt;&gt;"",$F1390=""),"ERROR",
IF(OR($F1390:$G1390="",AND($G1390="",$F1390&lt;&gt;"")),"OK",
IF(COUNTIF(INDIRECT(IFERROR(LEFT($F1390,FIND(" ",$F1390)-1),$F1390)), $G1390)&gt;0, "OK", "ERROR")))</f>
        <v>OK</v>
      </c>
    </row>
    <row r="1391" spans="1:32" s="240" customFormat="1">
      <c r="A1391" s="48"/>
      <c r="B1391" s="31"/>
      <c r="C1391" s="48"/>
      <c r="D1391" s="47"/>
      <c r="E1391" s="47"/>
      <c r="F1391" s="31"/>
      <c r="G1391" s="31"/>
      <c r="H1391" s="31"/>
      <c r="I1391" s="47"/>
      <c r="J1391" s="31"/>
      <c r="K1391" s="47"/>
      <c r="L1391" s="47"/>
      <c r="M1391" s="47"/>
      <c r="N1391" s="31"/>
      <c r="O1391" s="47"/>
      <c r="P1391" s="31"/>
      <c r="Q1391" s="31"/>
      <c r="R1391" s="31"/>
      <c r="S1391" s="31"/>
      <c r="T1391" s="270">
        <f t="shared" si="168"/>
        <v>0</v>
      </c>
      <c r="U1391" s="270">
        <f t="shared" si="169"/>
        <v>0</v>
      </c>
      <c r="V1391" s="31"/>
      <c r="X1391" s="240" t="str">
        <f t="shared" si="170"/>
        <v>OK</v>
      </c>
      <c r="Y1391" s="240" t="str">
        <f t="shared" si="171"/>
        <v>OK</v>
      </c>
      <c r="Z1391" s="240" t="str">
        <f t="shared" si="172"/>
        <v>OK</v>
      </c>
      <c r="AA1391" s="240" t="str" cm="1">
        <f t="array" ref="AA1391">IF(OR(AND(J1391="Not accepted",N1391:O1391&lt;&gt;"",$S1391=""),AND(J1391="Accepted",S1391="")),"ERROR","OK")</f>
        <v>OK</v>
      </c>
      <c r="AB1391" s="240" t="str">
        <f t="shared" si="173"/>
        <v>OK</v>
      </c>
      <c r="AC1391" s="240" t="str" cm="1">
        <f t="array" ref="AC1391">IF(AND(F1391:H1391&lt;&gt;"",I1391=""),"ERROR","OK")</f>
        <v>OK</v>
      </c>
      <c r="AD1391" s="240" t="str">
        <f t="shared" si="174"/>
        <v>OK</v>
      </c>
      <c r="AE1391" s="240" t="str">
        <f t="shared" si="175"/>
        <v>OK</v>
      </c>
      <c r="AF1391" s="240" t="str" cm="1">
        <f t="array" aca="1" ref="AF1391" ca="1" xml:space="preserve">
IF(AND($G1391&lt;&gt;"",$F1391=""),"ERROR",
IF(OR($F1391:$G1391="",AND($G1391="",$F1391&lt;&gt;"")),"OK",
IF(COUNTIF(INDIRECT(IFERROR(LEFT($F1391,FIND(" ",$F1391)-1),$F1391)), $G1391)&gt;0, "OK", "ERROR")))</f>
        <v>OK</v>
      </c>
    </row>
    <row r="1392" spans="1:32" s="240" customFormat="1">
      <c r="A1392" s="48"/>
      <c r="B1392" s="31"/>
      <c r="C1392" s="48"/>
      <c r="D1392" s="47"/>
      <c r="E1392" s="47"/>
      <c r="F1392" s="31"/>
      <c r="G1392" s="31"/>
      <c r="H1392" s="31"/>
      <c r="I1392" s="47"/>
      <c r="J1392" s="31"/>
      <c r="K1392" s="47"/>
      <c r="L1392" s="47"/>
      <c r="M1392" s="47"/>
      <c r="N1392" s="31"/>
      <c r="O1392" s="47"/>
      <c r="P1392" s="31"/>
      <c r="Q1392" s="31"/>
      <c r="R1392" s="31"/>
      <c r="S1392" s="31"/>
      <c r="T1392" s="270">
        <f t="shared" si="168"/>
        <v>0</v>
      </c>
      <c r="U1392" s="270">
        <f t="shared" si="169"/>
        <v>0</v>
      </c>
      <c r="V1392" s="31"/>
      <c r="X1392" s="240" t="str">
        <f t="shared" si="170"/>
        <v>OK</v>
      </c>
      <c r="Y1392" s="240" t="str">
        <f t="shared" si="171"/>
        <v>OK</v>
      </c>
      <c r="Z1392" s="240" t="str">
        <f t="shared" si="172"/>
        <v>OK</v>
      </c>
      <c r="AA1392" s="240" t="str" cm="1">
        <f t="array" ref="AA1392">IF(OR(AND(J1392="Not accepted",N1392:O1392&lt;&gt;"",$S1392=""),AND(J1392="Accepted",S1392="")),"ERROR","OK")</f>
        <v>OK</v>
      </c>
      <c r="AB1392" s="240" t="str">
        <f t="shared" si="173"/>
        <v>OK</v>
      </c>
      <c r="AC1392" s="240" t="str" cm="1">
        <f t="array" ref="AC1392">IF(AND(F1392:H1392&lt;&gt;"",I1392=""),"ERROR","OK")</f>
        <v>OK</v>
      </c>
      <c r="AD1392" s="240" t="str">
        <f t="shared" si="174"/>
        <v>OK</v>
      </c>
      <c r="AE1392" s="240" t="str">
        <f t="shared" si="175"/>
        <v>OK</v>
      </c>
      <c r="AF1392" s="240" t="str" cm="1">
        <f t="array" aca="1" ref="AF1392" ca="1" xml:space="preserve">
IF(AND($G1392&lt;&gt;"",$F1392=""),"ERROR",
IF(OR($F1392:$G1392="",AND($G1392="",$F1392&lt;&gt;"")),"OK",
IF(COUNTIF(INDIRECT(IFERROR(LEFT($F1392,FIND(" ",$F1392)-1),$F1392)), $G1392)&gt;0, "OK", "ERROR")))</f>
        <v>OK</v>
      </c>
    </row>
    <row r="1393" spans="1:32" s="240" customFormat="1">
      <c r="A1393" s="48"/>
      <c r="B1393" s="31"/>
      <c r="C1393" s="48"/>
      <c r="D1393" s="47"/>
      <c r="E1393" s="47"/>
      <c r="F1393" s="31"/>
      <c r="G1393" s="31"/>
      <c r="H1393" s="31"/>
      <c r="I1393" s="47"/>
      <c r="J1393" s="31"/>
      <c r="K1393" s="47"/>
      <c r="L1393" s="47"/>
      <c r="M1393" s="47"/>
      <c r="N1393" s="31"/>
      <c r="O1393" s="47"/>
      <c r="P1393" s="31"/>
      <c r="Q1393" s="31"/>
      <c r="R1393" s="31"/>
      <c r="S1393" s="31"/>
      <c r="T1393" s="270">
        <f t="shared" si="168"/>
        <v>0</v>
      </c>
      <c r="U1393" s="270">
        <f t="shared" si="169"/>
        <v>0</v>
      </c>
      <c r="V1393" s="31"/>
      <c r="X1393" s="240" t="str">
        <f t="shared" si="170"/>
        <v>OK</v>
      </c>
      <c r="Y1393" s="240" t="str">
        <f t="shared" si="171"/>
        <v>OK</v>
      </c>
      <c r="Z1393" s="240" t="str">
        <f t="shared" si="172"/>
        <v>OK</v>
      </c>
      <c r="AA1393" s="240" t="str" cm="1">
        <f t="array" ref="AA1393">IF(OR(AND(J1393="Not accepted",N1393:O1393&lt;&gt;"",$S1393=""),AND(J1393="Accepted",S1393="")),"ERROR","OK")</f>
        <v>OK</v>
      </c>
      <c r="AB1393" s="240" t="str">
        <f t="shared" si="173"/>
        <v>OK</v>
      </c>
      <c r="AC1393" s="240" t="str" cm="1">
        <f t="array" ref="AC1393">IF(AND(F1393:H1393&lt;&gt;"",I1393=""),"ERROR","OK")</f>
        <v>OK</v>
      </c>
      <c r="AD1393" s="240" t="str">
        <f t="shared" si="174"/>
        <v>OK</v>
      </c>
      <c r="AE1393" s="240" t="str">
        <f t="shared" si="175"/>
        <v>OK</v>
      </c>
      <c r="AF1393" s="240" t="str" cm="1">
        <f t="array" aca="1" ref="AF1393" ca="1" xml:space="preserve">
IF(AND($G1393&lt;&gt;"",$F1393=""),"ERROR",
IF(OR($F1393:$G1393="",AND($G1393="",$F1393&lt;&gt;"")),"OK",
IF(COUNTIF(INDIRECT(IFERROR(LEFT($F1393,FIND(" ",$F1393)-1),$F1393)), $G1393)&gt;0, "OK", "ERROR")))</f>
        <v>OK</v>
      </c>
    </row>
    <row r="1394" spans="1:32" s="240" customFormat="1">
      <c r="A1394" s="48"/>
      <c r="B1394" s="31"/>
      <c r="C1394" s="48"/>
      <c r="D1394" s="47"/>
      <c r="E1394" s="47"/>
      <c r="F1394" s="31"/>
      <c r="G1394" s="31"/>
      <c r="H1394" s="31"/>
      <c r="I1394" s="47"/>
      <c r="J1394" s="31"/>
      <c r="K1394" s="47"/>
      <c r="L1394" s="47"/>
      <c r="M1394" s="47"/>
      <c r="N1394" s="31"/>
      <c r="O1394" s="47"/>
      <c r="P1394" s="31"/>
      <c r="Q1394" s="31"/>
      <c r="R1394" s="31"/>
      <c r="S1394" s="31"/>
      <c r="T1394" s="270">
        <f t="shared" si="168"/>
        <v>0</v>
      </c>
      <c r="U1394" s="270">
        <f t="shared" si="169"/>
        <v>0</v>
      </c>
      <c r="V1394" s="31"/>
      <c r="X1394" s="240" t="str">
        <f t="shared" si="170"/>
        <v>OK</v>
      </c>
      <c r="Y1394" s="240" t="str">
        <f t="shared" si="171"/>
        <v>OK</v>
      </c>
      <c r="Z1394" s="240" t="str">
        <f t="shared" si="172"/>
        <v>OK</v>
      </c>
      <c r="AA1394" s="240" t="str" cm="1">
        <f t="array" ref="AA1394">IF(OR(AND(J1394="Not accepted",N1394:O1394&lt;&gt;"",$S1394=""),AND(J1394="Accepted",S1394="")),"ERROR","OK")</f>
        <v>OK</v>
      </c>
      <c r="AB1394" s="240" t="str">
        <f t="shared" si="173"/>
        <v>OK</v>
      </c>
      <c r="AC1394" s="240" t="str" cm="1">
        <f t="array" ref="AC1394">IF(AND(F1394:H1394&lt;&gt;"",I1394=""),"ERROR","OK")</f>
        <v>OK</v>
      </c>
      <c r="AD1394" s="240" t="str">
        <f t="shared" si="174"/>
        <v>OK</v>
      </c>
      <c r="AE1394" s="240" t="str">
        <f t="shared" si="175"/>
        <v>OK</v>
      </c>
      <c r="AF1394" s="240" t="str" cm="1">
        <f t="array" aca="1" ref="AF1394" ca="1" xml:space="preserve">
IF(AND($G1394&lt;&gt;"",$F1394=""),"ERROR",
IF(OR($F1394:$G1394="",AND($G1394="",$F1394&lt;&gt;"")),"OK",
IF(COUNTIF(INDIRECT(IFERROR(LEFT($F1394,FIND(" ",$F1394)-1),$F1394)), $G1394)&gt;0, "OK", "ERROR")))</f>
        <v>OK</v>
      </c>
    </row>
    <row r="1395" spans="1:32" s="240" customFormat="1">
      <c r="A1395" s="48"/>
      <c r="B1395" s="31"/>
      <c r="C1395" s="48"/>
      <c r="D1395" s="47"/>
      <c r="E1395" s="47"/>
      <c r="F1395" s="31"/>
      <c r="G1395" s="31"/>
      <c r="H1395" s="31"/>
      <c r="I1395" s="47"/>
      <c r="J1395" s="31"/>
      <c r="K1395" s="47"/>
      <c r="L1395" s="47"/>
      <c r="M1395" s="47"/>
      <c r="N1395" s="31"/>
      <c r="O1395" s="47"/>
      <c r="P1395" s="31"/>
      <c r="Q1395" s="31"/>
      <c r="R1395" s="31"/>
      <c r="S1395" s="31"/>
      <c r="T1395" s="270">
        <f t="shared" si="168"/>
        <v>0</v>
      </c>
      <c r="U1395" s="270">
        <f t="shared" si="169"/>
        <v>0</v>
      </c>
      <c r="V1395" s="31"/>
      <c r="X1395" s="240" t="str">
        <f t="shared" si="170"/>
        <v>OK</v>
      </c>
      <c r="Y1395" s="240" t="str">
        <f t="shared" si="171"/>
        <v>OK</v>
      </c>
      <c r="Z1395" s="240" t="str">
        <f t="shared" si="172"/>
        <v>OK</v>
      </c>
      <c r="AA1395" s="240" t="str" cm="1">
        <f t="array" ref="AA1395">IF(OR(AND(J1395="Not accepted",N1395:O1395&lt;&gt;"",$S1395=""),AND(J1395="Accepted",S1395="")),"ERROR","OK")</f>
        <v>OK</v>
      </c>
      <c r="AB1395" s="240" t="str">
        <f t="shared" si="173"/>
        <v>OK</v>
      </c>
      <c r="AC1395" s="240" t="str" cm="1">
        <f t="array" ref="AC1395">IF(AND(F1395:H1395&lt;&gt;"",I1395=""),"ERROR","OK")</f>
        <v>OK</v>
      </c>
      <c r="AD1395" s="240" t="str">
        <f t="shared" si="174"/>
        <v>OK</v>
      </c>
      <c r="AE1395" s="240" t="str">
        <f t="shared" si="175"/>
        <v>OK</v>
      </c>
      <c r="AF1395" s="240" t="str" cm="1">
        <f t="array" aca="1" ref="AF1395" ca="1" xml:space="preserve">
IF(AND($G1395&lt;&gt;"",$F1395=""),"ERROR",
IF(OR($F1395:$G1395="",AND($G1395="",$F1395&lt;&gt;"")),"OK",
IF(COUNTIF(INDIRECT(IFERROR(LEFT($F1395,FIND(" ",$F1395)-1),$F1395)), $G1395)&gt;0, "OK", "ERROR")))</f>
        <v>OK</v>
      </c>
    </row>
    <row r="1396" spans="1:32" s="240" customFormat="1">
      <c r="A1396" s="48"/>
      <c r="B1396" s="31"/>
      <c r="C1396" s="48"/>
      <c r="D1396" s="47"/>
      <c r="E1396" s="47"/>
      <c r="F1396" s="31"/>
      <c r="G1396" s="31"/>
      <c r="H1396" s="31"/>
      <c r="I1396" s="47"/>
      <c r="J1396" s="31"/>
      <c r="K1396" s="47"/>
      <c r="L1396" s="47"/>
      <c r="M1396" s="47"/>
      <c r="N1396" s="31"/>
      <c r="O1396" s="47"/>
      <c r="P1396" s="31"/>
      <c r="Q1396" s="31"/>
      <c r="R1396" s="31"/>
      <c r="S1396" s="31"/>
      <c r="T1396" s="270">
        <f t="shared" si="168"/>
        <v>0</v>
      </c>
      <c r="U1396" s="270">
        <f t="shared" si="169"/>
        <v>0</v>
      </c>
      <c r="V1396" s="31"/>
      <c r="X1396" s="240" t="str">
        <f t="shared" si="170"/>
        <v>OK</v>
      </c>
      <c r="Y1396" s="240" t="str">
        <f t="shared" si="171"/>
        <v>OK</v>
      </c>
      <c r="Z1396" s="240" t="str">
        <f t="shared" si="172"/>
        <v>OK</v>
      </c>
      <c r="AA1396" s="240" t="str" cm="1">
        <f t="array" ref="AA1396">IF(OR(AND(J1396="Not accepted",N1396:O1396&lt;&gt;"",$S1396=""),AND(J1396="Accepted",S1396="")),"ERROR","OK")</f>
        <v>OK</v>
      </c>
      <c r="AB1396" s="240" t="str">
        <f t="shared" si="173"/>
        <v>OK</v>
      </c>
      <c r="AC1396" s="240" t="str" cm="1">
        <f t="array" ref="AC1396">IF(AND(F1396:H1396&lt;&gt;"",I1396=""),"ERROR","OK")</f>
        <v>OK</v>
      </c>
      <c r="AD1396" s="240" t="str">
        <f t="shared" si="174"/>
        <v>OK</v>
      </c>
      <c r="AE1396" s="240" t="str">
        <f t="shared" si="175"/>
        <v>OK</v>
      </c>
      <c r="AF1396" s="240" t="str" cm="1">
        <f t="array" aca="1" ref="AF1396" ca="1" xml:space="preserve">
IF(AND($G1396&lt;&gt;"",$F1396=""),"ERROR",
IF(OR($F1396:$G1396="",AND($G1396="",$F1396&lt;&gt;"")),"OK",
IF(COUNTIF(INDIRECT(IFERROR(LEFT($F1396,FIND(" ",$F1396)-1),$F1396)), $G1396)&gt;0, "OK", "ERROR")))</f>
        <v>OK</v>
      </c>
    </row>
    <row r="1397" spans="1:32" s="240" customFormat="1">
      <c r="A1397" s="48"/>
      <c r="B1397" s="31"/>
      <c r="C1397" s="48"/>
      <c r="D1397" s="47"/>
      <c r="E1397" s="47"/>
      <c r="F1397" s="31"/>
      <c r="G1397" s="31"/>
      <c r="H1397" s="31"/>
      <c r="I1397" s="47"/>
      <c r="J1397" s="31"/>
      <c r="K1397" s="47"/>
      <c r="L1397" s="47"/>
      <c r="M1397" s="47"/>
      <c r="N1397" s="31"/>
      <c r="O1397" s="47"/>
      <c r="P1397" s="31"/>
      <c r="Q1397" s="31"/>
      <c r="R1397" s="31"/>
      <c r="S1397" s="31"/>
      <c r="T1397" s="270">
        <f t="shared" si="168"/>
        <v>0</v>
      </c>
      <c r="U1397" s="270">
        <f t="shared" si="169"/>
        <v>0</v>
      </c>
      <c r="V1397" s="31"/>
      <c r="X1397" s="240" t="str">
        <f t="shared" si="170"/>
        <v>OK</v>
      </c>
      <c r="Y1397" s="240" t="str">
        <f t="shared" si="171"/>
        <v>OK</v>
      </c>
      <c r="Z1397" s="240" t="str">
        <f t="shared" si="172"/>
        <v>OK</v>
      </c>
      <c r="AA1397" s="240" t="str" cm="1">
        <f t="array" ref="AA1397">IF(OR(AND(J1397="Not accepted",N1397:O1397&lt;&gt;"",$S1397=""),AND(J1397="Accepted",S1397="")),"ERROR","OK")</f>
        <v>OK</v>
      </c>
      <c r="AB1397" s="240" t="str">
        <f t="shared" si="173"/>
        <v>OK</v>
      </c>
      <c r="AC1397" s="240" t="str" cm="1">
        <f t="array" ref="AC1397">IF(AND(F1397:H1397&lt;&gt;"",I1397=""),"ERROR","OK")</f>
        <v>OK</v>
      </c>
      <c r="AD1397" s="240" t="str">
        <f t="shared" si="174"/>
        <v>OK</v>
      </c>
      <c r="AE1397" s="240" t="str">
        <f t="shared" si="175"/>
        <v>OK</v>
      </c>
      <c r="AF1397" s="240" t="str" cm="1">
        <f t="array" aca="1" ref="AF1397" ca="1" xml:space="preserve">
IF(AND($G1397&lt;&gt;"",$F1397=""),"ERROR",
IF(OR($F1397:$G1397="",AND($G1397="",$F1397&lt;&gt;"")),"OK",
IF(COUNTIF(INDIRECT(IFERROR(LEFT($F1397,FIND(" ",$F1397)-1),$F1397)), $G1397)&gt;0, "OK", "ERROR")))</f>
        <v>OK</v>
      </c>
    </row>
    <row r="1398" spans="1:32" s="240" customFormat="1">
      <c r="A1398" s="48"/>
      <c r="B1398" s="31"/>
      <c r="C1398" s="48"/>
      <c r="D1398" s="47"/>
      <c r="E1398" s="47"/>
      <c r="F1398" s="31"/>
      <c r="G1398" s="31"/>
      <c r="H1398" s="31"/>
      <c r="I1398" s="47"/>
      <c r="J1398" s="31"/>
      <c r="K1398" s="47"/>
      <c r="L1398" s="47"/>
      <c r="M1398" s="47"/>
      <c r="N1398" s="31"/>
      <c r="O1398" s="47"/>
      <c r="P1398" s="31"/>
      <c r="Q1398" s="31"/>
      <c r="R1398" s="31"/>
      <c r="S1398" s="31"/>
      <c r="T1398" s="270">
        <f t="shared" si="168"/>
        <v>0</v>
      </c>
      <c r="U1398" s="270">
        <f t="shared" si="169"/>
        <v>0</v>
      </c>
      <c r="V1398" s="31"/>
      <c r="X1398" s="240" t="str">
        <f t="shared" si="170"/>
        <v>OK</v>
      </c>
      <c r="Y1398" s="240" t="str">
        <f t="shared" si="171"/>
        <v>OK</v>
      </c>
      <c r="Z1398" s="240" t="str">
        <f t="shared" si="172"/>
        <v>OK</v>
      </c>
      <c r="AA1398" s="240" t="str" cm="1">
        <f t="array" ref="AA1398">IF(OR(AND(J1398="Not accepted",N1398:O1398&lt;&gt;"",$S1398=""),AND(J1398="Accepted",S1398="")),"ERROR","OK")</f>
        <v>OK</v>
      </c>
      <c r="AB1398" s="240" t="str">
        <f t="shared" si="173"/>
        <v>OK</v>
      </c>
      <c r="AC1398" s="240" t="str" cm="1">
        <f t="array" ref="AC1398">IF(AND(F1398:H1398&lt;&gt;"",I1398=""),"ERROR","OK")</f>
        <v>OK</v>
      </c>
      <c r="AD1398" s="240" t="str">
        <f t="shared" si="174"/>
        <v>OK</v>
      </c>
      <c r="AE1398" s="240" t="str">
        <f t="shared" si="175"/>
        <v>OK</v>
      </c>
      <c r="AF1398" s="240" t="str" cm="1">
        <f t="array" aca="1" ref="AF1398" ca="1" xml:space="preserve">
IF(AND($G1398&lt;&gt;"",$F1398=""),"ERROR",
IF(OR($F1398:$G1398="",AND($G1398="",$F1398&lt;&gt;"")),"OK",
IF(COUNTIF(INDIRECT(IFERROR(LEFT($F1398,FIND(" ",$F1398)-1),$F1398)), $G1398)&gt;0, "OK", "ERROR")))</f>
        <v>OK</v>
      </c>
    </row>
    <row r="1399" spans="1:32" s="240" customFormat="1">
      <c r="A1399" s="48"/>
      <c r="B1399" s="31"/>
      <c r="C1399" s="48"/>
      <c r="D1399" s="47"/>
      <c r="E1399" s="47"/>
      <c r="F1399" s="31"/>
      <c r="G1399" s="31"/>
      <c r="H1399" s="31"/>
      <c r="I1399" s="47"/>
      <c r="J1399" s="31"/>
      <c r="K1399" s="47"/>
      <c r="L1399" s="47"/>
      <c r="M1399" s="47"/>
      <c r="N1399" s="31"/>
      <c r="O1399" s="47"/>
      <c r="P1399" s="31"/>
      <c r="Q1399" s="31"/>
      <c r="R1399" s="31"/>
      <c r="S1399" s="31"/>
      <c r="T1399" s="270">
        <f t="shared" si="168"/>
        <v>0</v>
      </c>
      <c r="U1399" s="270">
        <f t="shared" si="169"/>
        <v>0</v>
      </c>
      <c r="V1399" s="31"/>
      <c r="X1399" s="240" t="str">
        <f t="shared" si="170"/>
        <v>OK</v>
      </c>
      <c r="Y1399" s="240" t="str">
        <f t="shared" si="171"/>
        <v>OK</v>
      </c>
      <c r="Z1399" s="240" t="str">
        <f t="shared" si="172"/>
        <v>OK</v>
      </c>
      <c r="AA1399" s="240" t="str" cm="1">
        <f t="array" ref="AA1399">IF(OR(AND(J1399="Not accepted",N1399:O1399&lt;&gt;"",$S1399=""),AND(J1399="Accepted",S1399="")),"ERROR","OK")</f>
        <v>OK</v>
      </c>
      <c r="AB1399" s="240" t="str">
        <f t="shared" si="173"/>
        <v>OK</v>
      </c>
      <c r="AC1399" s="240" t="str" cm="1">
        <f t="array" ref="AC1399">IF(AND(F1399:H1399&lt;&gt;"",I1399=""),"ERROR","OK")</f>
        <v>OK</v>
      </c>
      <c r="AD1399" s="240" t="str">
        <f t="shared" si="174"/>
        <v>OK</v>
      </c>
      <c r="AE1399" s="240" t="str">
        <f t="shared" si="175"/>
        <v>OK</v>
      </c>
      <c r="AF1399" s="240" t="str" cm="1">
        <f t="array" aca="1" ref="AF1399" ca="1" xml:space="preserve">
IF(AND($G1399&lt;&gt;"",$F1399=""),"ERROR",
IF(OR($F1399:$G1399="",AND($G1399="",$F1399&lt;&gt;"")),"OK",
IF(COUNTIF(INDIRECT(IFERROR(LEFT($F1399,FIND(" ",$F1399)-1),$F1399)), $G1399)&gt;0, "OK", "ERROR")))</f>
        <v>OK</v>
      </c>
    </row>
    <row r="1400" spans="1:32" s="240" customFormat="1">
      <c r="A1400" s="48"/>
      <c r="B1400" s="31"/>
      <c r="C1400" s="48"/>
      <c r="D1400" s="47"/>
      <c r="E1400" s="47"/>
      <c r="F1400" s="31"/>
      <c r="G1400" s="31"/>
      <c r="H1400" s="31"/>
      <c r="I1400" s="47"/>
      <c r="J1400" s="31"/>
      <c r="K1400" s="47"/>
      <c r="L1400" s="47"/>
      <c r="M1400" s="47"/>
      <c r="N1400" s="31"/>
      <c r="O1400" s="47"/>
      <c r="P1400" s="31"/>
      <c r="Q1400" s="31"/>
      <c r="R1400" s="31"/>
      <c r="S1400" s="31"/>
      <c r="T1400" s="270">
        <f t="shared" si="168"/>
        <v>0</v>
      </c>
      <c r="U1400" s="270">
        <f t="shared" si="169"/>
        <v>0</v>
      </c>
      <c r="V1400" s="31"/>
      <c r="X1400" s="240" t="str">
        <f t="shared" si="170"/>
        <v>OK</v>
      </c>
      <c r="Y1400" s="240" t="str">
        <f t="shared" si="171"/>
        <v>OK</v>
      </c>
      <c r="Z1400" s="240" t="str">
        <f t="shared" si="172"/>
        <v>OK</v>
      </c>
      <c r="AA1400" s="240" t="str" cm="1">
        <f t="array" ref="AA1400">IF(OR(AND(J1400="Not accepted",N1400:O1400&lt;&gt;"",$S1400=""),AND(J1400="Accepted",S1400="")),"ERROR","OK")</f>
        <v>OK</v>
      </c>
      <c r="AB1400" s="240" t="str">
        <f t="shared" si="173"/>
        <v>OK</v>
      </c>
      <c r="AC1400" s="240" t="str" cm="1">
        <f t="array" ref="AC1400">IF(AND(F1400:H1400&lt;&gt;"",I1400=""),"ERROR","OK")</f>
        <v>OK</v>
      </c>
      <c r="AD1400" s="240" t="str">
        <f t="shared" si="174"/>
        <v>OK</v>
      </c>
      <c r="AE1400" s="240" t="str">
        <f t="shared" si="175"/>
        <v>OK</v>
      </c>
      <c r="AF1400" s="240" t="str" cm="1">
        <f t="array" aca="1" ref="AF1400" ca="1" xml:space="preserve">
IF(AND($G1400&lt;&gt;"",$F1400=""),"ERROR",
IF(OR($F1400:$G1400="",AND($G1400="",$F1400&lt;&gt;"")),"OK",
IF(COUNTIF(INDIRECT(IFERROR(LEFT($F1400,FIND(" ",$F1400)-1),$F1400)), $G1400)&gt;0, "OK", "ERROR")))</f>
        <v>OK</v>
      </c>
    </row>
    <row r="1401" spans="1:32" s="240" customFormat="1">
      <c r="A1401" s="48"/>
      <c r="B1401" s="31"/>
      <c r="C1401" s="48"/>
      <c r="D1401" s="47"/>
      <c r="E1401" s="47"/>
      <c r="F1401" s="31"/>
      <c r="G1401" s="31"/>
      <c r="H1401" s="31"/>
      <c r="I1401" s="47"/>
      <c r="J1401" s="31"/>
      <c r="K1401" s="47"/>
      <c r="L1401" s="47"/>
      <c r="M1401" s="47"/>
      <c r="N1401" s="31"/>
      <c r="O1401" s="47"/>
      <c r="P1401" s="31"/>
      <c r="Q1401" s="31"/>
      <c r="R1401" s="31"/>
      <c r="S1401" s="31"/>
      <c r="T1401" s="270">
        <f t="shared" si="168"/>
        <v>0</v>
      </c>
      <c r="U1401" s="270">
        <f t="shared" si="169"/>
        <v>0</v>
      </c>
      <c r="V1401" s="31"/>
      <c r="X1401" s="240" t="str">
        <f t="shared" si="170"/>
        <v>OK</v>
      </c>
      <c r="Y1401" s="240" t="str">
        <f t="shared" si="171"/>
        <v>OK</v>
      </c>
      <c r="Z1401" s="240" t="str">
        <f t="shared" si="172"/>
        <v>OK</v>
      </c>
      <c r="AA1401" s="240" t="str" cm="1">
        <f t="array" ref="AA1401">IF(OR(AND(J1401="Not accepted",N1401:O1401&lt;&gt;"",$S1401=""),AND(J1401="Accepted",S1401="")),"ERROR","OK")</f>
        <v>OK</v>
      </c>
      <c r="AB1401" s="240" t="str">
        <f t="shared" si="173"/>
        <v>OK</v>
      </c>
      <c r="AC1401" s="240" t="str" cm="1">
        <f t="array" ref="AC1401">IF(AND(F1401:H1401&lt;&gt;"",I1401=""),"ERROR","OK")</f>
        <v>OK</v>
      </c>
      <c r="AD1401" s="240" t="str">
        <f t="shared" si="174"/>
        <v>OK</v>
      </c>
      <c r="AE1401" s="240" t="str">
        <f t="shared" si="175"/>
        <v>OK</v>
      </c>
      <c r="AF1401" s="240" t="str" cm="1">
        <f t="array" aca="1" ref="AF1401" ca="1" xml:space="preserve">
IF(AND($G1401&lt;&gt;"",$F1401=""),"ERROR",
IF(OR($F1401:$G1401="",AND($G1401="",$F1401&lt;&gt;"")),"OK",
IF(COUNTIF(INDIRECT(IFERROR(LEFT($F1401,FIND(" ",$F1401)-1),$F1401)), $G1401)&gt;0, "OK", "ERROR")))</f>
        <v>OK</v>
      </c>
    </row>
    <row r="1402" spans="1:32" s="240" customFormat="1">
      <c r="A1402" s="48"/>
      <c r="B1402" s="31"/>
      <c r="C1402" s="48"/>
      <c r="D1402" s="47"/>
      <c r="E1402" s="47"/>
      <c r="F1402" s="31"/>
      <c r="G1402" s="31"/>
      <c r="H1402" s="31"/>
      <c r="I1402" s="47"/>
      <c r="J1402" s="31"/>
      <c r="K1402" s="47"/>
      <c r="L1402" s="47"/>
      <c r="M1402" s="47"/>
      <c r="N1402" s="31"/>
      <c r="O1402" s="47"/>
      <c r="P1402" s="31"/>
      <c r="Q1402" s="31"/>
      <c r="R1402" s="31"/>
      <c r="S1402" s="31"/>
      <c r="T1402" s="270">
        <f t="shared" si="168"/>
        <v>0</v>
      </c>
      <c r="U1402" s="270">
        <f t="shared" si="169"/>
        <v>0</v>
      </c>
      <c r="V1402" s="31"/>
      <c r="X1402" s="240" t="str">
        <f t="shared" si="170"/>
        <v>OK</v>
      </c>
      <c r="Y1402" s="240" t="str">
        <f t="shared" si="171"/>
        <v>OK</v>
      </c>
      <c r="Z1402" s="240" t="str">
        <f t="shared" si="172"/>
        <v>OK</v>
      </c>
      <c r="AA1402" s="240" t="str" cm="1">
        <f t="array" ref="AA1402">IF(OR(AND(J1402="Not accepted",N1402:O1402&lt;&gt;"",$S1402=""),AND(J1402="Accepted",S1402="")),"ERROR","OK")</f>
        <v>OK</v>
      </c>
      <c r="AB1402" s="240" t="str">
        <f t="shared" si="173"/>
        <v>OK</v>
      </c>
      <c r="AC1402" s="240" t="str" cm="1">
        <f t="array" ref="AC1402">IF(AND(F1402:H1402&lt;&gt;"",I1402=""),"ERROR","OK")</f>
        <v>OK</v>
      </c>
      <c r="AD1402" s="240" t="str">
        <f t="shared" si="174"/>
        <v>OK</v>
      </c>
      <c r="AE1402" s="240" t="str">
        <f t="shared" si="175"/>
        <v>OK</v>
      </c>
      <c r="AF1402" s="240" t="str" cm="1">
        <f t="array" aca="1" ref="AF1402" ca="1" xml:space="preserve">
IF(AND($G1402&lt;&gt;"",$F1402=""),"ERROR",
IF(OR($F1402:$G1402="",AND($G1402="",$F1402&lt;&gt;"")),"OK",
IF(COUNTIF(INDIRECT(IFERROR(LEFT($F1402,FIND(" ",$F1402)-1),$F1402)), $G1402)&gt;0, "OK", "ERROR")))</f>
        <v>OK</v>
      </c>
    </row>
    <row r="1403" spans="1:32" s="240" customFormat="1">
      <c r="A1403" s="48"/>
      <c r="B1403" s="31"/>
      <c r="C1403" s="48"/>
      <c r="D1403" s="47"/>
      <c r="E1403" s="47"/>
      <c r="F1403" s="31"/>
      <c r="G1403" s="31"/>
      <c r="H1403" s="31"/>
      <c r="I1403" s="47"/>
      <c r="J1403" s="31"/>
      <c r="K1403" s="47"/>
      <c r="L1403" s="47"/>
      <c r="M1403" s="47"/>
      <c r="N1403" s="31"/>
      <c r="O1403" s="47"/>
      <c r="P1403" s="31"/>
      <c r="Q1403" s="31"/>
      <c r="R1403" s="31"/>
      <c r="S1403" s="31"/>
      <c r="T1403" s="270">
        <f t="shared" si="168"/>
        <v>0</v>
      </c>
      <c r="U1403" s="270">
        <f t="shared" si="169"/>
        <v>0</v>
      </c>
      <c r="V1403" s="31"/>
      <c r="X1403" s="240" t="str">
        <f t="shared" si="170"/>
        <v>OK</v>
      </c>
      <c r="Y1403" s="240" t="str">
        <f t="shared" si="171"/>
        <v>OK</v>
      </c>
      <c r="Z1403" s="240" t="str">
        <f t="shared" si="172"/>
        <v>OK</v>
      </c>
      <c r="AA1403" s="240" t="str" cm="1">
        <f t="array" ref="AA1403">IF(OR(AND(J1403="Not accepted",N1403:O1403&lt;&gt;"",$S1403=""),AND(J1403="Accepted",S1403="")),"ERROR","OK")</f>
        <v>OK</v>
      </c>
      <c r="AB1403" s="240" t="str">
        <f t="shared" si="173"/>
        <v>OK</v>
      </c>
      <c r="AC1403" s="240" t="str" cm="1">
        <f t="array" ref="AC1403">IF(AND(F1403:H1403&lt;&gt;"",I1403=""),"ERROR","OK")</f>
        <v>OK</v>
      </c>
      <c r="AD1403" s="240" t="str">
        <f t="shared" si="174"/>
        <v>OK</v>
      </c>
      <c r="AE1403" s="240" t="str">
        <f t="shared" si="175"/>
        <v>OK</v>
      </c>
      <c r="AF1403" s="240" t="str" cm="1">
        <f t="array" aca="1" ref="AF1403" ca="1" xml:space="preserve">
IF(AND($G1403&lt;&gt;"",$F1403=""),"ERROR",
IF(OR($F1403:$G1403="",AND($G1403="",$F1403&lt;&gt;"")),"OK",
IF(COUNTIF(INDIRECT(IFERROR(LEFT($F1403,FIND(" ",$F1403)-1),$F1403)), $G1403)&gt;0, "OK", "ERROR")))</f>
        <v>OK</v>
      </c>
    </row>
    <row r="1404" spans="1:32" s="240" customFormat="1">
      <c r="A1404" s="48"/>
      <c r="B1404" s="31"/>
      <c r="C1404" s="48"/>
      <c r="D1404" s="47"/>
      <c r="E1404" s="47"/>
      <c r="F1404" s="31"/>
      <c r="G1404" s="31"/>
      <c r="H1404" s="31"/>
      <c r="I1404" s="47"/>
      <c r="J1404" s="31"/>
      <c r="K1404" s="47"/>
      <c r="L1404" s="47"/>
      <c r="M1404" s="47"/>
      <c r="N1404" s="31"/>
      <c r="O1404" s="47"/>
      <c r="P1404" s="31"/>
      <c r="Q1404" s="31"/>
      <c r="R1404" s="31"/>
      <c r="S1404" s="31"/>
      <c r="T1404" s="270">
        <f t="shared" si="168"/>
        <v>0</v>
      </c>
      <c r="U1404" s="270">
        <f t="shared" si="169"/>
        <v>0</v>
      </c>
      <c r="V1404" s="31"/>
      <c r="X1404" s="240" t="str">
        <f t="shared" si="170"/>
        <v>OK</v>
      </c>
      <c r="Y1404" s="240" t="str">
        <f t="shared" si="171"/>
        <v>OK</v>
      </c>
      <c r="Z1404" s="240" t="str">
        <f t="shared" si="172"/>
        <v>OK</v>
      </c>
      <c r="AA1404" s="240" t="str" cm="1">
        <f t="array" ref="AA1404">IF(OR(AND(J1404="Not accepted",N1404:O1404&lt;&gt;"",$S1404=""),AND(J1404="Accepted",S1404="")),"ERROR","OK")</f>
        <v>OK</v>
      </c>
      <c r="AB1404" s="240" t="str">
        <f t="shared" si="173"/>
        <v>OK</v>
      </c>
      <c r="AC1404" s="240" t="str" cm="1">
        <f t="array" ref="AC1404">IF(AND(F1404:H1404&lt;&gt;"",I1404=""),"ERROR","OK")</f>
        <v>OK</v>
      </c>
      <c r="AD1404" s="240" t="str">
        <f t="shared" si="174"/>
        <v>OK</v>
      </c>
      <c r="AE1404" s="240" t="str">
        <f t="shared" si="175"/>
        <v>OK</v>
      </c>
      <c r="AF1404" s="240" t="str" cm="1">
        <f t="array" aca="1" ref="AF1404" ca="1" xml:space="preserve">
IF(AND($G1404&lt;&gt;"",$F1404=""),"ERROR",
IF(OR($F1404:$G1404="",AND($G1404="",$F1404&lt;&gt;"")),"OK",
IF(COUNTIF(INDIRECT(IFERROR(LEFT($F1404,FIND(" ",$F1404)-1),$F1404)), $G1404)&gt;0, "OK", "ERROR")))</f>
        <v>OK</v>
      </c>
    </row>
    <row r="1405" spans="1:32" s="240" customFormat="1">
      <c r="A1405" s="48"/>
      <c r="B1405" s="31"/>
      <c r="C1405" s="48"/>
      <c r="D1405" s="47"/>
      <c r="E1405" s="47"/>
      <c r="F1405" s="31"/>
      <c r="G1405" s="31"/>
      <c r="H1405" s="31"/>
      <c r="I1405" s="47"/>
      <c r="J1405" s="31"/>
      <c r="K1405" s="47"/>
      <c r="L1405" s="47"/>
      <c r="M1405" s="47"/>
      <c r="N1405" s="31"/>
      <c r="O1405" s="47"/>
      <c r="P1405" s="31"/>
      <c r="Q1405" s="31"/>
      <c r="R1405" s="31"/>
      <c r="S1405" s="31"/>
      <c r="T1405" s="270">
        <f t="shared" si="168"/>
        <v>0</v>
      </c>
      <c r="U1405" s="270">
        <f t="shared" si="169"/>
        <v>0</v>
      </c>
      <c r="V1405" s="31"/>
      <c r="X1405" s="240" t="str">
        <f t="shared" si="170"/>
        <v>OK</v>
      </c>
      <c r="Y1405" s="240" t="str">
        <f t="shared" si="171"/>
        <v>OK</v>
      </c>
      <c r="Z1405" s="240" t="str">
        <f t="shared" si="172"/>
        <v>OK</v>
      </c>
      <c r="AA1405" s="240" t="str" cm="1">
        <f t="array" ref="AA1405">IF(OR(AND(J1405="Not accepted",N1405:O1405&lt;&gt;"",$S1405=""),AND(J1405="Accepted",S1405="")),"ERROR","OK")</f>
        <v>OK</v>
      </c>
      <c r="AB1405" s="240" t="str">
        <f t="shared" si="173"/>
        <v>OK</v>
      </c>
      <c r="AC1405" s="240" t="str" cm="1">
        <f t="array" ref="AC1405">IF(AND(F1405:H1405&lt;&gt;"",I1405=""),"ERROR","OK")</f>
        <v>OK</v>
      </c>
      <c r="AD1405" s="240" t="str">
        <f t="shared" si="174"/>
        <v>OK</v>
      </c>
      <c r="AE1405" s="240" t="str">
        <f t="shared" si="175"/>
        <v>OK</v>
      </c>
      <c r="AF1405" s="240" t="str" cm="1">
        <f t="array" aca="1" ref="AF1405" ca="1" xml:space="preserve">
IF(AND($G1405&lt;&gt;"",$F1405=""),"ERROR",
IF(OR($F1405:$G1405="",AND($G1405="",$F1405&lt;&gt;"")),"OK",
IF(COUNTIF(INDIRECT(IFERROR(LEFT($F1405,FIND(" ",$F1405)-1),$F1405)), $G1405)&gt;0, "OK", "ERROR")))</f>
        <v>OK</v>
      </c>
    </row>
    <row r="1406" spans="1:32" s="240" customFormat="1">
      <c r="A1406" s="48"/>
      <c r="B1406" s="31"/>
      <c r="C1406" s="48"/>
      <c r="D1406" s="47"/>
      <c r="E1406" s="47"/>
      <c r="F1406" s="31"/>
      <c r="G1406" s="31"/>
      <c r="H1406" s="31"/>
      <c r="I1406" s="47"/>
      <c r="J1406" s="31"/>
      <c r="K1406" s="47"/>
      <c r="L1406" s="47"/>
      <c r="M1406" s="47"/>
      <c r="N1406" s="31"/>
      <c r="O1406" s="47"/>
      <c r="P1406" s="31"/>
      <c r="Q1406" s="31"/>
      <c r="R1406" s="31"/>
      <c r="S1406" s="31"/>
      <c r="T1406" s="270">
        <f t="shared" si="168"/>
        <v>0</v>
      </c>
      <c r="U1406" s="270">
        <f t="shared" si="169"/>
        <v>0</v>
      </c>
      <c r="V1406" s="31"/>
      <c r="X1406" s="240" t="str">
        <f t="shared" si="170"/>
        <v>OK</v>
      </c>
      <c r="Y1406" s="240" t="str">
        <f t="shared" si="171"/>
        <v>OK</v>
      </c>
      <c r="Z1406" s="240" t="str">
        <f t="shared" si="172"/>
        <v>OK</v>
      </c>
      <c r="AA1406" s="240" t="str" cm="1">
        <f t="array" ref="AA1406">IF(OR(AND(J1406="Not accepted",N1406:O1406&lt;&gt;"",$S1406=""),AND(J1406="Accepted",S1406="")),"ERROR","OK")</f>
        <v>OK</v>
      </c>
      <c r="AB1406" s="240" t="str">
        <f t="shared" si="173"/>
        <v>OK</v>
      </c>
      <c r="AC1406" s="240" t="str" cm="1">
        <f t="array" ref="AC1406">IF(AND(F1406:H1406&lt;&gt;"",I1406=""),"ERROR","OK")</f>
        <v>OK</v>
      </c>
      <c r="AD1406" s="240" t="str">
        <f t="shared" si="174"/>
        <v>OK</v>
      </c>
      <c r="AE1406" s="240" t="str">
        <f t="shared" si="175"/>
        <v>OK</v>
      </c>
      <c r="AF1406" s="240" t="str" cm="1">
        <f t="array" aca="1" ref="AF1406" ca="1" xml:space="preserve">
IF(AND($G1406&lt;&gt;"",$F1406=""),"ERROR",
IF(OR($F1406:$G1406="",AND($G1406="",$F1406&lt;&gt;"")),"OK",
IF(COUNTIF(INDIRECT(IFERROR(LEFT($F1406,FIND(" ",$F1406)-1),$F1406)), $G1406)&gt;0, "OK", "ERROR")))</f>
        <v>OK</v>
      </c>
    </row>
    <row r="1407" spans="1:32" s="240" customFormat="1">
      <c r="A1407" s="48"/>
      <c r="B1407" s="31"/>
      <c r="C1407" s="48"/>
      <c r="D1407" s="47"/>
      <c r="E1407" s="47"/>
      <c r="F1407" s="31"/>
      <c r="G1407" s="31"/>
      <c r="H1407" s="31"/>
      <c r="I1407" s="47"/>
      <c r="J1407" s="31"/>
      <c r="K1407" s="47"/>
      <c r="L1407" s="47"/>
      <c r="M1407" s="47"/>
      <c r="N1407" s="31"/>
      <c r="O1407" s="47"/>
      <c r="P1407" s="31"/>
      <c r="Q1407" s="31"/>
      <c r="R1407" s="31"/>
      <c r="S1407" s="31"/>
      <c r="T1407" s="270">
        <f t="shared" si="168"/>
        <v>0</v>
      </c>
      <c r="U1407" s="270">
        <f t="shared" si="169"/>
        <v>0</v>
      </c>
      <c r="V1407" s="31"/>
      <c r="X1407" s="240" t="str">
        <f t="shared" si="170"/>
        <v>OK</v>
      </c>
      <c r="Y1407" s="240" t="str">
        <f t="shared" si="171"/>
        <v>OK</v>
      </c>
      <c r="Z1407" s="240" t="str">
        <f t="shared" si="172"/>
        <v>OK</v>
      </c>
      <c r="AA1407" s="240" t="str" cm="1">
        <f t="array" ref="AA1407">IF(OR(AND(J1407="Not accepted",N1407:O1407&lt;&gt;"",$S1407=""),AND(J1407="Accepted",S1407="")),"ERROR","OK")</f>
        <v>OK</v>
      </c>
      <c r="AB1407" s="240" t="str">
        <f t="shared" si="173"/>
        <v>OK</v>
      </c>
      <c r="AC1407" s="240" t="str" cm="1">
        <f t="array" ref="AC1407">IF(AND(F1407:H1407&lt;&gt;"",I1407=""),"ERROR","OK")</f>
        <v>OK</v>
      </c>
      <c r="AD1407" s="240" t="str">
        <f t="shared" si="174"/>
        <v>OK</v>
      </c>
      <c r="AE1407" s="240" t="str">
        <f t="shared" si="175"/>
        <v>OK</v>
      </c>
      <c r="AF1407" s="240" t="str" cm="1">
        <f t="array" aca="1" ref="AF1407" ca="1" xml:space="preserve">
IF(AND($G1407&lt;&gt;"",$F1407=""),"ERROR",
IF(OR($F1407:$G1407="",AND($G1407="",$F1407&lt;&gt;"")),"OK",
IF(COUNTIF(INDIRECT(IFERROR(LEFT($F1407,FIND(" ",$F1407)-1),$F1407)), $G1407)&gt;0, "OK", "ERROR")))</f>
        <v>OK</v>
      </c>
    </row>
    <row r="1408" spans="1:32" s="240" customFormat="1">
      <c r="A1408" s="48"/>
      <c r="B1408" s="31"/>
      <c r="C1408" s="48"/>
      <c r="D1408" s="47"/>
      <c r="E1408" s="47"/>
      <c r="F1408" s="31"/>
      <c r="G1408" s="31"/>
      <c r="H1408" s="31"/>
      <c r="I1408" s="47"/>
      <c r="J1408" s="31"/>
      <c r="K1408" s="47"/>
      <c r="L1408" s="47"/>
      <c r="M1408" s="47"/>
      <c r="N1408" s="31"/>
      <c r="O1408" s="47"/>
      <c r="P1408" s="31"/>
      <c r="Q1408" s="31"/>
      <c r="R1408" s="31"/>
      <c r="S1408" s="31"/>
      <c r="T1408" s="270">
        <f t="shared" si="168"/>
        <v>0</v>
      </c>
      <c r="U1408" s="270">
        <f t="shared" si="169"/>
        <v>0</v>
      </c>
      <c r="V1408" s="31"/>
      <c r="X1408" s="240" t="str">
        <f t="shared" si="170"/>
        <v>OK</v>
      </c>
      <c r="Y1408" s="240" t="str">
        <f t="shared" si="171"/>
        <v>OK</v>
      </c>
      <c r="Z1408" s="240" t="str">
        <f t="shared" si="172"/>
        <v>OK</v>
      </c>
      <c r="AA1408" s="240" t="str" cm="1">
        <f t="array" ref="AA1408">IF(OR(AND(J1408="Not accepted",N1408:O1408&lt;&gt;"",$S1408=""),AND(J1408="Accepted",S1408="")),"ERROR","OK")</f>
        <v>OK</v>
      </c>
      <c r="AB1408" s="240" t="str">
        <f t="shared" si="173"/>
        <v>OK</v>
      </c>
      <c r="AC1408" s="240" t="str" cm="1">
        <f t="array" ref="AC1408">IF(AND(F1408:H1408&lt;&gt;"",I1408=""),"ERROR","OK")</f>
        <v>OK</v>
      </c>
      <c r="AD1408" s="240" t="str">
        <f t="shared" si="174"/>
        <v>OK</v>
      </c>
      <c r="AE1408" s="240" t="str">
        <f t="shared" si="175"/>
        <v>OK</v>
      </c>
      <c r="AF1408" s="240" t="str" cm="1">
        <f t="array" aca="1" ref="AF1408" ca="1" xml:space="preserve">
IF(AND($G1408&lt;&gt;"",$F1408=""),"ERROR",
IF(OR($F1408:$G1408="",AND($G1408="",$F1408&lt;&gt;"")),"OK",
IF(COUNTIF(INDIRECT(IFERROR(LEFT($F1408,FIND(" ",$F1408)-1),$F1408)), $G1408)&gt;0, "OK", "ERROR")))</f>
        <v>OK</v>
      </c>
    </row>
    <row r="1409" spans="1:32" s="240" customFormat="1">
      <c r="A1409" s="48"/>
      <c r="B1409" s="31"/>
      <c r="C1409" s="48"/>
      <c r="D1409" s="47"/>
      <c r="E1409" s="47"/>
      <c r="F1409" s="31"/>
      <c r="G1409" s="31"/>
      <c r="H1409" s="31"/>
      <c r="I1409" s="47"/>
      <c r="J1409" s="31"/>
      <c r="K1409" s="47"/>
      <c r="L1409" s="47"/>
      <c r="M1409" s="47"/>
      <c r="N1409" s="31"/>
      <c r="O1409" s="47"/>
      <c r="P1409" s="31"/>
      <c r="Q1409" s="31"/>
      <c r="R1409" s="31"/>
      <c r="S1409" s="31"/>
      <c r="T1409" s="270">
        <f t="shared" si="168"/>
        <v>0</v>
      </c>
      <c r="U1409" s="270">
        <f t="shared" si="169"/>
        <v>0</v>
      </c>
      <c r="V1409" s="31"/>
      <c r="X1409" s="240" t="str">
        <f t="shared" si="170"/>
        <v>OK</v>
      </c>
      <c r="Y1409" s="240" t="str">
        <f t="shared" si="171"/>
        <v>OK</v>
      </c>
      <c r="Z1409" s="240" t="str">
        <f t="shared" si="172"/>
        <v>OK</v>
      </c>
      <c r="AA1409" s="240" t="str" cm="1">
        <f t="array" ref="AA1409">IF(OR(AND(J1409="Not accepted",N1409:O1409&lt;&gt;"",$S1409=""),AND(J1409="Accepted",S1409="")),"ERROR","OK")</f>
        <v>OK</v>
      </c>
      <c r="AB1409" s="240" t="str">
        <f t="shared" si="173"/>
        <v>OK</v>
      </c>
      <c r="AC1409" s="240" t="str" cm="1">
        <f t="array" ref="AC1409">IF(AND(F1409:H1409&lt;&gt;"",I1409=""),"ERROR","OK")</f>
        <v>OK</v>
      </c>
      <c r="AD1409" s="240" t="str">
        <f t="shared" si="174"/>
        <v>OK</v>
      </c>
      <c r="AE1409" s="240" t="str">
        <f t="shared" si="175"/>
        <v>OK</v>
      </c>
      <c r="AF1409" s="240" t="str" cm="1">
        <f t="array" aca="1" ref="AF1409" ca="1" xml:space="preserve">
IF(AND($G1409&lt;&gt;"",$F1409=""),"ERROR",
IF(OR($F1409:$G1409="",AND($G1409="",$F1409&lt;&gt;"")),"OK",
IF(COUNTIF(INDIRECT(IFERROR(LEFT($F1409,FIND(" ",$F1409)-1),$F1409)), $G1409)&gt;0, "OK", "ERROR")))</f>
        <v>OK</v>
      </c>
    </row>
    <row r="1410" spans="1:32" s="240" customFormat="1">
      <c r="A1410" s="48"/>
      <c r="B1410" s="31"/>
      <c r="C1410" s="48"/>
      <c r="D1410" s="47"/>
      <c r="E1410" s="47"/>
      <c r="F1410" s="31"/>
      <c r="G1410" s="31"/>
      <c r="H1410" s="31"/>
      <c r="I1410" s="47"/>
      <c r="J1410" s="31"/>
      <c r="K1410" s="47"/>
      <c r="L1410" s="47"/>
      <c r="M1410" s="47"/>
      <c r="N1410" s="31"/>
      <c r="O1410" s="47"/>
      <c r="P1410" s="31"/>
      <c r="Q1410" s="31"/>
      <c r="R1410" s="31"/>
      <c r="S1410" s="31"/>
      <c r="T1410" s="270">
        <f t="shared" si="168"/>
        <v>0</v>
      </c>
      <c r="U1410" s="270">
        <f t="shared" si="169"/>
        <v>0</v>
      </c>
      <c r="V1410" s="31"/>
      <c r="X1410" s="240" t="str">
        <f t="shared" si="170"/>
        <v>OK</v>
      </c>
      <c r="Y1410" s="240" t="str">
        <f t="shared" si="171"/>
        <v>OK</v>
      </c>
      <c r="Z1410" s="240" t="str">
        <f t="shared" si="172"/>
        <v>OK</v>
      </c>
      <c r="AA1410" s="240" t="str" cm="1">
        <f t="array" ref="AA1410">IF(OR(AND(J1410="Not accepted",N1410:O1410&lt;&gt;"",$S1410=""),AND(J1410="Accepted",S1410="")),"ERROR","OK")</f>
        <v>OK</v>
      </c>
      <c r="AB1410" s="240" t="str">
        <f t="shared" si="173"/>
        <v>OK</v>
      </c>
      <c r="AC1410" s="240" t="str" cm="1">
        <f t="array" ref="AC1410">IF(AND(F1410:H1410&lt;&gt;"",I1410=""),"ERROR","OK")</f>
        <v>OK</v>
      </c>
      <c r="AD1410" s="240" t="str">
        <f t="shared" si="174"/>
        <v>OK</v>
      </c>
      <c r="AE1410" s="240" t="str">
        <f t="shared" si="175"/>
        <v>OK</v>
      </c>
      <c r="AF1410" s="240" t="str" cm="1">
        <f t="array" aca="1" ref="AF1410" ca="1" xml:space="preserve">
IF(AND($G1410&lt;&gt;"",$F1410=""),"ERROR",
IF(OR($F1410:$G1410="",AND($G1410="",$F1410&lt;&gt;"")),"OK",
IF(COUNTIF(INDIRECT(IFERROR(LEFT($F1410,FIND(" ",$F1410)-1),$F1410)), $G1410)&gt;0, "OK", "ERROR")))</f>
        <v>OK</v>
      </c>
    </row>
    <row r="1411" spans="1:32" s="240" customFormat="1">
      <c r="A1411" s="48"/>
      <c r="B1411" s="31"/>
      <c r="C1411" s="48"/>
      <c r="D1411" s="47"/>
      <c r="E1411" s="47"/>
      <c r="F1411" s="31"/>
      <c r="G1411" s="31"/>
      <c r="H1411" s="31"/>
      <c r="I1411" s="47"/>
      <c r="J1411" s="31"/>
      <c r="K1411" s="47"/>
      <c r="L1411" s="47"/>
      <c r="M1411" s="47"/>
      <c r="N1411" s="31"/>
      <c r="O1411" s="47"/>
      <c r="P1411" s="31"/>
      <c r="Q1411" s="31"/>
      <c r="R1411" s="31"/>
      <c r="S1411" s="31"/>
      <c r="T1411" s="270">
        <f t="shared" si="168"/>
        <v>0</v>
      </c>
      <c r="U1411" s="270">
        <f t="shared" si="169"/>
        <v>0</v>
      </c>
      <c r="V1411" s="31"/>
      <c r="X1411" s="240" t="str">
        <f t="shared" si="170"/>
        <v>OK</v>
      </c>
      <c r="Y1411" s="240" t="str">
        <f t="shared" si="171"/>
        <v>OK</v>
      </c>
      <c r="Z1411" s="240" t="str">
        <f t="shared" si="172"/>
        <v>OK</v>
      </c>
      <c r="AA1411" s="240" t="str" cm="1">
        <f t="array" ref="AA1411">IF(OR(AND(J1411="Not accepted",N1411:O1411&lt;&gt;"",$S1411=""),AND(J1411="Accepted",S1411="")),"ERROR","OK")</f>
        <v>OK</v>
      </c>
      <c r="AB1411" s="240" t="str">
        <f t="shared" si="173"/>
        <v>OK</v>
      </c>
      <c r="AC1411" s="240" t="str" cm="1">
        <f t="array" ref="AC1411">IF(AND(F1411:H1411&lt;&gt;"",I1411=""),"ERROR","OK")</f>
        <v>OK</v>
      </c>
      <c r="AD1411" s="240" t="str">
        <f t="shared" si="174"/>
        <v>OK</v>
      </c>
      <c r="AE1411" s="240" t="str">
        <f t="shared" si="175"/>
        <v>OK</v>
      </c>
      <c r="AF1411" s="240" t="str" cm="1">
        <f t="array" aca="1" ref="AF1411" ca="1" xml:space="preserve">
IF(AND($G1411&lt;&gt;"",$F1411=""),"ERROR",
IF(OR($F1411:$G1411="",AND($G1411="",$F1411&lt;&gt;"")),"OK",
IF(COUNTIF(INDIRECT(IFERROR(LEFT($F1411,FIND(" ",$F1411)-1),$F1411)), $G1411)&gt;0, "OK", "ERROR")))</f>
        <v>OK</v>
      </c>
    </row>
    <row r="1412" spans="1:32" s="240" customFormat="1">
      <c r="A1412" s="48"/>
      <c r="B1412" s="31"/>
      <c r="C1412" s="48"/>
      <c r="D1412" s="47"/>
      <c r="E1412" s="47"/>
      <c r="F1412" s="31"/>
      <c r="G1412" s="31"/>
      <c r="H1412" s="31"/>
      <c r="I1412" s="47"/>
      <c r="J1412" s="31"/>
      <c r="K1412" s="47"/>
      <c r="L1412" s="47"/>
      <c r="M1412" s="47"/>
      <c r="N1412" s="31"/>
      <c r="O1412" s="47"/>
      <c r="P1412" s="31"/>
      <c r="Q1412" s="31"/>
      <c r="R1412" s="31"/>
      <c r="S1412" s="31"/>
      <c r="T1412" s="270">
        <f t="shared" si="168"/>
        <v>0</v>
      </c>
      <c r="U1412" s="270">
        <f t="shared" si="169"/>
        <v>0</v>
      </c>
      <c r="V1412" s="31"/>
      <c r="X1412" s="240" t="str">
        <f t="shared" si="170"/>
        <v>OK</v>
      </c>
      <c r="Y1412" s="240" t="str">
        <f t="shared" si="171"/>
        <v>OK</v>
      </c>
      <c r="Z1412" s="240" t="str">
        <f t="shared" si="172"/>
        <v>OK</v>
      </c>
      <c r="AA1412" s="240" t="str" cm="1">
        <f t="array" ref="AA1412">IF(OR(AND(J1412="Not accepted",N1412:O1412&lt;&gt;"",$S1412=""),AND(J1412="Accepted",S1412="")),"ERROR","OK")</f>
        <v>OK</v>
      </c>
      <c r="AB1412" s="240" t="str">
        <f t="shared" si="173"/>
        <v>OK</v>
      </c>
      <c r="AC1412" s="240" t="str" cm="1">
        <f t="array" ref="AC1412">IF(AND(F1412:H1412&lt;&gt;"",I1412=""),"ERROR","OK")</f>
        <v>OK</v>
      </c>
      <c r="AD1412" s="240" t="str">
        <f t="shared" si="174"/>
        <v>OK</v>
      </c>
      <c r="AE1412" s="240" t="str">
        <f t="shared" si="175"/>
        <v>OK</v>
      </c>
      <c r="AF1412" s="240" t="str" cm="1">
        <f t="array" aca="1" ref="AF1412" ca="1" xml:space="preserve">
IF(AND($G1412&lt;&gt;"",$F1412=""),"ERROR",
IF(OR($F1412:$G1412="",AND($G1412="",$F1412&lt;&gt;"")),"OK",
IF(COUNTIF(INDIRECT(IFERROR(LEFT($F1412,FIND(" ",$F1412)-1),$F1412)), $G1412)&gt;0, "OK", "ERROR")))</f>
        <v>OK</v>
      </c>
    </row>
    <row r="1413" spans="1:32" s="240" customFormat="1">
      <c r="A1413" s="48"/>
      <c r="B1413" s="31"/>
      <c r="C1413" s="48"/>
      <c r="D1413" s="47"/>
      <c r="E1413" s="47"/>
      <c r="F1413" s="31"/>
      <c r="G1413" s="31"/>
      <c r="H1413" s="31"/>
      <c r="I1413" s="47"/>
      <c r="J1413" s="31"/>
      <c r="K1413" s="47"/>
      <c r="L1413" s="47"/>
      <c r="M1413" s="47"/>
      <c r="N1413" s="31"/>
      <c r="O1413" s="47"/>
      <c r="P1413" s="31"/>
      <c r="Q1413" s="31"/>
      <c r="R1413" s="31"/>
      <c r="S1413" s="31"/>
      <c r="T1413" s="270">
        <f t="shared" ref="T1413:T1476" si="176">IF(OR($J1413="Accepted",ISBLANK($J1413)),IF(AND($G1413="Legacy Data",$Q1413="Legacy Data"),1,IF(OR($G1413="Legacy Data",$Q1413="Legacy Data"),1,0)),IF(OR($N1413="Agree with original translator",ISBLANK($N1413)),IF(AND($G1413="Source Text Data",$Q1413="Legacy Data"),1,IF(AND($G1413="Legacy Data",$Q1413="Legacy Data"),1,IF($Q1413="Legacy Data",1,0))),IF(AND($G1413="Legacy Data",$Q1413="Legacy Data"),1,IF(OR($Q1413="Legacy Data",ISBLANK($Q1413)),IF($G1413&lt;&gt;"Legacy Data",IF(AND($G1413="Source Text Data",$Q1413="Legacy Data"),1,0),1),0))))</f>
        <v>0</v>
      </c>
      <c r="U1413" s="270">
        <f t="shared" ref="U1413:U1476" si="177">IF(OR($J1413="Accepted",ISBLANK($J1413)),IF(AND($G1413="Source Text Data",$Q1413="Source Text Data"),1,IF(OR($G1413="Source Text Data",$Q1413="Source Text Data"),1,0)),IF(OR($N1413="Agree with original translator",ISBLANK($N1413)),IF(AND($G1413="Legacy Data",$Q1413="Source Text Data"),1,IF(AND($G1413="Source Text Data",$Q1413="Source Text Data"),1,IF($Q1413="Source Text Data",1,0))),IF(AND($G1413="Source Text Data",$Q1413="Source Text Data"),1,IF(OR($Q1413="Source Text Data",ISBLANK($Q1413)),IF($G1413&lt;&gt;"Source Text Data",IF(AND($G1413="Legacy Data",$Q1413="Source Text Data"),1,0),1),0))))</f>
        <v>0</v>
      </c>
      <c r="V1413" s="31"/>
      <c r="X1413" s="240" t="str">
        <f t="shared" ref="X1413:X1476" si="178">IF(AND(COUNTBLANK($F1413:$H1413)&lt;&gt;COLUMNS($F1413:$H1413),COUNTA($F1413:$H1413)&lt;&gt;COLUMNS($F1413:$H1413)),"ERROR","OK")</f>
        <v>OK</v>
      </c>
      <c r="Y1413" s="240" t="str">
        <f t="shared" ref="Y1413:Y1476" si="179">IF(AND($J1413="Not accepted",$K1413=""),"ERROR","OK")</f>
        <v>OK</v>
      </c>
      <c r="Z1413" s="240" t="str">
        <f t="shared" ref="Z1413:Z1476" si="180">IF(AND($F1413&lt;&gt;"",$J1413=""),"ERROR","OK")</f>
        <v>OK</v>
      </c>
      <c r="AA1413" s="240" t="str" cm="1">
        <f t="array" ref="AA1413">IF(OR(AND(J1413="Not accepted",N1413:O1413&lt;&gt;"",$S1413=""),AND(J1413="Accepted",S1413="")),"ERROR","OK")</f>
        <v>OK</v>
      </c>
      <c r="AB1413" s="240" t="str">
        <f t="shared" ref="AB1413:AB1476" si="181">IF(AND($S1413="Not Implemented",$V1413=""),"ERROR","OK")</f>
        <v>OK</v>
      </c>
      <c r="AC1413" s="240" t="str" cm="1">
        <f t="array" ref="AC1413">IF(AND(F1413:H1413&lt;&gt;"",I1413=""),"ERROR","OK")</f>
        <v>OK</v>
      </c>
      <c r="AD1413" s="240" t="str">
        <f t="shared" ref="AD1413:AD1476" si="182">IF(AND($N1413="",$J1413="Not accepted",$K1413&lt;&gt;""),"ERROR","OK")</f>
        <v>OK</v>
      </c>
      <c r="AE1413" s="240" t="str">
        <f t="shared" ref="AE1413:AE1476" si="183">IF(AND($O1413="",$N1413&lt;&gt;""),"ERROR","OK")</f>
        <v>OK</v>
      </c>
      <c r="AF1413" s="240" t="str" cm="1">
        <f t="array" aca="1" ref="AF1413" ca="1" xml:space="preserve">
IF(AND($G1413&lt;&gt;"",$F1413=""),"ERROR",
IF(OR($F1413:$G1413="",AND($G1413="",$F1413&lt;&gt;"")),"OK",
IF(COUNTIF(INDIRECT(IFERROR(LEFT($F1413,FIND(" ",$F1413)-1),$F1413)), $G1413)&gt;0, "OK", "ERROR")))</f>
        <v>OK</v>
      </c>
    </row>
    <row r="1414" spans="1:32" s="240" customFormat="1">
      <c r="A1414" s="48"/>
      <c r="B1414" s="31"/>
      <c r="C1414" s="48"/>
      <c r="D1414" s="47"/>
      <c r="E1414" s="47"/>
      <c r="F1414" s="31"/>
      <c r="G1414" s="31"/>
      <c r="H1414" s="31"/>
      <c r="I1414" s="47"/>
      <c r="J1414" s="31"/>
      <c r="K1414" s="47"/>
      <c r="L1414" s="47"/>
      <c r="M1414" s="47"/>
      <c r="N1414" s="31"/>
      <c r="O1414" s="47"/>
      <c r="P1414" s="31"/>
      <c r="Q1414" s="31"/>
      <c r="R1414" s="31"/>
      <c r="S1414" s="31"/>
      <c r="T1414" s="270">
        <f t="shared" si="176"/>
        <v>0</v>
      </c>
      <c r="U1414" s="270">
        <f t="shared" si="177"/>
        <v>0</v>
      </c>
      <c r="V1414" s="31"/>
      <c r="X1414" s="240" t="str">
        <f t="shared" si="178"/>
        <v>OK</v>
      </c>
      <c r="Y1414" s="240" t="str">
        <f t="shared" si="179"/>
        <v>OK</v>
      </c>
      <c r="Z1414" s="240" t="str">
        <f t="shared" si="180"/>
        <v>OK</v>
      </c>
      <c r="AA1414" s="240" t="str" cm="1">
        <f t="array" ref="AA1414">IF(OR(AND(J1414="Not accepted",N1414:O1414&lt;&gt;"",$S1414=""),AND(J1414="Accepted",S1414="")),"ERROR","OK")</f>
        <v>OK</v>
      </c>
      <c r="AB1414" s="240" t="str">
        <f t="shared" si="181"/>
        <v>OK</v>
      </c>
      <c r="AC1414" s="240" t="str" cm="1">
        <f t="array" ref="AC1414">IF(AND(F1414:H1414&lt;&gt;"",I1414=""),"ERROR","OK")</f>
        <v>OK</v>
      </c>
      <c r="AD1414" s="240" t="str">
        <f t="shared" si="182"/>
        <v>OK</v>
      </c>
      <c r="AE1414" s="240" t="str">
        <f t="shared" si="183"/>
        <v>OK</v>
      </c>
      <c r="AF1414" s="240" t="str" cm="1">
        <f t="array" aca="1" ref="AF1414" ca="1" xml:space="preserve">
IF(AND($G1414&lt;&gt;"",$F1414=""),"ERROR",
IF(OR($F1414:$G1414="",AND($G1414="",$F1414&lt;&gt;"")),"OK",
IF(COUNTIF(INDIRECT(IFERROR(LEFT($F1414,FIND(" ",$F1414)-1),$F1414)), $G1414)&gt;0, "OK", "ERROR")))</f>
        <v>OK</v>
      </c>
    </row>
    <row r="1415" spans="1:32" s="240" customFormat="1">
      <c r="A1415" s="48"/>
      <c r="B1415" s="31"/>
      <c r="C1415" s="48"/>
      <c r="D1415" s="47"/>
      <c r="E1415" s="47"/>
      <c r="F1415" s="31"/>
      <c r="G1415" s="31"/>
      <c r="H1415" s="31"/>
      <c r="I1415" s="47"/>
      <c r="J1415" s="31"/>
      <c r="K1415" s="47"/>
      <c r="L1415" s="47"/>
      <c r="M1415" s="47"/>
      <c r="N1415" s="31"/>
      <c r="O1415" s="47"/>
      <c r="P1415" s="31"/>
      <c r="Q1415" s="31"/>
      <c r="R1415" s="31"/>
      <c r="S1415" s="31"/>
      <c r="T1415" s="270">
        <f t="shared" si="176"/>
        <v>0</v>
      </c>
      <c r="U1415" s="270">
        <f t="shared" si="177"/>
        <v>0</v>
      </c>
      <c r="V1415" s="31"/>
      <c r="X1415" s="240" t="str">
        <f t="shared" si="178"/>
        <v>OK</v>
      </c>
      <c r="Y1415" s="240" t="str">
        <f t="shared" si="179"/>
        <v>OK</v>
      </c>
      <c r="Z1415" s="240" t="str">
        <f t="shared" si="180"/>
        <v>OK</v>
      </c>
      <c r="AA1415" s="240" t="str" cm="1">
        <f t="array" ref="AA1415">IF(OR(AND(J1415="Not accepted",N1415:O1415&lt;&gt;"",$S1415=""),AND(J1415="Accepted",S1415="")),"ERROR","OK")</f>
        <v>OK</v>
      </c>
      <c r="AB1415" s="240" t="str">
        <f t="shared" si="181"/>
        <v>OK</v>
      </c>
      <c r="AC1415" s="240" t="str" cm="1">
        <f t="array" ref="AC1415">IF(AND(F1415:H1415&lt;&gt;"",I1415=""),"ERROR","OK")</f>
        <v>OK</v>
      </c>
      <c r="AD1415" s="240" t="str">
        <f t="shared" si="182"/>
        <v>OK</v>
      </c>
      <c r="AE1415" s="240" t="str">
        <f t="shared" si="183"/>
        <v>OK</v>
      </c>
      <c r="AF1415" s="240" t="str" cm="1">
        <f t="array" aca="1" ref="AF1415" ca="1" xml:space="preserve">
IF(AND($G1415&lt;&gt;"",$F1415=""),"ERROR",
IF(OR($F1415:$G1415="",AND($G1415="",$F1415&lt;&gt;"")),"OK",
IF(COUNTIF(INDIRECT(IFERROR(LEFT($F1415,FIND(" ",$F1415)-1),$F1415)), $G1415)&gt;0, "OK", "ERROR")))</f>
        <v>OK</v>
      </c>
    </row>
    <row r="1416" spans="1:32" s="240" customFormat="1">
      <c r="A1416" s="48"/>
      <c r="B1416" s="31"/>
      <c r="C1416" s="48"/>
      <c r="D1416" s="47"/>
      <c r="E1416" s="47"/>
      <c r="F1416" s="31"/>
      <c r="G1416" s="31"/>
      <c r="H1416" s="31"/>
      <c r="I1416" s="47"/>
      <c r="J1416" s="31"/>
      <c r="K1416" s="47"/>
      <c r="L1416" s="47"/>
      <c r="M1416" s="47"/>
      <c r="N1416" s="31"/>
      <c r="O1416" s="47"/>
      <c r="P1416" s="31"/>
      <c r="Q1416" s="31"/>
      <c r="R1416" s="31"/>
      <c r="S1416" s="31"/>
      <c r="T1416" s="270">
        <f t="shared" si="176"/>
        <v>0</v>
      </c>
      <c r="U1416" s="270">
        <f t="shared" si="177"/>
        <v>0</v>
      </c>
      <c r="V1416" s="31"/>
      <c r="X1416" s="240" t="str">
        <f t="shared" si="178"/>
        <v>OK</v>
      </c>
      <c r="Y1416" s="240" t="str">
        <f t="shared" si="179"/>
        <v>OK</v>
      </c>
      <c r="Z1416" s="240" t="str">
        <f t="shared" si="180"/>
        <v>OK</v>
      </c>
      <c r="AA1416" s="240" t="str" cm="1">
        <f t="array" ref="AA1416">IF(OR(AND(J1416="Not accepted",N1416:O1416&lt;&gt;"",$S1416=""),AND(J1416="Accepted",S1416="")),"ERROR","OK")</f>
        <v>OK</v>
      </c>
      <c r="AB1416" s="240" t="str">
        <f t="shared" si="181"/>
        <v>OK</v>
      </c>
      <c r="AC1416" s="240" t="str" cm="1">
        <f t="array" ref="AC1416">IF(AND(F1416:H1416&lt;&gt;"",I1416=""),"ERROR","OK")</f>
        <v>OK</v>
      </c>
      <c r="AD1416" s="240" t="str">
        <f t="shared" si="182"/>
        <v>OK</v>
      </c>
      <c r="AE1416" s="240" t="str">
        <f t="shared" si="183"/>
        <v>OK</v>
      </c>
      <c r="AF1416" s="240" t="str" cm="1">
        <f t="array" aca="1" ref="AF1416" ca="1" xml:space="preserve">
IF(AND($G1416&lt;&gt;"",$F1416=""),"ERROR",
IF(OR($F1416:$G1416="",AND($G1416="",$F1416&lt;&gt;"")),"OK",
IF(COUNTIF(INDIRECT(IFERROR(LEFT($F1416,FIND(" ",$F1416)-1),$F1416)), $G1416)&gt;0, "OK", "ERROR")))</f>
        <v>OK</v>
      </c>
    </row>
    <row r="1417" spans="1:32" s="240" customFormat="1">
      <c r="A1417" s="48"/>
      <c r="B1417" s="31"/>
      <c r="C1417" s="48"/>
      <c r="D1417" s="47"/>
      <c r="E1417" s="47"/>
      <c r="F1417" s="31"/>
      <c r="G1417" s="31"/>
      <c r="H1417" s="31"/>
      <c r="I1417" s="47"/>
      <c r="J1417" s="31"/>
      <c r="K1417" s="47"/>
      <c r="L1417" s="47"/>
      <c r="M1417" s="47"/>
      <c r="N1417" s="31"/>
      <c r="O1417" s="47"/>
      <c r="P1417" s="31"/>
      <c r="Q1417" s="31"/>
      <c r="R1417" s="31"/>
      <c r="S1417" s="31"/>
      <c r="T1417" s="270">
        <f t="shared" si="176"/>
        <v>0</v>
      </c>
      <c r="U1417" s="270">
        <f t="shared" si="177"/>
        <v>0</v>
      </c>
      <c r="V1417" s="31"/>
      <c r="X1417" s="240" t="str">
        <f t="shared" si="178"/>
        <v>OK</v>
      </c>
      <c r="Y1417" s="240" t="str">
        <f t="shared" si="179"/>
        <v>OK</v>
      </c>
      <c r="Z1417" s="240" t="str">
        <f t="shared" si="180"/>
        <v>OK</v>
      </c>
      <c r="AA1417" s="240" t="str" cm="1">
        <f t="array" ref="AA1417">IF(OR(AND(J1417="Not accepted",N1417:O1417&lt;&gt;"",$S1417=""),AND(J1417="Accepted",S1417="")),"ERROR","OK")</f>
        <v>OK</v>
      </c>
      <c r="AB1417" s="240" t="str">
        <f t="shared" si="181"/>
        <v>OK</v>
      </c>
      <c r="AC1417" s="240" t="str" cm="1">
        <f t="array" ref="AC1417">IF(AND(F1417:H1417&lt;&gt;"",I1417=""),"ERROR","OK")</f>
        <v>OK</v>
      </c>
      <c r="AD1417" s="240" t="str">
        <f t="shared" si="182"/>
        <v>OK</v>
      </c>
      <c r="AE1417" s="240" t="str">
        <f t="shared" si="183"/>
        <v>OK</v>
      </c>
      <c r="AF1417" s="240" t="str" cm="1">
        <f t="array" aca="1" ref="AF1417" ca="1" xml:space="preserve">
IF(AND($G1417&lt;&gt;"",$F1417=""),"ERROR",
IF(OR($F1417:$G1417="",AND($G1417="",$F1417&lt;&gt;"")),"OK",
IF(COUNTIF(INDIRECT(IFERROR(LEFT($F1417,FIND(" ",$F1417)-1),$F1417)), $G1417)&gt;0, "OK", "ERROR")))</f>
        <v>OK</v>
      </c>
    </row>
    <row r="1418" spans="1:32" s="240" customFormat="1">
      <c r="A1418" s="48"/>
      <c r="B1418" s="31"/>
      <c r="C1418" s="48"/>
      <c r="D1418" s="47"/>
      <c r="E1418" s="47"/>
      <c r="F1418" s="31"/>
      <c r="G1418" s="31"/>
      <c r="H1418" s="31"/>
      <c r="I1418" s="47"/>
      <c r="J1418" s="31"/>
      <c r="K1418" s="47"/>
      <c r="L1418" s="47"/>
      <c r="M1418" s="47"/>
      <c r="N1418" s="31"/>
      <c r="O1418" s="47"/>
      <c r="P1418" s="31"/>
      <c r="Q1418" s="31"/>
      <c r="R1418" s="31"/>
      <c r="S1418" s="31"/>
      <c r="T1418" s="270">
        <f t="shared" si="176"/>
        <v>0</v>
      </c>
      <c r="U1418" s="270">
        <f t="shared" si="177"/>
        <v>0</v>
      </c>
      <c r="V1418" s="31"/>
      <c r="X1418" s="240" t="str">
        <f t="shared" si="178"/>
        <v>OK</v>
      </c>
      <c r="Y1418" s="240" t="str">
        <f t="shared" si="179"/>
        <v>OK</v>
      </c>
      <c r="Z1418" s="240" t="str">
        <f t="shared" si="180"/>
        <v>OK</v>
      </c>
      <c r="AA1418" s="240" t="str" cm="1">
        <f t="array" ref="AA1418">IF(OR(AND(J1418="Not accepted",N1418:O1418&lt;&gt;"",$S1418=""),AND(J1418="Accepted",S1418="")),"ERROR","OK")</f>
        <v>OK</v>
      </c>
      <c r="AB1418" s="240" t="str">
        <f t="shared" si="181"/>
        <v>OK</v>
      </c>
      <c r="AC1418" s="240" t="str" cm="1">
        <f t="array" ref="AC1418">IF(AND(F1418:H1418&lt;&gt;"",I1418=""),"ERROR","OK")</f>
        <v>OK</v>
      </c>
      <c r="AD1418" s="240" t="str">
        <f t="shared" si="182"/>
        <v>OK</v>
      </c>
      <c r="AE1418" s="240" t="str">
        <f t="shared" si="183"/>
        <v>OK</v>
      </c>
      <c r="AF1418" s="240" t="str" cm="1">
        <f t="array" aca="1" ref="AF1418" ca="1" xml:space="preserve">
IF(AND($G1418&lt;&gt;"",$F1418=""),"ERROR",
IF(OR($F1418:$G1418="",AND($G1418="",$F1418&lt;&gt;"")),"OK",
IF(COUNTIF(INDIRECT(IFERROR(LEFT($F1418,FIND(" ",$F1418)-1),$F1418)), $G1418)&gt;0, "OK", "ERROR")))</f>
        <v>OK</v>
      </c>
    </row>
    <row r="1419" spans="1:32" s="240" customFormat="1">
      <c r="A1419" s="48"/>
      <c r="B1419" s="31"/>
      <c r="C1419" s="48"/>
      <c r="D1419" s="47"/>
      <c r="E1419" s="47"/>
      <c r="F1419" s="31"/>
      <c r="G1419" s="31"/>
      <c r="H1419" s="31"/>
      <c r="I1419" s="47"/>
      <c r="J1419" s="31"/>
      <c r="K1419" s="47"/>
      <c r="L1419" s="47"/>
      <c r="M1419" s="47"/>
      <c r="N1419" s="31"/>
      <c r="O1419" s="47"/>
      <c r="P1419" s="31"/>
      <c r="Q1419" s="31"/>
      <c r="R1419" s="31"/>
      <c r="S1419" s="31"/>
      <c r="T1419" s="270">
        <f t="shared" si="176"/>
        <v>0</v>
      </c>
      <c r="U1419" s="270">
        <f t="shared" si="177"/>
        <v>0</v>
      </c>
      <c r="V1419" s="31"/>
      <c r="X1419" s="240" t="str">
        <f t="shared" si="178"/>
        <v>OK</v>
      </c>
      <c r="Y1419" s="240" t="str">
        <f t="shared" si="179"/>
        <v>OK</v>
      </c>
      <c r="Z1419" s="240" t="str">
        <f t="shared" si="180"/>
        <v>OK</v>
      </c>
      <c r="AA1419" s="240" t="str" cm="1">
        <f t="array" ref="AA1419">IF(OR(AND(J1419="Not accepted",N1419:O1419&lt;&gt;"",$S1419=""),AND(J1419="Accepted",S1419="")),"ERROR","OK")</f>
        <v>OK</v>
      </c>
      <c r="AB1419" s="240" t="str">
        <f t="shared" si="181"/>
        <v>OK</v>
      </c>
      <c r="AC1419" s="240" t="str" cm="1">
        <f t="array" ref="AC1419">IF(AND(F1419:H1419&lt;&gt;"",I1419=""),"ERROR","OK")</f>
        <v>OK</v>
      </c>
      <c r="AD1419" s="240" t="str">
        <f t="shared" si="182"/>
        <v>OK</v>
      </c>
      <c r="AE1419" s="240" t="str">
        <f t="shared" si="183"/>
        <v>OK</v>
      </c>
      <c r="AF1419" s="240" t="str" cm="1">
        <f t="array" aca="1" ref="AF1419" ca="1" xml:space="preserve">
IF(AND($G1419&lt;&gt;"",$F1419=""),"ERROR",
IF(OR($F1419:$G1419="",AND($G1419="",$F1419&lt;&gt;"")),"OK",
IF(COUNTIF(INDIRECT(IFERROR(LEFT($F1419,FIND(" ",$F1419)-1),$F1419)), $G1419)&gt;0, "OK", "ERROR")))</f>
        <v>OK</v>
      </c>
    </row>
    <row r="1420" spans="1:32" s="240" customFormat="1">
      <c r="A1420" s="48"/>
      <c r="B1420" s="31"/>
      <c r="C1420" s="48"/>
      <c r="D1420" s="47"/>
      <c r="E1420" s="47"/>
      <c r="F1420" s="31"/>
      <c r="G1420" s="31"/>
      <c r="H1420" s="31"/>
      <c r="I1420" s="47"/>
      <c r="J1420" s="31"/>
      <c r="K1420" s="47"/>
      <c r="L1420" s="47"/>
      <c r="M1420" s="47"/>
      <c r="N1420" s="31"/>
      <c r="O1420" s="47"/>
      <c r="P1420" s="31"/>
      <c r="Q1420" s="31"/>
      <c r="R1420" s="31"/>
      <c r="S1420" s="31"/>
      <c r="T1420" s="270">
        <f t="shared" si="176"/>
        <v>0</v>
      </c>
      <c r="U1420" s="270">
        <f t="shared" si="177"/>
        <v>0</v>
      </c>
      <c r="V1420" s="31"/>
      <c r="X1420" s="240" t="str">
        <f t="shared" si="178"/>
        <v>OK</v>
      </c>
      <c r="Y1420" s="240" t="str">
        <f t="shared" si="179"/>
        <v>OK</v>
      </c>
      <c r="Z1420" s="240" t="str">
        <f t="shared" si="180"/>
        <v>OK</v>
      </c>
      <c r="AA1420" s="240" t="str" cm="1">
        <f t="array" ref="AA1420">IF(OR(AND(J1420="Not accepted",N1420:O1420&lt;&gt;"",$S1420=""),AND(J1420="Accepted",S1420="")),"ERROR","OK")</f>
        <v>OK</v>
      </c>
      <c r="AB1420" s="240" t="str">
        <f t="shared" si="181"/>
        <v>OK</v>
      </c>
      <c r="AC1420" s="240" t="str" cm="1">
        <f t="array" ref="AC1420">IF(AND(F1420:H1420&lt;&gt;"",I1420=""),"ERROR","OK")</f>
        <v>OK</v>
      </c>
      <c r="AD1420" s="240" t="str">
        <f t="shared" si="182"/>
        <v>OK</v>
      </c>
      <c r="AE1420" s="240" t="str">
        <f t="shared" si="183"/>
        <v>OK</v>
      </c>
      <c r="AF1420" s="240" t="str" cm="1">
        <f t="array" aca="1" ref="AF1420" ca="1" xml:space="preserve">
IF(AND($G1420&lt;&gt;"",$F1420=""),"ERROR",
IF(OR($F1420:$G1420="",AND($G1420="",$F1420&lt;&gt;"")),"OK",
IF(COUNTIF(INDIRECT(IFERROR(LEFT($F1420,FIND(" ",$F1420)-1),$F1420)), $G1420)&gt;0, "OK", "ERROR")))</f>
        <v>OK</v>
      </c>
    </row>
    <row r="1421" spans="1:32" s="240" customFormat="1">
      <c r="A1421" s="48"/>
      <c r="B1421" s="31"/>
      <c r="C1421" s="48"/>
      <c r="D1421" s="47"/>
      <c r="E1421" s="47"/>
      <c r="F1421" s="31"/>
      <c r="G1421" s="31"/>
      <c r="H1421" s="31"/>
      <c r="I1421" s="47"/>
      <c r="J1421" s="31"/>
      <c r="K1421" s="47"/>
      <c r="L1421" s="47"/>
      <c r="M1421" s="47"/>
      <c r="N1421" s="31"/>
      <c r="O1421" s="47"/>
      <c r="P1421" s="31"/>
      <c r="Q1421" s="31"/>
      <c r="R1421" s="31"/>
      <c r="S1421" s="31"/>
      <c r="T1421" s="270">
        <f t="shared" si="176"/>
        <v>0</v>
      </c>
      <c r="U1421" s="270">
        <f t="shared" si="177"/>
        <v>0</v>
      </c>
      <c r="V1421" s="31"/>
      <c r="X1421" s="240" t="str">
        <f t="shared" si="178"/>
        <v>OK</v>
      </c>
      <c r="Y1421" s="240" t="str">
        <f t="shared" si="179"/>
        <v>OK</v>
      </c>
      <c r="Z1421" s="240" t="str">
        <f t="shared" si="180"/>
        <v>OK</v>
      </c>
      <c r="AA1421" s="240" t="str" cm="1">
        <f t="array" ref="AA1421">IF(OR(AND(J1421="Not accepted",N1421:O1421&lt;&gt;"",$S1421=""),AND(J1421="Accepted",S1421="")),"ERROR","OK")</f>
        <v>OK</v>
      </c>
      <c r="AB1421" s="240" t="str">
        <f t="shared" si="181"/>
        <v>OK</v>
      </c>
      <c r="AC1421" s="240" t="str" cm="1">
        <f t="array" ref="AC1421">IF(AND(F1421:H1421&lt;&gt;"",I1421=""),"ERROR","OK")</f>
        <v>OK</v>
      </c>
      <c r="AD1421" s="240" t="str">
        <f t="shared" si="182"/>
        <v>OK</v>
      </c>
      <c r="AE1421" s="240" t="str">
        <f t="shared" si="183"/>
        <v>OK</v>
      </c>
      <c r="AF1421" s="240" t="str" cm="1">
        <f t="array" aca="1" ref="AF1421" ca="1" xml:space="preserve">
IF(AND($G1421&lt;&gt;"",$F1421=""),"ERROR",
IF(OR($F1421:$G1421="",AND($G1421="",$F1421&lt;&gt;"")),"OK",
IF(COUNTIF(INDIRECT(IFERROR(LEFT($F1421,FIND(" ",$F1421)-1),$F1421)), $G1421)&gt;0, "OK", "ERROR")))</f>
        <v>OK</v>
      </c>
    </row>
    <row r="1422" spans="1:32" s="240" customFormat="1">
      <c r="A1422" s="48"/>
      <c r="B1422" s="31"/>
      <c r="C1422" s="48"/>
      <c r="D1422" s="47"/>
      <c r="E1422" s="47"/>
      <c r="F1422" s="31"/>
      <c r="G1422" s="31"/>
      <c r="H1422" s="31"/>
      <c r="I1422" s="47"/>
      <c r="J1422" s="31"/>
      <c r="K1422" s="47"/>
      <c r="L1422" s="47"/>
      <c r="M1422" s="47"/>
      <c r="N1422" s="31"/>
      <c r="O1422" s="47"/>
      <c r="P1422" s="31"/>
      <c r="Q1422" s="31"/>
      <c r="R1422" s="31"/>
      <c r="S1422" s="31"/>
      <c r="T1422" s="270">
        <f t="shared" si="176"/>
        <v>0</v>
      </c>
      <c r="U1422" s="270">
        <f t="shared" si="177"/>
        <v>0</v>
      </c>
      <c r="V1422" s="31"/>
      <c r="X1422" s="240" t="str">
        <f t="shared" si="178"/>
        <v>OK</v>
      </c>
      <c r="Y1422" s="240" t="str">
        <f t="shared" si="179"/>
        <v>OK</v>
      </c>
      <c r="Z1422" s="240" t="str">
        <f t="shared" si="180"/>
        <v>OK</v>
      </c>
      <c r="AA1422" s="240" t="str" cm="1">
        <f t="array" ref="AA1422">IF(OR(AND(J1422="Not accepted",N1422:O1422&lt;&gt;"",$S1422=""),AND(J1422="Accepted",S1422="")),"ERROR","OK")</f>
        <v>OK</v>
      </c>
      <c r="AB1422" s="240" t="str">
        <f t="shared" si="181"/>
        <v>OK</v>
      </c>
      <c r="AC1422" s="240" t="str" cm="1">
        <f t="array" ref="AC1422">IF(AND(F1422:H1422&lt;&gt;"",I1422=""),"ERROR","OK")</f>
        <v>OK</v>
      </c>
      <c r="AD1422" s="240" t="str">
        <f t="shared" si="182"/>
        <v>OK</v>
      </c>
      <c r="AE1422" s="240" t="str">
        <f t="shared" si="183"/>
        <v>OK</v>
      </c>
      <c r="AF1422" s="240" t="str" cm="1">
        <f t="array" aca="1" ref="AF1422" ca="1" xml:space="preserve">
IF(AND($G1422&lt;&gt;"",$F1422=""),"ERROR",
IF(OR($F1422:$G1422="",AND($G1422="",$F1422&lt;&gt;"")),"OK",
IF(COUNTIF(INDIRECT(IFERROR(LEFT($F1422,FIND(" ",$F1422)-1),$F1422)), $G1422)&gt;0, "OK", "ERROR")))</f>
        <v>OK</v>
      </c>
    </row>
    <row r="1423" spans="1:32" s="240" customFormat="1">
      <c r="A1423" s="48"/>
      <c r="B1423" s="31"/>
      <c r="C1423" s="48"/>
      <c r="D1423" s="47"/>
      <c r="E1423" s="47"/>
      <c r="F1423" s="31"/>
      <c r="G1423" s="31"/>
      <c r="H1423" s="31"/>
      <c r="I1423" s="47"/>
      <c r="J1423" s="31"/>
      <c r="K1423" s="47"/>
      <c r="L1423" s="47"/>
      <c r="M1423" s="47"/>
      <c r="N1423" s="31"/>
      <c r="O1423" s="47"/>
      <c r="P1423" s="31"/>
      <c r="Q1423" s="31"/>
      <c r="R1423" s="31"/>
      <c r="S1423" s="31"/>
      <c r="T1423" s="270">
        <f t="shared" si="176"/>
        <v>0</v>
      </c>
      <c r="U1423" s="270">
        <f t="shared" si="177"/>
        <v>0</v>
      </c>
      <c r="V1423" s="31"/>
      <c r="X1423" s="240" t="str">
        <f t="shared" si="178"/>
        <v>OK</v>
      </c>
      <c r="Y1423" s="240" t="str">
        <f t="shared" si="179"/>
        <v>OK</v>
      </c>
      <c r="Z1423" s="240" t="str">
        <f t="shared" si="180"/>
        <v>OK</v>
      </c>
      <c r="AA1423" s="240" t="str" cm="1">
        <f t="array" ref="AA1423">IF(OR(AND(J1423="Not accepted",N1423:O1423&lt;&gt;"",$S1423=""),AND(J1423="Accepted",S1423="")),"ERROR","OK")</f>
        <v>OK</v>
      </c>
      <c r="AB1423" s="240" t="str">
        <f t="shared" si="181"/>
        <v>OK</v>
      </c>
      <c r="AC1423" s="240" t="str" cm="1">
        <f t="array" ref="AC1423">IF(AND(F1423:H1423&lt;&gt;"",I1423=""),"ERROR","OK")</f>
        <v>OK</v>
      </c>
      <c r="AD1423" s="240" t="str">
        <f t="shared" si="182"/>
        <v>OK</v>
      </c>
      <c r="AE1423" s="240" t="str">
        <f t="shared" si="183"/>
        <v>OK</v>
      </c>
      <c r="AF1423" s="240" t="str" cm="1">
        <f t="array" aca="1" ref="AF1423" ca="1" xml:space="preserve">
IF(AND($G1423&lt;&gt;"",$F1423=""),"ERROR",
IF(OR($F1423:$G1423="",AND($G1423="",$F1423&lt;&gt;"")),"OK",
IF(COUNTIF(INDIRECT(IFERROR(LEFT($F1423,FIND(" ",$F1423)-1),$F1423)), $G1423)&gt;0, "OK", "ERROR")))</f>
        <v>OK</v>
      </c>
    </row>
    <row r="1424" spans="1:32" s="240" customFormat="1">
      <c r="A1424" s="48"/>
      <c r="B1424" s="31"/>
      <c r="C1424" s="48"/>
      <c r="D1424" s="47"/>
      <c r="E1424" s="47"/>
      <c r="F1424" s="31"/>
      <c r="G1424" s="31"/>
      <c r="H1424" s="31"/>
      <c r="I1424" s="47"/>
      <c r="J1424" s="31"/>
      <c r="K1424" s="47"/>
      <c r="L1424" s="47"/>
      <c r="M1424" s="47"/>
      <c r="N1424" s="31"/>
      <c r="O1424" s="47"/>
      <c r="P1424" s="31"/>
      <c r="Q1424" s="31"/>
      <c r="R1424" s="31"/>
      <c r="S1424" s="31"/>
      <c r="T1424" s="270">
        <f t="shared" si="176"/>
        <v>0</v>
      </c>
      <c r="U1424" s="270">
        <f t="shared" si="177"/>
        <v>0</v>
      </c>
      <c r="V1424" s="31"/>
      <c r="X1424" s="240" t="str">
        <f t="shared" si="178"/>
        <v>OK</v>
      </c>
      <c r="Y1424" s="240" t="str">
        <f t="shared" si="179"/>
        <v>OK</v>
      </c>
      <c r="Z1424" s="240" t="str">
        <f t="shared" si="180"/>
        <v>OK</v>
      </c>
      <c r="AA1424" s="240" t="str" cm="1">
        <f t="array" ref="AA1424">IF(OR(AND(J1424="Not accepted",N1424:O1424&lt;&gt;"",$S1424=""),AND(J1424="Accepted",S1424="")),"ERROR","OK")</f>
        <v>OK</v>
      </c>
      <c r="AB1424" s="240" t="str">
        <f t="shared" si="181"/>
        <v>OK</v>
      </c>
      <c r="AC1424" s="240" t="str" cm="1">
        <f t="array" ref="AC1424">IF(AND(F1424:H1424&lt;&gt;"",I1424=""),"ERROR","OK")</f>
        <v>OK</v>
      </c>
      <c r="AD1424" s="240" t="str">
        <f t="shared" si="182"/>
        <v>OK</v>
      </c>
      <c r="AE1424" s="240" t="str">
        <f t="shared" si="183"/>
        <v>OK</v>
      </c>
      <c r="AF1424" s="240" t="str" cm="1">
        <f t="array" aca="1" ref="AF1424" ca="1" xml:space="preserve">
IF(AND($G1424&lt;&gt;"",$F1424=""),"ERROR",
IF(OR($F1424:$G1424="",AND($G1424="",$F1424&lt;&gt;"")),"OK",
IF(COUNTIF(INDIRECT(IFERROR(LEFT($F1424,FIND(" ",$F1424)-1),$F1424)), $G1424)&gt;0, "OK", "ERROR")))</f>
        <v>OK</v>
      </c>
    </row>
    <row r="1425" spans="1:32" s="240" customFormat="1">
      <c r="A1425" s="48"/>
      <c r="B1425" s="31"/>
      <c r="C1425" s="48"/>
      <c r="D1425" s="47"/>
      <c r="E1425" s="47"/>
      <c r="F1425" s="31"/>
      <c r="G1425" s="31"/>
      <c r="H1425" s="31"/>
      <c r="I1425" s="47"/>
      <c r="J1425" s="31"/>
      <c r="K1425" s="47"/>
      <c r="L1425" s="47"/>
      <c r="M1425" s="47"/>
      <c r="N1425" s="31"/>
      <c r="O1425" s="47"/>
      <c r="P1425" s="31"/>
      <c r="Q1425" s="31"/>
      <c r="R1425" s="31"/>
      <c r="S1425" s="31"/>
      <c r="T1425" s="270">
        <f t="shared" si="176"/>
        <v>0</v>
      </c>
      <c r="U1425" s="270">
        <f t="shared" si="177"/>
        <v>0</v>
      </c>
      <c r="V1425" s="31"/>
      <c r="X1425" s="240" t="str">
        <f t="shared" si="178"/>
        <v>OK</v>
      </c>
      <c r="Y1425" s="240" t="str">
        <f t="shared" si="179"/>
        <v>OK</v>
      </c>
      <c r="Z1425" s="240" t="str">
        <f t="shared" si="180"/>
        <v>OK</v>
      </c>
      <c r="AA1425" s="240" t="str" cm="1">
        <f t="array" ref="AA1425">IF(OR(AND(J1425="Not accepted",N1425:O1425&lt;&gt;"",$S1425=""),AND(J1425="Accepted",S1425="")),"ERROR","OK")</f>
        <v>OK</v>
      </c>
      <c r="AB1425" s="240" t="str">
        <f t="shared" si="181"/>
        <v>OK</v>
      </c>
      <c r="AC1425" s="240" t="str" cm="1">
        <f t="array" ref="AC1425">IF(AND(F1425:H1425&lt;&gt;"",I1425=""),"ERROR","OK")</f>
        <v>OK</v>
      </c>
      <c r="AD1425" s="240" t="str">
        <f t="shared" si="182"/>
        <v>OK</v>
      </c>
      <c r="AE1425" s="240" t="str">
        <f t="shared" si="183"/>
        <v>OK</v>
      </c>
      <c r="AF1425" s="240" t="str" cm="1">
        <f t="array" aca="1" ref="AF1425" ca="1" xml:space="preserve">
IF(AND($G1425&lt;&gt;"",$F1425=""),"ERROR",
IF(OR($F1425:$G1425="",AND($G1425="",$F1425&lt;&gt;"")),"OK",
IF(COUNTIF(INDIRECT(IFERROR(LEFT($F1425,FIND(" ",$F1425)-1),$F1425)), $G1425)&gt;0, "OK", "ERROR")))</f>
        <v>OK</v>
      </c>
    </row>
    <row r="1426" spans="1:32" s="240" customFormat="1">
      <c r="A1426" s="48"/>
      <c r="B1426" s="31"/>
      <c r="C1426" s="48"/>
      <c r="D1426" s="47"/>
      <c r="E1426" s="47"/>
      <c r="F1426" s="31"/>
      <c r="G1426" s="31"/>
      <c r="H1426" s="31"/>
      <c r="I1426" s="47"/>
      <c r="J1426" s="31"/>
      <c r="K1426" s="47"/>
      <c r="L1426" s="47"/>
      <c r="M1426" s="47"/>
      <c r="N1426" s="31"/>
      <c r="O1426" s="47"/>
      <c r="P1426" s="31"/>
      <c r="Q1426" s="31"/>
      <c r="R1426" s="31"/>
      <c r="S1426" s="31"/>
      <c r="T1426" s="270">
        <f t="shared" si="176"/>
        <v>0</v>
      </c>
      <c r="U1426" s="270">
        <f t="shared" si="177"/>
        <v>0</v>
      </c>
      <c r="V1426" s="31"/>
      <c r="X1426" s="240" t="str">
        <f t="shared" si="178"/>
        <v>OK</v>
      </c>
      <c r="Y1426" s="240" t="str">
        <f t="shared" si="179"/>
        <v>OK</v>
      </c>
      <c r="Z1426" s="240" t="str">
        <f t="shared" si="180"/>
        <v>OK</v>
      </c>
      <c r="AA1426" s="240" t="str" cm="1">
        <f t="array" ref="AA1426">IF(OR(AND(J1426="Not accepted",N1426:O1426&lt;&gt;"",$S1426=""),AND(J1426="Accepted",S1426="")),"ERROR","OK")</f>
        <v>OK</v>
      </c>
      <c r="AB1426" s="240" t="str">
        <f t="shared" si="181"/>
        <v>OK</v>
      </c>
      <c r="AC1426" s="240" t="str" cm="1">
        <f t="array" ref="AC1426">IF(AND(F1426:H1426&lt;&gt;"",I1426=""),"ERROR","OK")</f>
        <v>OK</v>
      </c>
      <c r="AD1426" s="240" t="str">
        <f t="shared" si="182"/>
        <v>OK</v>
      </c>
      <c r="AE1426" s="240" t="str">
        <f t="shared" si="183"/>
        <v>OK</v>
      </c>
      <c r="AF1426" s="240" t="str" cm="1">
        <f t="array" aca="1" ref="AF1426" ca="1" xml:space="preserve">
IF(AND($G1426&lt;&gt;"",$F1426=""),"ERROR",
IF(OR($F1426:$G1426="",AND($G1426="",$F1426&lt;&gt;"")),"OK",
IF(COUNTIF(INDIRECT(IFERROR(LEFT($F1426,FIND(" ",$F1426)-1),$F1426)), $G1426)&gt;0, "OK", "ERROR")))</f>
        <v>OK</v>
      </c>
    </row>
    <row r="1427" spans="1:32" s="240" customFormat="1">
      <c r="A1427" s="48"/>
      <c r="B1427" s="31"/>
      <c r="C1427" s="48"/>
      <c r="D1427" s="47"/>
      <c r="E1427" s="47"/>
      <c r="F1427" s="31"/>
      <c r="G1427" s="31"/>
      <c r="H1427" s="31"/>
      <c r="I1427" s="47"/>
      <c r="J1427" s="31"/>
      <c r="K1427" s="47"/>
      <c r="L1427" s="47"/>
      <c r="M1427" s="47"/>
      <c r="N1427" s="31"/>
      <c r="O1427" s="47"/>
      <c r="P1427" s="31"/>
      <c r="Q1427" s="31"/>
      <c r="R1427" s="31"/>
      <c r="S1427" s="31"/>
      <c r="T1427" s="270">
        <f t="shared" si="176"/>
        <v>0</v>
      </c>
      <c r="U1427" s="270">
        <f t="shared" si="177"/>
        <v>0</v>
      </c>
      <c r="V1427" s="31"/>
      <c r="X1427" s="240" t="str">
        <f t="shared" si="178"/>
        <v>OK</v>
      </c>
      <c r="Y1427" s="240" t="str">
        <f t="shared" si="179"/>
        <v>OK</v>
      </c>
      <c r="Z1427" s="240" t="str">
        <f t="shared" si="180"/>
        <v>OK</v>
      </c>
      <c r="AA1427" s="240" t="str" cm="1">
        <f t="array" ref="AA1427">IF(OR(AND(J1427="Not accepted",N1427:O1427&lt;&gt;"",$S1427=""),AND(J1427="Accepted",S1427="")),"ERROR","OK")</f>
        <v>OK</v>
      </c>
      <c r="AB1427" s="240" t="str">
        <f t="shared" si="181"/>
        <v>OK</v>
      </c>
      <c r="AC1427" s="240" t="str" cm="1">
        <f t="array" ref="AC1427">IF(AND(F1427:H1427&lt;&gt;"",I1427=""),"ERROR","OK")</f>
        <v>OK</v>
      </c>
      <c r="AD1427" s="240" t="str">
        <f t="shared" si="182"/>
        <v>OK</v>
      </c>
      <c r="AE1427" s="240" t="str">
        <f t="shared" si="183"/>
        <v>OK</v>
      </c>
      <c r="AF1427" s="240" t="str" cm="1">
        <f t="array" aca="1" ref="AF1427" ca="1" xml:space="preserve">
IF(AND($G1427&lt;&gt;"",$F1427=""),"ERROR",
IF(OR($F1427:$G1427="",AND($G1427="",$F1427&lt;&gt;"")),"OK",
IF(COUNTIF(INDIRECT(IFERROR(LEFT($F1427,FIND(" ",$F1427)-1),$F1427)), $G1427)&gt;0, "OK", "ERROR")))</f>
        <v>OK</v>
      </c>
    </row>
    <row r="1428" spans="1:32" s="240" customFormat="1">
      <c r="A1428" s="48"/>
      <c r="B1428" s="31"/>
      <c r="C1428" s="48"/>
      <c r="D1428" s="47"/>
      <c r="E1428" s="47"/>
      <c r="F1428" s="31"/>
      <c r="G1428" s="31"/>
      <c r="H1428" s="31"/>
      <c r="I1428" s="47"/>
      <c r="J1428" s="31"/>
      <c r="K1428" s="47"/>
      <c r="L1428" s="47"/>
      <c r="M1428" s="47"/>
      <c r="N1428" s="31"/>
      <c r="O1428" s="47"/>
      <c r="P1428" s="31"/>
      <c r="Q1428" s="31"/>
      <c r="R1428" s="31"/>
      <c r="S1428" s="31"/>
      <c r="T1428" s="270">
        <f t="shared" si="176"/>
        <v>0</v>
      </c>
      <c r="U1428" s="270">
        <f t="shared" si="177"/>
        <v>0</v>
      </c>
      <c r="V1428" s="31"/>
      <c r="X1428" s="240" t="str">
        <f t="shared" si="178"/>
        <v>OK</v>
      </c>
      <c r="Y1428" s="240" t="str">
        <f t="shared" si="179"/>
        <v>OK</v>
      </c>
      <c r="Z1428" s="240" t="str">
        <f t="shared" si="180"/>
        <v>OK</v>
      </c>
      <c r="AA1428" s="240" t="str" cm="1">
        <f t="array" ref="AA1428">IF(OR(AND(J1428="Not accepted",N1428:O1428&lt;&gt;"",$S1428=""),AND(J1428="Accepted",S1428="")),"ERROR","OK")</f>
        <v>OK</v>
      </c>
      <c r="AB1428" s="240" t="str">
        <f t="shared" si="181"/>
        <v>OK</v>
      </c>
      <c r="AC1428" s="240" t="str" cm="1">
        <f t="array" ref="AC1428">IF(AND(F1428:H1428&lt;&gt;"",I1428=""),"ERROR","OK")</f>
        <v>OK</v>
      </c>
      <c r="AD1428" s="240" t="str">
        <f t="shared" si="182"/>
        <v>OK</v>
      </c>
      <c r="AE1428" s="240" t="str">
        <f t="shared" si="183"/>
        <v>OK</v>
      </c>
      <c r="AF1428" s="240" t="str" cm="1">
        <f t="array" aca="1" ref="AF1428" ca="1" xml:space="preserve">
IF(AND($G1428&lt;&gt;"",$F1428=""),"ERROR",
IF(OR($F1428:$G1428="",AND($G1428="",$F1428&lt;&gt;"")),"OK",
IF(COUNTIF(INDIRECT(IFERROR(LEFT($F1428,FIND(" ",$F1428)-1),$F1428)), $G1428)&gt;0, "OK", "ERROR")))</f>
        <v>OK</v>
      </c>
    </row>
    <row r="1429" spans="1:32" s="240" customFormat="1">
      <c r="A1429" s="48"/>
      <c r="B1429" s="31"/>
      <c r="C1429" s="48"/>
      <c r="D1429" s="47"/>
      <c r="E1429" s="47"/>
      <c r="F1429" s="31"/>
      <c r="G1429" s="31"/>
      <c r="H1429" s="31"/>
      <c r="I1429" s="47"/>
      <c r="J1429" s="31"/>
      <c r="K1429" s="47"/>
      <c r="L1429" s="47"/>
      <c r="M1429" s="47"/>
      <c r="N1429" s="31"/>
      <c r="O1429" s="47"/>
      <c r="P1429" s="31"/>
      <c r="Q1429" s="31"/>
      <c r="R1429" s="31"/>
      <c r="S1429" s="31"/>
      <c r="T1429" s="270">
        <f t="shared" si="176"/>
        <v>0</v>
      </c>
      <c r="U1429" s="270">
        <f t="shared" si="177"/>
        <v>0</v>
      </c>
      <c r="V1429" s="31"/>
      <c r="X1429" s="240" t="str">
        <f t="shared" si="178"/>
        <v>OK</v>
      </c>
      <c r="Y1429" s="240" t="str">
        <f t="shared" si="179"/>
        <v>OK</v>
      </c>
      <c r="Z1429" s="240" t="str">
        <f t="shared" si="180"/>
        <v>OK</v>
      </c>
      <c r="AA1429" s="240" t="str" cm="1">
        <f t="array" ref="AA1429">IF(OR(AND(J1429="Not accepted",N1429:O1429&lt;&gt;"",$S1429=""),AND(J1429="Accepted",S1429="")),"ERROR","OK")</f>
        <v>OK</v>
      </c>
      <c r="AB1429" s="240" t="str">
        <f t="shared" si="181"/>
        <v>OK</v>
      </c>
      <c r="AC1429" s="240" t="str" cm="1">
        <f t="array" ref="AC1429">IF(AND(F1429:H1429&lt;&gt;"",I1429=""),"ERROR","OK")</f>
        <v>OK</v>
      </c>
      <c r="AD1429" s="240" t="str">
        <f t="shared" si="182"/>
        <v>OK</v>
      </c>
      <c r="AE1429" s="240" t="str">
        <f t="shared" si="183"/>
        <v>OK</v>
      </c>
      <c r="AF1429" s="240" t="str" cm="1">
        <f t="array" aca="1" ref="AF1429" ca="1" xml:space="preserve">
IF(AND($G1429&lt;&gt;"",$F1429=""),"ERROR",
IF(OR($F1429:$G1429="",AND($G1429="",$F1429&lt;&gt;"")),"OK",
IF(COUNTIF(INDIRECT(IFERROR(LEFT($F1429,FIND(" ",$F1429)-1),$F1429)), $G1429)&gt;0, "OK", "ERROR")))</f>
        <v>OK</v>
      </c>
    </row>
    <row r="1430" spans="1:32" s="240" customFormat="1">
      <c r="A1430" s="48"/>
      <c r="B1430" s="31"/>
      <c r="C1430" s="48"/>
      <c r="D1430" s="47"/>
      <c r="E1430" s="47"/>
      <c r="F1430" s="31"/>
      <c r="G1430" s="31"/>
      <c r="H1430" s="31"/>
      <c r="I1430" s="47"/>
      <c r="J1430" s="31"/>
      <c r="K1430" s="47"/>
      <c r="L1430" s="47"/>
      <c r="M1430" s="47"/>
      <c r="N1430" s="31"/>
      <c r="O1430" s="47"/>
      <c r="P1430" s="31"/>
      <c r="Q1430" s="31"/>
      <c r="R1430" s="31"/>
      <c r="S1430" s="31"/>
      <c r="T1430" s="270">
        <f t="shared" si="176"/>
        <v>0</v>
      </c>
      <c r="U1430" s="270">
        <f t="shared" si="177"/>
        <v>0</v>
      </c>
      <c r="V1430" s="31"/>
      <c r="X1430" s="240" t="str">
        <f t="shared" si="178"/>
        <v>OK</v>
      </c>
      <c r="Y1430" s="240" t="str">
        <f t="shared" si="179"/>
        <v>OK</v>
      </c>
      <c r="Z1430" s="240" t="str">
        <f t="shared" si="180"/>
        <v>OK</v>
      </c>
      <c r="AA1430" s="240" t="str" cm="1">
        <f t="array" ref="AA1430">IF(OR(AND(J1430="Not accepted",N1430:O1430&lt;&gt;"",$S1430=""),AND(J1430="Accepted",S1430="")),"ERROR","OK")</f>
        <v>OK</v>
      </c>
      <c r="AB1430" s="240" t="str">
        <f t="shared" si="181"/>
        <v>OK</v>
      </c>
      <c r="AC1430" s="240" t="str" cm="1">
        <f t="array" ref="AC1430">IF(AND(F1430:H1430&lt;&gt;"",I1430=""),"ERROR","OK")</f>
        <v>OK</v>
      </c>
      <c r="AD1430" s="240" t="str">
        <f t="shared" si="182"/>
        <v>OK</v>
      </c>
      <c r="AE1430" s="240" t="str">
        <f t="shared" si="183"/>
        <v>OK</v>
      </c>
      <c r="AF1430" s="240" t="str" cm="1">
        <f t="array" aca="1" ref="AF1430" ca="1" xml:space="preserve">
IF(AND($G1430&lt;&gt;"",$F1430=""),"ERROR",
IF(OR($F1430:$G1430="",AND($G1430="",$F1430&lt;&gt;"")),"OK",
IF(COUNTIF(INDIRECT(IFERROR(LEFT($F1430,FIND(" ",$F1430)-1),$F1430)), $G1430)&gt;0, "OK", "ERROR")))</f>
        <v>OK</v>
      </c>
    </row>
    <row r="1431" spans="1:32" s="240" customFormat="1">
      <c r="A1431" s="48"/>
      <c r="B1431" s="31"/>
      <c r="C1431" s="48"/>
      <c r="D1431" s="47"/>
      <c r="E1431" s="47"/>
      <c r="F1431" s="31"/>
      <c r="G1431" s="31"/>
      <c r="H1431" s="31"/>
      <c r="I1431" s="47"/>
      <c r="J1431" s="31"/>
      <c r="K1431" s="47"/>
      <c r="L1431" s="47"/>
      <c r="M1431" s="47"/>
      <c r="N1431" s="31"/>
      <c r="O1431" s="47"/>
      <c r="P1431" s="31"/>
      <c r="Q1431" s="31"/>
      <c r="R1431" s="31"/>
      <c r="S1431" s="31"/>
      <c r="T1431" s="270">
        <f t="shared" si="176"/>
        <v>0</v>
      </c>
      <c r="U1431" s="270">
        <f t="shared" si="177"/>
        <v>0</v>
      </c>
      <c r="V1431" s="31"/>
      <c r="X1431" s="240" t="str">
        <f t="shared" si="178"/>
        <v>OK</v>
      </c>
      <c r="Y1431" s="240" t="str">
        <f t="shared" si="179"/>
        <v>OK</v>
      </c>
      <c r="Z1431" s="240" t="str">
        <f t="shared" si="180"/>
        <v>OK</v>
      </c>
      <c r="AA1431" s="240" t="str" cm="1">
        <f t="array" ref="AA1431">IF(OR(AND(J1431="Not accepted",N1431:O1431&lt;&gt;"",$S1431=""),AND(J1431="Accepted",S1431="")),"ERROR","OK")</f>
        <v>OK</v>
      </c>
      <c r="AB1431" s="240" t="str">
        <f t="shared" si="181"/>
        <v>OK</v>
      </c>
      <c r="AC1431" s="240" t="str" cm="1">
        <f t="array" ref="AC1431">IF(AND(F1431:H1431&lt;&gt;"",I1431=""),"ERROR","OK")</f>
        <v>OK</v>
      </c>
      <c r="AD1431" s="240" t="str">
        <f t="shared" si="182"/>
        <v>OK</v>
      </c>
      <c r="AE1431" s="240" t="str">
        <f t="shared" si="183"/>
        <v>OK</v>
      </c>
      <c r="AF1431" s="240" t="str" cm="1">
        <f t="array" aca="1" ref="AF1431" ca="1" xml:space="preserve">
IF(AND($G1431&lt;&gt;"",$F1431=""),"ERROR",
IF(OR($F1431:$G1431="",AND($G1431="",$F1431&lt;&gt;"")),"OK",
IF(COUNTIF(INDIRECT(IFERROR(LEFT($F1431,FIND(" ",$F1431)-1),$F1431)), $G1431)&gt;0, "OK", "ERROR")))</f>
        <v>OK</v>
      </c>
    </row>
    <row r="1432" spans="1:32" s="240" customFormat="1">
      <c r="A1432" s="48"/>
      <c r="B1432" s="31"/>
      <c r="C1432" s="48"/>
      <c r="D1432" s="47"/>
      <c r="E1432" s="47"/>
      <c r="F1432" s="31"/>
      <c r="G1432" s="31"/>
      <c r="H1432" s="31"/>
      <c r="I1432" s="47"/>
      <c r="J1432" s="31"/>
      <c r="K1432" s="47"/>
      <c r="L1432" s="47"/>
      <c r="M1432" s="47"/>
      <c r="N1432" s="31"/>
      <c r="O1432" s="47"/>
      <c r="P1432" s="31"/>
      <c r="Q1432" s="31"/>
      <c r="R1432" s="31"/>
      <c r="S1432" s="31"/>
      <c r="T1432" s="270">
        <f t="shared" si="176"/>
        <v>0</v>
      </c>
      <c r="U1432" s="270">
        <f t="shared" si="177"/>
        <v>0</v>
      </c>
      <c r="V1432" s="31"/>
      <c r="X1432" s="240" t="str">
        <f t="shared" si="178"/>
        <v>OK</v>
      </c>
      <c r="Y1432" s="240" t="str">
        <f t="shared" si="179"/>
        <v>OK</v>
      </c>
      <c r="Z1432" s="240" t="str">
        <f t="shared" si="180"/>
        <v>OK</v>
      </c>
      <c r="AA1432" s="240" t="str" cm="1">
        <f t="array" ref="AA1432">IF(OR(AND(J1432="Not accepted",N1432:O1432&lt;&gt;"",$S1432=""),AND(J1432="Accepted",S1432="")),"ERROR","OK")</f>
        <v>OK</v>
      </c>
      <c r="AB1432" s="240" t="str">
        <f t="shared" si="181"/>
        <v>OK</v>
      </c>
      <c r="AC1432" s="240" t="str" cm="1">
        <f t="array" ref="AC1432">IF(AND(F1432:H1432&lt;&gt;"",I1432=""),"ERROR","OK")</f>
        <v>OK</v>
      </c>
      <c r="AD1432" s="240" t="str">
        <f t="shared" si="182"/>
        <v>OK</v>
      </c>
      <c r="AE1432" s="240" t="str">
        <f t="shared" si="183"/>
        <v>OK</v>
      </c>
      <c r="AF1432" s="240" t="str" cm="1">
        <f t="array" aca="1" ref="AF1432" ca="1" xml:space="preserve">
IF(AND($G1432&lt;&gt;"",$F1432=""),"ERROR",
IF(OR($F1432:$G1432="",AND($G1432="",$F1432&lt;&gt;"")),"OK",
IF(COUNTIF(INDIRECT(IFERROR(LEFT($F1432,FIND(" ",$F1432)-1),$F1432)), $G1432)&gt;0, "OK", "ERROR")))</f>
        <v>OK</v>
      </c>
    </row>
    <row r="1433" spans="1:32" s="240" customFormat="1">
      <c r="A1433" s="48"/>
      <c r="B1433" s="31"/>
      <c r="C1433" s="48"/>
      <c r="D1433" s="47"/>
      <c r="E1433" s="47"/>
      <c r="F1433" s="31"/>
      <c r="G1433" s="31"/>
      <c r="H1433" s="31"/>
      <c r="I1433" s="47"/>
      <c r="J1433" s="31"/>
      <c r="K1433" s="47"/>
      <c r="L1433" s="47"/>
      <c r="M1433" s="47"/>
      <c r="N1433" s="31"/>
      <c r="O1433" s="47"/>
      <c r="P1433" s="31"/>
      <c r="Q1433" s="31"/>
      <c r="R1433" s="31"/>
      <c r="S1433" s="31"/>
      <c r="T1433" s="270">
        <f t="shared" si="176"/>
        <v>0</v>
      </c>
      <c r="U1433" s="270">
        <f t="shared" si="177"/>
        <v>0</v>
      </c>
      <c r="V1433" s="31"/>
      <c r="X1433" s="240" t="str">
        <f t="shared" si="178"/>
        <v>OK</v>
      </c>
      <c r="Y1433" s="240" t="str">
        <f t="shared" si="179"/>
        <v>OK</v>
      </c>
      <c r="Z1433" s="240" t="str">
        <f t="shared" si="180"/>
        <v>OK</v>
      </c>
      <c r="AA1433" s="240" t="str" cm="1">
        <f t="array" ref="AA1433">IF(OR(AND(J1433="Not accepted",N1433:O1433&lt;&gt;"",$S1433=""),AND(J1433="Accepted",S1433="")),"ERROR","OK")</f>
        <v>OK</v>
      </c>
      <c r="AB1433" s="240" t="str">
        <f t="shared" si="181"/>
        <v>OK</v>
      </c>
      <c r="AC1433" s="240" t="str" cm="1">
        <f t="array" ref="AC1433">IF(AND(F1433:H1433&lt;&gt;"",I1433=""),"ERROR","OK")</f>
        <v>OK</v>
      </c>
      <c r="AD1433" s="240" t="str">
        <f t="shared" si="182"/>
        <v>OK</v>
      </c>
      <c r="AE1433" s="240" t="str">
        <f t="shared" si="183"/>
        <v>OK</v>
      </c>
      <c r="AF1433" s="240" t="str" cm="1">
        <f t="array" aca="1" ref="AF1433" ca="1" xml:space="preserve">
IF(AND($G1433&lt;&gt;"",$F1433=""),"ERROR",
IF(OR($F1433:$G1433="",AND($G1433="",$F1433&lt;&gt;"")),"OK",
IF(COUNTIF(INDIRECT(IFERROR(LEFT($F1433,FIND(" ",$F1433)-1),$F1433)), $G1433)&gt;0, "OK", "ERROR")))</f>
        <v>OK</v>
      </c>
    </row>
    <row r="1434" spans="1:32" s="240" customFormat="1">
      <c r="A1434" s="48"/>
      <c r="B1434" s="31"/>
      <c r="C1434" s="48"/>
      <c r="D1434" s="47"/>
      <c r="E1434" s="47"/>
      <c r="F1434" s="31"/>
      <c r="G1434" s="31"/>
      <c r="H1434" s="31"/>
      <c r="I1434" s="47"/>
      <c r="J1434" s="31"/>
      <c r="K1434" s="47"/>
      <c r="L1434" s="47"/>
      <c r="M1434" s="47"/>
      <c r="N1434" s="31"/>
      <c r="O1434" s="47"/>
      <c r="P1434" s="31"/>
      <c r="Q1434" s="31"/>
      <c r="R1434" s="31"/>
      <c r="S1434" s="31"/>
      <c r="T1434" s="270">
        <f t="shared" si="176"/>
        <v>0</v>
      </c>
      <c r="U1434" s="270">
        <f t="shared" si="177"/>
        <v>0</v>
      </c>
      <c r="V1434" s="31"/>
      <c r="X1434" s="240" t="str">
        <f t="shared" si="178"/>
        <v>OK</v>
      </c>
      <c r="Y1434" s="240" t="str">
        <f t="shared" si="179"/>
        <v>OK</v>
      </c>
      <c r="Z1434" s="240" t="str">
        <f t="shared" si="180"/>
        <v>OK</v>
      </c>
      <c r="AA1434" s="240" t="str" cm="1">
        <f t="array" ref="AA1434">IF(OR(AND(J1434="Not accepted",N1434:O1434&lt;&gt;"",$S1434=""),AND(J1434="Accepted",S1434="")),"ERROR","OK")</f>
        <v>OK</v>
      </c>
      <c r="AB1434" s="240" t="str">
        <f t="shared" si="181"/>
        <v>OK</v>
      </c>
      <c r="AC1434" s="240" t="str" cm="1">
        <f t="array" ref="AC1434">IF(AND(F1434:H1434&lt;&gt;"",I1434=""),"ERROR","OK")</f>
        <v>OK</v>
      </c>
      <c r="AD1434" s="240" t="str">
        <f t="shared" si="182"/>
        <v>OK</v>
      </c>
      <c r="AE1434" s="240" t="str">
        <f t="shared" si="183"/>
        <v>OK</v>
      </c>
      <c r="AF1434" s="240" t="str" cm="1">
        <f t="array" aca="1" ref="AF1434" ca="1" xml:space="preserve">
IF(AND($G1434&lt;&gt;"",$F1434=""),"ERROR",
IF(OR($F1434:$G1434="",AND($G1434="",$F1434&lt;&gt;"")),"OK",
IF(COUNTIF(INDIRECT(IFERROR(LEFT($F1434,FIND(" ",$F1434)-1),$F1434)), $G1434)&gt;0, "OK", "ERROR")))</f>
        <v>OK</v>
      </c>
    </row>
    <row r="1435" spans="1:32" s="240" customFormat="1">
      <c r="A1435" s="48"/>
      <c r="B1435" s="31"/>
      <c r="C1435" s="48"/>
      <c r="D1435" s="47"/>
      <c r="E1435" s="47"/>
      <c r="F1435" s="31"/>
      <c r="G1435" s="31"/>
      <c r="H1435" s="31"/>
      <c r="I1435" s="47"/>
      <c r="J1435" s="31"/>
      <c r="K1435" s="47"/>
      <c r="L1435" s="47"/>
      <c r="M1435" s="47"/>
      <c r="N1435" s="31"/>
      <c r="O1435" s="47"/>
      <c r="P1435" s="31"/>
      <c r="Q1435" s="31"/>
      <c r="R1435" s="31"/>
      <c r="S1435" s="31"/>
      <c r="T1435" s="270">
        <f t="shared" si="176"/>
        <v>0</v>
      </c>
      <c r="U1435" s="270">
        <f t="shared" si="177"/>
        <v>0</v>
      </c>
      <c r="V1435" s="31"/>
      <c r="X1435" s="240" t="str">
        <f t="shared" si="178"/>
        <v>OK</v>
      </c>
      <c r="Y1435" s="240" t="str">
        <f t="shared" si="179"/>
        <v>OK</v>
      </c>
      <c r="Z1435" s="240" t="str">
        <f t="shared" si="180"/>
        <v>OK</v>
      </c>
      <c r="AA1435" s="240" t="str" cm="1">
        <f t="array" ref="AA1435">IF(OR(AND(J1435="Not accepted",N1435:O1435&lt;&gt;"",$S1435=""),AND(J1435="Accepted",S1435="")),"ERROR","OK")</f>
        <v>OK</v>
      </c>
      <c r="AB1435" s="240" t="str">
        <f t="shared" si="181"/>
        <v>OK</v>
      </c>
      <c r="AC1435" s="240" t="str" cm="1">
        <f t="array" ref="AC1435">IF(AND(F1435:H1435&lt;&gt;"",I1435=""),"ERROR","OK")</f>
        <v>OK</v>
      </c>
      <c r="AD1435" s="240" t="str">
        <f t="shared" si="182"/>
        <v>OK</v>
      </c>
      <c r="AE1435" s="240" t="str">
        <f t="shared" si="183"/>
        <v>OK</v>
      </c>
      <c r="AF1435" s="240" t="str" cm="1">
        <f t="array" aca="1" ref="AF1435" ca="1" xml:space="preserve">
IF(AND($G1435&lt;&gt;"",$F1435=""),"ERROR",
IF(OR($F1435:$G1435="",AND($G1435="",$F1435&lt;&gt;"")),"OK",
IF(COUNTIF(INDIRECT(IFERROR(LEFT($F1435,FIND(" ",$F1435)-1),$F1435)), $G1435)&gt;0, "OK", "ERROR")))</f>
        <v>OK</v>
      </c>
    </row>
    <row r="1436" spans="1:32" s="240" customFormat="1">
      <c r="A1436" s="48"/>
      <c r="B1436" s="31"/>
      <c r="C1436" s="48"/>
      <c r="D1436" s="47"/>
      <c r="E1436" s="47"/>
      <c r="F1436" s="31"/>
      <c r="G1436" s="31"/>
      <c r="H1436" s="31"/>
      <c r="I1436" s="47"/>
      <c r="J1436" s="31"/>
      <c r="K1436" s="47"/>
      <c r="L1436" s="47"/>
      <c r="M1436" s="47"/>
      <c r="N1436" s="31"/>
      <c r="O1436" s="47"/>
      <c r="P1436" s="31"/>
      <c r="Q1436" s="31"/>
      <c r="R1436" s="31"/>
      <c r="S1436" s="31"/>
      <c r="T1436" s="270">
        <f t="shared" si="176"/>
        <v>0</v>
      </c>
      <c r="U1436" s="270">
        <f t="shared" si="177"/>
        <v>0</v>
      </c>
      <c r="V1436" s="31"/>
      <c r="X1436" s="240" t="str">
        <f t="shared" si="178"/>
        <v>OK</v>
      </c>
      <c r="Y1436" s="240" t="str">
        <f t="shared" si="179"/>
        <v>OK</v>
      </c>
      <c r="Z1436" s="240" t="str">
        <f t="shared" si="180"/>
        <v>OK</v>
      </c>
      <c r="AA1436" s="240" t="str" cm="1">
        <f t="array" ref="AA1436">IF(OR(AND(J1436="Not accepted",N1436:O1436&lt;&gt;"",$S1436=""),AND(J1436="Accepted",S1436="")),"ERROR","OK")</f>
        <v>OK</v>
      </c>
      <c r="AB1436" s="240" t="str">
        <f t="shared" si="181"/>
        <v>OK</v>
      </c>
      <c r="AC1436" s="240" t="str" cm="1">
        <f t="array" ref="AC1436">IF(AND(F1436:H1436&lt;&gt;"",I1436=""),"ERROR","OK")</f>
        <v>OK</v>
      </c>
      <c r="AD1436" s="240" t="str">
        <f t="shared" si="182"/>
        <v>OK</v>
      </c>
      <c r="AE1436" s="240" t="str">
        <f t="shared" si="183"/>
        <v>OK</v>
      </c>
      <c r="AF1436" s="240" t="str" cm="1">
        <f t="array" aca="1" ref="AF1436" ca="1" xml:space="preserve">
IF(AND($G1436&lt;&gt;"",$F1436=""),"ERROR",
IF(OR($F1436:$G1436="",AND($G1436="",$F1436&lt;&gt;"")),"OK",
IF(COUNTIF(INDIRECT(IFERROR(LEFT($F1436,FIND(" ",$F1436)-1),$F1436)), $G1436)&gt;0, "OK", "ERROR")))</f>
        <v>OK</v>
      </c>
    </row>
    <row r="1437" spans="1:32" s="240" customFormat="1">
      <c r="A1437" s="48"/>
      <c r="B1437" s="31"/>
      <c r="C1437" s="48"/>
      <c r="D1437" s="47"/>
      <c r="E1437" s="47"/>
      <c r="F1437" s="31"/>
      <c r="G1437" s="31"/>
      <c r="H1437" s="31"/>
      <c r="I1437" s="47"/>
      <c r="J1437" s="31"/>
      <c r="K1437" s="47"/>
      <c r="L1437" s="47"/>
      <c r="M1437" s="47"/>
      <c r="N1437" s="31"/>
      <c r="O1437" s="47"/>
      <c r="P1437" s="31"/>
      <c r="Q1437" s="31"/>
      <c r="R1437" s="31"/>
      <c r="S1437" s="31"/>
      <c r="T1437" s="270">
        <f t="shared" si="176"/>
        <v>0</v>
      </c>
      <c r="U1437" s="270">
        <f t="shared" si="177"/>
        <v>0</v>
      </c>
      <c r="V1437" s="31"/>
      <c r="X1437" s="240" t="str">
        <f t="shared" si="178"/>
        <v>OK</v>
      </c>
      <c r="Y1437" s="240" t="str">
        <f t="shared" si="179"/>
        <v>OK</v>
      </c>
      <c r="Z1437" s="240" t="str">
        <f t="shared" si="180"/>
        <v>OK</v>
      </c>
      <c r="AA1437" s="240" t="str" cm="1">
        <f t="array" ref="AA1437">IF(OR(AND(J1437="Not accepted",N1437:O1437&lt;&gt;"",$S1437=""),AND(J1437="Accepted",S1437="")),"ERROR","OK")</f>
        <v>OK</v>
      </c>
      <c r="AB1437" s="240" t="str">
        <f t="shared" si="181"/>
        <v>OK</v>
      </c>
      <c r="AC1437" s="240" t="str" cm="1">
        <f t="array" ref="AC1437">IF(AND(F1437:H1437&lt;&gt;"",I1437=""),"ERROR","OK")</f>
        <v>OK</v>
      </c>
      <c r="AD1437" s="240" t="str">
        <f t="shared" si="182"/>
        <v>OK</v>
      </c>
      <c r="AE1437" s="240" t="str">
        <f t="shared" si="183"/>
        <v>OK</v>
      </c>
      <c r="AF1437" s="240" t="str" cm="1">
        <f t="array" aca="1" ref="AF1437" ca="1" xml:space="preserve">
IF(AND($G1437&lt;&gt;"",$F1437=""),"ERROR",
IF(OR($F1437:$G1437="",AND($G1437="",$F1437&lt;&gt;"")),"OK",
IF(COUNTIF(INDIRECT(IFERROR(LEFT($F1437,FIND(" ",$F1437)-1),$F1437)), $G1437)&gt;0, "OK", "ERROR")))</f>
        <v>OK</v>
      </c>
    </row>
    <row r="1438" spans="1:32" s="240" customFormat="1">
      <c r="A1438" s="48"/>
      <c r="B1438" s="31"/>
      <c r="C1438" s="48"/>
      <c r="D1438" s="47"/>
      <c r="E1438" s="47"/>
      <c r="F1438" s="31"/>
      <c r="G1438" s="31"/>
      <c r="H1438" s="31"/>
      <c r="I1438" s="47"/>
      <c r="J1438" s="31"/>
      <c r="K1438" s="47"/>
      <c r="L1438" s="47"/>
      <c r="M1438" s="47"/>
      <c r="N1438" s="31"/>
      <c r="O1438" s="47"/>
      <c r="P1438" s="31"/>
      <c r="Q1438" s="31"/>
      <c r="R1438" s="31"/>
      <c r="S1438" s="31"/>
      <c r="T1438" s="270">
        <f t="shared" si="176"/>
        <v>0</v>
      </c>
      <c r="U1438" s="270">
        <f t="shared" si="177"/>
        <v>0</v>
      </c>
      <c r="V1438" s="31"/>
      <c r="X1438" s="240" t="str">
        <f t="shared" si="178"/>
        <v>OK</v>
      </c>
      <c r="Y1438" s="240" t="str">
        <f t="shared" si="179"/>
        <v>OK</v>
      </c>
      <c r="Z1438" s="240" t="str">
        <f t="shared" si="180"/>
        <v>OK</v>
      </c>
      <c r="AA1438" s="240" t="str" cm="1">
        <f t="array" ref="AA1438">IF(OR(AND(J1438="Not accepted",N1438:O1438&lt;&gt;"",$S1438=""),AND(J1438="Accepted",S1438="")),"ERROR","OK")</f>
        <v>OK</v>
      </c>
      <c r="AB1438" s="240" t="str">
        <f t="shared" si="181"/>
        <v>OK</v>
      </c>
      <c r="AC1438" s="240" t="str" cm="1">
        <f t="array" ref="AC1438">IF(AND(F1438:H1438&lt;&gt;"",I1438=""),"ERROR","OK")</f>
        <v>OK</v>
      </c>
      <c r="AD1438" s="240" t="str">
        <f t="shared" si="182"/>
        <v>OK</v>
      </c>
      <c r="AE1438" s="240" t="str">
        <f t="shared" si="183"/>
        <v>OK</v>
      </c>
      <c r="AF1438" s="240" t="str" cm="1">
        <f t="array" aca="1" ref="AF1438" ca="1" xml:space="preserve">
IF(AND($G1438&lt;&gt;"",$F1438=""),"ERROR",
IF(OR($F1438:$G1438="",AND($G1438="",$F1438&lt;&gt;"")),"OK",
IF(COUNTIF(INDIRECT(IFERROR(LEFT($F1438,FIND(" ",$F1438)-1),$F1438)), $G1438)&gt;0, "OK", "ERROR")))</f>
        <v>OK</v>
      </c>
    </row>
    <row r="1439" spans="1:32" s="240" customFormat="1">
      <c r="A1439" s="48"/>
      <c r="B1439" s="31"/>
      <c r="C1439" s="48"/>
      <c r="D1439" s="47"/>
      <c r="E1439" s="47"/>
      <c r="F1439" s="31"/>
      <c r="G1439" s="31"/>
      <c r="H1439" s="31"/>
      <c r="I1439" s="47"/>
      <c r="J1439" s="31"/>
      <c r="K1439" s="47"/>
      <c r="L1439" s="47"/>
      <c r="M1439" s="47"/>
      <c r="N1439" s="31"/>
      <c r="O1439" s="47"/>
      <c r="P1439" s="31"/>
      <c r="Q1439" s="31"/>
      <c r="R1439" s="31"/>
      <c r="S1439" s="31"/>
      <c r="T1439" s="270">
        <f t="shared" si="176"/>
        <v>0</v>
      </c>
      <c r="U1439" s="270">
        <f t="shared" si="177"/>
        <v>0</v>
      </c>
      <c r="V1439" s="31"/>
      <c r="X1439" s="240" t="str">
        <f t="shared" si="178"/>
        <v>OK</v>
      </c>
      <c r="Y1439" s="240" t="str">
        <f t="shared" si="179"/>
        <v>OK</v>
      </c>
      <c r="Z1439" s="240" t="str">
        <f t="shared" si="180"/>
        <v>OK</v>
      </c>
      <c r="AA1439" s="240" t="str" cm="1">
        <f t="array" ref="AA1439">IF(OR(AND(J1439="Not accepted",N1439:O1439&lt;&gt;"",$S1439=""),AND(J1439="Accepted",S1439="")),"ERROR","OK")</f>
        <v>OK</v>
      </c>
      <c r="AB1439" s="240" t="str">
        <f t="shared" si="181"/>
        <v>OK</v>
      </c>
      <c r="AC1439" s="240" t="str" cm="1">
        <f t="array" ref="AC1439">IF(AND(F1439:H1439&lt;&gt;"",I1439=""),"ERROR","OK")</f>
        <v>OK</v>
      </c>
      <c r="AD1439" s="240" t="str">
        <f t="shared" si="182"/>
        <v>OK</v>
      </c>
      <c r="AE1439" s="240" t="str">
        <f t="shared" si="183"/>
        <v>OK</v>
      </c>
      <c r="AF1439" s="240" t="str" cm="1">
        <f t="array" aca="1" ref="AF1439" ca="1" xml:space="preserve">
IF(AND($G1439&lt;&gt;"",$F1439=""),"ERROR",
IF(OR($F1439:$G1439="",AND($G1439="",$F1439&lt;&gt;"")),"OK",
IF(COUNTIF(INDIRECT(IFERROR(LEFT($F1439,FIND(" ",$F1439)-1),$F1439)), $G1439)&gt;0, "OK", "ERROR")))</f>
        <v>OK</v>
      </c>
    </row>
    <row r="1440" spans="1:32" s="240" customFormat="1">
      <c r="A1440" s="48"/>
      <c r="B1440" s="31"/>
      <c r="C1440" s="48"/>
      <c r="D1440" s="47"/>
      <c r="E1440" s="47"/>
      <c r="F1440" s="31"/>
      <c r="G1440" s="31"/>
      <c r="H1440" s="31"/>
      <c r="I1440" s="47"/>
      <c r="J1440" s="31"/>
      <c r="K1440" s="47"/>
      <c r="L1440" s="47"/>
      <c r="M1440" s="47"/>
      <c r="N1440" s="31"/>
      <c r="O1440" s="47"/>
      <c r="P1440" s="31"/>
      <c r="Q1440" s="31"/>
      <c r="R1440" s="31"/>
      <c r="S1440" s="31"/>
      <c r="T1440" s="270">
        <f t="shared" si="176"/>
        <v>0</v>
      </c>
      <c r="U1440" s="270">
        <f t="shared" si="177"/>
        <v>0</v>
      </c>
      <c r="V1440" s="31"/>
      <c r="X1440" s="240" t="str">
        <f t="shared" si="178"/>
        <v>OK</v>
      </c>
      <c r="Y1440" s="240" t="str">
        <f t="shared" si="179"/>
        <v>OK</v>
      </c>
      <c r="Z1440" s="240" t="str">
        <f t="shared" si="180"/>
        <v>OK</v>
      </c>
      <c r="AA1440" s="240" t="str" cm="1">
        <f t="array" ref="AA1440">IF(OR(AND(J1440="Not accepted",N1440:O1440&lt;&gt;"",$S1440=""),AND(J1440="Accepted",S1440="")),"ERROR","OK")</f>
        <v>OK</v>
      </c>
      <c r="AB1440" s="240" t="str">
        <f t="shared" si="181"/>
        <v>OK</v>
      </c>
      <c r="AC1440" s="240" t="str" cm="1">
        <f t="array" ref="AC1440">IF(AND(F1440:H1440&lt;&gt;"",I1440=""),"ERROR","OK")</f>
        <v>OK</v>
      </c>
      <c r="AD1440" s="240" t="str">
        <f t="shared" si="182"/>
        <v>OK</v>
      </c>
      <c r="AE1440" s="240" t="str">
        <f t="shared" si="183"/>
        <v>OK</v>
      </c>
      <c r="AF1440" s="240" t="str" cm="1">
        <f t="array" aca="1" ref="AF1440" ca="1" xml:space="preserve">
IF(AND($G1440&lt;&gt;"",$F1440=""),"ERROR",
IF(OR($F1440:$G1440="",AND($G1440="",$F1440&lt;&gt;"")),"OK",
IF(COUNTIF(INDIRECT(IFERROR(LEFT($F1440,FIND(" ",$F1440)-1),$F1440)), $G1440)&gt;0, "OK", "ERROR")))</f>
        <v>OK</v>
      </c>
    </row>
    <row r="1441" spans="1:32" s="240" customFormat="1">
      <c r="A1441" s="48"/>
      <c r="B1441" s="31"/>
      <c r="C1441" s="48"/>
      <c r="D1441" s="47"/>
      <c r="E1441" s="47"/>
      <c r="F1441" s="31"/>
      <c r="G1441" s="31"/>
      <c r="H1441" s="31"/>
      <c r="I1441" s="47"/>
      <c r="J1441" s="31"/>
      <c r="K1441" s="47"/>
      <c r="L1441" s="47"/>
      <c r="M1441" s="47"/>
      <c r="N1441" s="31"/>
      <c r="O1441" s="47"/>
      <c r="P1441" s="31"/>
      <c r="Q1441" s="31"/>
      <c r="R1441" s="31"/>
      <c r="S1441" s="31"/>
      <c r="T1441" s="270">
        <f t="shared" si="176"/>
        <v>0</v>
      </c>
      <c r="U1441" s="270">
        <f t="shared" si="177"/>
        <v>0</v>
      </c>
      <c r="V1441" s="31"/>
      <c r="X1441" s="240" t="str">
        <f t="shared" si="178"/>
        <v>OK</v>
      </c>
      <c r="Y1441" s="240" t="str">
        <f t="shared" si="179"/>
        <v>OK</v>
      </c>
      <c r="Z1441" s="240" t="str">
        <f t="shared" si="180"/>
        <v>OK</v>
      </c>
      <c r="AA1441" s="240" t="str" cm="1">
        <f t="array" ref="AA1441">IF(OR(AND(J1441="Not accepted",N1441:O1441&lt;&gt;"",$S1441=""),AND(J1441="Accepted",S1441="")),"ERROR","OK")</f>
        <v>OK</v>
      </c>
      <c r="AB1441" s="240" t="str">
        <f t="shared" si="181"/>
        <v>OK</v>
      </c>
      <c r="AC1441" s="240" t="str" cm="1">
        <f t="array" ref="AC1441">IF(AND(F1441:H1441&lt;&gt;"",I1441=""),"ERROR","OK")</f>
        <v>OK</v>
      </c>
      <c r="AD1441" s="240" t="str">
        <f t="shared" si="182"/>
        <v>OK</v>
      </c>
      <c r="AE1441" s="240" t="str">
        <f t="shared" si="183"/>
        <v>OK</v>
      </c>
      <c r="AF1441" s="240" t="str" cm="1">
        <f t="array" aca="1" ref="AF1441" ca="1" xml:space="preserve">
IF(AND($G1441&lt;&gt;"",$F1441=""),"ERROR",
IF(OR($F1441:$G1441="",AND($G1441="",$F1441&lt;&gt;"")),"OK",
IF(COUNTIF(INDIRECT(IFERROR(LEFT($F1441,FIND(" ",$F1441)-1),$F1441)), $G1441)&gt;0, "OK", "ERROR")))</f>
        <v>OK</v>
      </c>
    </row>
    <row r="1442" spans="1:32" s="240" customFormat="1">
      <c r="A1442" s="48"/>
      <c r="B1442" s="31"/>
      <c r="C1442" s="48"/>
      <c r="D1442" s="47"/>
      <c r="E1442" s="47"/>
      <c r="F1442" s="31"/>
      <c r="G1442" s="31"/>
      <c r="H1442" s="31"/>
      <c r="I1442" s="47"/>
      <c r="J1442" s="31"/>
      <c r="K1442" s="47"/>
      <c r="L1442" s="47"/>
      <c r="M1442" s="47"/>
      <c r="N1442" s="31"/>
      <c r="O1442" s="47"/>
      <c r="P1442" s="31"/>
      <c r="Q1442" s="31"/>
      <c r="R1442" s="31"/>
      <c r="S1442" s="31"/>
      <c r="T1442" s="270">
        <f t="shared" si="176"/>
        <v>0</v>
      </c>
      <c r="U1442" s="270">
        <f t="shared" si="177"/>
        <v>0</v>
      </c>
      <c r="V1442" s="31"/>
      <c r="X1442" s="240" t="str">
        <f t="shared" si="178"/>
        <v>OK</v>
      </c>
      <c r="Y1442" s="240" t="str">
        <f t="shared" si="179"/>
        <v>OK</v>
      </c>
      <c r="Z1442" s="240" t="str">
        <f t="shared" si="180"/>
        <v>OK</v>
      </c>
      <c r="AA1442" s="240" t="str" cm="1">
        <f t="array" ref="AA1442">IF(OR(AND(J1442="Not accepted",N1442:O1442&lt;&gt;"",$S1442=""),AND(J1442="Accepted",S1442="")),"ERROR","OK")</f>
        <v>OK</v>
      </c>
      <c r="AB1442" s="240" t="str">
        <f t="shared" si="181"/>
        <v>OK</v>
      </c>
      <c r="AC1442" s="240" t="str" cm="1">
        <f t="array" ref="AC1442">IF(AND(F1442:H1442&lt;&gt;"",I1442=""),"ERROR","OK")</f>
        <v>OK</v>
      </c>
      <c r="AD1442" s="240" t="str">
        <f t="shared" si="182"/>
        <v>OK</v>
      </c>
      <c r="AE1442" s="240" t="str">
        <f t="shared" si="183"/>
        <v>OK</v>
      </c>
      <c r="AF1442" s="240" t="str" cm="1">
        <f t="array" aca="1" ref="AF1442" ca="1" xml:space="preserve">
IF(AND($G1442&lt;&gt;"",$F1442=""),"ERROR",
IF(OR($F1442:$G1442="",AND($G1442="",$F1442&lt;&gt;"")),"OK",
IF(COUNTIF(INDIRECT(IFERROR(LEFT($F1442,FIND(" ",$F1442)-1),$F1442)), $G1442)&gt;0, "OK", "ERROR")))</f>
        <v>OK</v>
      </c>
    </row>
    <row r="1443" spans="1:32" s="240" customFormat="1">
      <c r="A1443" s="48"/>
      <c r="B1443" s="31"/>
      <c r="C1443" s="48"/>
      <c r="D1443" s="47"/>
      <c r="E1443" s="47"/>
      <c r="F1443" s="31"/>
      <c r="G1443" s="31"/>
      <c r="H1443" s="31"/>
      <c r="I1443" s="47"/>
      <c r="J1443" s="31"/>
      <c r="K1443" s="47"/>
      <c r="L1443" s="47"/>
      <c r="M1443" s="47"/>
      <c r="N1443" s="31"/>
      <c r="O1443" s="47"/>
      <c r="P1443" s="31"/>
      <c r="Q1443" s="31"/>
      <c r="R1443" s="31"/>
      <c r="S1443" s="31"/>
      <c r="T1443" s="270">
        <f t="shared" si="176"/>
        <v>0</v>
      </c>
      <c r="U1443" s="270">
        <f t="shared" si="177"/>
        <v>0</v>
      </c>
      <c r="V1443" s="31"/>
      <c r="X1443" s="240" t="str">
        <f t="shared" si="178"/>
        <v>OK</v>
      </c>
      <c r="Y1443" s="240" t="str">
        <f t="shared" si="179"/>
        <v>OK</v>
      </c>
      <c r="Z1443" s="240" t="str">
        <f t="shared" si="180"/>
        <v>OK</v>
      </c>
      <c r="AA1443" s="240" t="str" cm="1">
        <f t="array" ref="AA1443">IF(OR(AND(J1443="Not accepted",N1443:O1443&lt;&gt;"",$S1443=""),AND(J1443="Accepted",S1443="")),"ERROR","OK")</f>
        <v>OK</v>
      </c>
      <c r="AB1443" s="240" t="str">
        <f t="shared" si="181"/>
        <v>OK</v>
      </c>
      <c r="AC1443" s="240" t="str" cm="1">
        <f t="array" ref="AC1443">IF(AND(F1443:H1443&lt;&gt;"",I1443=""),"ERROR","OK")</f>
        <v>OK</v>
      </c>
      <c r="AD1443" s="240" t="str">
        <f t="shared" si="182"/>
        <v>OK</v>
      </c>
      <c r="AE1443" s="240" t="str">
        <f t="shared" si="183"/>
        <v>OK</v>
      </c>
      <c r="AF1443" s="240" t="str" cm="1">
        <f t="array" aca="1" ref="AF1443" ca="1" xml:space="preserve">
IF(AND($G1443&lt;&gt;"",$F1443=""),"ERROR",
IF(OR($F1443:$G1443="",AND($G1443="",$F1443&lt;&gt;"")),"OK",
IF(COUNTIF(INDIRECT(IFERROR(LEFT($F1443,FIND(" ",$F1443)-1),$F1443)), $G1443)&gt;0, "OK", "ERROR")))</f>
        <v>OK</v>
      </c>
    </row>
    <row r="1444" spans="1:32" s="240" customFormat="1">
      <c r="A1444" s="48"/>
      <c r="B1444" s="31"/>
      <c r="C1444" s="48"/>
      <c r="D1444" s="47"/>
      <c r="E1444" s="47"/>
      <c r="F1444" s="31"/>
      <c r="G1444" s="31"/>
      <c r="H1444" s="31"/>
      <c r="I1444" s="47"/>
      <c r="J1444" s="31"/>
      <c r="K1444" s="47"/>
      <c r="L1444" s="47"/>
      <c r="M1444" s="47"/>
      <c r="N1444" s="31"/>
      <c r="O1444" s="47"/>
      <c r="P1444" s="31"/>
      <c r="Q1444" s="31"/>
      <c r="R1444" s="31"/>
      <c r="S1444" s="31"/>
      <c r="T1444" s="270">
        <f t="shared" si="176"/>
        <v>0</v>
      </c>
      <c r="U1444" s="270">
        <f t="shared" si="177"/>
        <v>0</v>
      </c>
      <c r="V1444" s="31"/>
      <c r="X1444" s="240" t="str">
        <f t="shared" si="178"/>
        <v>OK</v>
      </c>
      <c r="Y1444" s="240" t="str">
        <f t="shared" si="179"/>
        <v>OK</v>
      </c>
      <c r="Z1444" s="240" t="str">
        <f t="shared" si="180"/>
        <v>OK</v>
      </c>
      <c r="AA1444" s="240" t="str" cm="1">
        <f t="array" ref="AA1444">IF(OR(AND(J1444="Not accepted",N1444:O1444&lt;&gt;"",$S1444=""),AND(J1444="Accepted",S1444="")),"ERROR","OK")</f>
        <v>OK</v>
      </c>
      <c r="AB1444" s="240" t="str">
        <f t="shared" si="181"/>
        <v>OK</v>
      </c>
      <c r="AC1444" s="240" t="str" cm="1">
        <f t="array" ref="AC1444">IF(AND(F1444:H1444&lt;&gt;"",I1444=""),"ERROR","OK")</f>
        <v>OK</v>
      </c>
      <c r="AD1444" s="240" t="str">
        <f t="shared" si="182"/>
        <v>OK</v>
      </c>
      <c r="AE1444" s="240" t="str">
        <f t="shared" si="183"/>
        <v>OK</v>
      </c>
      <c r="AF1444" s="240" t="str" cm="1">
        <f t="array" aca="1" ref="AF1444" ca="1" xml:space="preserve">
IF(AND($G1444&lt;&gt;"",$F1444=""),"ERROR",
IF(OR($F1444:$G1444="",AND($G1444="",$F1444&lt;&gt;"")),"OK",
IF(COUNTIF(INDIRECT(IFERROR(LEFT($F1444,FIND(" ",$F1444)-1),$F1444)), $G1444)&gt;0, "OK", "ERROR")))</f>
        <v>OK</v>
      </c>
    </row>
    <row r="1445" spans="1:32" s="240" customFormat="1">
      <c r="A1445" s="48"/>
      <c r="B1445" s="31"/>
      <c r="C1445" s="48"/>
      <c r="D1445" s="47"/>
      <c r="E1445" s="47"/>
      <c r="F1445" s="31"/>
      <c r="G1445" s="31"/>
      <c r="H1445" s="31"/>
      <c r="I1445" s="47"/>
      <c r="J1445" s="31"/>
      <c r="K1445" s="47"/>
      <c r="L1445" s="47"/>
      <c r="M1445" s="47"/>
      <c r="N1445" s="31"/>
      <c r="O1445" s="47"/>
      <c r="P1445" s="31"/>
      <c r="Q1445" s="31"/>
      <c r="R1445" s="31"/>
      <c r="S1445" s="31"/>
      <c r="T1445" s="270">
        <f t="shared" si="176"/>
        <v>0</v>
      </c>
      <c r="U1445" s="270">
        <f t="shared" si="177"/>
        <v>0</v>
      </c>
      <c r="V1445" s="31"/>
      <c r="X1445" s="240" t="str">
        <f t="shared" si="178"/>
        <v>OK</v>
      </c>
      <c r="Y1445" s="240" t="str">
        <f t="shared" si="179"/>
        <v>OK</v>
      </c>
      <c r="Z1445" s="240" t="str">
        <f t="shared" si="180"/>
        <v>OK</v>
      </c>
      <c r="AA1445" s="240" t="str" cm="1">
        <f t="array" ref="AA1445">IF(OR(AND(J1445="Not accepted",N1445:O1445&lt;&gt;"",$S1445=""),AND(J1445="Accepted",S1445="")),"ERROR","OK")</f>
        <v>OK</v>
      </c>
      <c r="AB1445" s="240" t="str">
        <f t="shared" si="181"/>
        <v>OK</v>
      </c>
      <c r="AC1445" s="240" t="str" cm="1">
        <f t="array" ref="AC1445">IF(AND(F1445:H1445&lt;&gt;"",I1445=""),"ERROR","OK")</f>
        <v>OK</v>
      </c>
      <c r="AD1445" s="240" t="str">
        <f t="shared" si="182"/>
        <v>OK</v>
      </c>
      <c r="AE1445" s="240" t="str">
        <f t="shared" si="183"/>
        <v>OK</v>
      </c>
      <c r="AF1445" s="240" t="str" cm="1">
        <f t="array" aca="1" ref="AF1445" ca="1" xml:space="preserve">
IF(AND($G1445&lt;&gt;"",$F1445=""),"ERROR",
IF(OR($F1445:$G1445="",AND($G1445="",$F1445&lt;&gt;"")),"OK",
IF(COUNTIF(INDIRECT(IFERROR(LEFT($F1445,FIND(" ",$F1445)-1),$F1445)), $G1445)&gt;0, "OK", "ERROR")))</f>
        <v>OK</v>
      </c>
    </row>
    <row r="1446" spans="1:32" s="240" customFormat="1">
      <c r="A1446" s="48"/>
      <c r="B1446" s="31"/>
      <c r="C1446" s="48"/>
      <c r="D1446" s="47"/>
      <c r="E1446" s="47"/>
      <c r="F1446" s="31"/>
      <c r="G1446" s="31"/>
      <c r="H1446" s="31"/>
      <c r="I1446" s="47"/>
      <c r="J1446" s="31"/>
      <c r="K1446" s="47"/>
      <c r="L1446" s="47"/>
      <c r="M1446" s="47"/>
      <c r="N1446" s="31"/>
      <c r="O1446" s="47"/>
      <c r="P1446" s="31"/>
      <c r="Q1446" s="31"/>
      <c r="R1446" s="31"/>
      <c r="S1446" s="31"/>
      <c r="T1446" s="270">
        <f t="shared" si="176"/>
        <v>0</v>
      </c>
      <c r="U1446" s="270">
        <f t="shared" si="177"/>
        <v>0</v>
      </c>
      <c r="V1446" s="31"/>
      <c r="X1446" s="240" t="str">
        <f t="shared" si="178"/>
        <v>OK</v>
      </c>
      <c r="Y1446" s="240" t="str">
        <f t="shared" si="179"/>
        <v>OK</v>
      </c>
      <c r="Z1446" s="240" t="str">
        <f t="shared" si="180"/>
        <v>OK</v>
      </c>
      <c r="AA1446" s="240" t="str" cm="1">
        <f t="array" ref="AA1446">IF(OR(AND(J1446="Not accepted",N1446:O1446&lt;&gt;"",$S1446=""),AND(J1446="Accepted",S1446="")),"ERROR","OK")</f>
        <v>OK</v>
      </c>
      <c r="AB1446" s="240" t="str">
        <f t="shared" si="181"/>
        <v>OK</v>
      </c>
      <c r="AC1446" s="240" t="str" cm="1">
        <f t="array" ref="AC1446">IF(AND(F1446:H1446&lt;&gt;"",I1446=""),"ERROR","OK")</f>
        <v>OK</v>
      </c>
      <c r="AD1446" s="240" t="str">
        <f t="shared" si="182"/>
        <v>OK</v>
      </c>
      <c r="AE1446" s="240" t="str">
        <f t="shared" si="183"/>
        <v>OK</v>
      </c>
      <c r="AF1446" s="240" t="str" cm="1">
        <f t="array" aca="1" ref="AF1446" ca="1" xml:space="preserve">
IF(AND($G1446&lt;&gt;"",$F1446=""),"ERROR",
IF(OR($F1446:$G1446="",AND($G1446="",$F1446&lt;&gt;"")),"OK",
IF(COUNTIF(INDIRECT(IFERROR(LEFT($F1446,FIND(" ",$F1446)-1),$F1446)), $G1446)&gt;0, "OK", "ERROR")))</f>
        <v>OK</v>
      </c>
    </row>
    <row r="1447" spans="1:32" s="240" customFormat="1">
      <c r="A1447" s="48"/>
      <c r="B1447" s="31"/>
      <c r="C1447" s="48"/>
      <c r="D1447" s="47"/>
      <c r="E1447" s="47"/>
      <c r="F1447" s="31"/>
      <c r="G1447" s="31"/>
      <c r="H1447" s="31"/>
      <c r="I1447" s="47"/>
      <c r="J1447" s="31"/>
      <c r="K1447" s="47"/>
      <c r="L1447" s="47"/>
      <c r="M1447" s="47"/>
      <c r="N1447" s="31"/>
      <c r="O1447" s="47"/>
      <c r="P1447" s="31"/>
      <c r="Q1447" s="31"/>
      <c r="R1447" s="31"/>
      <c r="S1447" s="31"/>
      <c r="T1447" s="270">
        <f t="shared" si="176"/>
        <v>0</v>
      </c>
      <c r="U1447" s="270">
        <f t="shared" si="177"/>
        <v>0</v>
      </c>
      <c r="V1447" s="31"/>
      <c r="X1447" s="240" t="str">
        <f t="shared" si="178"/>
        <v>OK</v>
      </c>
      <c r="Y1447" s="240" t="str">
        <f t="shared" si="179"/>
        <v>OK</v>
      </c>
      <c r="Z1447" s="240" t="str">
        <f t="shared" si="180"/>
        <v>OK</v>
      </c>
      <c r="AA1447" s="240" t="str" cm="1">
        <f t="array" ref="AA1447">IF(OR(AND(J1447="Not accepted",N1447:O1447&lt;&gt;"",$S1447=""),AND(J1447="Accepted",S1447="")),"ERROR","OK")</f>
        <v>OK</v>
      </c>
      <c r="AB1447" s="240" t="str">
        <f t="shared" si="181"/>
        <v>OK</v>
      </c>
      <c r="AC1447" s="240" t="str" cm="1">
        <f t="array" ref="AC1447">IF(AND(F1447:H1447&lt;&gt;"",I1447=""),"ERROR","OK")</f>
        <v>OK</v>
      </c>
      <c r="AD1447" s="240" t="str">
        <f t="shared" si="182"/>
        <v>OK</v>
      </c>
      <c r="AE1447" s="240" t="str">
        <f t="shared" si="183"/>
        <v>OK</v>
      </c>
      <c r="AF1447" s="240" t="str" cm="1">
        <f t="array" aca="1" ref="AF1447" ca="1" xml:space="preserve">
IF(AND($G1447&lt;&gt;"",$F1447=""),"ERROR",
IF(OR($F1447:$G1447="",AND($G1447="",$F1447&lt;&gt;"")),"OK",
IF(COUNTIF(INDIRECT(IFERROR(LEFT($F1447,FIND(" ",$F1447)-1),$F1447)), $G1447)&gt;0, "OK", "ERROR")))</f>
        <v>OK</v>
      </c>
    </row>
    <row r="1448" spans="1:32" s="240" customFormat="1">
      <c r="A1448" s="48"/>
      <c r="B1448" s="31"/>
      <c r="C1448" s="48"/>
      <c r="D1448" s="47"/>
      <c r="E1448" s="47"/>
      <c r="F1448" s="31"/>
      <c r="G1448" s="31"/>
      <c r="H1448" s="31"/>
      <c r="I1448" s="47"/>
      <c r="J1448" s="31"/>
      <c r="K1448" s="47"/>
      <c r="L1448" s="47"/>
      <c r="M1448" s="47"/>
      <c r="N1448" s="31"/>
      <c r="O1448" s="47"/>
      <c r="P1448" s="31"/>
      <c r="Q1448" s="31"/>
      <c r="R1448" s="31"/>
      <c r="S1448" s="31"/>
      <c r="T1448" s="270">
        <f t="shared" si="176"/>
        <v>0</v>
      </c>
      <c r="U1448" s="270">
        <f t="shared" si="177"/>
        <v>0</v>
      </c>
      <c r="V1448" s="31"/>
      <c r="X1448" s="240" t="str">
        <f t="shared" si="178"/>
        <v>OK</v>
      </c>
      <c r="Y1448" s="240" t="str">
        <f t="shared" si="179"/>
        <v>OK</v>
      </c>
      <c r="Z1448" s="240" t="str">
        <f t="shared" si="180"/>
        <v>OK</v>
      </c>
      <c r="AA1448" s="240" t="str" cm="1">
        <f t="array" ref="AA1448">IF(OR(AND(J1448="Not accepted",N1448:O1448&lt;&gt;"",$S1448=""),AND(J1448="Accepted",S1448="")),"ERROR","OK")</f>
        <v>OK</v>
      </c>
      <c r="AB1448" s="240" t="str">
        <f t="shared" si="181"/>
        <v>OK</v>
      </c>
      <c r="AC1448" s="240" t="str" cm="1">
        <f t="array" ref="AC1448">IF(AND(F1448:H1448&lt;&gt;"",I1448=""),"ERROR","OK")</f>
        <v>OK</v>
      </c>
      <c r="AD1448" s="240" t="str">
        <f t="shared" si="182"/>
        <v>OK</v>
      </c>
      <c r="AE1448" s="240" t="str">
        <f t="shared" si="183"/>
        <v>OK</v>
      </c>
      <c r="AF1448" s="240" t="str" cm="1">
        <f t="array" aca="1" ref="AF1448" ca="1" xml:space="preserve">
IF(AND($G1448&lt;&gt;"",$F1448=""),"ERROR",
IF(OR($F1448:$G1448="",AND($G1448="",$F1448&lt;&gt;"")),"OK",
IF(COUNTIF(INDIRECT(IFERROR(LEFT($F1448,FIND(" ",$F1448)-1),$F1448)), $G1448)&gt;0, "OK", "ERROR")))</f>
        <v>OK</v>
      </c>
    </row>
    <row r="1449" spans="1:32" s="240" customFormat="1">
      <c r="A1449" s="48"/>
      <c r="B1449" s="31"/>
      <c r="C1449" s="48"/>
      <c r="D1449" s="47"/>
      <c r="E1449" s="47"/>
      <c r="F1449" s="31"/>
      <c r="G1449" s="31"/>
      <c r="H1449" s="31"/>
      <c r="I1449" s="47"/>
      <c r="J1449" s="31"/>
      <c r="K1449" s="47"/>
      <c r="L1449" s="47"/>
      <c r="M1449" s="47"/>
      <c r="N1449" s="31"/>
      <c r="O1449" s="47"/>
      <c r="P1449" s="31"/>
      <c r="Q1449" s="31"/>
      <c r="R1449" s="31"/>
      <c r="S1449" s="31"/>
      <c r="T1449" s="270">
        <f t="shared" si="176"/>
        <v>0</v>
      </c>
      <c r="U1449" s="270">
        <f t="shared" si="177"/>
        <v>0</v>
      </c>
      <c r="V1449" s="31"/>
      <c r="X1449" s="240" t="str">
        <f t="shared" si="178"/>
        <v>OK</v>
      </c>
      <c r="Y1449" s="240" t="str">
        <f t="shared" si="179"/>
        <v>OK</v>
      </c>
      <c r="Z1449" s="240" t="str">
        <f t="shared" si="180"/>
        <v>OK</v>
      </c>
      <c r="AA1449" s="240" t="str" cm="1">
        <f t="array" ref="AA1449">IF(OR(AND(J1449="Not accepted",N1449:O1449&lt;&gt;"",$S1449=""),AND(J1449="Accepted",S1449="")),"ERROR","OK")</f>
        <v>OK</v>
      </c>
      <c r="AB1449" s="240" t="str">
        <f t="shared" si="181"/>
        <v>OK</v>
      </c>
      <c r="AC1449" s="240" t="str" cm="1">
        <f t="array" ref="AC1449">IF(AND(F1449:H1449&lt;&gt;"",I1449=""),"ERROR","OK")</f>
        <v>OK</v>
      </c>
      <c r="AD1449" s="240" t="str">
        <f t="shared" si="182"/>
        <v>OK</v>
      </c>
      <c r="AE1449" s="240" t="str">
        <f t="shared" si="183"/>
        <v>OK</v>
      </c>
      <c r="AF1449" s="240" t="str" cm="1">
        <f t="array" aca="1" ref="AF1449" ca="1" xml:space="preserve">
IF(AND($G1449&lt;&gt;"",$F1449=""),"ERROR",
IF(OR($F1449:$G1449="",AND($G1449="",$F1449&lt;&gt;"")),"OK",
IF(COUNTIF(INDIRECT(IFERROR(LEFT($F1449,FIND(" ",$F1449)-1),$F1449)), $G1449)&gt;0, "OK", "ERROR")))</f>
        <v>OK</v>
      </c>
    </row>
    <row r="1450" spans="1:32" s="240" customFormat="1">
      <c r="A1450" s="48"/>
      <c r="B1450" s="31"/>
      <c r="C1450" s="48"/>
      <c r="D1450" s="47"/>
      <c r="E1450" s="47"/>
      <c r="F1450" s="31"/>
      <c r="G1450" s="31"/>
      <c r="H1450" s="31"/>
      <c r="I1450" s="47"/>
      <c r="J1450" s="31"/>
      <c r="K1450" s="47"/>
      <c r="L1450" s="47"/>
      <c r="M1450" s="47"/>
      <c r="N1450" s="31"/>
      <c r="O1450" s="47"/>
      <c r="P1450" s="31"/>
      <c r="Q1450" s="31"/>
      <c r="R1450" s="31"/>
      <c r="S1450" s="31"/>
      <c r="T1450" s="270">
        <f t="shared" si="176"/>
        <v>0</v>
      </c>
      <c r="U1450" s="270">
        <f t="shared" si="177"/>
        <v>0</v>
      </c>
      <c r="V1450" s="31"/>
      <c r="X1450" s="240" t="str">
        <f t="shared" si="178"/>
        <v>OK</v>
      </c>
      <c r="Y1450" s="240" t="str">
        <f t="shared" si="179"/>
        <v>OK</v>
      </c>
      <c r="Z1450" s="240" t="str">
        <f t="shared" si="180"/>
        <v>OK</v>
      </c>
      <c r="AA1450" s="240" t="str" cm="1">
        <f t="array" ref="AA1450">IF(OR(AND(J1450="Not accepted",N1450:O1450&lt;&gt;"",$S1450=""),AND(J1450="Accepted",S1450="")),"ERROR","OK")</f>
        <v>OK</v>
      </c>
      <c r="AB1450" s="240" t="str">
        <f t="shared" si="181"/>
        <v>OK</v>
      </c>
      <c r="AC1450" s="240" t="str" cm="1">
        <f t="array" ref="AC1450">IF(AND(F1450:H1450&lt;&gt;"",I1450=""),"ERROR","OK")</f>
        <v>OK</v>
      </c>
      <c r="AD1450" s="240" t="str">
        <f t="shared" si="182"/>
        <v>OK</v>
      </c>
      <c r="AE1450" s="240" t="str">
        <f t="shared" si="183"/>
        <v>OK</v>
      </c>
      <c r="AF1450" s="240" t="str" cm="1">
        <f t="array" aca="1" ref="AF1450" ca="1" xml:space="preserve">
IF(AND($G1450&lt;&gt;"",$F1450=""),"ERROR",
IF(OR($F1450:$G1450="",AND($G1450="",$F1450&lt;&gt;"")),"OK",
IF(COUNTIF(INDIRECT(IFERROR(LEFT($F1450,FIND(" ",$F1450)-1),$F1450)), $G1450)&gt;0, "OK", "ERROR")))</f>
        <v>OK</v>
      </c>
    </row>
    <row r="1451" spans="1:32" s="240" customFormat="1">
      <c r="A1451" s="48"/>
      <c r="B1451" s="31"/>
      <c r="C1451" s="48"/>
      <c r="D1451" s="47"/>
      <c r="E1451" s="47"/>
      <c r="F1451" s="31"/>
      <c r="G1451" s="31"/>
      <c r="H1451" s="31"/>
      <c r="I1451" s="47"/>
      <c r="J1451" s="31"/>
      <c r="K1451" s="47"/>
      <c r="L1451" s="47"/>
      <c r="M1451" s="47"/>
      <c r="N1451" s="31"/>
      <c r="O1451" s="47"/>
      <c r="P1451" s="31"/>
      <c r="Q1451" s="31"/>
      <c r="R1451" s="31"/>
      <c r="S1451" s="31"/>
      <c r="T1451" s="270">
        <f t="shared" si="176"/>
        <v>0</v>
      </c>
      <c r="U1451" s="270">
        <f t="shared" si="177"/>
        <v>0</v>
      </c>
      <c r="V1451" s="31"/>
      <c r="X1451" s="240" t="str">
        <f t="shared" si="178"/>
        <v>OK</v>
      </c>
      <c r="Y1451" s="240" t="str">
        <f t="shared" si="179"/>
        <v>OK</v>
      </c>
      <c r="Z1451" s="240" t="str">
        <f t="shared" si="180"/>
        <v>OK</v>
      </c>
      <c r="AA1451" s="240" t="str" cm="1">
        <f t="array" ref="AA1451">IF(OR(AND(J1451="Not accepted",N1451:O1451&lt;&gt;"",$S1451=""),AND(J1451="Accepted",S1451="")),"ERROR","OK")</f>
        <v>OK</v>
      </c>
      <c r="AB1451" s="240" t="str">
        <f t="shared" si="181"/>
        <v>OK</v>
      </c>
      <c r="AC1451" s="240" t="str" cm="1">
        <f t="array" ref="AC1451">IF(AND(F1451:H1451&lt;&gt;"",I1451=""),"ERROR","OK")</f>
        <v>OK</v>
      </c>
      <c r="AD1451" s="240" t="str">
        <f t="shared" si="182"/>
        <v>OK</v>
      </c>
      <c r="AE1451" s="240" t="str">
        <f t="shared" si="183"/>
        <v>OK</v>
      </c>
      <c r="AF1451" s="240" t="str" cm="1">
        <f t="array" aca="1" ref="AF1451" ca="1" xml:space="preserve">
IF(AND($G1451&lt;&gt;"",$F1451=""),"ERROR",
IF(OR($F1451:$G1451="",AND($G1451="",$F1451&lt;&gt;"")),"OK",
IF(COUNTIF(INDIRECT(IFERROR(LEFT($F1451,FIND(" ",$F1451)-1),$F1451)), $G1451)&gt;0, "OK", "ERROR")))</f>
        <v>OK</v>
      </c>
    </row>
    <row r="1452" spans="1:32" s="240" customFormat="1">
      <c r="A1452" s="48"/>
      <c r="B1452" s="31"/>
      <c r="C1452" s="48"/>
      <c r="D1452" s="47"/>
      <c r="E1452" s="47"/>
      <c r="F1452" s="31"/>
      <c r="G1452" s="31"/>
      <c r="H1452" s="31"/>
      <c r="I1452" s="47"/>
      <c r="J1452" s="31"/>
      <c r="K1452" s="47"/>
      <c r="L1452" s="47"/>
      <c r="M1452" s="47"/>
      <c r="N1452" s="31"/>
      <c r="O1452" s="47"/>
      <c r="P1452" s="31"/>
      <c r="Q1452" s="31"/>
      <c r="R1452" s="31"/>
      <c r="S1452" s="31"/>
      <c r="T1452" s="270">
        <f t="shared" si="176"/>
        <v>0</v>
      </c>
      <c r="U1452" s="270">
        <f t="shared" si="177"/>
        <v>0</v>
      </c>
      <c r="V1452" s="31"/>
      <c r="X1452" s="240" t="str">
        <f t="shared" si="178"/>
        <v>OK</v>
      </c>
      <c r="Y1452" s="240" t="str">
        <f t="shared" si="179"/>
        <v>OK</v>
      </c>
      <c r="Z1452" s="240" t="str">
        <f t="shared" si="180"/>
        <v>OK</v>
      </c>
      <c r="AA1452" s="240" t="str" cm="1">
        <f t="array" ref="AA1452">IF(OR(AND(J1452="Not accepted",N1452:O1452&lt;&gt;"",$S1452=""),AND(J1452="Accepted",S1452="")),"ERROR","OK")</f>
        <v>OK</v>
      </c>
      <c r="AB1452" s="240" t="str">
        <f t="shared" si="181"/>
        <v>OK</v>
      </c>
      <c r="AC1452" s="240" t="str" cm="1">
        <f t="array" ref="AC1452">IF(AND(F1452:H1452&lt;&gt;"",I1452=""),"ERROR","OK")</f>
        <v>OK</v>
      </c>
      <c r="AD1452" s="240" t="str">
        <f t="shared" si="182"/>
        <v>OK</v>
      </c>
      <c r="AE1452" s="240" t="str">
        <f t="shared" si="183"/>
        <v>OK</v>
      </c>
      <c r="AF1452" s="240" t="str" cm="1">
        <f t="array" aca="1" ref="AF1452" ca="1" xml:space="preserve">
IF(AND($G1452&lt;&gt;"",$F1452=""),"ERROR",
IF(OR($F1452:$G1452="",AND($G1452="",$F1452&lt;&gt;"")),"OK",
IF(COUNTIF(INDIRECT(IFERROR(LEFT($F1452,FIND(" ",$F1452)-1),$F1452)), $G1452)&gt;0, "OK", "ERROR")))</f>
        <v>OK</v>
      </c>
    </row>
    <row r="1453" spans="1:32" s="240" customFormat="1">
      <c r="A1453" s="48"/>
      <c r="B1453" s="31"/>
      <c r="C1453" s="48"/>
      <c r="D1453" s="47"/>
      <c r="E1453" s="47"/>
      <c r="F1453" s="31"/>
      <c r="G1453" s="31"/>
      <c r="H1453" s="31"/>
      <c r="I1453" s="47"/>
      <c r="J1453" s="31"/>
      <c r="K1453" s="47"/>
      <c r="L1453" s="47"/>
      <c r="M1453" s="47"/>
      <c r="N1453" s="31"/>
      <c r="O1453" s="47"/>
      <c r="P1453" s="31"/>
      <c r="Q1453" s="31"/>
      <c r="R1453" s="31"/>
      <c r="S1453" s="31"/>
      <c r="T1453" s="270">
        <f t="shared" si="176"/>
        <v>0</v>
      </c>
      <c r="U1453" s="270">
        <f t="shared" si="177"/>
        <v>0</v>
      </c>
      <c r="V1453" s="31"/>
      <c r="X1453" s="240" t="str">
        <f t="shared" si="178"/>
        <v>OK</v>
      </c>
      <c r="Y1453" s="240" t="str">
        <f t="shared" si="179"/>
        <v>OK</v>
      </c>
      <c r="Z1453" s="240" t="str">
        <f t="shared" si="180"/>
        <v>OK</v>
      </c>
      <c r="AA1453" s="240" t="str" cm="1">
        <f t="array" ref="AA1453">IF(OR(AND(J1453="Not accepted",N1453:O1453&lt;&gt;"",$S1453=""),AND(J1453="Accepted",S1453="")),"ERROR","OK")</f>
        <v>OK</v>
      </c>
      <c r="AB1453" s="240" t="str">
        <f t="shared" si="181"/>
        <v>OK</v>
      </c>
      <c r="AC1453" s="240" t="str" cm="1">
        <f t="array" ref="AC1453">IF(AND(F1453:H1453&lt;&gt;"",I1453=""),"ERROR","OK")</f>
        <v>OK</v>
      </c>
      <c r="AD1453" s="240" t="str">
        <f t="shared" si="182"/>
        <v>OK</v>
      </c>
      <c r="AE1453" s="240" t="str">
        <f t="shared" si="183"/>
        <v>OK</v>
      </c>
      <c r="AF1453" s="240" t="str" cm="1">
        <f t="array" aca="1" ref="AF1453" ca="1" xml:space="preserve">
IF(AND($G1453&lt;&gt;"",$F1453=""),"ERROR",
IF(OR($F1453:$G1453="",AND($G1453="",$F1453&lt;&gt;"")),"OK",
IF(COUNTIF(INDIRECT(IFERROR(LEFT($F1453,FIND(" ",$F1453)-1),$F1453)), $G1453)&gt;0, "OK", "ERROR")))</f>
        <v>OK</v>
      </c>
    </row>
    <row r="1454" spans="1:32" s="240" customFormat="1">
      <c r="A1454" s="48"/>
      <c r="B1454" s="31"/>
      <c r="C1454" s="48"/>
      <c r="D1454" s="47"/>
      <c r="E1454" s="47"/>
      <c r="F1454" s="31"/>
      <c r="G1454" s="31"/>
      <c r="H1454" s="31"/>
      <c r="I1454" s="47"/>
      <c r="J1454" s="31"/>
      <c r="K1454" s="47"/>
      <c r="L1454" s="47"/>
      <c r="M1454" s="47"/>
      <c r="N1454" s="31"/>
      <c r="O1454" s="47"/>
      <c r="P1454" s="31"/>
      <c r="Q1454" s="31"/>
      <c r="R1454" s="31"/>
      <c r="S1454" s="31"/>
      <c r="T1454" s="270">
        <f t="shared" si="176"/>
        <v>0</v>
      </c>
      <c r="U1454" s="270">
        <f t="shared" si="177"/>
        <v>0</v>
      </c>
      <c r="V1454" s="31"/>
      <c r="X1454" s="240" t="str">
        <f t="shared" si="178"/>
        <v>OK</v>
      </c>
      <c r="Y1454" s="240" t="str">
        <f t="shared" si="179"/>
        <v>OK</v>
      </c>
      <c r="Z1454" s="240" t="str">
        <f t="shared" si="180"/>
        <v>OK</v>
      </c>
      <c r="AA1454" s="240" t="str" cm="1">
        <f t="array" ref="AA1454">IF(OR(AND(J1454="Not accepted",N1454:O1454&lt;&gt;"",$S1454=""),AND(J1454="Accepted",S1454="")),"ERROR","OK")</f>
        <v>OK</v>
      </c>
      <c r="AB1454" s="240" t="str">
        <f t="shared" si="181"/>
        <v>OK</v>
      </c>
      <c r="AC1454" s="240" t="str" cm="1">
        <f t="array" ref="AC1454">IF(AND(F1454:H1454&lt;&gt;"",I1454=""),"ERROR","OK")</f>
        <v>OK</v>
      </c>
      <c r="AD1454" s="240" t="str">
        <f t="shared" si="182"/>
        <v>OK</v>
      </c>
      <c r="AE1454" s="240" t="str">
        <f t="shared" si="183"/>
        <v>OK</v>
      </c>
      <c r="AF1454" s="240" t="str" cm="1">
        <f t="array" aca="1" ref="AF1454" ca="1" xml:space="preserve">
IF(AND($G1454&lt;&gt;"",$F1454=""),"ERROR",
IF(OR($F1454:$G1454="",AND($G1454="",$F1454&lt;&gt;"")),"OK",
IF(COUNTIF(INDIRECT(IFERROR(LEFT($F1454,FIND(" ",$F1454)-1),$F1454)), $G1454)&gt;0, "OK", "ERROR")))</f>
        <v>OK</v>
      </c>
    </row>
    <row r="1455" spans="1:32" s="240" customFormat="1">
      <c r="A1455" s="48"/>
      <c r="B1455" s="31"/>
      <c r="C1455" s="48"/>
      <c r="D1455" s="47"/>
      <c r="E1455" s="47"/>
      <c r="F1455" s="31"/>
      <c r="G1455" s="31"/>
      <c r="H1455" s="31"/>
      <c r="I1455" s="47"/>
      <c r="J1455" s="31"/>
      <c r="K1455" s="47"/>
      <c r="L1455" s="47"/>
      <c r="M1455" s="47"/>
      <c r="N1455" s="31"/>
      <c r="O1455" s="47"/>
      <c r="P1455" s="31"/>
      <c r="Q1455" s="31"/>
      <c r="R1455" s="31"/>
      <c r="S1455" s="31"/>
      <c r="T1455" s="270">
        <f t="shared" si="176"/>
        <v>0</v>
      </c>
      <c r="U1455" s="270">
        <f t="shared" si="177"/>
        <v>0</v>
      </c>
      <c r="V1455" s="31"/>
      <c r="X1455" s="240" t="str">
        <f t="shared" si="178"/>
        <v>OK</v>
      </c>
      <c r="Y1455" s="240" t="str">
        <f t="shared" si="179"/>
        <v>OK</v>
      </c>
      <c r="Z1455" s="240" t="str">
        <f t="shared" si="180"/>
        <v>OK</v>
      </c>
      <c r="AA1455" s="240" t="str" cm="1">
        <f t="array" ref="AA1455">IF(OR(AND(J1455="Not accepted",N1455:O1455&lt;&gt;"",$S1455=""),AND(J1455="Accepted",S1455="")),"ERROR","OK")</f>
        <v>OK</v>
      </c>
      <c r="AB1455" s="240" t="str">
        <f t="shared" si="181"/>
        <v>OK</v>
      </c>
      <c r="AC1455" s="240" t="str" cm="1">
        <f t="array" ref="AC1455">IF(AND(F1455:H1455&lt;&gt;"",I1455=""),"ERROR","OK")</f>
        <v>OK</v>
      </c>
      <c r="AD1455" s="240" t="str">
        <f t="shared" si="182"/>
        <v>OK</v>
      </c>
      <c r="AE1455" s="240" t="str">
        <f t="shared" si="183"/>
        <v>OK</v>
      </c>
      <c r="AF1455" s="240" t="str" cm="1">
        <f t="array" aca="1" ref="AF1455" ca="1" xml:space="preserve">
IF(AND($G1455&lt;&gt;"",$F1455=""),"ERROR",
IF(OR($F1455:$G1455="",AND($G1455="",$F1455&lt;&gt;"")),"OK",
IF(COUNTIF(INDIRECT(IFERROR(LEFT($F1455,FIND(" ",$F1455)-1),$F1455)), $G1455)&gt;0, "OK", "ERROR")))</f>
        <v>OK</v>
      </c>
    </row>
    <row r="1456" spans="1:32" s="240" customFormat="1">
      <c r="A1456" s="48"/>
      <c r="B1456" s="31"/>
      <c r="C1456" s="48"/>
      <c r="D1456" s="47"/>
      <c r="E1456" s="47"/>
      <c r="F1456" s="31"/>
      <c r="G1456" s="31"/>
      <c r="H1456" s="31"/>
      <c r="I1456" s="47"/>
      <c r="J1456" s="31"/>
      <c r="K1456" s="47"/>
      <c r="L1456" s="47"/>
      <c r="M1456" s="47"/>
      <c r="N1456" s="31"/>
      <c r="O1456" s="47"/>
      <c r="P1456" s="31"/>
      <c r="Q1456" s="31"/>
      <c r="R1456" s="31"/>
      <c r="S1456" s="31"/>
      <c r="T1456" s="270">
        <f t="shared" si="176"/>
        <v>0</v>
      </c>
      <c r="U1456" s="270">
        <f t="shared" si="177"/>
        <v>0</v>
      </c>
      <c r="V1456" s="31"/>
      <c r="X1456" s="240" t="str">
        <f t="shared" si="178"/>
        <v>OK</v>
      </c>
      <c r="Y1456" s="240" t="str">
        <f t="shared" si="179"/>
        <v>OK</v>
      </c>
      <c r="Z1456" s="240" t="str">
        <f t="shared" si="180"/>
        <v>OK</v>
      </c>
      <c r="AA1456" s="240" t="str" cm="1">
        <f t="array" ref="AA1456">IF(OR(AND(J1456="Not accepted",N1456:O1456&lt;&gt;"",$S1456=""),AND(J1456="Accepted",S1456="")),"ERROR","OK")</f>
        <v>OK</v>
      </c>
      <c r="AB1456" s="240" t="str">
        <f t="shared" si="181"/>
        <v>OK</v>
      </c>
      <c r="AC1456" s="240" t="str" cm="1">
        <f t="array" ref="AC1456">IF(AND(F1456:H1456&lt;&gt;"",I1456=""),"ERROR","OK")</f>
        <v>OK</v>
      </c>
      <c r="AD1456" s="240" t="str">
        <f t="shared" si="182"/>
        <v>OK</v>
      </c>
      <c r="AE1456" s="240" t="str">
        <f t="shared" si="183"/>
        <v>OK</v>
      </c>
      <c r="AF1456" s="240" t="str" cm="1">
        <f t="array" aca="1" ref="AF1456" ca="1" xml:space="preserve">
IF(AND($G1456&lt;&gt;"",$F1456=""),"ERROR",
IF(OR($F1456:$G1456="",AND($G1456="",$F1456&lt;&gt;"")),"OK",
IF(COUNTIF(INDIRECT(IFERROR(LEFT($F1456,FIND(" ",$F1456)-1),$F1456)), $G1456)&gt;0, "OK", "ERROR")))</f>
        <v>OK</v>
      </c>
    </row>
    <row r="1457" spans="1:32" s="240" customFormat="1">
      <c r="A1457" s="48"/>
      <c r="B1457" s="31"/>
      <c r="C1457" s="48"/>
      <c r="D1457" s="47"/>
      <c r="E1457" s="47"/>
      <c r="F1457" s="31"/>
      <c r="G1457" s="31"/>
      <c r="H1457" s="31"/>
      <c r="I1457" s="47"/>
      <c r="J1457" s="31"/>
      <c r="K1457" s="47"/>
      <c r="L1457" s="47"/>
      <c r="M1457" s="47"/>
      <c r="N1457" s="31"/>
      <c r="O1457" s="47"/>
      <c r="P1457" s="31"/>
      <c r="Q1457" s="31"/>
      <c r="R1457" s="31"/>
      <c r="S1457" s="31"/>
      <c r="T1457" s="270">
        <f t="shared" si="176"/>
        <v>0</v>
      </c>
      <c r="U1457" s="270">
        <f t="shared" si="177"/>
        <v>0</v>
      </c>
      <c r="V1457" s="31"/>
      <c r="X1457" s="240" t="str">
        <f t="shared" si="178"/>
        <v>OK</v>
      </c>
      <c r="Y1457" s="240" t="str">
        <f t="shared" si="179"/>
        <v>OK</v>
      </c>
      <c r="Z1457" s="240" t="str">
        <f t="shared" si="180"/>
        <v>OK</v>
      </c>
      <c r="AA1457" s="240" t="str" cm="1">
        <f t="array" ref="AA1457">IF(OR(AND(J1457="Not accepted",N1457:O1457&lt;&gt;"",$S1457=""),AND(J1457="Accepted",S1457="")),"ERROR","OK")</f>
        <v>OK</v>
      </c>
      <c r="AB1457" s="240" t="str">
        <f t="shared" si="181"/>
        <v>OK</v>
      </c>
      <c r="AC1457" s="240" t="str" cm="1">
        <f t="array" ref="AC1457">IF(AND(F1457:H1457&lt;&gt;"",I1457=""),"ERROR","OK")</f>
        <v>OK</v>
      </c>
      <c r="AD1457" s="240" t="str">
        <f t="shared" si="182"/>
        <v>OK</v>
      </c>
      <c r="AE1457" s="240" t="str">
        <f t="shared" si="183"/>
        <v>OK</v>
      </c>
      <c r="AF1457" s="240" t="str" cm="1">
        <f t="array" aca="1" ref="AF1457" ca="1" xml:space="preserve">
IF(AND($G1457&lt;&gt;"",$F1457=""),"ERROR",
IF(OR($F1457:$G1457="",AND($G1457="",$F1457&lt;&gt;"")),"OK",
IF(COUNTIF(INDIRECT(IFERROR(LEFT($F1457,FIND(" ",$F1457)-1),$F1457)), $G1457)&gt;0, "OK", "ERROR")))</f>
        <v>OK</v>
      </c>
    </row>
    <row r="1458" spans="1:32" s="240" customFormat="1">
      <c r="A1458" s="48"/>
      <c r="B1458" s="31"/>
      <c r="C1458" s="48"/>
      <c r="D1458" s="47"/>
      <c r="E1458" s="47"/>
      <c r="F1458" s="31"/>
      <c r="G1458" s="31"/>
      <c r="H1458" s="31"/>
      <c r="I1458" s="47"/>
      <c r="J1458" s="31"/>
      <c r="K1458" s="47"/>
      <c r="L1458" s="47"/>
      <c r="M1458" s="47"/>
      <c r="N1458" s="31"/>
      <c r="O1458" s="47"/>
      <c r="P1458" s="31"/>
      <c r="Q1458" s="31"/>
      <c r="R1458" s="31"/>
      <c r="S1458" s="31"/>
      <c r="T1458" s="270">
        <f t="shared" si="176"/>
        <v>0</v>
      </c>
      <c r="U1458" s="270">
        <f t="shared" si="177"/>
        <v>0</v>
      </c>
      <c r="V1458" s="31"/>
      <c r="X1458" s="240" t="str">
        <f t="shared" si="178"/>
        <v>OK</v>
      </c>
      <c r="Y1458" s="240" t="str">
        <f t="shared" si="179"/>
        <v>OK</v>
      </c>
      <c r="Z1458" s="240" t="str">
        <f t="shared" si="180"/>
        <v>OK</v>
      </c>
      <c r="AA1458" s="240" t="str" cm="1">
        <f t="array" ref="AA1458">IF(OR(AND(J1458="Not accepted",N1458:O1458&lt;&gt;"",$S1458=""),AND(J1458="Accepted",S1458="")),"ERROR","OK")</f>
        <v>OK</v>
      </c>
      <c r="AB1458" s="240" t="str">
        <f t="shared" si="181"/>
        <v>OK</v>
      </c>
      <c r="AC1458" s="240" t="str" cm="1">
        <f t="array" ref="AC1458">IF(AND(F1458:H1458&lt;&gt;"",I1458=""),"ERROR","OK")</f>
        <v>OK</v>
      </c>
      <c r="AD1458" s="240" t="str">
        <f t="shared" si="182"/>
        <v>OK</v>
      </c>
      <c r="AE1458" s="240" t="str">
        <f t="shared" si="183"/>
        <v>OK</v>
      </c>
      <c r="AF1458" s="240" t="str" cm="1">
        <f t="array" aca="1" ref="AF1458" ca="1" xml:space="preserve">
IF(AND($G1458&lt;&gt;"",$F1458=""),"ERROR",
IF(OR($F1458:$G1458="",AND($G1458="",$F1458&lt;&gt;"")),"OK",
IF(COUNTIF(INDIRECT(IFERROR(LEFT($F1458,FIND(" ",$F1458)-1),$F1458)), $G1458)&gt;0, "OK", "ERROR")))</f>
        <v>OK</v>
      </c>
    </row>
    <row r="1459" spans="1:32" s="240" customFormat="1">
      <c r="A1459" s="48"/>
      <c r="B1459" s="31"/>
      <c r="C1459" s="48"/>
      <c r="D1459" s="47"/>
      <c r="E1459" s="47"/>
      <c r="F1459" s="31"/>
      <c r="G1459" s="31"/>
      <c r="H1459" s="31"/>
      <c r="I1459" s="47"/>
      <c r="J1459" s="31"/>
      <c r="K1459" s="47"/>
      <c r="L1459" s="47"/>
      <c r="M1459" s="47"/>
      <c r="N1459" s="31"/>
      <c r="O1459" s="47"/>
      <c r="P1459" s="31"/>
      <c r="Q1459" s="31"/>
      <c r="R1459" s="31"/>
      <c r="S1459" s="31"/>
      <c r="T1459" s="270">
        <f t="shared" si="176"/>
        <v>0</v>
      </c>
      <c r="U1459" s="270">
        <f t="shared" si="177"/>
        <v>0</v>
      </c>
      <c r="V1459" s="31"/>
      <c r="X1459" s="240" t="str">
        <f t="shared" si="178"/>
        <v>OK</v>
      </c>
      <c r="Y1459" s="240" t="str">
        <f t="shared" si="179"/>
        <v>OK</v>
      </c>
      <c r="Z1459" s="240" t="str">
        <f t="shared" si="180"/>
        <v>OK</v>
      </c>
      <c r="AA1459" s="240" t="str" cm="1">
        <f t="array" ref="AA1459">IF(OR(AND(J1459="Not accepted",N1459:O1459&lt;&gt;"",$S1459=""),AND(J1459="Accepted",S1459="")),"ERROR","OK")</f>
        <v>OK</v>
      </c>
      <c r="AB1459" s="240" t="str">
        <f t="shared" si="181"/>
        <v>OK</v>
      </c>
      <c r="AC1459" s="240" t="str" cm="1">
        <f t="array" ref="AC1459">IF(AND(F1459:H1459&lt;&gt;"",I1459=""),"ERROR","OK")</f>
        <v>OK</v>
      </c>
      <c r="AD1459" s="240" t="str">
        <f t="shared" si="182"/>
        <v>OK</v>
      </c>
      <c r="AE1459" s="240" t="str">
        <f t="shared" si="183"/>
        <v>OK</v>
      </c>
      <c r="AF1459" s="240" t="str" cm="1">
        <f t="array" aca="1" ref="AF1459" ca="1" xml:space="preserve">
IF(AND($G1459&lt;&gt;"",$F1459=""),"ERROR",
IF(OR($F1459:$G1459="",AND($G1459="",$F1459&lt;&gt;"")),"OK",
IF(COUNTIF(INDIRECT(IFERROR(LEFT($F1459,FIND(" ",$F1459)-1),$F1459)), $G1459)&gt;0, "OK", "ERROR")))</f>
        <v>OK</v>
      </c>
    </row>
    <row r="1460" spans="1:32" s="240" customFormat="1">
      <c r="A1460" s="48"/>
      <c r="B1460" s="31"/>
      <c r="C1460" s="48"/>
      <c r="D1460" s="47"/>
      <c r="E1460" s="47"/>
      <c r="F1460" s="31"/>
      <c r="G1460" s="31"/>
      <c r="H1460" s="31"/>
      <c r="I1460" s="47"/>
      <c r="J1460" s="31"/>
      <c r="K1460" s="47"/>
      <c r="L1460" s="47"/>
      <c r="M1460" s="47"/>
      <c r="N1460" s="31"/>
      <c r="O1460" s="47"/>
      <c r="P1460" s="31"/>
      <c r="Q1460" s="31"/>
      <c r="R1460" s="31"/>
      <c r="S1460" s="31"/>
      <c r="T1460" s="270">
        <f t="shared" si="176"/>
        <v>0</v>
      </c>
      <c r="U1460" s="270">
        <f t="shared" si="177"/>
        <v>0</v>
      </c>
      <c r="V1460" s="31"/>
      <c r="X1460" s="240" t="str">
        <f t="shared" si="178"/>
        <v>OK</v>
      </c>
      <c r="Y1460" s="240" t="str">
        <f t="shared" si="179"/>
        <v>OK</v>
      </c>
      <c r="Z1460" s="240" t="str">
        <f t="shared" si="180"/>
        <v>OK</v>
      </c>
      <c r="AA1460" s="240" t="str" cm="1">
        <f t="array" ref="AA1460">IF(OR(AND(J1460="Not accepted",N1460:O1460&lt;&gt;"",$S1460=""),AND(J1460="Accepted",S1460="")),"ERROR","OK")</f>
        <v>OK</v>
      </c>
      <c r="AB1460" s="240" t="str">
        <f t="shared" si="181"/>
        <v>OK</v>
      </c>
      <c r="AC1460" s="240" t="str" cm="1">
        <f t="array" ref="AC1460">IF(AND(F1460:H1460&lt;&gt;"",I1460=""),"ERROR","OK")</f>
        <v>OK</v>
      </c>
      <c r="AD1460" s="240" t="str">
        <f t="shared" si="182"/>
        <v>OK</v>
      </c>
      <c r="AE1460" s="240" t="str">
        <f t="shared" si="183"/>
        <v>OK</v>
      </c>
      <c r="AF1460" s="240" t="str" cm="1">
        <f t="array" aca="1" ref="AF1460" ca="1" xml:space="preserve">
IF(AND($G1460&lt;&gt;"",$F1460=""),"ERROR",
IF(OR($F1460:$G1460="",AND($G1460="",$F1460&lt;&gt;"")),"OK",
IF(COUNTIF(INDIRECT(IFERROR(LEFT($F1460,FIND(" ",$F1460)-1),$F1460)), $G1460)&gt;0, "OK", "ERROR")))</f>
        <v>OK</v>
      </c>
    </row>
    <row r="1461" spans="1:32" s="240" customFormat="1">
      <c r="A1461" s="48"/>
      <c r="B1461" s="31"/>
      <c r="C1461" s="48"/>
      <c r="D1461" s="47"/>
      <c r="E1461" s="47"/>
      <c r="F1461" s="31"/>
      <c r="G1461" s="31"/>
      <c r="H1461" s="31"/>
      <c r="I1461" s="47"/>
      <c r="J1461" s="31"/>
      <c r="K1461" s="47"/>
      <c r="L1461" s="47"/>
      <c r="M1461" s="47"/>
      <c r="N1461" s="31"/>
      <c r="O1461" s="47"/>
      <c r="P1461" s="31"/>
      <c r="Q1461" s="31"/>
      <c r="R1461" s="31"/>
      <c r="S1461" s="31"/>
      <c r="T1461" s="270">
        <f t="shared" si="176"/>
        <v>0</v>
      </c>
      <c r="U1461" s="270">
        <f t="shared" si="177"/>
        <v>0</v>
      </c>
      <c r="V1461" s="31"/>
      <c r="X1461" s="240" t="str">
        <f t="shared" si="178"/>
        <v>OK</v>
      </c>
      <c r="Y1461" s="240" t="str">
        <f t="shared" si="179"/>
        <v>OK</v>
      </c>
      <c r="Z1461" s="240" t="str">
        <f t="shared" si="180"/>
        <v>OK</v>
      </c>
      <c r="AA1461" s="240" t="str" cm="1">
        <f t="array" ref="AA1461">IF(OR(AND(J1461="Not accepted",N1461:O1461&lt;&gt;"",$S1461=""),AND(J1461="Accepted",S1461="")),"ERROR","OK")</f>
        <v>OK</v>
      </c>
      <c r="AB1461" s="240" t="str">
        <f t="shared" si="181"/>
        <v>OK</v>
      </c>
      <c r="AC1461" s="240" t="str" cm="1">
        <f t="array" ref="AC1461">IF(AND(F1461:H1461&lt;&gt;"",I1461=""),"ERROR","OK")</f>
        <v>OK</v>
      </c>
      <c r="AD1461" s="240" t="str">
        <f t="shared" si="182"/>
        <v>OK</v>
      </c>
      <c r="AE1461" s="240" t="str">
        <f t="shared" si="183"/>
        <v>OK</v>
      </c>
      <c r="AF1461" s="240" t="str" cm="1">
        <f t="array" aca="1" ref="AF1461" ca="1" xml:space="preserve">
IF(AND($G1461&lt;&gt;"",$F1461=""),"ERROR",
IF(OR($F1461:$G1461="",AND($G1461="",$F1461&lt;&gt;"")),"OK",
IF(COUNTIF(INDIRECT(IFERROR(LEFT($F1461,FIND(" ",$F1461)-1),$F1461)), $G1461)&gt;0, "OK", "ERROR")))</f>
        <v>OK</v>
      </c>
    </row>
    <row r="1462" spans="1:32" s="240" customFormat="1">
      <c r="A1462" s="48"/>
      <c r="B1462" s="31"/>
      <c r="C1462" s="48"/>
      <c r="D1462" s="47"/>
      <c r="E1462" s="47"/>
      <c r="F1462" s="31"/>
      <c r="G1462" s="31"/>
      <c r="H1462" s="31"/>
      <c r="I1462" s="47"/>
      <c r="J1462" s="31"/>
      <c r="K1462" s="47"/>
      <c r="L1462" s="47"/>
      <c r="M1462" s="47"/>
      <c r="N1462" s="31"/>
      <c r="O1462" s="47"/>
      <c r="P1462" s="31"/>
      <c r="Q1462" s="31"/>
      <c r="R1462" s="31"/>
      <c r="S1462" s="31"/>
      <c r="T1462" s="270">
        <f t="shared" si="176"/>
        <v>0</v>
      </c>
      <c r="U1462" s="270">
        <f t="shared" si="177"/>
        <v>0</v>
      </c>
      <c r="V1462" s="31"/>
      <c r="X1462" s="240" t="str">
        <f t="shared" si="178"/>
        <v>OK</v>
      </c>
      <c r="Y1462" s="240" t="str">
        <f t="shared" si="179"/>
        <v>OK</v>
      </c>
      <c r="Z1462" s="240" t="str">
        <f t="shared" si="180"/>
        <v>OK</v>
      </c>
      <c r="AA1462" s="240" t="str" cm="1">
        <f t="array" ref="AA1462">IF(OR(AND(J1462="Not accepted",N1462:O1462&lt;&gt;"",$S1462=""),AND(J1462="Accepted",S1462="")),"ERROR","OK")</f>
        <v>OK</v>
      </c>
      <c r="AB1462" s="240" t="str">
        <f t="shared" si="181"/>
        <v>OK</v>
      </c>
      <c r="AC1462" s="240" t="str" cm="1">
        <f t="array" ref="AC1462">IF(AND(F1462:H1462&lt;&gt;"",I1462=""),"ERROR","OK")</f>
        <v>OK</v>
      </c>
      <c r="AD1462" s="240" t="str">
        <f t="shared" si="182"/>
        <v>OK</v>
      </c>
      <c r="AE1462" s="240" t="str">
        <f t="shared" si="183"/>
        <v>OK</v>
      </c>
      <c r="AF1462" s="240" t="str" cm="1">
        <f t="array" aca="1" ref="AF1462" ca="1" xml:space="preserve">
IF(AND($G1462&lt;&gt;"",$F1462=""),"ERROR",
IF(OR($F1462:$G1462="",AND($G1462="",$F1462&lt;&gt;"")),"OK",
IF(COUNTIF(INDIRECT(IFERROR(LEFT($F1462,FIND(" ",$F1462)-1),$F1462)), $G1462)&gt;0, "OK", "ERROR")))</f>
        <v>OK</v>
      </c>
    </row>
    <row r="1463" spans="1:32" s="240" customFormat="1">
      <c r="A1463" s="48"/>
      <c r="B1463" s="31"/>
      <c r="C1463" s="48"/>
      <c r="D1463" s="47"/>
      <c r="E1463" s="47"/>
      <c r="F1463" s="31"/>
      <c r="G1463" s="31"/>
      <c r="H1463" s="31"/>
      <c r="I1463" s="47"/>
      <c r="J1463" s="31"/>
      <c r="K1463" s="47"/>
      <c r="L1463" s="47"/>
      <c r="M1463" s="47"/>
      <c r="N1463" s="31"/>
      <c r="O1463" s="47"/>
      <c r="P1463" s="31"/>
      <c r="Q1463" s="31"/>
      <c r="R1463" s="31"/>
      <c r="S1463" s="31"/>
      <c r="T1463" s="270">
        <f t="shared" si="176"/>
        <v>0</v>
      </c>
      <c r="U1463" s="270">
        <f t="shared" si="177"/>
        <v>0</v>
      </c>
      <c r="V1463" s="31"/>
      <c r="X1463" s="240" t="str">
        <f t="shared" si="178"/>
        <v>OK</v>
      </c>
      <c r="Y1463" s="240" t="str">
        <f t="shared" si="179"/>
        <v>OK</v>
      </c>
      <c r="Z1463" s="240" t="str">
        <f t="shared" si="180"/>
        <v>OK</v>
      </c>
      <c r="AA1463" s="240" t="str" cm="1">
        <f t="array" ref="AA1463">IF(OR(AND(J1463="Not accepted",N1463:O1463&lt;&gt;"",$S1463=""),AND(J1463="Accepted",S1463="")),"ERROR","OK")</f>
        <v>OK</v>
      </c>
      <c r="AB1463" s="240" t="str">
        <f t="shared" si="181"/>
        <v>OK</v>
      </c>
      <c r="AC1463" s="240" t="str" cm="1">
        <f t="array" ref="AC1463">IF(AND(F1463:H1463&lt;&gt;"",I1463=""),"ERROR","OK")</f>
        <v>OK</v>
      </c>
      <c r="AD1463" s="240" t="str">
        <f t="shared" si="182"/>
        <v>OK</v>
      </c>
      <c r="AE1463" s="240" t="str">
        <f t="shared" si="183"/>
        <v>OK</v>
      </c>
      <c r="AF1463" s="240" t="str" cm="1">
        <f t="array" aca="1" ref="AF1463" ca="1" xml:space="preserve">
IF(AND($G1463&lt;&gt;"",$F1463=""),"ERROR",
IF(OR($F1463:$G1463="",AND($G1463="",$F1463&lt;&gt;"")),"OK",
IF(COUNTIF(INDIRECT(IFERROR(LEFT($F1463,FIND(" ",$F1463)-1),$F1463)), $G1463)&gt;0, "OK", "ERROR")))</f>
        <v>OK</v>
      </c>
    </row>
    <row r="1464" spans="1:32" s="240" customFormat="1">
      <c r="A1464" s="48"/>
      <c r="B1464" s="31"/>
      <c r="C1464" s="48"/>
      <c r="D1464" s="47"/>
      <c r="E1464" s="47"/>
      <c r="F1464" s="31"/>
      <c r="G1464" s="31"/>
      <c r="H1464" s="31"/>
      <c r="I1464" s="47"/>
      <c r="J1464" s="31"/>
      <c r="K1464" s="47"/>
      <c r="L1464" s="47"/>
      <c r="M1464" s="47"/>
      <c r="N1464" s="31"/>
      <c r="O1464" s="47"/>
      <c r="P1464" s="31"/>
      <c r="Q1464" s="31"/>
      <c r="R1464" s="31"/>
      <c r="S1464" s="31"/>
      <c r="T1464" s="270">
        <f t="shared" si="176"/>
        <v>0</v>
      </c>
      <c r="U1464" s="270">
        <f t="shared" si="177"/>
        <v>0</v>
      </c>
      <c r="V1464" s="31"/>
      <c r="X1464" s="240" t="str">
        <f t="shared" si="178"/>
        <v>OK</v>
      </c>
      <c r="Y1464" s="240" t="str">
        <f t="shared" si="179"/>
        <v>OK</v>
      </c>
      <c r="Z1464" s="240" t="str">
        <f t="shared" si="180"/>
        <v>OK</v>
      </c>
      <c r="AA1464" s="240" t="str" cm="1">
        <f t="array" ref="AA1464">IF(OR(AND(J1464="Not accepted",N1464:O1464&lt;&gt;"",$S1464=""),AND(J1464="Accepted",S1464="")),"ERROR","OK")</f>
        <v>OK</v>
      </c>
      <c r="AB1464" s="240" t="str">
        <f t="shared" si="181"/>
        <v>OK</v>
      </c>
      <c r="AC1464" s="240" t="str" cm="1">
        <f t="array" ref="AC1464">IF(AND(F1464:H1464&lt;&gt;"",I1464=""),"ERROR","OK")</f>
        <v>OK</v>
      </c>
      <c r="AD1464" s="240" t="str">
        <f t="shared" si="182"/>
        <v>OK</v>
      </c>
      <c r="AE1464" s="240" t="str">
        <f t="shared" si="183"/>
        <v>OK</v>
      </c>
      <c r="AF1464" s="240" t="str" cm="1">
        <f t="array" aca="1" ref="AF1464" ca="1" xml:space="preserve">
IF(AND($G1464&lt;&gt;"",$F1464=""),"ERROR",
IF(OR($F1464:$G1464="",AND($G1464="",$F1464&lt;&gt;"")),"OK",
IF(COUNTIF(INDIRECT(IFERROR(LEFT($F1464,FIND(" ",$F1464)-1),$F1464)), $G1464)&gt;0, "OK", "ERROR")))</f>
        <v>OK</v>
      </c>
    </row>
    <row r="1465" spans="1:32" s="240" customFormat="1">
      <c r="A1465" s="48"/>
      <c r="B1465" s="31"/>
      <c r="C1465" s="48"/>
      <c r="D1465" s="47"/>
      <c r="E1465" s="47"/>
      <c r="F1465" s="31"/>
      <c r="G1465" s="31"/>
      <c r="H1465" s="31"/>
      <c r="I1465" s="47"/>
      <c r="J1465" s="31"/>
      <c r="K1465" s="47"/>
      <c r="L1465" s="47"/>
      <c r="M1465" s="47"/>
      <c r="N1465" s="31"/>
      <c r="O1465" s="47"/>
      <c r="P1465" s="31"/>
      <c r="Q1465" s="31"/>
      <c r="R1465" s="31"/>
      <c r="S1465" s="31"/>
      <c r="T1465" s="270">
        <f t="shared" si="176"/>
        <v>0</v>
      </c>
      <c r="U1465" s="270">
        <f t="shared" si="177"/>
        <v>0</v>
      </c>
      <c r="V1465" s="31"/>
      <c r="X1465" s="240" t="str">
        <f t="shared" si="178"/>
        <v>OK</v>
      </c>
      <c r="Y1465" s="240" t="str">
        <f t="shared" si="179"/>
        <v>OK</v>
      </c>
      <c r="Z1465" s="240" t="str">
        <f t="shared" si="180"/>
        <v>OK</v>
      </c>
      <c r="AA1465" s="240" t="str" cm="1">
        <f t="array" ref="AA1465">IF(OR(AND(J1465="Not accepted",N1465:O1465&lt;&gt;"",$S1465=""),AND(J1465="Accepted",S1465="")),"ERROR","OK")</f>
        <v>OK</v>
      </c>
      <c r="AB1465" s="240" t="str">
        <f t="shared" si="181"/>
        <v>OK</v>
      </c>
      <c r="AC1465" s="240" t="str" cm="1">
        <f t="array" ref="AC1465">IF(AND(F1465:H1465&lt;&gt;"",I1465=""),"ERROR","OK")</f>
        <v>OK</v>
      </c>
      <c r="AD1465" s="240" t="str">
        <f t="shared" si="182"/>
        <v>OK</v>
      </c>
      <c r="AE1465" s="240" t="str">
        <f t="shared" si="183"/>
        <v>OK</v>
      </c>
      <c r="AF1465" s="240" t="str" cm="1">
        <f t="array" aca="1" ref="AF1465" ca="1" xml:space="preserve">
IF(AND($G1465&lt;&gt;"",$F1465=""),"ERROR",
IF(OR($F1465:$G1465="",AND($G1465="",$F1465&lt;&gt;"")),"OK",
IF(COUNTIF(INDIRECT(IFERROR(LEFT($F1465,FIND(" ",$F1465)-1),$F1465)), $G1465)&gt;0, "OK", "ERROR")))</f>
        <v>OK</v>
      </c>
    </row>
    <row r="1466" spans="1:32" s="240" customFormat="1">
      <c r="A1466" s="48"/>
      <c r="B1466" s="31"/>
      <c r="C1466" s="48"/>
      <c r="D1466" s="47"/>
      <c r="E1466" s="47"/>
      <c r="F1466" s="31"/>
      <c r="G1466" s="31"/>
      <c r="H1466" s="31"/>
      <c r="I1466" s="47"/>
      <c r="J1466" s="31"/>
      <c r="K1466" s="47"/>
      <c r="L1466" s="47"/>
      <c r="M1466" s="47"/>
      <c r="N1466" s="31"/>
      <c r="O1466" s="47"/>
      <c r="P1466" s="31"/>
      <c r="Q1466" s="31"/>
      <c r="R1466" s="31"/>
      <c r="S1466" s="31"/>
      <c r="T1466" s="270">
        <f t="shared" si="176"/>
        <v>0</v>
      </c>
      <c r="U1466" s="270">
        <f t="shared" si="177"/>
        <v>0</v>
      </c>
      <c r="V1466" s="31"/>
      <c r="X1466" s="240" t="str">
        <f t="shared" si="178"/>
        <v>OK</v>
      </c>
      <c r="Y1466" s="240" t="str">
        <f t="shared" si="179"/>
        <v>OK</v>
      </c>
      <c r="Z1466" s="240" t="str">
        <f t="shared" si="180"/>
        <v>OK</v>
      </c>
      <c r="AA1466" s="240" t="str" cm="1">
        <f t="array" ref="AA1466">IF(OR(AND(J1466="Not accepted",N1466:O1466&lt;&gt;"",$S1466=""),AND(J1466="Accepted",S1466="")),"ERROR","OK")</f>
        <v>OK</v>
      </c>
      <c r="AB1466" s="240" t="str">
        <f t="shared" si="181"/>
        <v>OK</v>
      </c>
      <c r="AC1466" s="240" t="str" cm="1">
        <f t="array" ref="AC1466">IF(AND(F1466:H1466&lt;&gt;"",I1466=""),"ERROR","OK")</f>
        <v>OK</v>
      </c>
      <c r="AD1466" s="240" t="str">
        <f t="shared" si="182"/>
        <v>OK</v>
      </c>
      <c r="AE1466" s="240" t="str">
        <f t="shared" si="183"/>
        <v>OK</v>
      </c>
      <c r="AF1466" s="240" t="str" cm="1">
        <f t="array" aca="1" ref="AF1466" ca="1" xml:space="preserve">
IF(AND($G1466&lt;&gt;"",$F1466=""),"ERROR",
IF(OR($F1466:$G1466="",AND($G1466="",$F1466&lt;&gt;"")),"OK",
IF(COUNTIF(INDIRECT(IFERROR(LEFT($F1466,FIND(" ",$F1466)-1),$F1466)), $G1466)&gt;0, "OK", "ERROR")))</f>
        <v>OK</v>
      </c>
    </row>
    <row r="1467" spans="1:32" s="240" customFormat="1">
      <c r="A1467" s="48"/>
      <c r="B1467" s="31"/>
      <c r="C1467" s="48"/>
      <c r="D1467" s="47"/>
      <c r="E1467" s="47"/>
      <c r="F1467" s="31"/>
      <c r="G1467" s="31"/>
      <c r="H1467" s="31"/>
      <c r="I1467" s="47"/>
      <c r="J1467" s="31"/>
      <c r="K1467" s="47"/>
      <c r="L1467" s="47"/>
      <c r="M1467" s="47"/>
      <c r="N1467" s="31"/>
      <c r="O1467" s="47"/>
      <c r="P1467" s="31"/>
      <c r="Q1467" s="31"/>
      <c r="R1467" s="31"/>
      <c r="S1467" s="31"/>
      <c r="T1467" s="270">
        <f t="shared" si="176"/>
        <v>0</v>
      </c>
      <c r="U1467" s="270">
        <f t="shared" si="177"/>
        <v>0</v>
      </c>
      <c r="V1467" s="31"/>
      <c r="X1467" s="240" t="str">
        <f t="shared" si="178"/>
        <v>OK</v>
      </c>
      <c r="Y1467" s="240" t="str">
        <f t="shared" si="179"/>
        <v>OK</v>
      </c>
      <c r="Z1467" s="240" t="str">
        <f t="shared" si="180"/>
        <v>OK</v>
      </c>
      <c r="AA1467" s="240" t="str" cm="1">
        <f t="array" ref="AA1467">IF(OR(AND(J1467="Not accepted",N1467:O1467&lt;&gt;"",$S1467=""),AND(J1467="Accepted",S1467="")),"ERROR","OK")</f>
        <v>OK</v>
      </c>
      <c r="AB1467" s="240" t="str">
        <f t="shared" si="181"/>
        <v>OK</v>
      </c>
      <c r="AC1467" s="240" t="str" cm="1">
        <f t="array" ref="AC1467">IF(AND(F1467:H1467&lt;&gt;"",I1467=""),"ERROR","OK")</f>
        <v>OK</v>
      </c>
      <c r="AD1467" s="240" t="str">
        <f t="shared" si="182"/>
        <v>OK</v>
      </c>
      <c r="AE1467" s="240" t="str">
        <f t="shared" si="183"/>
        <v>OK</v>
      </c>
      <c r="AF1467" s="240" t="str" cm="1">
        <f t="array" aca="1" ref="AF1467" ca="1" xml:space="preserve">
IF(AND($G1467&lt;&gt;"",$F1467=""),"ERROR",
IF(OR($F1467:$G1467="",AND($G1467="",$F1467&lt;&gt;"")),"OK",
IF(COUNTIF(INDIRECT(IFERROR(LEFT($F1467,FIND(" ",$F1467)-1),$F1467)), $G1467)&gt;0, "OK", "ERROR")))</f>
        <v>OK</v>
      </c>
    </row>
    <row r="1468" spans="1:32" s="240" customFormat="1">
      <c r="A1468" s="48"/>
      <c r="B1468" s="31"/>
      <c r="C1468" s="48"/>
      <c r="D1468" s="47"/>
      <c r="E1468" s="47"/>
      <c r="F1468" s="31"/>
      <c r="G1468" s="31"/>
      <c r="H1468" s="31"/>
      <c r="I1468" s="47"/>
      <c r="J1468" s="31"/>
      <c r="K1468" s="47"/>
      <c r="L1468" s="47"/>
      <c r="M1468" s="47"/>
      <c r="N1468" s="31"/>
      <c r="O1468" s="47"/>
      <c r="P1468" s="31"/>
      <c r="Q1468" s="31"/>
      <c r="R1468" s="31"/>
      <c r="S1468" s="31"/>
      <c r="T1468" s="270">
        <f t="shared" si="176"/>
        <v>0</v>
      </c>
      <c r="U1468" s="270">
        <f t="shared" si="177"/>
        <v>0</v>
      </c>
      <c r="V1468" s="31"/>
      <c r="X1468" s="240" t="str">
        <f t="shared" si="178"/>
        <v>OK</v>
      </c>
      <c r="Y1468" s="240" t="str">
        <f t="shared" si="179"/>
        <v>OK</v>
      </c>
      <c r="Z1468" s="240" t="str">
        <f t="shared" si="180"/>
        <v>OK</v>
      </c>
      <c r="AA1468" s="240" t="str" cm="1">
        <f t="array" ref="AA1468">IF(OR(AND(J1468="Not accepted",N1468:O1468&lt;&gt;"",$S1468=""),AND(J1468="Accepted",S1468="")),"ERROR","OK")</f>
        <v>OK</v>
      </c>
      <c r="AB1468" s="240" t="str">
        <f t="shared" si="181"/>
        <v>OK</v>
      </c>
      <c r="AC1468" s="240" t="str" cm="1">
        <f t="array" ref="AC1468">IF(AND(F1468:H1468&lt;&gt;"",I1468=""),"ERROR","OK")</f>
        <v>OK</v>
      </c>
      <c r="AD1468" s="240" t="str">
        <f t="shared" si="182"/>
        <v>OK</v>
      </c>
      <c r="AE1468" s="240" t="str">
        <f t="shared" si="183"/>
        <v>OK</v>
      </c>
      <c r="AF1468" s="240" t="str" cm="1">
        <f t="array" aca="1" ref="AF1468" ca="1" xml:space="preserve">
IF(AND($G1468&lt;&gt;"",$F1468=""),"ERROR",
IF(OR($F1468:$G1468="",AND($G1468="",$F1468&lt;&gt;"")),"OK",
IF(COUNTIF(INDIRECT(IFERROR(LEFT($F1468,FIND(" ",$F1468)-1),$F1468)), $G1468)&gt;0, "OK", "ERROR")))</f>
        <v>OK</v>
      </c>
    </row>
    <row r="1469" spans="1:32" s="240" customFormat="1">
      <c r="A1469" s="48"/>
      <c r="B1469" s="31"/>
      <c r="C1469" s="48"/>
      <c r="D1469" s="47"/>
      <c r="E1469" s="47"/>
      <c r="F1469" s="31"/>
      <c r="G1469" s="31"/>
      <c r="H1469" s="31"/>
      <c r="I1469" s="47"/>
      <c r="J1469" s="31"/>
      <c r="K1469" s="47"/>
      <c r="L1469" s="47"/>
      <c r="M1469" s="47"/>
      <c r="N1469" s="31"/>
      <c r="O1469" s="47"/>
      <c r="P1469" s="31"/>
      <c r="Q1469" s="31"/>
      <c r="R1469" s="31"/>
      <c r="S1469" s="31"/>
      <c r="T1469" s="270">
        <f t="shared" si="176"/>
        <v>0</v>
      </c>
      <c r="U1469" s="270">
        <f t="shared" si="177"/>
        <v>0</v>
      </c>
      <c r="V1469" s="31"/>
      <c r="X1469" s="240" t="str">
        <f t="shared" si="178"/>
        <v>OK</v>
      </c>
      <c r="Y1469" s="240" t="str">
        <f t="shared" si="179"/>
        <v>OK</v>
      </c>
      <c r="Z1469" s="240" t="str">
        <f t="shared" si="180"/>
        <v>OK</v>
      </c>
      <c r="AA1469" s="240" t="str" cm="1">
        <f t="array" ref="AA1469">IF(OR(AND(J1469="Not accepted",N1469:O1469&lt;&gt;"",$S1469=""),AND(J1469="Accepted",S1469="")),"ERROR","OK")</f>
        <v>OK</v>
      </c>
      <c r="AB1469" s="240" t="str">
        <f t="shared" si="181"/>
        <v>OK</v>
      </c>
      <c r="AC1469" s="240" t="str" cm="1">
        <f t="array" ref="AC1469">IF(AND(F1469:H1469&lt;&gt;"",I1469=""),"ERROR","OK")</f>
        <v>OK</v>
      </c>
      <c r="AD1469" s="240" t="str">
        <f t="shared" si="182"/>
        <v>OK</v>
      </c>
      <c r="AE1469" s="240" t="str">
        <f t="shared" si="183"/>
        <v>OK</v>
      </c>
      <c r="AF1469" s="240" t="str" cm="1">
        <f t="array" aca="1" ref="AF1469" ca="1" xml:space="preserve">
IF(AND($G1469&lt;&gt;"",$F1469=""),"ERROR",
IF(OR($F1469:$G1469="",AND($G1469="",$F1469&lt;&gt;"")),"OK",
IF(COUNTIF(INDIRECT(IFERROR(LEFT($F1469,FIND(" ",$F1469)-1),$F1469)), $G1469)&gt;0, "OK", "ERROR")))</f>
        <v>OK</v>
      </c>
    </row>
    <row r="1470" spans="1:32" s="240" customFormat="1">
      <c r="A1470" s="48"/>
      <c r="B1470" s="31"/>
      <c r="C1470" s="48"/>
      <c r="D1470" s="47"/>
      <c r="E1470" s="47"/>
      <c r="F1470" s="31"/>
      <c r="G1470" s="31"/>
      <c r="H1470" s="31"/>
      <c r="I1470" s="47"/>
      <c r="J1470" s="31"/>
      <c r="K1470" s="47"/>
      <c r="L1470" s="47"/>
      <c r="M1470" s="47"/>
      <c r="N1470" s="31"/>
      <c r="O1470" s="47"/>
      <c r="P1470" s="31"/>
      <c r="Q1470" s="31"/>
      <c r="R1470" s="31"/>
      <c r="S1470" s="31"/>
      <c r="T1470" s="270">
        <f t="shared" si="176"/>
        <v>0</v>
      </c>
      <c r="U1470" s="270">
        <f t="shared" si="177"/>
        <v>0</v>
      </c>
      <c r="V1470" s="31"/>
      <c r="X1470" s="240" t="str">
        <f t="shared" si="178"/>
        <v>OK</v>
      </c>
      <c r="Y1470" s="240" t="str">
        <f t="shared" si="179"/>
        <v>OK</v>
      </c>
      <c r="Z1470" s="240" t="str">
        <f t="shared" si="180"/>
        <v>OK</v>
      </c>
      <c r="AA1470" s="240" t="str" cm="1">
        <f t="array" ref="AA1470">IF(OR(AND(J1470="Not accepted",N1470:O1470&lt;&gt;"",$S1470=""),AND(J1470="Accepted",S1470="")),"ERROR","OK")</f>
        <v>OK</v>
      </c>
      <c r="AB1470" s="240" t="str">
        <f t="shared" si="181"/>
        <v>OK</v>
      </c>
      <c r="AC1470" s="240" t="str" cm="1">
        <f t="array" ref="AC1470">IF(AND(F1470:H1470&lt;&gt;"",I1470=""),"ERROR","OK")</f>
        <v>OK</v>
      </c>
      <c r="AD1470" s="240" t="str">
        <f t="shared" si="182"/>
        <v>OK</v>
      </c>
      <c r="AE1470" s="240" t="str">
        <f t="shared" si="183"/>
        <v>OK</v>
      </c>
      <c r="AF1470" s="240" t="str" cm="1">
        <f t="array" aca="1" ref="AF1470" ca="1" xml:space="preserve">
IF(AND($G1470&lt;&gt;"",$F1470=""),"ERROR",
IF(OR($F1470:$G1470="",AND($G1470="",$F1470&lt;&gt;"")),"OK",
IF(COUNTIF(INDIRECT(IFERROR(LEFT($F1470,FIND(" ",$F1470)-1),$F1470)), $G1470)&gt;0, "OK", "ERROR")))</f>
        <v>OK</v>
      </c>
    </row>
    <row r="1471" spans="1:32" s="240" customFormat="1">
      <c r="A1471" s="48"/>
      <c r="B1471" s="31"/>
      <c r="C1471" s="48"/>
      <c r="D1471" s="47"/>
      <c r="E1471" s="47"/>
      <c r="F1471" s="31"/>
      <c r="G1471" s="31"/>
      <c r="H1471" s="31"/>
      <c r="I1471" s="47"/>
      <c r="J1471" s="31"/>
      <c r="K1471" s="47"/>
      <c r="L1471" s="47"/>
      <c r="M1471" s="47"/>
      <c r="N1471" s="31"/>
      <c r="O1471" s="47"/>
      <c r="P1471" s="31"/>
      <c r="Q1471" s="31"/>
      <c r="R1471" s="31"/>
      <c r="S1471" s="31"/>
      <c r="T1471" s="270">
        <f t="shared" si="176"/>
        <v>0</v>
      </c>
      <c r="U1471" s="270">
        <f t="shared" si="177"/>
        <v>0</v>
      </c>
      <c r="V1471" s="31"/>
      <c r="X1471" s="240" t="str">
        <f t="shared" si="178"/>
        <v>OK</v>
      </c>
      <c r="Y1471" s="240" t="str">
        <f t="shared" si="179"/>
        <v>OK</v>
      </c>
      <c r="Z1471" s="240" t="str">
        <f t="shared" si="180"/>
        <v>OK</v>
      </c>
      <c r="AA1471" s="240" t="str" cm="1">
        <f t="array" ref="AA1471">IF(OR(AND(J1471="Not accepted",N1471:O1471&lt;&gt;"",$S1471=""),AND(J1471="Accepted",S1471="")),"ERROR","OK")</f>
        <v>OK</v>
      </c>
      <c r="AB1471" s="240" t="str">
        <f t="shared" si="181"/>
        <v>OK</v>
      </c>
      <c r="AC1471" s="240" t="str" cm="1">
        <f t="array" ref="AC1471">IF(AND(F1471:H1471&lt;&gt;"",I1471=""),"ERROR","OK")</f>
        <v>OK</v>
      </c>
      <c r="AD1471" s="240" t="str">
        <f t="shared" si="182"/>
        <v>OK</v>
      </c>
      <c r="AE1471" s="240" t="str">
        <f t="shared" si="183"/>
        <v>OK</v>
      </c>
      <c r="AF1471" s="240" t="str" cm="1">
        <f t="array" aca="1" ref="AF1471" ca="1" xml:space="preserve">
IF(AND($G1471&lt;&gt;"",$F1471=""),"ERROR",
IF(OR($F1471:$G1471="",AND($G1471="",$F1471&lt;&gt;"")),"OK",
IF(COUNTIF(INDIRECT(IFERROR(LEFT($F1471,FIND(" ",$F1471)-1),$F1471)), $G1471)&gt;0, "OK", "ERROR")))</f>
        <v>OK</v>
      </c>
    </row>
    <row r="1472" spans="1:32" s="240" customFormat="1">
      <c r="A1472" s="48"/>
      <c r="B1472" s="31"/>
      <c r="C1472" s="48"/>
      <c r="D1472" s="47"/>
      <c r="E1472" s="47"/>
      <c r="F1472" s="31"/>
      <c r="G1472" s="31"/>
      <c r="H1472" s="31"/>
      <c r="I1472" s="47"/>
      <c r="J1472" s="31"/>
      <c r="K1472" s="47"/>
      <c r="L1472" s="47"/>
      <c r="M1472" s="47"/>
      <c r="N1472" s="31"/>
      <c r="O1472" s="47"/>
      <c r="P1472" s="31"/>
      <c r="Q1472" s="31"/>
      <c r="R1472" s="31"/>
      <c r="S1472" s="31"/>
      <c r="T1472" s="270">
        <f t="shared" si="176"/>
        <v>0</v>
      </c>
      <c r="U1472" s="270">
        <f t="shared" si="177"/>
        <v>0</v>
      </c>
      <c r="V1472" s="31"/>
      <c r="X1472" s="240" t="str">
        <f t="shared" si="178"/>
        <v>OK</v>
      </c>
      <c r="Y1472" s="240" t="str">
        <f t="shared" si="179"/>
        <v>OK</v>
      </c>
      <c r="Z1472" s="240" t="str">
        <f t="shared" si="180"/>
        <v>OK</v>
      </c>
      <c r="AA1472" s="240" t="str" cm="1">
        <f t="array" ref="AA1472">IF(OR(AND(J1472="Not accepted",N1472:O1472&lt;&gt;"",$S1472=""),AND(J1472="Accepted",S1472="")),"ERROR","OK")</f>
        <v>OK</v>
      </c>
      <c r="AB1472" s="240" t="str">
        <f t="shared" si="181"/>
        <v>OK</v>
      </c>
      <c r="AC1472" s="240" t="str" cm="1">
        <f t="array" ref="AC1472">IF(AND(F1472:H1472&lt;&gt;"",I1472=""),"ERROR","OK")</f>
        <v>OK</v>
      </c>
      <c r="AD1472" s="240" t="str">
        <f t="shared" si="182"/>
        <v>OK</v>
      </c>
      <c r="AE1472" s="240" t="str">
        <f t="shared" si="183"/>
        <v>OK</v>
      </c>
      <c r="AF1472" s="240" t="str" cm="1">
        <f t="array" aca="1" ref="AF1472" ca="1" xml:space="preserve">
IF(AND($G1472&lt;&gt;"",$F1472=""),"ERROR",
IF(OR($F1472:$G1472="",AND($G1472="",$F1472&lt;&gt;"")),"OK",
IF(COUNTIF(INDIRECT(IFERROR(LEFT($F1472,FIND(" ",$F1472)-1),$F1472)), $G1472)&gt;0, "OK", "ERROR")))</f>
        <v>OK</v>
      </c>
    </row>
    <row r="1473" spans="1:32" s="240" customFormat="1">
      <c r="A1473" s="48"/>
      <c r="B1473" s="31"/>
      <c r="C1473" s="48"/>
      <c r="D1473" s="47"/>
      <c r="E1473" s="47"/>
      <c r="F1473" s="31"/>
      <c r="G1473" s="31"/>
      <c r="H1473" s="31"/>
      <c r="I1473" s="47"/>
      <c r="J1473" s="31"/>
      <c r="K1473" s="47"/>
      <c r="L1473" s="47"/>
      <c r="M1473" s="47"/>
      <c r="N1473" s="31"/>
      <c r="O1473" s="47"/>
      <c r="P1473" s="31"/>
      <c r="Q1473" s="31"/>
      <c r="R1473" s="31"/>
      <c r="S1473" s="31"/>
      <c r="T1473" s="270">
        <f t="shared" si="176"/>
        <v>0</v>
      </c>
      <c r="U1473" s="270">
        <f t="shared" si="177"/>
        <v>0</v>
      </c>
      <c r="V1473" s="31"/>
      <c r="X1473" s="240" t="str">
        <f t="shared" si="178"/>
        <v>OK</v>
      </c>
      <c r="Y1473" s="240" t="str">
        <f t="shared" si="179"/>
        <v>OK</v>
      </c>
      <c r="Z1473" s="240" t="str">
        <f t="shared" si="180"/>
        <v>OK</v>
      </c>
      <c r="AA1473" s="240" t="str" cm="1">
        <f t="array" ref="AA1473">IF(OR(AND(J1473="Not accepted",N1473:O1473&lt;&gt;"",$S1473=""),AND(J1473="Accepted",S1473="")),"ERROR","OK")</f>
        <v>OK</v>
      </c>
      <c r="AB1473" s="240" t="str">
        <f t="shared" si="181"/>
        <v>OK</v>
      </c>
      <c r="AC1473" s="240" t="str" cm="1">
        <f t="array" ref="AC1473">IF(AND(F1473:H1473&lt;&gt;"",I1473=""),"ERROR","OK")</f>
        <v>OK</v>
      </c>
      <c r="AD1473" s="240" t="str">
        <f t="shared" si="182"/>
        <v>OK</v>
      </c>
      <c r="AE1473" s="240" t="str">
        <f t="shared" si="183"/>
        <v>OK</v>
      </c>
      <c r="AF1473" s="240" t="str" cm="1">
        <f t="array" aca="1" ref="AF1473" ca="1" xml:space="preserve">
IF(AND($G1473&lt;&gt;"",$F1473=""),"ERROR",
IF(OR($F1473:$G1473="",AND($G1473="",$F1473&lt;&gt;"")),"OK",
IF(COUNTIF(INDIRECT(IFERROR(LEFT($F1473,FIND(" ",$F1473)-1),$F1473)), $G1473)&gt;0, "OK", "ERROR")))</f>
        <v>OK</v>
      </c>
    </row>
    <row r="1474" spans="1:32" s="240" customFormat="1">
      <c r="A1474" s="48"/>
      <c r="B1474" s="31"/>
      <c r="C1474" s="48"/>
      <c r="D1474" s="47"/>
      <c r="E1474" s="47"/>
      <c r="F1474" s="31"/>
      <c r="G1474" s="31"/>
      <c r="H1474" s="31"/>
      <c r="I1474" s="47"/>
      <c r="J1474" s="31"/>
      <c r="K1474" s="47"/>
      <c r="L1474" s="47"/>
      <c r="M1474" s="47"/>
      <c r="N1474" s="31"/>
      <c r="O1474" s="47"/>
      <c r="P1474" s="31"/>
      <c r="Q1474" s="31"/>
      <c r="R1474" s="31"/>
      <c r="S1474" s="31"/>
      <c r="T1474" s="270">
        <f t="shared" si="176"/>
        <v>0</v>
      </c>
      <c r="U1474" s="270">
        <f t="shared" si="177"/>
        <v>0</v>
      </c>
      <c r="V1474" s="31"/>
      <c r="X1474" s="240" t="str">
        <f t="shared" si="178"/>
        <v>OK</v>
      </c>
      <c r="Y1474" s="240" t="str">
        <f t="shared" si="179"/>
        <v>OK</v>
      </c>
      <c r="Z1474" s="240" t="str">
        <f t="shared" si="180"/>
        <v>OK</v>
      </c>
      <c r="AA1474" s="240" t="str" cm="1">
        <f t="array" ref="AA1474">IF(OR(AND(J1474="Not accepted",N1474:O1474&lt;&gt;"",$S1474=""),AND(J1474="Accepted",S1474="")),"ERROR","OK")</f>
        <v>OK</v>
      </c>
      <c r="AB1474" s="240" t="str">
        <f t="shared" si="181"/>
        <v>OK</v>
      </c>
      <c r="AC1474" s="240" t="str" cm="1">
        <f t="array" ref="AC1474">IF(AND(F1474:H1474&lt;&gt;"",I1474=""),"ERROR","OK")</f>
        <v>OK</v>
      </c>
      <c r="AD1474" s="240" t="str">
        <f t="shared" si="182"/>
        <v>OK</v>
      </c>
      <c r="AE1474" s="240" t="str">
        <f t="shared" si="183"/>
        <v>OK</v>
      </c>
      <c r="AF1474" s="240" t="str" cm="1">
        <f t="array" aca="1" ref="AF1474" ca="1" xml:space="preserve">
IF(AND($G1474&lt;&gt;"",$F1474=""),"ERROR",
IF(OR($F1474:$G1474="",AND($G1474="",$F1474&lt;&gt;"")),"OK",
IF(COUNTIF(INDIRECT(IFERROR(LEFT($F1474,FIND(" ",$F1474)-1),$F1474)), $G1474)&gt;0, "OK", "ERROR")))</f>
        <v>OK</v>
      </c>
    </row>
    <row r="1475" spans="1:32" s="240" customFormat="1">
      <c r="A1475" s="48"/>
      <c r="B1475" s="31"/>
      <c r="C1475" s="48"/>
      <c r="D1475" s="47"/>
      <c r="E1475" s="47"/>
      <c r="F1475" s="31"/>
      <c r="G1475" s="31"/>
      <c r="H1475" s="31"/>
      <c r="I1475" s="47"/>
      <c r="J1475" s="31"/>
      <c r="K1475" s="47"/>
      <c r="L1475" s="47"/>
      <c r="M1475" s="47"/>
      <c r="N1475" s="31"/>
      <c r="O1475" s="47"/>
      <c r="P1475" s="31"/>
      <c r="Q1475" s="31"/>
      <c r="R1475" s="31"/>
      <c r="S1475" s="31"/>
      <c r="T1475" s="270">
        <f t="shared" si="176"/>
        <v>0</v>
      </c>
      <c r="U1475" s="270">
        <f t="shared" si="177"/>
        <v>0</v>
      </c>
      <c r="V1475" s="31"/>
      <c r="X1475" s="240" t="str">
        <f t="shared" si="178"/>
        <v>OK</v>
      </c>
      <c r="Y1475" s="240" t="str">
        <f t="shared" si="179"/>
        <v>OK</v>
      </c>
      <c r="Z1475" s="240" t="str">
        <f t="shared" si="180"/>
        <v>OK</v>
      </c>
      <c r="AA1475" s="240" t="str" cm="1">
        <f t="array" ref="AA1475">IF(OR(AND(J1475="Not accepted",N1475:O1475&lt;&gt;"",$S1475=""),AND(J1475="Accepted",S1475="")),"ERROR","OK")</f>
        <v>OK</v>
      </c>
      <c r="AB1475" s="240" t="str">
        <f t="shared" si="181"/>
        <v>OK</v>
      </c>
      <c r="AC1475" s="240" t="str" cm="1">
        <f t="array" ref="AC1475">IF(AND(F1475:H1475&lt;&gt;"",I1475=""),"ERROR","OK")</f>
        <v>OK</v>
      </c>
      <c r="AD1475" s="240" t="str">
        <f t="shared" si="182"/>
        <v>OK</v>
      </c>
      <c r="AE1475" s="240" t="str">
        <f t="shared" si="183"/>
        <v>OK</v>
      </c>
      <c r="AF1475" s="240" t="str" cm="1">
        <f t="array" aca="1" ref="AF1475" ca="1" xml:space="preserve">
IF(AND($G1475&lt;&gt;"",$F1475=""),"ERROR",
IF(OR($F1475:$G1475="",AND($G1475="",$F1475&lt;&gt;"")),"OK",
IF(COUNTIF(INDIRECT(IFERROR(LEFT($F1475,FIND(" ",$F1475)-1),$F1475)), $G1475)&gt;0, "OK", "ERROR")))</f>
        <v>OK</v>
      </c>
    </row>
    <row r="1476" spans="1:32" s="240" customFormat="1">
      <c r="A1476" s="48"/>
      <c r="B1476" s="31"/>
      <c r="C1476" s="48"/>
      <c r="D1476" s="47"/>
      <c r="E1476" s="47"/>
      <c r="F1476" s="31"/>
      <c r="G1476" s="31"/>
      <c r="H1476" s="31"/>
      <c r="I1476" s="47"/>
      <c r="J1476" s="31"/>
      <c r="K1476" s="47"/>
      <c r="L1476" s="47"/>
      <c r="M1476" s="47"/>
      <c r="N1476" s="31"/>
      <c r="O1476" s="47"/>
      <c r="P1476" s="31"/>
      <c r="Q1476" s="31"/>
      <c r="R1476" s="31"/>
      <c r="S1476" s="31"/>
      <c r="T1476" s="270">
        <f t="shared" si="176"/>
        <v>0</v>
      </c>
      <c r="U1476" s="270">
        <f t="shared" si="177"/>
        <v>0</v>
      </c>
      <c r="V1476" s="31"/>
      <c r="X1476" s="240" t="str">
        <f t="shared" si="178"/>
        <v>OK</v>
      </c>
      <c r="Y1476" s="240" t="str">
        <f t="shared" si="179"/>
        <v>OK</v>
      </c>
      <c r="Z1476" s="240" t="str">
        <f t="shared" si="180"/>
        <v>OK</v>
      </c>
      <c r="AA1476" s="240" t="str" cm="1">
        <f t="array" ref="AA1476">IF(OR(AND(J1476="Not accepted",N1476:O1476&lt;&gt;"",$S1476=""),AND(J1476="Accepted",S1476="")),"ERROR","OK")</f>
        <v>OK</v>
      </c>
      <c r="AB1476" s="240" t="str">
        <f t="shared" si="181"/>
        <v>OK</v>
      </c>
      <c r="AC1476" s="240" t="str" cm="1">
        <f t="array" ref="AC1476">IF(AND(F1476:H1476&lt;&gt;"",I1476=""),"ERROR","OK")</f>
        <v>OK</v>
      </c>
      <c r="AD1476" s="240" t="str">
        <f t="shared" si="182"/>
        <v>OK</v>
      </c>
      <c r="AE1476" s="240" t="str">
        <f t="shared" si="183"/>
        <v>OK</v>
      </c>
      <c r="AF1476" s="240" t="str" cm="1">
        <f t="array" aca="1" ref="AF1476" ca="1" xml:space="preserve">
IF(AND($G1476&lt;&gt;"",$F1476=""),"ERROR",
IF(OR($F1476:$G1476="",AND($G1476="",$F1476&lt;&gt;"")),"OK",
IF(COUNTIF(INDIRECT(IFERROR(LEFT($F1476,FIND(" ",$F1476)-1),$F1476)), $G1476)&gt;0, "OK", "ERROR")))</f>
        <v>OK</v>
      </c>
    </row>
    <row r="1477" spans="1:32" s="240" customFormat="1">
      <c r="A1477" s="48"/>
      <c r="B1477" s="31"/>
      <c r="C1477" s="48"/>
      <c r="D1477" s="47"/>
      <c r="E1477" s="47"/>
      <c r="F1477" s="31"/>
      <c r="G1477" s="31"/>
      <c r="H1477" s="31"/>
      <c r="I1477" s="47"/>
      <c r="J1477" s="31"/>
      <c r="K1477" s="47"/>
      <c r="L1477" s="47"/>
      <c r="M1477" s="47"/>
      <c r="N1477" s="31"/>
      <c r="O1477" s="47"/>
      <c r="P1477" s="31"/>
      <c r="Q1477" s="31"/>
      <c r="R1477" s="31"/>
      <c r="S1477" s="31"/>
      <c r="T1477" s="270">
        <f t="shared" ref="T1477:T1540" si="184">IF(OR($J1477="Accepted",ISBLANK($J1477)),IF(AND($G1477="Legacy Data",$Q1477="Legacy Data"),1,IF(OR($G1477="Legacy Data",$Q1477="Legacy Data"),1,0)),IF(OR($N1477="Agree with original translator",ISBLANK($N1477)),IF(AND($G1477="Source Text Data",$Q1477="Legacy Data"),1,IF(AND($G1477="Legacy Data",$Q1477="Legacy Data"),1,IF($Q1477="Legacy Data",1,0))),IF(AND($G1477="Legacy Data",$Q1477="Legacy Data"),1,IF(OR($Q1477="Legacy Data",ISBLANK($Q1477)),IF($G1477&lt;&gt;"Legacy Data",IF(AND($G1477="Source Text Data",$Q1477="Legacy Data"),1,0),1),0))))</f>
        <v>0</v>
      </c>
      <c r="U1477" s="270">
        <f t="shared" ref="U1477:U1540" si="185">IF(OR($J1477="Accepted",ISBLANK($J1477)),IF(AND($G1477="Source Text Data",$Q1477="Source Text Data"),1,IF(OR($G1477="Source Text Data",$Q1477="Source Text Data"),1,0)),IF(OR($N1477="Agree with original translator",ISBLANK($N1477)),IF(AND($G1477="Legacy Data",$Q1477="Source Text Data"),1,IF(AND($G1477="Source Text Data",$Q1477="Source Text Data"),1,IF($Q1477="Source Text Data",1,0))),IF(AND($G1477="Source Text Data",$Q1477="Source Text Data"),1,IF(OR($Q1477="Source Text Data",ISBLANK($Q1477)),IF($G1477&lt;&gt;"Source Text Data",IF(AND($G1477="Legacy Data",$Q1477="Source Text Data"),1,0),1),0))))</f>
        <v>0</v>
      </c>
      <c r="V1477" s="31"/>
      <c r="X1477" s="240" t="str">
        <f t="shared" ref="X1477:X1540" si="186">IF(AND(COUNTBLANK($F1477:$H1477)&lt;&gt;COLUMNS($F1477:$H1477),COUNTA($F1477:$H1477)&lt;&gt;COLUMNS($F1477:$H1477)),"ERROR","OK")</f>
        <v>OK</v>
      </c>
      <c r="Y1477" s="240" t="str">
        <f t="shared" ref="Y1477:Y1540" si="187">IF(AND($J1477="Not accepted",$K1477=""),"ERROR","OK")</f>
        <v>OK</v>
      </c>
      <c r="Z1477" s="240" t="str">
        <f t="shared" ref="Z1477:Z1540" si="188">IF(AND($F1477&lt;&gt;"",$J1477=""),"ERROR","OK")</f>
        <v>OK</v>
      </c>
      <c r="AA1477" s="240" t="str" cm="1">
        <f t="array" ref="AA1477">IF(OR(AND(J1477="Not accepted",N1477:O1477&lt;&gt;"",$S1477=""),AND(J1477="Accepted",S1477="")),"ERROR","OK")</f>
        <v>OK</v>
      </c>
      <c r="AB1477" s="240" t="str">
        <f t="shared" ref="AB1477:AB1540" si="189">IF(AND($S1477="Not Implemented",$V1477=""),"ERROR","OK")</f>
        <v>OK</v>
      </c>
      <c r="AC1477" s="240" t="str" cm="1">
        <f t="array" ref="AC1477">IF(AND(F1477:H1477&lt;&gt;"",I1477=""),"ERROR","OK")</f>
        <v>OK</v>
      </c>
      <c r="AD1477" s="240" t="str">
        <f t="shared" ref="AD1477:AD1540" si="190">IF(AND($N1477="",$J1477="Not accepted",$K1477&lt;&gt;""),"ERROR","OK")</f>
        <v>OK</v>
      </c>
      <c r="AE1477" s="240" t="str">
        <f t="shared" ref="AE1477:AE1540" si="191">IF(AND($O1477="",$N1477&lt;&gt;""),"ERROR","OK")</f>
        <v>OK</v>
      </c>
      <c r="AF1477" s="240" t="str" cm="1">
        <f t="array" aca="1" ref="AF1477" ca="1" xml:space="preserve">
IF(AND($G1477&lt;&gt;"",$F1477=""),"ERROR",
IF(OR($F1477:$G1477="",AND($G1477="",$F1477&lt;&gt;"")),"OK",
IF(COUNTIF(INDIRECT(IFERROR(LEFT($F1477,FIND(" ",$F1477)-1),$F1477)), $G1477)&gt;0, "OK", "ERROR")))</f>
        <v>OK</v>
      </c>
    </row>
    <row r="1478" spans="1:32" s="240" customFormat="1">
      <c r="A1478" s="48"/>
      <c r="B1478" s="31"/>
      <c r="C1478" s="48"/>
      <c r="D1478" s="47"/>
      <c r="E1478" s="47"/>
      <c r="F1478" s="31"/>
      <c r="G1478" s="31"/>
      <c r="H1478" s="31"/>
      <c r="I1478" s="47"/>
      <c r="J1478" s="31"/>
      <c r="K1478" s="47"/>
      <c r="L1478" s="47"/>
      <c r="M1478" s="47"/>
      <c r="N1478" s="31"/>
      <c r="O1478" s="47"/>
      <c r="P1478" s="31"/>
      <c r="Q1478" s="31"/>
      <c r="R1478" s="31"/>
      <c r="S1478" s="31"/>
      <c r="T1478" s="270">
        <f t="shared" si="184"/>
        <v>0</v>
      </c>
      <c r="U1478" s="270">
        <f t="shared" si="185"/>
        <v>0</v>
      </c>
      <c r="V1478" s="31"/>
      <c r="X1478" s="240" t="str">
        <f t="shared" si="186"/>
        <v>OK</v>
      </c>
      <c r="Y1478" s="240" t="str">
        <f t="shared" si="187"/>
        <v>OK</v>
      </c>
      <c r="Z1478" s="240" t="str">
        <f t="shared" si="188"/>
        <v>OK</v>
      </c>
      <c r="AA1478" s="240" t="str" cm="1">
        <f t="array" ref="AA1478">IF(OR(AND(J1478="Not accepted",N1478:O1478&lt;&gt;"",$S1478=""),AND(J1478="Accepted",S1478="")),"ERROR","OK")</f>
        <v>OK</v>
      </c>
      <c r="AB1478" s="240" t="str">
        <f t="shared" si="189"/>
        <v>OK</v>
      </c>
      <c r="AC1478" s="240" t="str" cm="1">
        <f t="array" ref="AC1478">IF(AND(F1478:H1478&lt;&gt;"",I1478=""),"ERROR","OK")</f>
        <v>OK</v>
      </c>
      <c r="AD1478" s="240" t="str">
        <f t="shared" si="190"/>
        <v>OK</v>
      </c>
      <c r="AE1478" s="240" t="str">
        <f t="shared" si="191"/>
        <v>OK</v>
      </c>
      <c r="AF1478" s="240" t="str" cm="1">
        <f t="array" aca="1" ref="AF1478" ca="1" xml:space="preserve">
IF(AND($G1478&lt;&gt;"",$F1478=""),"ERROR",
IF(OR($F1478:$G1478="",AND($G1478="",$F1478&lt;&gt;"")),"OK",
IF(COUNTIF(INDIRECT(IFERROR(LEFT($F1478,FIND(" ",$F1478)-1),$F1478)), $G1478)&gt;0, "OK", "ERROR")))</f>
        <v>OK</v>
      </c>
    </row>
    <row r="1479" spans="1:32" s="240" customFormat="1">
      <c r="A1479" s="48"/>
      <c r="B1479" s="31"/>
      <c r="C1479" s="48"/>
      <c r="D1479" s="47"/>
      <c r="E1479" s="47"/>
      <c r="F1479" s="31"/>
      <c r="G1479" s="31"/>
      <c r="H1479" s="31"/>
      <c r="I1479" s="47"/>
      <c r="J1479" s="31"/>
      <c r="K1479" s="47"/>
      <c r="L1479" s="47"/>
      <c r="M1479" s="47"/>
      <c r="N1479" s="31"/>
      <c r="O1479" s="47"/>
      <c r="P1479" s="31"/>
      <c r="Q1479" s="31"/>
      <c r="R1479" s="31"/>
      <c r="S1479" s="31"/>
      <c r="T1479" s="270">
        <f t="shared" si="184"/>
        <v>0</v>
      </c>
      <c r="U1479" s="270">
        <f t="shared" si="185"/>
        <v>0</v>
      </c>
      <c r="V1479" s="31"/>
      <c r="X1479" s="240" t="str">
        <f t="shared" si="186"/>
        <v>OK</v>
      </c>
      <c r="Y1479" s="240" t="str">
        <f t="shared" si="187"/>
        <v>OK</v>
      </c>
      <c r="Z1479" s="240" t="str">
        <f t="shared" si="188"/>
        <v>OK</v>
      </c>
      <c r="AA1479" s="240" t="str" cm="1">
        <f t="array" ref="AA1479">IF(OR(AND(J1479="Not accepted",N1479:O1479&lt;&gt;"",$S1479=""),AND(J1479="Accepted",S1479="")),"ERROR","OK")</f>
        <v>OK</v>
      </c>
      <c r="AB1479" s="240" t="str">
        <f t="shared" si="189"/>
        <v>OK</v>
      </c>
      <c r="AC1479" s="240" t="str" cm="1">
        <f t="array" ref="AC1479">IF(AND(F1479:H1479&lt;&gt;"",I1479=""),"ERROR","OK")</f>
        <v>OK</v>
      </c>
      <c r="AD1479" s="240" t="str">
        <f t="shared" si="190"/>
        <v>OK</v>
      </c>
      <c r="AE1479" s="240" t="str">
        <f t="shared" si="191"/>
        <v>OK</v>
      </c>
      <c r="AF1479" s="240" t="str" cm="1">
        <f t="array" aca="1" ref="AF1479" ca="1" xml:space="preserve">
IF(AND($G1479&lt;&gt;"",$F1479=""),"ERROR",
IF(OR($F1479:$G1479="",AND($G1479="",$F1479&lt;&gt;"")),"OK",
IF(COUNTIF(INDIRECT(IFERROR(LEFT($F1479,FIND(" ",$F1479)-1),$F1479)), $G1479)&gt;0, "OK", "ERROR")))</f>
        <v>OK</v>
      </c>
    </row>
    <row r="1480" spans="1:32" s="240" customFormat="1">
      <c r="A1480" s="48"/>
      <c r="B1480" s="31"/>
      <c r="C1480" s="48"/>
      <c r="D1480" s="47"/>
      <c r="E1480" s="47"/>
      <c r="F1480" s="31"/>
      <c r="G1480" s="31"/>
      <c r="H1480" s="31"/>
      <c r="I1480" s="47"/>
      <c r="J1480" s="31"/>
      <c r="K1480" s="47"/>
      <c r="L1480" s="47"/>
      <c r="M1480" s="47"/>
      <c r="N1480" s="31"/>
      <c r="O1480" s="47"/>
      <c r="P1480" s="31"/>
      <c r="Q1480" s="31"/>
      <c r="R1480" s="31"/>
      <c r="S1480" s="31"/>
      <c r="T1480" s="270">
        <f t="shared" si="184"/>
        <v>0</v>
      </c>
      <c r="U1480" s="270">
        <f t="shared" si="185"/>
        <v>0</v>
      </c>
      <c r="V1480" s="31"/>
      <c r="X1480" s="240" t="str">
        <f t="shared" si="186"/>
        <v>OK</v>
      </c>
      <c r="Y1480" s="240" t="str">
        <f t="shared" si="187"/>
        <v>OK</v>
      </c>
      <c r="Z1480" s="240" t="str">
        <f t="shared" si="188"/>
        <v>OK</v>
      </c>
      <c r="AA1480" s="240" t="str" cm="1">
        <f t="array" ref="AA1480">IF(OR(AND(J1480="Not accepted",N1480:O1480&lt;&gt;"",$S1480=""),AND(J1480="Accepted",S1480="")),"ERROR","OK")</f>
        <v>OK</v>
      </c>
      <c r="AB1480" s="240" t="str">
        <f t="shared" si="189"/>
        <v>OK</v>
      </c>
      <c r="AC1480" s="240" t="str" cm="1">
        <f t="array" ref="AC1480">IF(AND(F1480:H1480&lt;&gt;"",I1480=""),"ERROR","OK")</f>
        <v>OK</v>
      </c>
      <c r="AD1480" s="240" t="str">
        <f t="shared" si="190"/>
        <v>OK</v>
      </c>
      <c r="AE1480" s="240" t="str">
        <f t="shared" si="191"/>
        <v>OK</v>
      </c>
      <c r="AF1480" s="240" t="str" cm="1">
        <f t="array" aca="1" ref="AF1480" ca="1" xml:space="preserve">
IF(AND($G1480&lt;&gt;"",$F1480=""),"ERROR",
IF(OR($F1480:$G1480="",AND($G1480="",$F1480&lt;&gt;"")),"OK",
IF(COUNTIF(INDIRECT(IFERROR(LEFT($F1480,FIND(" ",$F1480)-1),$F1480)), $G1480)&gt;0, "OK", "ERROR")))</f>
        <v>OK</v>
      </c>
    </row>
    <row r="1481" spans="1:32" s="240" customFormat="1">
      <c r="A1481" s="48"/>
      <c r="B1481" s="31"/>
      <c r="C1481" s="48"/>
      <c r="D1481" s="47"/>
      <c r="E1481" s="47"/>
      <c r="F1481" s="31"/>
      <c r="G1481" s="31"/>
      <c r="H1481" s="31"/>
      <c r="I1481" s="47"/>
      <c r="J1481" s="31"/>
      <c r="K1481" s="47"/>
      <c r="L1481" s="47"/>
      <c r="M1481" s="47"/>
      <c r="N1481" s="31"/>
      <c r="O1481" s="47"/>
      <c r="P1481" s="31"/>
      <c r="Q1481" s="31"/>
      <c r="R1481" s="31"/>
      <c r="S1481" s="31"/>
      <c r="T1481" s="270">
        <f t="shared" si="184"/>
        <v>0</v>
      </c>
      <c r="U1481" s="270">
        <f t="shared" si="185"/>
        <v>0</v>
      </c>
      <c r="V1481" s="31"/>
      <c r="X1481" s="240" t="str">
        <f t="shared" si="186"/>
        <v>OK</v>
      </c>
      <c r="Y1481" s="240" t="str">
        <f t="shared" si="187"/>
        <v>OK</v>
      </c>
      <c r="Z1481" s="240" t="str">
        <f t="shared" si="188"/>
        <v>OK</v>
      </c>
      <c r="AA1481" s="240" t="str" cm="1">
        <f t="array" ref="AA1481">IF(OR(AND(J1481="Not accepted",N1481:O1481&lt;&gt;"",$S1481=""),AND(J1481="Accepted",S1481="")),"ERROR","OK")</f>
        <v>OK</v>
      </c>
      <c r="AB1481" s="240" t="str">
        <f t="shared" si="189"/>
        <v>OK</v>
      </c>
      <c r="AC1481" s="240" t="str" cm="1">
        <f t="array" ref="AC1481">IF(AND(F1481:H1481&lt;&gt;"",I1481=""),"ERROR","OK")</f>
        <v>OK</v>
      </c>
      <c r="AD1481" s="240" t="str">
        <f t="shared" si="190"/>
        <v>OK</v>
      </c>
      <c r="AE1481" s="240" t="str">
        <f t="shared" si="191"/>
        <v>OK</v>
      </c>
      <c r="AF1481" s="240" t="str" cm="1">
        <f t="array" aca="1" ref="AF1481" ca="1" xml:space="preserve">
IF(AND($G1481&lt;&gt;"",$F1481=""),"ERROR",
IF(OR($F1481:$G1481="",AND($G1481="",$F1481&lt;&gt;"")),"OK",
IF(COUNTIF(INDIRECT(IFERROR(LEFT($F1481,FIND(" ",$F1481)-1),$F1481)), $G1481)&gt;0, "OK", "ERROR")))</f>
        <v>OK</v>
      </c>
    </row>
    <row r="1482" spans="1:32" s="240" customFormat="1">
      <c r="A1482" s="48"/>
      <c r="B1482" s="31"/>
      <c r="C1482" s="48"/>
      <c r="D1482" s="47"/>
      <c r="E1482" s="47"/>
      <c r="F1482" s="31"/>
      <c r="G1482" s="31"/>
      <c r="H1482" s="31"/>
      <c r="I1482" s="47"/>
      <c r="J1482" s="31"/>
      <c r="K1482" s="47"/>
      <c r="L1482" s="47"/>
      <c r="M1482" s="47"/>
      <c r="N1482" s="31"/>
      <c r="O1482" s="47"/>
      <c r="P1482" s="31"/>
      <c r="Q1482" s="31"/>
      <c r="R1482" s="31"/>
      <c r="S1482" s="31"/>
      <c r="T1482" s="270">
        <f t="shared" si="184"/>
        <v>0</v>
      </c>
      <c r="U1482" s="270">
        <f t="shared" si="185"/>
        <v>0</v>
      </c>
      <c r="V1482" s="31"/>
      <c r="X1482" s="240" t="str">
        <f t="shared" si="186"/>
        <v>OK</v>
      </c>
      <c r="Y1482" s="240" t="str">
        <f t="shared" si="187"/>
        <v>OK</v>
      </c>
      <c r="Z1482" s="240" t="str">
        <f t="shared" si="188"/>
        <v>OK</v>
      </c>
      <c r="AA1482" s="240" t="str" cm="1">
        <f t="array" ref="AA1482">IF(OR(AND(J1482="Not accepted",N1482:O1482&lt;&gt;"",$S1482=""),AND(J1482="Accepted",S1482="")),"ERROR","OK")</f>
        <v>OK</v>
      </c>
      <c r="AB1482" s="240" t="str">
        <f t="shared" si="189"/>
        <v>OK</v>
      </c>
      <c r="AC1482" s="240" t="str" cm="1">
        <f t="array" ref="AC1482">IF(AND(F1482:H1482&lt;&gt;"",I1482=""),"ERROR","OK")</f>
        <v>OK</v>
      </c>
      <c r="AD1482" s="240" t="str">
        <f t="shared" si="190"/>
        <v>OK</v>
      </c>
      <c r="AE1482" s="240" t="str">
        <f t="shared" si="191"/>
        <v>OK</v>
      </c>
      <c r="AF1482" s="240" t="str" cm="1">
        <f t="array" aca="1" ref="AF1482" ca="1" xml:space="preserve">
IF(AND($G1482&lt;&gt;"",$F1482=""),"ERROR",
IF(OR($F1482:$G1482="",AND($G1482="",$F1482&lt;&gt;"")),"OK",
IF(COUNTIF(INDIRECT(IFERROR(LEFT($F1482,FIND(" ",$F1482)-1),$F1482)), $G1482)&gt;0, "OK", "ERROR")))</f>
        <v>OK</v>
      </c>
    </row>
    <row r="1483" spans="1:32" s="240" customFormat="1">
      <c r="A1483" s="48"/>
      <c r="B1483" s="31"/>
      <c r="C1483" s="48"/>
      <c r="D1483" s="47"/>
      <c r="E1483" s="47"/>
      <c r="F1483" s="31"/>
      <c r="G1483" s="31"/>
      <c r="H1483" s="31"/>
      <c r="I1483" s="47"/>
      <c r="J1483" s="31"/>
      <c r="K1483" s="47"/>
      <c r="L1483" s="47"/>
      <c r="M1483" s="47"/>
      <c r="N1483" s="31"/>
      <c r="O1483" s="47"/>
      <c r="P1483" s="31"/>
      <c r="Q1483" s="31"/>
      <c r="R1483" s="31"/>
      <c r="S1483" s="31"/>
      <c r="T1483" s="270">
        <f t="shared" si="184"/>
        <v>0</v>
      </c>
      <c r="U1483" s="270">
        <f t="shared" si="185"/>
        <v>0</v>
      </c>
      <c r="V1483" s="31"/>
      <c r="X1483" s="240" t="str">
        <f t="shared" si="186"/>
        <v>OK</v>
      </c>
      <c r="Y1483" s="240" t="str">
        <f t="shared" si="187"/>
        <v>OK</v>
      </c>
      <c r="Z1483" s="240" t="str">
        <f t="shared" si="188"/>
        <v>OK</v>
      </c>
      <c r="AA1483" s="240" t="str" cm="1">
        <f t="array" ref="AA1483">IF(OR(AND(J1483="Not accepted",N1483:O1483&lt;&gt;"",$S1483=""),AND(J1483="Accepted",S1483="")),"ERROR","OK")</f>
        <v>OK</v>
      </c>
      <c r="AB1483" s="240" t="str">
        <f t="shared" si="189"/>
        <v>OK</v>
      </c>
      <c r="AC1483" s="240" t="str" cm="1">
        <f t="array" ref="AC1483">IF(AND(F1483:H1483&lt;&gt;"",I1483=""),"ERROR","OK")</f>
        <v>OK</v>
      </c>
      <c r="AD1483" s="240" t="str">
        <f t="shared" si="190"/>
        <v>OK</v>
      </c>
      <c r="AE1483" s="240" t="str">
        <f t="shared" si="191"/>
        <v>OK</v>
      </c>
      <c r="AF1483" s="240" t="str" cm="1">
        <f t="array" aca="1" ref="AF1483" ca="1" xml:space="preserve">
IF(AND($G1483&lt;&gt;"",$F1483=""),"ERROR",
IF(OR($F1483:$G1483="",AND($G1483="",$F1483&lt;&gt;"")),"OK",
IF(COUNTIF(INDIRECT(IFERROR(LEFT($F1483,FIND(" ",$F1483)-1),$F1483)), $G1483)&gt;0, "OK", "ERROR")))</f>
        <v>OK</v>
      </c>
    </row>
    <row r="1484" spans="1:32" s="240" customFormat="1">
      <c r="A1484" s="48"/>
      <c r="B1484" s="31"/>
      <c r="C1484" s="48"/>
      <c r="D1484" s="47"/>
      <c r="E1484" s="47"/>
      <c r="F1484" s="31"/>
      <c r="G1484" s="31"/>
      <c r="H1484" s="31"/>
      <c r="I1484" s="47"/>
      <c r="J1484" s="31"/>
      <c r="K1484" s="47"/>
      <c r="L1484" s="47"/>
      <c r="M1484" s="47"/>
      <c r="N1484" s="31"/>
      <c r="O1484" s="47"/>
      <c r="P1484" s="31"/>
      <c r="Q1484" s="31"/>
      <c r="R1484" s="31"/>
      <c r="S1484" s="31"/>
      <c r="T1484" s="270">
        <f t="shared" si="184"/>
        <v>0</v>
      </c>
      <c r="U1484" s="270">
        <f t="shared" si="185"/>
        <v>0</v>
      </c>
      <c r="V1484" s="31"/>
      <c r="X1484" s="240" t="str">
        <f t="shared" si="186"/>
        <v>OK</v>
      </c>
      <c r="Y1484" s="240" t="str">
        <f t="shared" si="187"/>
        <v>OK</v>
      </c>
      <c r="Z1484" s="240" t="str">
        <f t="shared" si="188"/>
        <v>OK</v>
      </c>
      <c r="AA1484" s="240" t="str" cm="1">
        <f t="array" ref="AA1484">IF(OR(AND(J1484="Not accepted",N1484:O1484&lt;&gt;"",$S1484=""),AND(J1484="Accepted",S1484="")),"ERROR","OK")</f>
        <v>OK</v>
      </c>
      <c r="AB1484" s="240" t="str">
        <f t="shared" si="189"/>
        <v>OK</v>
      </c>
      <c r="AC1484" s="240" t="str" cm="1">
        <f t="array" ref="AC1484">IF(AND(F1484:H1484&lt;&gt;"",I1484=""),"ERROR","OK")</f>
        <v>OK</v>
      </c>
      <c r="AD1484" s="240" t="str">
        <f t="shared" si="190"/>
        <v>OK</v>
      </c>
      <c r="AE1484" s="240" t="str">
        <f t="shared" si="191"/>
        <v>OK</v>
      </c>
      <c r="AF1484" s="240" t="str" cm="1">
        <f t="array" aca="1" ref="AF1484" ca="1" xml:space="preserve">
IF(AND($G1484&lt;&gt;"",$F1484=""),"ERROR",
IF(OR($F1484:$G1484="",AND($G1484="",$F1484&lt;&gt;"")),"OK",
IF(COUNTIF(INDIRECT(IFERROR(LEFT($F1484,FIND(" ",$F1484)-1),$F1484)), $G1484)&gt;0, "OK", "ERROR")))</f>
        <v>OK</v>
      </c>
    </row>
    <row r="1485" spans="1:32" s="240" customFormat="1">
      <c r="A1485" s="48"/>
      <c r="B1485" s="31"/>
      <c r="C1485" s="48"/>
      <c r="D1485" s="47"/>
      <c r="E1485" s="47"/>
      <c r="F1485" s="31"/>
      <c r="G1485" s="31"/>
      <c r="H1485" s="31"/>
      <c r="I1485" s="47"/>
      <c r="J1485" s="31"/>
      <c r="K1485" s="47"/>
      <c r="L1485" s="47"/>
      <c r="M1485" s="47"/>
      <c r="N1485" s="31"/>
      <c r="O1485" s="47"/>
      <c r="P1485" s="31"/>
      <c r="Q1485" s="31"/>
      <c r="R1485" s="31"/>
      <c r="S1485" s="31"/>
      <c r="T1485" s="270">
        <f t="shared" si="184"/>
        <v>0</v>
      </c>
      <c r="U1485" s="270">
        <f t="shared" si="185"/>
        <v>0</v>
      </c>
      <c r="V1485" s="31"/>
      <c r="X1485" s="240" t="str">
        <f t="shared" si="186"/>
        <v>OK</v>
      </c>
      <c r="Y1485" s="240" t="str">
        <f t="shared" si="187"/>
        <v>OK</v>
      </c>
      <c r="Z1485" s="240" t="str">
        <f t="shared" si="188"/>
        <v>OK</v>
      </c>
      <c r="AA1485" s="240" t="str" cm="1">
        <f t="array" ref="AA1485">IF(OR(AND(J1485="Not accepted",N1485:O1485&lt;&gt;"",$S1485=""),AND(J1485="Accepted",S1485="")),"ERROR","OK")</f>
        <v>OK</v>
      </c>
      <c r="AB1485" s="240" t="str">
        <f t="shared" si="189"/>
        <v>OK</v>
      </c>
      <c r="AC1485" s="240" t="str" cm="1">
        <f t="array" ref="AC1485">IF(AND(F1485:H1485&lt;&gt;"",I1485=""),"ERROR","OK")</f>
        <v>OK</v>
      </c>
      <c r="AD1485" s="240" t="str">
        <f t="shared" si="190"/>
        <v>OK</v>
      </c>
      <c r="AE1485" s="240" t="str">
        <f t="shared" si="191"/>
        <v>OK</v>
      </c>
      <c r="AF1485" s="240" t="str" cm="1">
        <f t="array" aca="1" ref="AF1485" ca="1" xml:space="preserve">
IF(AND($G1485&lt;&gt;"",$F1485=""),"ERROR",
IF(OR($F1485:$G1485="",AND($G1485="",$F1485&lt;&gt;"")),"OK",
IF(COUNTIF(INDIRECT(IFERROR(LEFT($F1485,FIND(" ",$F1485)-1),$F1485)), $G1485)&gt;0, "OK", "ERROR")))</f>
        <v>OK</v>
      </c>
    </row>
    <row r="1486" spans="1:32" s="240" customFormat="1">
      <c r="A1486" s="48"/>
      <c r="B1486" s="31"/>
      <c r="C1486" s="48"/>
      <c r="D1486" s="47"/>
      <c r="E1486" s="47"/>
      <c r="F1486" s="31"/>
      <c r="G1486" s="31"/>
      <c r="H1486" s="31"/>
      <c r="I1486" s="47"/>
      <c r="J1486" s="31"/>
      <c r="K1486" s="47"/>
      <c r="L1486" s="47"/>
      <c r="M1486" s="47"/>
      <c r="N1486" s="31"/>
      <c r="O1486" s="47"/>
      <c r="P1486" s="31"/>
      <c r="Q1486" s="31"/>
      <c r="R1486" s="31"/>
      <c r="S1486" s="31"/>
      <c r="T1486" s="270">
        <f t="shared" si="184"/>
        <v>0</v>
      </c>
      <c r="U1486" s="270">
        <f t="shared" si="185"/>
        <v>0</v>
      </c>
      <c r="V1486" s="31"/>
      <c r="X1486" s="240" t="str">
        <f t="shared" si="186"/>
        <v>OK</v>
      </c>
      <c r="Y1486" s="240" t="str">
        <f t="shared" si="187"/>
        <v>OK</v>
      </c>
      <c r="Z1486" s="240" t="str">
        <f t="shared" si="188"/>
        <v>OK</v>
      </c>
      <c r="AA1486" s="240" t="str" cm="1">
        <f t="array" ref="AA1486">IF(OR(AND(J1486="Not accepted",N1486:O1486&lt;&gt;"",$S1486=""),AND(J1486="Accepted",S1486="")),"ERROR","OK")</f>
        <v>OK</v>
      </c>
      <c r="AB1486" s="240" t="str">
        <f t="shared" si="189"/>
        <v>OK</v>
      </c>
      <c r="AC1486" s="240" t="str" cm="1">
        <f t="array" ref="AC1486">IF(AND(F1486:H1486&lt;&gt;"",I1486=""),"ERROR","OK")</f>
        <v>OK</v>
      </c>
      <c r="AD1486" s="240" t="str">
        <f t="shared" si="190"/>
        <v>OK</v>
      </c>
      <c r="AE1486" s="240" t="str">
        <f t="shared" si="191"/>
        <v>OK</v>
      </c>
      <c r="AF1486" s="240" t="str" cm="1">
        <f t="array" aca="1" ref="AF1486" ca="1" xml:space="preserve">
IF(AND($G1486&lt;&gt;"",$F1486=""),"ERROR",
IF(OR($F1486:$G1486="",AND($G1486="",$F1486&lt;&gt;"")),"OK",
IF(COUNTIF(INDIRECT(IFERROR(LEFT($F1486,FIND(" ",$F1486)-1),$F1486)), $G1486)&gt;0, "OK", "ERROR")))</f>
        <v>OK</v>
      </c>
    </row>
    <row r="1487" spans="1:32" s="240" customFormat="1">
      <c r="A1487" s="48"/>
      <c r="B1487" s="31"/>
      <c r="C1487" s="48"/>
      <c r="D1487" s="47"/>
      <c r="E1487" s="47"/>
      <c r="F1487" s="31"/>
      <c r="G1487" s="31"/>
      <c r="H1487" s="31"/>
      <c r="I1487" s="47"/>
      <c r="J1487" s="31"/>
      <c r="K1487" s="47"/>
      <c r="L1487" s="47"/>
      <c r="M1487" s="47"/>
      <c r="N1487" s="31"/>
      <c r="O1487" s="47"/>
      <c r="P1487" s="31"/>
      <c r="Q1487" s="31"/>
      <c r="R1487" s="31"/>
      <c r="S1487" s="31"/>
      <c r="T1487" s="270">
        <f t="shared" si="184"/>
        <v>0</v>
      </c>
      <c r="U1487" s="270">
        <f t="shared" si="185"/>
        <v>0</v>
      </c>
      <c r="V1487" s="31"/>
      <c r="X1487" s="240" t="str">
        <f t="shared" si="186"/>
        <v>OK</v>
      </c>
      <c r="Y1487" s="240" t="str">
        <f t="shared" si="187"/>
        <v>OK</v>
      </c>
      <c r="Z1487" s="240" t="str">
        <f t="shared" si="188"/>
        <v>OK</v>
      </c>
      <c r="AA1487" s="240" t="str" cm="1">
        <f t="array" ref="AA1487">IF(OR(AND(J1487="Not accepted",N1487:O1487&lt;&gt;"",$S1487=""),AND(J1487="Accepted",S1487="")),"ERROR","OK")</f>
        <v>OK</v>
      </c>
      <c r="AB1487" s="240" t="str">
        <f t="shared" si="189"/>
        <v>OK</v>
      </c>
      <c r="AC1487" s="240" t="str" cm="1">
        <f t="array" ref="AC1487">IF(AND(F1487:H1487&lt;&gt;"",I1487=""),"ERROR","OK")</f>
        <v>OK</v>
      </c>
      <c r="AD1487" s="240" t="str">
        <f t="shared" si="190"/>
        <v>OK</v>
      </c>
      <c r="AE1487" s="240" t="str">
        <f t="shared" si="191"/>
        <v>OK</v>
      </c>
      <c r="AF1487" s="240" t="str" cm="1">
        <f t="array" aca="1" ref="AF1487" ca="1" xml:space="preserve">
IF(AND($G1487&lt;&gt;"",$F1487=""),"ERROR",
IF(OR($F1487:$G1487="",AND($G1487="",$F1487&lt;&gt;"")),"OK",
IF(COUNTIF(INDIRECT(IFERROR(LEFT($F1487,FIND(" ",$F1487)-1),$F1487)), $G1487)&gt;0, "OK", "ERROR")))</f>
        <v>OK</v>
      </c>
    </row>
    <row r="1488" spans="1:32" s="240" customFormat="1">
      <c r="A1488" s="48"/>
      <c r="B1488" s="31"/>
      <c r="C1488" s="48"/>
      <c r="D1488" s="47"/>
      <c r="E1488" s="47"/>
      <c r="F1488" s="31"/>
      <c r="G1488" s="31"/>
      <c r="H1488" s="31"/>
      <c r="I1488" s="47"/>
      <c r="J1488" s="31"/>
      <c r="K1488" s="47"/>
      <c r="L1488" s="47"/>
      <c r="M1488" s="47"/>
      <c r="N1488" s="31"/>
      <c r="O1488" s="47"/>
      <c r="P1488" s="31"/>
      <c r="Q1488" s="31"/>
      <c r="R1488" s="31"/>
      <c r="S1488" s="31"/>
      <c r="T1488" s="270">
        <f t="shared" si="184"/>
        <v>0</v>
      </c>
      <c r="U1488" s="270">
        <f t="shared" si="185"/>
        <v>0</v>
      </c>
      <c r="V1488" s="31"/>
      <c r="X1488" s="240" t="str">
        <f t="shared" si="186"/>
        <v>OK</v>
      </c>
      <c r="Y1488" s="240" t="str">
        <f t="shared" si="187"/>
        <v>OK</v>
      </c>
      <c r="Z1488" s="240" t="str">
        <f t="shared" si="188"/>
        <v>OK</v>
      </c>
      <c r="AA1488" s="240" t="str" cm="1">
        <f t="array" ref="AA1488">IF(OR(AND(J1488="Not accepted",N1488:O1488&lt;&gt;"",$S1488=""),AND(J1488="Accepted",S1488="")),"ERROR","OK")</f>
        <v>OK</v>
      </c>
      <c r="AB1488" s="240" t="str">
        <f t="shared" si="189"/>
        <v>OK</v>
      </c>
      <c r="AC1488" s="240" t="str" cm="1">
        <f t="array" ref="AC1488">IF(AND(F1488:H1488&lt;&gt;"",I1488=""),"ERROR","OK")</f>
        <v>OK</v>
      </c>
      <c r="AD1488" s="240" t="str">
        <f t="shared" si="190"/>
        <v>OK</v>
      </c>
      <c r="AE1488" s="240" t="str">
        <f t="shared" si="191"/>
        <v>OK</v>
      </c>
      <c r="AF1488" s="240" t="str" cm="1">
        <f t="array" aca="1" ref="AF1488" ca="1" xml:space="preserve">
IF(AND($G1488&lt;&gt;"",$F1488=""),"ERROR",
IF(OR($F1488:$G1488="",AND($G1488="",$F1488&lt;&gt;"")),"OK",
IF(COUNTIF(INDIRECT(IFERROR(LEFT($F1488,FIND(" ",$F1488)-1),$F1488)), $G1488)&gt;0, "OK", "ERROR")))</f>
        <v>OK</v>
      </c>
    </row>
    <row r="1489" spans="1:32" s="240" customFormat="1">
      <c r="A1489" s="48"/>
      <c r="B1489" s="31"/>
      <c r="C1489" s="48"/>
      <c r="D1489" s="47"/>
      <c r="E1489" s="47"/>
      <c r="F1489" s="31"/>
      <c r="G1489" s="31"/>
      <c r="H1489" s="31"/>
      <c r="I1489" s="47"/>
      <c r="J1489" s="31"/>
      <c r="K1489" s="47"/>
      <c r="L1489" s="47"/>
      <c r="M1489" s="47"/>
      <c r="N1489" s="31"/>
      <c r="O1489" s="47"/>
      <c r="P1489" s="31"/>
      <c r="Q1489" s="31"/>
      <c r="R1489" s="31"/>
      <c r="S1489" s="31"/>
      <c r="T1489" s="270">
        <f t="shared" si="184"/>
        <v>0</v>
      </c>
      <c r="U1489" s="270">
        <f t="shared" si="185"/>
        <v>0</v>
      </c>
      <c r="V1489" s="31"/>
      <c r="X1489" s="240" t="str">
        <f t="shared" si="186"/>
        <v>OK</v>
      </c>
      <c r="Y1489" s="240" t="str">
        <f t="shared" si="187"/>
        <v>OK</v>
      </c>
      <c r="Z1489" s="240" t="str">
        <f t="shared" si="188"/>
        <v>OK</v>
      </c>
      <c r="AA1489" s="240" t="str" cm="1">
        <f t="array" ref="AA1489">IF(OR(AND(J1489="Not accepted",N1489:O1489&lt;&gt;"",$S1489=""),AND(J1489="Accepted",S1489="")),"ERROR","OK")</f>
        <v>OK</v>
      </c>
      <c r="AB1489" s="240" t="str">
        <f t="shared" si="189"/>
        <v>OK</v>
      </c>
      <c r="AC1489" s="240" t="str" cm="1">
        <f t="array" ref="AC1489">IF(AND(F1489:H1489&lt;&gt;"",I1489=""),"ERROR","OK")</f>
        <v>OK</v>
      </c>
      <c r="AD1489" s="240" t="str">
        <f t="shared" si="190"/>
        <v>OK</v>
      </c>
      <c r="AE1489" s="240" t="str">
        <f t="shared" si="191"/>
        <v>OK</v>
      </c>
      <c r="AF1489" s="240" t="str" cm="1">
        <f t="array" aca="1" ref="AF1489" ca="1" xml:space="preserve">
IF(AND($G1489&lt;&gt;"",$F1489=""),"ERROR",
IF(OR($F1489:$G1489="",AND($G1489="",$F1489&lt;&gt;"")),"OK",
IF(COUNTIF(INDIRECT(IFERROR(LEFT($F1489,FIND(" ",$F1489)-1),$F1489)), $G1489)&gt;0, "OK", "ERROR")))</f>
        <v>OK</v>
      </c>
    </row>
    <row r="1490" spans="1:32" s="240" customFormat="1">
      <c r="A1490" s="48"/>
      <c r="B1490" s="31"/>
      <c r="C1490" s="48"/>
      <c r="D1490" s="47"/>
      <c r="E1490" s="47"/>
      <c r="F1490" s="31"/>
      <c r="G1490" s="31"/>
      <c r="H1490" s="31"/>
      <c r="I1490" s="47"/>
      <c r="J1490" s="31"/>
      <c r="K1490" s="47"/>
      <c r="L1490" s="47"/>
      <c r="M1490" s="47"/>
      <c r="N1490" s="31"/>
      <c r="O1490" s="47"/>
      <c r="P1490" s="31"/>
      <c r="Q1490" s="31"/>
      <c r="R1490" s="31"/>
      <c r="S1490" s="31"/>
      <c r="T1490" s="270">
        <f t="shared" si="184"/>
        <v>0</v>
      </c>
      <c r="U1490" s="270">
        <f t="shared" si="185"/>
        <v>0</v>
      </c>
      <c r="V1490" s="31"/>
      <c r="X1490" s="240" t="str">
        <f t="shared" si="186"/>
        <v>OK</v>
      </c>
      <c r="Y1490" s="240" t="str">
        <f t="shared" si="187"/>
        <v>OK</v>
      </c>
      <c r="Z1490" s="240" t="str">
        <f t="shared" si="188"/>
        <v>OK</v>
      </c>
      <c r="AA1490" s="240" t="str" cm="1">
        <f t="array" ref="AA1490">IF(OR(AND(J1490="Not accepted",N1490:O1490&lt;&gt;"",$S1490=""),AND(J1490="Accepted",S1490="")),"ERROR","OK")</f>
        <v>OK</v>
      </c>
      <c r="AB1490" s="240" t="str">
        <f t="shared" si="189"/>
        <v>OK</v>
      </c>
      <c r="AC1490" s="240" t="str" cm="1">
        <f t="array" ref="AC1490">IF(AND(F1490:H1490&lt;&gt;"",I1490=""),"ERROR","OK")</f>
        <v>OK</v>
      </c>
      <c r="AD1490" s="240" t="str">
        <f t="shared" si="190"/>
        <v>OK</v>
      </c>
      <c r="AE1490" s="240" t="str">
        <f t="shared" si="191"/>
        <v>OK</v>
      </c>
      <c r="AF1490" s="240" t="str" cm="1">
        <f t="array" aca="1" ref="AF1490" ca="1" xml:space="preserve">
IF(AND($G1490&lt;&gt;"",$F1490=""),"ERROR",
IF(OR($F1490:$G1490="",AND($G1490="",$F1490&lt;&gt;"")),"OK",
IF(COUNTIF(INDIRECT(IFERROR(LEFT($F1490,FIND(" ",$F1490)-1),$F1490)), $G1490)&gt;0, "OK", "ERROR")))</f>
        <v>OK</v>
      </c>
    </row>
    <row r="1491" spans="1:32" s="240" customFormat="1">
      <c r="A1491" s="48"/>
      <c r="B1491" s="31"/>
      <c r="C1491" s="48"/>
      <c r="D1491" s="47"/>
      <c r="E1491" s="47"/>
      <c r="F1491" s="31"/>
      <c r="G1491" s="31"/>
      <c r="H1491" s="31"/>
      <c r="I1491" s="47"/>
      <c r="J1491" s="31"/>
      <c r="K1491" s="47"/>
      <c r="L1491" s="47"/>
      <c r="M1491" s="47"/>
      <c r="N1491" s="31"/>
      <c r="O1491" s="47"/>
      <c r="P1491" s="31"/>
      <c r="Q1491" s="31"/>
      <c r="R1491" s="31"/>
      <c r="S1491" s="31"/>
      <c r="T1491" s="270">
        <f t="shared" si="184"/>
        <v>0</v>
      </c>
      <c r="U1491" s="270">
        <f t="shared" si="185"/>
        <v>0</v>
      </c>
      <c r="V1491" s="31"/>
      <c r="X1491" s="240" t="str">
        <f t="shared" si="186"/>
        <v>OK</v>
      </c>
      <c r="Y1491" s="240" t="str">
        <f t="shared" si="187"/>
        <v>OK</v>
      </c>
      <c r="Z1491" s="240" t="str">
        <f t="shared" si="188"/>
        <v>OK</v>
      </c>
      <c r="AA1491" s="240" t="str" cm="1">
        <f t="array" ref="AA1491">IF(OR(AND(J1491="Not accepted",N1491:O1491&lt;&gt;"",$S1491=""),AND(J1491="Accepted",S1491="")),"ERROR","OK")</f>
        <v>OK</v>
      </c>
      <c r="AB1491" s="240" t="str">
        <f t="shared" si="189"/>
        <v>OK</v>
      </c>
      <c r="AC1491" s="240" t="str" cm="1">
        <f t="array" ref="AC1491">IF(AND(F1491:H1491&lt;&gt;"",I1491=""),"ERROR","OK")</f>
        <v>OK</v>
      </c>
      <c r="AD1491" s="240" t="str">
        <f t="shared" si="190"/>
        <v>OK</v>
      </c>
      <c r="AE1491" s="240" t="str">
        <f t="shared" si="191"/>
        <v>OK</v>
      </c>
      <c r="AF1491" s="240" t="str" cm="1">
        <f t="array" aca="1" ref="AF1491" ca="1" xml:space="preserve">
IF(AND($G1491&lt;&gt;"",$F1491=""),"ERROR",
IF(OR($F1491:$G1491="",AND($G1491="",$F1491&lt;&gt;"")),"OK",
IF(COUNTIF(INDIRECT(IFERROR(LEFT($F1491,FIND(" ",$F1491)-1),$F1491)), $G1491)&gt;0, "OK", "ERROR")))</f>
        <v>OK</v>
      </c>
    </row>
    <row r="1492" spans="1:32" s="240" customFormat="1">
      <c r="A1492" s="48"/>
      <c r="B1492" s="31"/>
      <c r="C1492" s="48"/>
      <c r="D1492" s="47"/>
      <c r="E1492" s="47"/>
      <c r="F1492" s="31"/>
      <c r="G1492" s="31"/>
      <c r="H1492" s="31"/>
      <c r="I1492" s="47"/>
      <c r="J1492" s="31"/>
      <c r="K1492" s="47"/>
      <c r="L1492" s="47"/>
      <c r="M1492" s="47"/>
      <c r="N1492" s="31"/>
      <c r="O1492" s="47"/>
      <c r="P1492" s="31"/>
      <c r="Q1492" s="31"/>
      <c r="R1492" s="31"/>
      <c r="S1492" s="31"/>
      <c r="T1492" s="270">
        <f t="shared" si="184"/>
        <v>0</v>
      </c>
      <c r="U1492" s="270">
        <f t="shared" si="185"/>
        <v>0</v>
      </c>
      <c r="V1492" s="31"/>
      <c r="X1492" s="240" t="str">
        <f t="shared" si="186"/>
        <v>OK</v>
      </c>
      <c r="Y1492" s="240" t="str">
        <f t="shared" si="187"/>
        <v>OK</v>
      </c>
      <c r="Z1492" s="240" t="str">
        <f t="shared" si="188"/>
        <v>OK</v>
      </c>
      <c r="AA1492" s="240" t="str" cm="1">
        <f t="array" ref="AA1492">IF(OR(AND(J1492="Not accepted",N1492:O1492&lt;&gt;"",$S1492=""),AND(J1492="Accepted",S1492="")),"ERROR","OK")</f>
        <v>OK</v>
      </c>
      <c r="AB1492" s="240" t="str">
        <f t="shared" si="189"/>
        <v>OK</v>
      </c>
      <c r="AC1492" s="240" t="str" cm="1">
        <f t="array" ref="AC1492">IF(AND(F1492:H1492&lt;&gt;"",I1492=""),"ERROR","OK")</f>
        <v>OK</v>
      </c>
      <c r="AD1492" s="240" t="str">
        <f t="shared" si="190"/>
        <v>OK</v>
      </c>
      <c r="AE1492" s="240" t="str">
        <f t="shared" si="191"/>
        <v>OK</v>
      </c>
      <c r="AF1492" s="240" t="str" cm="1">
        <f t="array" aca="1" ref="AF1492" ca="1" xml:space="preserve">
IF(AND($G1492&lt;&gt;"",$F1492=""),"ERROR",
IF(OR($F1492:$G1492="",AND($G1492="",$F1492&lt;&gt;"")),"OK",
IF(COUNTIF(INDIRECT(IFERROR(LEFT($F1492,FIND(" ",$F1492)-1),$F1492)), $G1492)&gt;0, "OK", "ERROR")))</f>
        <v>OK</v>
      </c>
    </row>
    <row r="1493" spans="1:32" s="240" customFormat="1">
      <c r="A1493" s="48"/>
      <c r="B1493" s="31"/>
      <c r="C1493" s="48"/>
      <c r="D1493" s="47"/>
      <c r="E1493" s="47"/>
      <c r="F1493" s="31"/>
      <c r="G1493" s="31"/>
      <c r="H1493" s="31"/>
      <c r="I1493" s="47"/>
      <c r="J1493" s="31"/>
      <c r="K1493" s="47"/>
      <c r="L1493" s="47"/>
      <c r="M1493" s="47"/>
      <c r="N1493" s="31"/>
      <c r="O1493" s="47"/>
      <c r="P1493" s="31"/>
      <c r="Q1493" s="31"/>
      <c r="R1493" s="31"/>
      <c r="S1493" s="31"/>
      <c r="T1493" s="270">
        <f t="shared" si="184"/>
        <v>0</v>
      </c>
      <c r="U1493" s="270">
        <f t="shared" si="185"/>
        <v>0</v>
      </c>
      <c r="V1493" s="31"/>
      <c r="X1493" s="240" t="str">
        <f t="shared" si="186"/>
        <v>OK</v>
      </c>
      <c r="Y1493" s="240" t="str">
        <f t="shared" si="187"/>
        <v>OK</v>
      </c>
      <c r="Z1493" s="240" t="str">
        <f t="shared" si="188"/>
        <v>OK</v>
      </c>
      <c r="AA1493" s="240" t="str" cm="1">
        <f t="array" ref="AA1493">IF(OR(AND(J1493="Not accepted",N1493:O1493&lt;&gt;"",$S1493=""),AND(J1493="Accepted",S1493="")),"ERROR","OK")</f>
        <v>OK</v>
      </c>
      <c r="AB1493" s="240" t="str">
        <f t="shared" si="189"/>
        <v>OK</v>
      </c>
      <c r="AC1493" s="240" t="str" cm="1">
        <f t="array" ref="AC1493">IF(AND(F1493:H1493&lt;&gt;"",I1493=""),"ERROR","OK")</f>
        <v>OK</v>
      </c>
      <c r="AD1493" s="240" t="str">
        <f t="shared" si="190"/>
        <v>OK</v>
      </c>
      <c r="AE1493" s="240" t="str">
        <f t="shared" si="191"/>
        <v>OK</v>
      </c>
      <c r="AF1493" s="240" t="str" cm="1">
        <f t="array" aca="1" ref="AF1493" ca="1" xml:space="preserve">
IF(AND($G1493&lt;&gt;"",$F1493=""),"ERROR",
IF(OR($F1493:$G1493="",AND($G1493="",$F1493&lt;&gt;"")),"OK",
IF(COUNTIF(INDIRECT(IFERROR(LEFT($F1493,FIND(" ",$F1493)-1),$F1493)), $G1493)&gt;0, "OK", "ERROR")))</f>
        <v>OK</v>
      </c>
    </row>
    <row r="1494" spans="1:32" s="240" customFormat="1">
      <c r="A1494" s="48"/>
      <c r="B1494" s="31"/>
      <c r="C1494" s="48"/>
      <c r="D1494" s="47"/>
      <c r="E1494" s="47"/>
      <c r="F1494" s="31"/>
      <c r="G1494" s="31"/>
      <c r="H1494" s="31"/>
      <c r="I1494" s="47"/>
      <c r="J1494" s="31"/>
      <c r="K1494" s="47"/>
      <c r="L1494" s="47"/>
      <c r="M1494" s="47"/>
      <c r="N1494" s="31"/>
      <c r="O1494" s="47"/>
      <c r="P1494" s="31"/>
      <c r="Q1494" s="31"/>
      <c r="R1494" s="31"/>
      <c r="S1494" s="31"/>
      <c r="T1494" s="270">
        <f t="shared" si="184"/>
        <v>0</v>
      </c>
      <c r="U1494" s="270">
        <f t="shared" si="185"/>
        <v>0</v>
      </c>
      <c r="V1494" s="31"/>
      <c r="X1494" s="240" t="str">
        <f t="shared" si="186"/>
        <v>OK</v>
      </c>
      <c r="Y1494" s="240" t="str">
        <f t="shared" si="187"/>
        <v>OK</v>
      </c>
      <c r="Z1494" s="240" t="str">
        <f t="shared" si="188"/>
        <v>OK</v>
      </c>
      <c r="AA1494" s="240" t="str" cm="1">
        <f t="array" ref="AA1494">IF(OR(AND(J1494="Not accepted",N1494:O1494&lt;&gt;"",$S1494=""),AND(J1494="Accepted",S1494="")),"ERROR","OK")</f>
        <v>OK</v>
      </c>
      <c r="AB1494" s="240" t="str">
        <f t="shared" si="189"/>
        <v>OK</v>
      </c>
      <c r="AC1494" s="240" t="str" cm="1">
        <f t="array" ref="AC1494">IF(AND(F1494:H1494&lt;&gt;"",I1494=""),"ERROR","OK")</f>
        <v>OK</v>
      </c>
      <c r="AD1494" s="240" t="str">
        <f t="shared" si="190"/>
        <v>OK</v>
      </c>
      <c r="AE1494" s="240" t="str">
        <f t="shared" si="191"/>
        <v>OK</v>
      </c>
      <c r="AF1494" s="240" t="str" cm="1">
        <f t="array" aca="1" ref="AF1494" ca="1" xml:space="preserve">
IF(AND($G1494&lt;&gt;"",$F1494=""),"ERROR",
IF(OR($F1494:$G1494="",AND($G1494="",$F1494&lt;&gt;"")),"OK",
IF(COUNTIF(INDIRECT(IFERROR(LEFT($F1494,FIND(" ",$F1494)-1),$F1494)), $G1494)&gt;0, "OK", "ERROR")))</f>
        <v>OK</v>
      </c>
    </row>
    <row r="1495" spans="1:32" s="240" customFormat="1">
      <c r="A1495" s="48"/>
      <c r="B1495" s="31"/>
      <c r="C1495" s="48"/>
      <c r="D1495" s="47"/>
      <c r="E1495" s="47"/>
      <c r="F1495" s="31"/>
      <c r="G1495" s="31"/>
      <c r="H1495" s="31"/>
      <c r="I1495" s="47"/>
      <c r="J1495" s="31"/>
      <c r="K1495" s="47"/>
      <c r="L1495" s="47"/>
      <c r="M1495" s="47"/>
      <c r="N1495" s="31"/>
      <c r="O1495" s="47"/>
      <c r="P1495" s="31"/>
      <c r="Q1495" s="31"/>
      <c r="R1495" s="31"/>
      <c r="S1495" s="31"/>
      <c r="T1495" s="270">
        <f t="shared" si="184"/>
        <v>0</v>
      </c>
      <c r="U1495" s="270">
        <f t="shared" si="185"/>
        <v>0</v>
      </c>
      <c r="V1495" s="31"/>
      <c r="X1495" s="240" t="str">
        <f t="shared" si="186"/>
        <v>OK</v>
      </c>
      <c r="Y1495" s="240" t="str">
        <f t="shared" si="187"/>
        <v>OK</v>
      </c>
      <c r="Z1495" s="240" t="str">
        <f t="shared" si="188"/>
        <v>OK</v>
      </c>
      <c r="AA1495" s="240" t="str" cm="1">
        <f t="array" ref="AA1495">IF(OR(AND(J1495="Not accepted",N1495:O1495&lt;&gt;"",$S1495=""),AND(J1495="Accepted",S1495="")),"ERROR","OK")</f>
        <v>OK</v>
      </c>
      <c r="AB1495" s="240" t="str">
        <f t="shared" si="189"/>
        <v>OK</v>
      </c>
      <c r="AC1495" s="240" t="str" cm="1">
        <f t="array" ref="AC1495">IF(AND(F1495:H1495&lt;&gt;"",I1495=""),"ERROR","OK")</f>
        <v>OK</v>
      </c>
      <c r="AD1495" s="240" t="str">
        <f t="shared" si="190"/>
        <v>OK</v>
      </c>
      <c r="AE1495" s="240" t="str">
        <f t="shared" si="191"/>
        <v>OK</v>
      </c>
      <c r="AF1495" s="240" t="str" cm="1">
        <f t="array" aca="1" ref="AF1495" ca="1" xml:space="preserve">
IF(AND($G1495&lt;&gt;"",$F1495=""),"ERROR",
IF(OR($F1495:$G1495="",AND($G1495="",$F1495&lt;&gt;"")),"OK",
IF(COUNTIF(INDIRECT(IFERROR(LEFT($F1495,FIND(" ",$F1495)-1),$F1495)), $G1495)&gt;0, "OK", "ERROR")))</f>
        <v>OK</v>
      </c>
    </row>
    <row r="1496" spans="1:32" s="240" customFormat="1">
      <c r="A1496" s="48"/>
      <c r="B1496" s="31"/>
      <c r="C1496" s="48"/>
      <c r="D1496" s="47"/>
      <c r="E1496" s="47"/>
      <c r="F1496" s="31"/>
      <c r="G1496" s="31"/>
      <c r="H1496" s="31"/>
      <c r="I1496" s="47"/>
      <c r="J1496" s="31"/>
      <c r="K1496" s="47"/>
      <c r="L1496" s="47"/>
      <c r="M1496" s="47"/>
      <c r="N1496" s="31"/>
      <c r="O1496" s="47"/>
      <c r="P1496" s="31"/>
      <c r="Q1496" s="31"/>
      <c r="R1496" s="31"/>
      <c r="S1496" s="31"/>
      <c r="T1496" s="270">
        <f t="shared" si="184"/>
        <v>0</v>
      </c>
      <c r="U1496" s="270">
        <f t="shared" si="185"/>
        <v>0</v>
      </c>
      <c r="V1496" s="31"/>
      <c r="X1496" s="240" t="str">
        <f t="shared" si="186"/>
        <v>OK</v>
      </c>
      <c r="Y1496" s="240" t="str">
        <f t="shared" si="187"/>
        <v>OK</v>
      </c>
      <c r="Z1496" s="240" t="str">
        <f t="shared" si="188"/>
        <v>OK</v>
      </c>
      <c r="AA1496" s="240" t="str" cm="1">
        <f t="array" ref="AA1496">IF(OR(AND(J1496="Not accepted",N1496:O1496&lt;&gt;"",$S1496=""),AND(J1496="Accepted",S1496="")),"ERROR","OK")</f>
        <v>OK</v>
      </c>
      <c r="AB1496" s="240" t="str">
        <f t="shared" si="189"/>
        <v>OK</v>
      </c>
      <c r="AC1496" s="240" t="str" cm="1">
        <f t="array" ref="AC1496">IF(AND(F1496:H1496&lt;&gt;"",I1496=""),"ERROR","OK")</f>
        <v>OK</v>
      </c>
      <c r="AD1496" s="240" t="str">
        <f t="shared" si="190"/>
        <v>OK</v>
      </c>
      <c r="AE1496" s="240" t="str">
        <f t="shared" si="191"/>
        <v>OK</v>
      </c>
      <c r="AF1496" s="240" t="str" cm="1">
        <f t="array" aca="1" ref="AF1496" ca="1" xml:space="preserve">
IF(AND($G1496&lt;&gt;"",$F1496=""),"ERROR",
IF(OR($F1496:$G1496="",AND($G1496="",$F1496&lt;&gt;"")),"OK",
IF(COUNTIF(INDIRECT(IFERROR(LEFT($F1496,FIND(" ",$F1496)-1),$F1496)), $G1496)&gt;0, "OK", "ERROR")))</f>
        <v>OK</v>
      </c>
    </row>
    <row r="1497" spans="1:32" s="240" customFormat="1">
      <c r="A1497" s="48"/>
      <c r="B1497" s="31"/>
      <c r="C1497" s="48"/>
      <c r="D1497" s="47"/>
      <c r="E1497" s="47"/>
      <c r="F1497" s="31"/>
      <c r="G1497" s="31"/>
      <c r="H1497" s="31"/>
      <c r="I1497" s="47"/>
      <c r="J1497" s="31"/>
      <c r="K1497" s="47"/>
      <c r="L1497" s="47"/>
      <c r="M1497" s="47"/>
      <c r="N1497" s="31"/>
      <c r="O1497" s="47"/>
      <c r="P1497" s="31"/>
      <c r="Q1497" s="31"/>
      <c r="R1497" s="31"/>
      <c r="S1497" s="31"/>
      <c r="T1497" s="270">
        <f t="shared" si="184"/>
        <v>0</v>
      </c>
      <c r="U1497" s="270">
        <f t="shared" si="185"/>
        <v>0</v>
      </c>
      <c r="V1497" s="31"/>
      <c r="X1497" s="240" t="str">
        <f t="shared" si="186"/>
        <v>OK</v>
      </c>
      <c r="Y1497" s="240" t="str">
        <f t="shared" si="187"/>
        <v>OK</v>
      </c>
      <c r="Z1497" s="240" t="str">
        <f t="shared" si="188"/>
        <v>OK</v>
      </c>
      <c r="AA1497" s="240" t="str" cm="1">
        <f t="array" ref="AA1497">IF(OR(AND(J1497="Not accepted",N1497:O1497&lt;&gt;"",$S1497=""),AND(J1497="Accepted",S1497="")),"ERROR","OK")</f>
        <v>OK</v>
      </c>
      <c r="AB1497" s="240" t="str">
        <f t="shared" si="189"/>
        <v>OK</v>
      </c>
      <c r="AC1497" s="240" t="str" cm="1">
        <f t="array" ref="AC1497">IF(AND(F1497:H1497&lt;&gt;"",I1497=""),"ERROR","OK")</f>
        <v>OK</v>
      </c>
      <c r="AD1497" s="240" t="str">
        <f t="shared" si="190"/>
        <v>OK</v>
      </c>
      <c r="AE1497" s="240" t="str">
        <f t="shared" si="191"/>
        <v>OK</v>
      </c>
      <c r="AF1497" s="240" t="str" cm="1">
        <f t="array" aca="1" ref="AF1497" ca="1" xml:space="preserve">
IF(AND($G1497&lt;&gt;"",$F1497=""),"ERROR",
IF(OR($F1497:$G1497="",AND($G1497="",$F1497&lt;&gt;"")),"OK",
IF(COUNTIF(INDIRECT(IFERROR(LEFT($F1497,FIND(" ",$F1497)-1),$F1497)), $G1497)&gt;0, "OK", "ERROR")))</f>
        <v>OK</v>
      </c>
    </row>
    <row r="1498" spans="1:32" s="240" customFormat="1">
      <c r="A1498" s="48"/>
      <c r="B1498" s="31"/>
      <c r="C1498" s="48"/>
      <c r="D1498" s="47"/>
      <c r="E1498" s="47"/>
      <c r="F1498" s="31"/>
      <c r="G1498" s="31"/>
      <c r="H1498" s="31"/>
      <c r="I1498" s="47"/>
      <c r="J1498" s="31"/>
      <c r="K1498" s="47"/>
      <c r="L1498" s="47"/>
      <c r="M1498" s="47"/>
      <c r="N1498" s="31"/>
      <c r="O1498" s="47"/>
      <c r="P1498" s="31"/>
      <c r="Q1498" s="31"/>
      <c r="R1498" s="31"/>
      <c r="S1498" s="31"/>
      <c r="T1498" s="270">
        <f t="shared" si="184"/>
        <v>0</v>
      </c>
      <c r="U1498" s="270">
        <f t="shared" si="185"/>
        <v>0</v>
      </c>
      <c r="V1498" s="31"/>
      <c r="X1498" s="240" t="str">
        <f t="shared" si="186"/>
        <v>OK</v>
      </c>
      <c r="Y1498" s="240" t="str">
        <f t="shared" si="187"/>
        <v>OK</v>
      </c>
      <c r="Z1498" s="240" t="str">
        <f t="shared" si="188"/>
        <v>OK</v>
      </c>
      <c r="AA1498" s="240" t="str" cm="1">
        <f t="array" ref="AA1498">IF(OR(AND(J1498="Not accepted",N1498:O1498&lt;&gt;"",$S1498=""),AND(J1498="Accepted",S1498="")),"ERROR","OK")</f>
        <v>OK</v>
      </c>
      <c r="AB1498" s="240" t="str">
        <f t="shared" si="189"/>
        <v>OK</v>
      </c>
      <c r="AC1498" s="240" t="str" cm="1">
        <f t="array" ref="AC1498">IF(AND(F1498:H1498&lt;&gt;"",I1498=""),"ERROR","OK")</f>
        <v>OK</v>
      </c>
      <c r="AD1498" s="240" t="str">
        <f t="shared" si="190"/>
        <v>OK</v>
      </c>
      <c r="AE1498" s="240" t="str">
        <f t="shared" si="191"/>
        <v>OK</v>
      </c>
      <c r="AF1498" s="240" t="str" cm="1">
        <f t="array" aca="1" ref="AF1498" ca="1" xml:space="preserve">
IF(AND($G1498&lt;&gt;"",$F1498=""),"ERROR",
IF(OR($F1498:$G1498="",AND($G1498="",$F1498&lt;&gt;"")),"OK",
IF(COUNTIF(INDIRECT(IFERROR(LEFT($F1498,FIND(" ",$F1498)-1),$F1498)), $G1498)&gt;0, "OK", "ERROR")))</f>
        <v>OK</v>
      </c>
    </row>
    <row r="1499" spans="1:32" s="240" customFormat="1">
      <c r="A1499" s="48"/>
      <c r="B1499" s="31"/>
      <c r="C1499" s="48"/>
      <c r="D1499" s="47"/>
      <c r="E1499" s="47"/>
      <c r="F1499" s="31"/>
      <c r="G1499" s="31"/>
      <c r="H1499" s="31"/>
      <c r="I1499" s="47"/>
      <c r="J1499" s="31"/>
      <c r="K1499" s="47"/>
      <c r="L1499" s="47"/>
      <c r="M1499" s="47"/>
      <c r="N1499" s="31"/>
      <c r="O1499" s="47"/>
      <c r="P1499" s="31"/>
      <c r="Q1499" s="31"/>
      <c r="R1499" s="31"/>
      <c r="S1499" s="31"/>
      <c r="T1499" s="270">
        <f t="shared" si="184"/>
        <v>0</v>
      </c>
      <c r="U1499" s="270">
        <f t="shared" si="185"/>
        <v>0</v>
      </c>
      <c r="V1499" s="31"/>
      <c r="X1499" s="240" t="str">
        <f t="shared" si="186"/>
        <v>OK</v>
      </c>
      <c r="Y1499" s="240" t="str">
        <f t="shared" si="187"/>
        <v>OK</v>
      </c>
      <c r="Z1499" s="240" t="str">
        <f t="shared" si="188"/>
        <v>OK</v>
      </c>
      <c r="AA1499" s="240" t="str" cm="1">
        <f t="array" ref="AA1499">IF(OR(AND(J1499="Not accepted",N1499:O1499&lt;&gt;"",$S1499=""),AND(J1499="Accepted",S1499="")),"ERROR","OK")</f>
        <v>OK</v>
      </c>
      <c r="AB1499" s="240" t="str">
        <f t="shared" si="189"/>
        <v>OK</v>
      </c>
      <c r="AC1499" s="240" t="str" cm="1">
        <f t="array" ref="AC1499">IF(AND(F1499:H1499&lt;&gt;"",I1499=""),"ERROR","OK")</f>
        <v>OK</v>
      </c>
      <c r="AD1499" s="240" t="str">
        <f t="shared" si="190"/>
        <v>OK</v>
      </c>
      <c r="AE1499" s="240" t="str">
        <f t="shared" si="191"/>
        <v>OK</v>
      </c>
      <c r="AF1499" s="240" t="str" cm="1">
        <f t="array" aca="1" ref="AF1499" ca="1" xml:space="preserve">
IF(AND($G1499&lt;&gt;"",$F1499=""),"ERROR",
IF(OR($F1499:$G1499="",AND($G1499="",$F1499&lt;&gt;"")),"OK",
IF(COUNTIF(INDIRECT(IFERROR(LEFT($F1499,FIND(" ",$F1499)-1),$F1499)), $G1499)&gt;0, "OK", "ERROR")))</f>
        <v>OK</v>
      </c>
    </row>
    <row r="1500" spans="1:32" s="240" customFormat="1">
      <c r="A1500" s="48"/>
      <c r="B1500" s="31"/>
      <c r="C1500" s="48"/>
      <c r="D1500" s="47"/>
      <c r="E1500" s="47"/>
      <c r="F1500" s="31"/>
      <c r="G1500" s="31"/>
      <c r="H1500" s="31"/>
      <c r="I1500" s="47"/>
      <c r="J1500" s="31"/>
      <c r="K1500" s="47"/>
      <c r="L1500" s="47"/>
      <c r="M1500" s="47"/>
      <c r="N1500" s="31"/>
      <c r="O1500" s="47"/>
      <c r="P1500" s="31"/>
      <c r="Q1500" s="31"/>
      <c r="R1500" s="31"/>
      <c r="S1500" s="31"/>
      <c r="T1500" s="270">
        <f t="shared" si="184"/>
        <v>0</v>
      </c>
      <c r="U1500" s="270">
        <f t="shared" si="185"/>
        <v>0</v>
      </c>
      <c r="V1500" s="31"/>
      <c r="X1500" s="240" t="str">
        <f t="shared" si="186"/>
        <v>OK</v>
      </c>
      <c r="Y1500" s="240" t="str">
        <f t="shared" si="187"/>
        <v>OK</v>
      </c>
      <c r="Z1500" s="240" t="str">
        <f t="shared" si="188"/>
        <v>OK</v>
      </c>
      <c r="AA1500" s="240" t="str" cm="1">
        <f t="array" ref="AA1500">IF(OR(AND(J1500="Not accepted",N1500:O1500&lt;&gt;"",$S1500=""),AND(J1500="Accepted",S1500="")),"ERROR","OK")</f>
        <v>OK</v>
      </c>
      <c r="AB1500" s="240" t="str">
        <f t="shared" si="189"/>
        <v>OK</v>
      </c>
      <c r="AC1500" s="240" t="str" cm="1">
        <f t="array" ref="AC1500">IF(AND(F1500:H1500&lt;&gt;"",I1500=""),"ERROR","OK")</f>
        <v>OK</v>
      </c>
      <c r="AD1500" s="240" t="str">
        <f t="shared" si="190"/>
        <v>OK</v>
      </c>
      <c r="AE1500" s="240" t="str">
        <f t="shared" si="191"/>
        <v>OK</v>
      </c>
      <c r="AF1500" s="240" t="str" cm="1">
        <f t="array" aca="1" ref="AF1500" ca="1" xml:space="preserve">
IF(AND($G1500&lt;&gt;"",$F1500=""),"ERROR",
IF(OR($F1500:$G1500="",AND($G1500="",$F1500&lt;&gt;"")),"OK",
IF(COUNTIF(INDIRECT(IFERROR(LEFT($F1500,FIND(" ",$F1500)-1),$F1500)), $G1500)&gt;0, "OK", "ERROR")))</f>
        <v>OK</v>
      </c>
    </row>
    <row r="1501" spans="1:32" s="240" customFormat="1">
      <c r="A1501" s="48"/>
      <c r="B1501" s="31"/>
      <c r="C1501" s="48"/>
      <c r="D1501" s="47"/>
      <c r="E1501" s="47"/>
      <c r="F1501" s="31"/>
      <c r="G1501" s="31"/>
      <c r="H1501" s="31"/>
      <c r="I1501" s="47"/>
      <c r="J1501" s="31"/>
      <c r="K1501" s="47"/>
      <c r="L1501" s="47"/>
      <c r="M1501" s="47"/>
      <c r="N1501" s="31"/>
      <c r="O1501" s="47"/>
      <c r="P1501" s="31"/>
      <c r="Q1501" s="31"/>
      <c r="R1501" s="31"/>
      <c r="S1501" s="31"/>
      <c r="T1501" s="270">
        <f t="shared" si="184"/>
        <v>0</v>
      </c>
      <c r="U1501" s="270">
        <f t="shared" si="185"/>
        <v>0</v>
      </c>
      <c r="V1501" s="31"/>
      <c r="X1501" s="240" t="str">
        <f t="shared" si="186"/>
        <v>OK</v>
      </c>
      <c r="Y1501" s="240" t="str">
        <f t="shared" si="187"/>
        <v>OK</v>
      </c>
      <c r="Z1501" s="240" t="str">
        <f t="shared" si="188"/>
        <v>OK</v>
      </c>
      <c r="AA1501" s="240" t="str" cm="1">
        <f t="array" ref="AA1501">IF(OR(AND(J1501="Not accepted",N1501:O1501&lt;&gt;"",$S1501=""),AND(J1501="Accepted",S1501="")),"ERROR","OK")</f>
        <v>OK</v>
      </c>
      <c r="AB1501" s="240" t="str">
        <f t="shared" si="189"/>
        <v>OK</v>
      </c>
      <c r="AC1501" s="240" t="str" cm="1">
        <f t="array" ref="AC1501">IF(AND(F1501:H1501&lt;&gt;"",I1501=""),"ERROR","OK")</f>
        <v>OK</v>
      </c>
      <c r="AD1501" s="240" t="str">
        <f t="shared" si="190"/>
        <v>OK</v>
      </c>
      <c r="AE1501" s="240" t="str">
        <f t="shared" si="191"/>
        <v>OK</v>
      </c>
      <c r="AF1501" s="240" t="str" cm="1">
        <f t="array" aca="1" ref="AF1501" ca="1" xml:space="preserve">
IF(AND($G1501&lt;&gt;"",$F1501=""),"ERROR",
IF(OR($F1501:$G1501="",AND($G1501="",$F1501&lt;&gt;"")),"OK",
IF(COUNTIF(INDIRECT(IFERROR(LEFT($F1501,FIND(" ",$F1501)-1),$F1501)), $G1501)&gt;0, "OK", "ERROR")))</f>
        <v>OK</v>
      </c>
    </row>
    <row r="1502" spans="1:32" s="240" customFormat="1">
      <c r="A1502" s="48"/>
      <c r="B1502" s="31"/>
      <c r="C1502" s="48"/>
      <c r="D1502" s="47"/>
      <c r="E1502" s="47"/>
      <c r="F1502" s="31"/>
      <c r="G1502" s="31"/>
      <c r="H1502" s="31"/>
      <c r="I1502" s="47"/>
      <c r="J1502" s="31"/>
      <c r="K1502" s="47"/>
      <c r="L1502" s="47"/>
      <c r="M1502" s="47"/>
      <c r="N1502" s="31"/>
      <c r="O1502" s="47"/>
      <c r="P1502" s="31"/>
      <c r="Q1502" s="31"/>
      <c r="R1502" s="31"/>
      <c r="S1502" s="31"/>
      <c r="T1502" s="270">
        <f t="shared" si="184"/>
        <v>0</v>
      </c>
      <c r="U1502" s="270">
        <f t="shared" si="185"/>
        <v>0</v>
      </c>
      <c r="V1502" s="31"/>
      <c r="X1502" s="240" t="str">
        <f t="shared" si="186"/>
        <v>OK</v>
      </c>
      <c r="Y1502" s="240" t="str">
        <f t="shared" si="187"/>
        <v>OK</v>
      </c>
      <c r="Z1502" s="240" t="str">
        <f t="shared" si="188"/>
        <v>OK</v>
      </c>
      <c r="AA1502" s="240" t="str" cm="1">
        <f t="array" ref="AA1502">IF(OR(AND(J1502="Not accepted",N1502:O1502&lt;&gt;"",$S1502=""),AND(J1502="Accepted",S1502="")),"ERROR","OK")</f>
        <v>OK</v>
      </c>
      <c r="AB1502" s="240" t="str">
        <f t="shared" si="189"/>
        <v>OK</v>
      </c>
      <c r="AC1502" s="240" t="str" cm="1">
        <f t="array" ref="AC1502">IF(AND(F1502:H1502&lt;&gt;"",I1502=""),"ERROR","OK")</f>
        <v>OK</v>
      </c>
      <c r="AD1502" s="240" t="str">
        <f t="shared" si="190"/>
        <v>OK</v>
      </c>
      <c r="AE1502" s="240" t="str">
        <f t="shared" si="191"/>
        <v>OK</v>
      </c>
      <c r="AF1502" s="240" t="str" cm="1">
        <f t="array" aca="1" ref="AF1502" ca="1" xml:space="preserve">
IF(AND($G1502&lt;&gt;"",$F1502=""),"ERROR",
IF(OR($F1502:$G1502="",AND($G1502="",$F1502&lt;&gt;"")),"OK",
IF(COUNTIF(INDIRECT(IFERROR(LEFT($F1502,FIND(" ",$F1502)-1),$F1502)), $G1502)&gt;0, "OK", "ERROR")))</f>
        <v>OK</v>
      </c>
    </row>
    <row r="1503" spans="1:32" s="240" customFormat="1">
      <c r="A1503" s="48"/>
      <c r="B1503" s="31"/>
      <c r="C1503" s="48"/>
      <c r="D1503" s="47"/>
      <c r="E1503" s="47"/>
      <c r="F1503" s="31"/>
      <c r="G1503" s="31"/>
      <c r="H1503" s="31"/>
      <c r="I1503" s="47"/>
      <c r="J1503" s="31"/>
      <c r="K1503" s="47"/>
      <c r="L1503" s="47"/>
      <c r="M1503" s="47"/>
      <c r="N1503" s="31"/>
      <c r="O1503" s="47"/>
      <c r="P1503" s="31"/>
      <c r="Q1503" s="31"/>
      <c r="R1503" s="31"/>
      <c r="S1503" s="31"/>
      <c r="T1503" s="270">
        <f t="shared" si="184"/>
        <v>0</v>
      </c>
      <c r="U1503" s="270">
        <f t="shared" si="185"/>
        <v>0</v>
      </c>
      <c r="V1503" s="31"/>
      <c r="X1503" s="240" t="str">
        <f t="shared" si="186"/>
        <v>OK</v>
      </c>
      <c r="Y1503" s="240" t="str">
        <f t="shared" si="187"/>
        <v>OK</v>
      </c>
      <c r="Z1503" s="240" t="str">
        <f t="shared" si="188"/>
        <v>OK</v>
      </c>
      <c r="AA1503" s="240" t="str" cm="1">
        <f t="array" ref="AA1503">IF(OR(AND(J1503="Not accepted",N1503:O1503&lt;&gt;"",$S1503=""),AND(J1503="Accepted",S1503="")),"ERROR","OK")</f>
        <v>OK</v>
      </c>
      <c r="AB1503" s="240" t="str">
        <f t="shared" si="189"/>
        <v>OK</v>
      </c>
      <c r="AC1503" s="240" t="str" cm="1">
        <f t="array" ref="AC1503">IF(AND(F1503:H1503&lt;&gt;"",I1503=""),"ERROR","OK")</f>
        <v>OK</v>
      </c>
      <c r="AD1503" s="240" t="str">
        <f t="shared" si="190"/>
        <v>OK</v>
      </c>
      <c r="AE1503" s="240" t="str">
        <f t="shared" si="191"/>
        <v>OK</v>
      </c>
      <c r="AF1503" s="240" t="str" cm="1">
        <f t="array" aca="1" ref="AF1503" ca="1" xml:space="preserve">
IF(AND($G1503&lt;&gt;"",$F1503=""),"ERROR",
IF(OR($F1503:$G1503="",AND($G1503="",$F1503&lt;&gt;"")),"OK",
IF(COUNTIF(INDIRECT(IFERROR(LEFT($F1503,FIND(" ",$F1503)-1),$F1503)), $G1503)&gt;0, "OK", "ERROR")))</f>
        <v>OK</v>
      </c>
    </row>
    <row r="1504" spans="1:32" s="240" customFormat="1">
      <c r="A1504" s="48"/>
      <c r="B1504" s="31"/>
      <c r="C1504" s="48"/>
      <c r="D1504" s="47"/>
      <c r="E1504" s="47"/>
      <c r="F1504" s="31"/>
      <c r="G1504" s="31"/>
      <c r="H1504" s="31"/>
      <c r="I1504" s="47"/>
      <c r="J1504" s="31"/>
      <c r="K1504" s="47"/>
      <c r="L1504" s="47"/>
      <c r="M1504" s="47"/>
      <c r="N1504" s="31"/>
      <c r="O1504" s="47"/>
      <c r="P1504" s="31"/>
      <c r="Q1504" s="31"/>
      <c r="R1504" s="31"/>
      <c r="S1504" s="31"/>
      <c r="T1504" s="270">
        <f t="shared" si="184"/>
        <v>0</v>
      </c>
      <c r="U1504" s="270">
        <f t="shared" si="185"/>
        <v>0</v>
      </c>
      <c r="V1504" s="31"/>
      <c r="X1504" s="240" t="str">
        <f t="shared" si="186"/>
        <v>OK</v>
      </c>
      <c r="Y1504" s="240" t="str">
        <f t="shared" si="187"/>
        <v>OK</v>
      </c>
      <c r="Z1504" s="240" t="str">
        <f t="shared" si="188"/>
        <v>OK</v>
      </c>
      <c r="AA1504" s="240" t="str" cm="1">
        <f t="array" ref="AA1504">IF(OR(AND(J1504="Not accepted",N1504:O1504&lt;&gt;"",$S1504=""),AND(J1504="Accepted",S1504="")),"ERROR","OK")</f>
        <v>OK</v>
      </c>
      <c r="AB1504" s="240" t="str">
        <f t="shared" si="189"/>
        <v>OK</v>
      </c>
      <c r="AC1504" s="240" t="str" cm="1">
        <f t="array" ref="AC1504">IF(AND(F1504:H1504&lt;&gt;"",I1504=""),"ERROR","OK")</f>
        <v>OK</v>
      </c>
      <c r="AD1504" s="240" t="str">
        <f t="shared" si="190"/>
        <v>OK</v>
      </c>
      <c r="AE1504" s="240" t="str">
        <f t="shared" si="191"/>
        <v>OK</v>
      </c>
      <c r="AF1504" s="240" t="str" cm="1">
        <f t="array" aca="1" ref="AF1504" ca="1" xml:space="preserve">
IF(AND($G1504&lt;&gt;"",$F1504=""),"ERROR",
IF(OR($F1504:$G1504="",AND($G1504="",$F1504&lt;&gt;"")),"OK",
IF(COUNTIF(INDIRECT(IFERROR(LEFT($F1504,FIND(" ",$F1504)-1),$F1504)), $G1504)&gt;0, "OK", "ERROR")))</f>
        <v>OK</v>
      </c>
    </row>
    <row r="1505" spans="1:32" s="240" customFormat="1">
      <c r="A1505" s="48"/>
      <c r="B1505" s="31"/>
      <c r="C1505" s="48"/>
      <c r="D1505" s="47"/>
      <c r="E1505" s="47"/>
      <c r="F1505" s="31"/>
      <c r="G1505" s="31"/>
      <c r="H1505" s="31"/>
      <c r="I1505" s="47"/>
      <c r="J1505" s="31"/>
      <c r="K1505" s="47"/>
      <c r="L1505" s="47"/>
      <c r="M1505" s="47"/>
      <c r="N1505" s="31"/>
      <c r="O1505" s="47"/>
      <c r="P1505" s="31"/>
      <c r="Q1505" s="31"/>
      <c r="R1505" s="31"/>
      <c r="S1505" s="31"/>
      <c r="T1505" s="270">
        <f t="shared" si="184"/>
        <v>0</v>
      </c>
      <c r="U1505" s="270">
        <f t="shared" si="185"/>
        <v>0</v>
      </c>
      <c r="V1505" s="31"/>
      <c r="X1505" s="240" t="str">
        <f t="shared" si="186"/>
        <v>OK</v>
      </c>
      <c r="Y1505" s="240" t="str">
        <f t="shared" si="187"/>
        <v>OK</v>
      </c>
      <c r="Z1505" s="240" t="str">
        <f t="shared" si="188"/>
        <v>OK</v>
      </c>
      <c r="AA1505" s="240" t="str" cm="1">
        <f t="array" ref="AA1505">IF(OR(AND(J1505="Not accepted",N1505:O1505&lt;&gt;"",$S1505=""),AND(J1505="Accepted",S1505="")),"ERROR","OK")</f>
        <v>OK</v>
      </c>
      <c r="AB1505" s="240" t="str">
        <f t="shared" si="189"/>
        <v>OK</v>
      </c>
      <c r="AC1505" s="240" t="str" cm="1">
        <f t="array" ref="AC1505">IF(AND(F1505:H1505&lt;&gt;"",I1505=""),"ERROR","OK")</f>
        <v>OK</v>
      </c>
      <c r="AD1505" s="240" t="str">
        <f t="shared" si="190"/>
        <v>OK</v>
      </c>
      <c r="AE1505" s="240" t="str">
        <f t="shared" si="191"/>
        <v>OK</v>
      </c>
      <c r="AF1505" s="240" t="str" cm="1">
        <f t="array" aca="1" ref="AF1505" ca="1" xml:space="preserve">
IF(AND($G1505&lt;&gt;"",$F1505=""),"ERROR",
IF(OR($F1505:$G1505="",AND($G1505="",$F1505&lt;&gt;"")),"OK",
IF(COUNTIF(INDIRECT(IFERROR(LEFT($F1505,FIND(" ",$F1505)-1),$F1505)), $G1505)&gt;0, "OK", "ERROR")))</f>
        <v>OK</v>
      </c>
    </row>
    <row r="1506" spans="1:32" s="240" customFormat="1">
      <c r="A1506" s="48"/>
      <c r="B1506" s="31"/>
      <c r="C1506" s="48"/>
      <c r="D1506" s="47"/>
      <c r="E1506" s="47"/>
      <c r="F1506" s="31"/>
      <c r="G1506" s="31"/>
      <c r="H1506" s="31"/>
      <c r="I1506" s="47"/>
      <c r="J1506" s="31"/>
      <c r="K1506" s="47"/>
      <c r="L1506" s="47"/>
      <c r="M1506" s="47"/>
      <c r="N1506" s="31"/>
      <c r="O1506" s="47"/>
      <c r="P1506" s="31"/>
      <c r="Q1506" s="31"/>
      <c r="R1506" s="31"/>
      <c r="S1506" s="31"/>
      <c r="T1506" s="270">
        <f t="shared" si="184"/>
        <v>0</v>
      </c>
      <c r="U1506" s="270">
        <f t="shared" si="185"/>
        <v>0</v>
      </c>
      <c r="V1506" s="31"/>
      <c r="X1506" s="240" t="str">
        <f t="shared" si="186"/>
        <v>OK</v>
      </c>
      <c r="Y1506" s="240" t="str">
        <f t="shared" si="187"/>
        <v>OK</v>
      </c>
      <c r="Z1506" s="240" t="str">
        <f t="shared" si="188"/>
        <v>OK</v>
      </c>
      <c r="AA1506" s="240" t="str" cm="1">
        <f t="array" ref="AA1506">IF(OR(AND(J1506="Not accepted",N1506:O1506&lt;&gt;"",$S1506=""),AND(J1506="Accepted",S1506="")),"ERROR","OK")</f>
        <v>OK</v>
      </c>
      <c r="AB1506" s="240" t="str">
        <f t="shared" si="189"/>
        <v>OK</v>
      </c>
      <c r="AC1506" s="240" t="str" cm="1">
        <f t="array" ref="AC1506">IF(AND(F1506:H1506&lt;&gt;"",I1506=""),"ERROR","OK")</f>
        <v>OK</v>
      </c>
      <c r="AD1506" s="240" t="str">
        <f t="shared" si="190"/>
        <v>OK</v>
      </c>
      <c r="AE1506" s="240" t="str">
        <f t="shared" si="191"/>
        <v>OK</v>
      </c>
      <c r="AF1506" s="240" t="str" cm="1">
        <f t="array" aca="1" ref="AF1506" ca="1" xml:space="preserve">
IF(AND($G1506&lt;&gt;"",$F1506=""),"ERROR",
IF(OR($F1506:$G1506="",AND($G1506="",$F1506&lt;&gt;"")),"OK",
IF(COUNTIF(INDIRECT(IFERROR(LEFT($F1506,FIND(" ",$F1506)-1),$F1506)), $G1506)&gt;0, "OK", "ERROR")))</f>
        <v>OK</v>
      </c>
    </row>
    <row r="1507" spans="1:32" s="240" customFormat="1">
      <c r="A1507" s="48"/>
      <c r="B1507" s="31"/>
      <c r="C1507" s="48"/>
      <c r="D1507" s="47"/>
      <c r="E1507" s="47"/>
      <c r="F1507" s="31"/>
      <c r="G1507" s="31"/>
      <c r="H1507" s="31"/>
      <c r="I1507" s="47"/>
      <c r="J1507" s="31"/>
      <c r="K1507" s="47"/>
      <c r="L1507" s="47"/>
      <c r="M1507" s="47"/>
      <c r="N1507" s="31"/>
      <c r="O1507" s="47"/>
      <c r="P1507" s="31"/>
      <c r="Q1507" s="31"/>
      <c r="R1507" s="31"/>
      <c r="S1507" s="31"/>
      <c r="T1507" s="270">
        <f t="shared" si="184"/>
        <v>0</v>
      </c>
      <c r="U1507" s="270">
        <f t="shared" si="185"/>
        <v>0</v>
      </c>
      <c r="V1507" s="31"/>
      <c r="X1507" s="240" t="str">
        <f t="shared" si="186"/>
        <v>OK</v>
      </c>
      <c r="Y1507" s="240" t="str">
        <f t="shared" si="187"/>
        <v>OK</v>
      </c>
      <c r="Z1507" s="240" t="str">
        <f t="shared" si="188"/>
        <v>OK</v>
      </c>
      <c r="AA1507" s="240" t="str" cm="1">
        <f t="array" ref="AA1507">IF(OR(AND(J1507="Not accepted",N1507:O1507&lt;&gt;"",$S1507=""),AND(J1507="Accepted",S1507="")),"ERROR","OK")</f>
        <v>OK</v>
      </c>
      <c r="AB1507" s="240" t="str">
        <f t="shared" si="189"/>
        <v>OK</v>
      </c>
      <c r="AC1507" s="240" t="str" cm="1">
        <f t="array" ref="AC1507">IF(AND(F1507:H1507&lt;&gt;"",I1507=""),"ERROR","OK")</f>
        <v>OK</v>
      </c>
      <c r="AD1507" s="240" t="str">
        <f t="shared" si="190"/>
        <v>OK</v>
      </c>
      <c r="AE1507" s="240" t="str">
        <f t="shared" si="191"/>
        <v>OK</v>
      </c>
      <c r="AF1507" s="240" t="str" cm="1">
        <f t="array" aca="1" ref="AF1507" ca="1" xml:space="preserve">
IF(AND($G1507&lt;&gt;"",$F1507=""),"ERROR",
IF(OR($F1507:$G1507="",AND($G1507="",$F1507&lt;&gt;"")),"OK",
IF(COUNTIF(INDIRECT(IFERROR(LEFT($F1507,FIND(" ",$F1507)-1),$F1507)), $G1507)&gt;0, "OK", "ERROR")))</f>
        <v>OK</v>
      </c>
    </row>
    <row r="1508" spans="1:32" s="240" customFormat="1">
      <c r="A1508" s="48"/>
      <c r="B1508" s="31"/>
      <c r="C1508" s="48"/>
      <c r="D1508" s="47"/>
      <c r="E1508" s="47"/>
      <c r="F1508" s="31"/>
      <c r="G1508" s="31"/>
      <c r="H1508" s="31"/>
      <c r="I1508" s="47"/>
      <c r="J1508" s="31"/>
      <c r="K1508" s="47"/>
      <c r="L1508" s="47"/>
      <c r="M1508" s="47"/>
      <c r="N1508" s="31"/>
      <c r="O1508" s="47"/>
      <c r="P1508" s="31"/>
      <c r="Q1508" s="31"/>
      <c r="R1508" s="31"/>
      <c r="S1508" s="31"/>
      <c r="T1508" s="270">
        <f t="shared" si="184"/>
        <v>0</v>
      </c>
      <c r="U1508" s="270">
        <f t="shared" si="185"/>
        <v>0</v>
      </c>
      <c r="V1508" s="31"/>
      <c r="X1508" s="240" t="str">
        <f t="shared" si="186"/>
        <v>OK</v>
      </c>
      <c r="Y1508" s="240" t="str">
        <f t="shared" si="187"/>
        <v>OK</v>
      </c>
      <c r="Z1508" s="240" t="str">
        <f t="shared" si="188"/>
        <v>OK</v>
      </c>
      <c r="AA1508" s="240" t="str" cm="1">
        <f t="array" ref="AA1508">IF(OR(AND(J1508="Not accepted",N1508:O1508&lt;&gt;"",$S1508=""),AND(J1508="Accepted",S1508="")),"ERROR","OK")</f>
        <v>OK</v>
      </c>
      <c r="AB1508" s="240" t="str">
        <f t="shared" si="189"/>
        <v>OK</v>
      </c>
      <c r="AC1508" s="240" t="str" cm="1">
        <f t="array" ref="AC1508">IF(AND(F1508:H1508&lt;&gt;"",I1508=""),"ERROR","OK")</f>
        <v>OK</v>
      </c>
      <c r="AD1508" s="240" t="str">
        <f t="shared" si="190"/>
        <v>OK</v>
      </c>
      <c r="AE1508" s="240" t="str">
        <f t="shared" si="191"/>
        <v>OK</v>
      </c>
      <c r="AF1508" s="240" t="str" cm="1">
        <f t="array" aca="1" ref="AF1508" ca="1" xml:space="preserve">
IF(AND($G1508&lt;&gt;"",$F1508=""),"ERROR",
IF(OR($F1508:$G1508="",AND($G1508="",$F1508&lt;&gt;"")),"OK",
IF(COUNTIF(INDIRECT(IFERROR(LEFT($F1508,FIND(" ",$F1508)-1),$F1508)), $G1508)&gt;0, "OK", "ERROR")))</f>
        <v>OK</v>
      </c>
    </row>
    <row r="1509" spans="1:32" s="240" customFormat="1">
      <c r="A1509" s="48"/>
      <c r="B1509" s="31"/>
      <c r="C1509" s="48"/>
      <c r="D1509" s="47"/>
      <c r="E1509" s="47"/>
      <c r="F1509" s="31"/>
      <c r="G1509" s="31"/>
      <c r="H1509" s="31"/>
      <c r="I1509" s="47"/>
      <c r="J1509" s="31"/>
      <c r="K1509" s="47"/>
      <c r="L1509" s="47"/>
      <c r="M1509" s="47"/>
      <c r="N1509" s="31"/>
      <c r="O1509" s="47"/>
      <c r="P1509" s="31"/>
      <c r="Q1509" s="31"/>
      <c r="R1509" s="31"/>
      <c r="S1509" s="31"/>
      <c r="T1509" s="270">
        <f t="shared" si="184"/>
        <v>0</v>
      </c>
      <c r="U1509" s="270">
        <f t="shared" si="185"/>
        <v>0</v>
      </c>
      <c r="V1509" s="31"/>
      <c r="X1509" s="240" t="str">
        <f t="shared" si="186"/>
        <v>OK</v>
      </c>
      <c r="Y1509" s="240" t="str">
        <f t="shared" si="187"/>
        <v>OK</v>
      </c>
      <c r="Z1509" s="240" t="str">
        <f t="shared" si="188"/>
        <v>OK</v>
      </c>
      <c r="AA1509" s="240" t="str" cm="1">
        <f t="array" ref="AA1509">IF(OR(AND(J1509="Not accepted",N1509:O1509&lt;&gt;"",$S1509=""),AND(J1509="Accepted",S1509="")),"ERROR","OK")</f>
        <v>OK</v>
      </c>
      <c r="AB1509" s="240" t="str">
        <f t="shared" si="189"/>
        <v>OK</v>
      </c>
      <c r="AC1509" s="240" t="str" cm="1">
        <f t="array" ref="AC1509">IF(AND(F1509:H1509&lt;&gt;"",I1509=""),"ERROR","OK")</f>
        <v>OK</v>
      </c>
      <c r="AD1509" s="240" t="str">
        <f t="shared" si="190"/>
        <v>OK</v>
      </c>
      <c r="AE1509" s="240" t="str">
        <f t="shared" si="191"/>
        <v>OK</v>
      </c>
      <c r="AF1509" s="240" t="str" cm="1">
        <f t="array" aca="1" ref="AF1509" ca="1" xml:space="preserve">
IF(AND($G1509&lt;&gt;"",$F1509=""),"ERROR",
IF(OR($F1509:$G1509="",AND($G1509="",$F1509&lt;&gt;"")),"OK",
IF(COUNTIF(INDIRECT(IFERROR(LEFT($F1509,FIND(" ",$F1509)-1),$F1509)), $G1509)&gt;0, "OK", "ERROR")))</f>
        <v>OK</v>
      </c>
    </row>
    <row r="1510" spans="1:32" s="240" customFormat="1">
      <c r="A1510" s="48"/>
      <c r="B1510" s="31"/>
      <c r="C1510" s="48"/>
      <c r="D1510" s="47"/>
      <c r="E1510" s="47"/>
      <c r="F1510" s="31"/>
      <c r="G1510" s="31"/>
      <c r="H1510" s="31"/>
      <c r="I1510" s="47"/>
      <c r="J1510" s="31"/>
      <c r="K1510" s="47"/>
      <c r="L1510" s="47"/>
      <c r="M1510" s="47"/>
      <c r="N1510" s="31"/>
      <c r="O1510" s="47"/>
      <c r="P1510" s="31"/>
      <c r="Q1510" s="31"/>
      <c r="R1510" s="31"/>
      <c r="S1510" s="31"/>
      <c r="T1510" s="270">
        <f t="shared" si="184"/>
        <v>0</v>
      </c>
      <c r="U1510" s="270">
        <f t="shared" si="185"/>
        <v>0</v>
      </c>
      <c r="V1510" s="31"/>
      <c r="X1510" s="240" t="str">
        <f t="shared" si="186"/>
        <v>OK</v>
      </c>
      <c r="Y1510" s="240" t="str">
        <f t="shared" si="187"/>
        <v>OK</v>
      </c>
      <c r="Z1510" s="240" t="str">
        <f t="shared" si="188"/>
        <v>OK</v>
      </c>
      <c r="AA1510" s="240" t="str" cm="1">
        <f t="array" ref="AA1510">IF(OR(AND(J1510="Not accepted",N1510:O1510&lt;&gt;"",$S1510=""),AND(J1510="Accepted",S1510="")),"ERROR","OK")</f>
        <v>OK</v>
      </c>
      <c r="AB1510" s="240" t="str">
        <f t="shared" si="189"/>
        <v>OK</v>
      </c>
      <c r="AC1510" s="240" t="str" cm="1">
        <f t="array" ref="AC1510">IF(AND(F1510:H1510&lt;&gt;"",I1510=""),"ERROR","OK")</f>
        <v>OK</v>
      </c>
      <c r="AD1510" s="240" t="str">
        <f t="shared" si="190"/>
        <v>OK</v>
      </c>
      <c r="AE1510" s="240" t="str">
        <f t="shared" si="191"/>
        <v>OK</v>
      </c>
      <c r="AF1510" s="240" t="str" cm="1">
        <f t="array" aca="1" ref="AF1510" ca="1" xml:space="preserve">
IF(AND($G1510&lt;&gt;"",$F1510=""),"ERROR",
IF(OR($F1510:$G1510="",AND($G1510="",$F1510&lt;&gt;"")),"OK",
IF(COUNTIF(INDIRECT(IFERROR(LEFT($F1510,FIND(" ",$F1510)-1),$F1510)), $G1510)&gt;0, "OK", "ERROR")))</f>
        <v>OK</v>
      </c>
    </row>
    <row r="1511" spans="1:32" s="240" customFormat="1">
      <c r="A1511" s="48"/>
      <c r="B1511" s="31"/>
      <c r="C1511" s="48"/>
      <c r="D1511" s="47"/>
      <c r="E1511" s="47"/>
      <c r="F1511" s="31"/>
      <c r="G1511" s="31"/>
      <c r="H1511" s="31"/>
      <c r="I1511" s="47"/>
      <c r="J1511" s="31"/>
      <c r="K1511" s="47"/>
      <c r="L1511" s="47"/>
      <c r="M1511" s="47"/>
      <c r="N1511" s="31"/>
      <c r="O1511" s="47"/>
      <c r="P1511" s="31"/>
      <c r="Q1511" s="31"/>
      <c r="R1511" s="31"/>
      <c r="S1511" s="31"/>
      <c r="T1511" s="270">
        <f t="shared" si="184"/>
        <v>0</v>
      </c>
      <c r="U1511" s="270">
        <f t="shared" si="185"/>
        <v>0</v>
      </c>
      <c r="V1511" s="31"/>
      <c r="X1511" s="240" t="str">
        <f t="shared" si="186"/>
        <v>OK</v>
      </c>
      <c r="Y1511" s="240" t="str">
        <f t="shared" si="187"/>
        <v>OK</v>
      </c>
      <c r="Z1511" s="240" t="str">
        <f t="shared" si="188"/>
        <v>OK</v>
      </c>
      <c r="AA1511" s="240" t="str" cm="1">
        <f t="array" ref="AA1511">IF(OR(AND(J1511="Not accepted",N1511:O1511&lt;&gt;"",$S1511=""),AND(J1511="Accepted",S1511="")),"ERROR","OK")</f>
        <v>OK</v>
      </c>
      <c r="AB1511" s="240" t="str">
        <f t="shared" si="189"/>
        <v>OK</v>
      </c>
      <c r="AC1511" s="240" t="str" cm="1">
        <f t="array" ref="AC1511">IF(AND(F1511:H1511&lt;&gt;"",I1511=""),"ERROR","OK")</f>
        <v>OK</v>
      </c>
      <c r="AD1511" s="240" t="str">
        <f t="shared" si="190"/>
        <v>OK</v>
      </c>
      <c r="AE1511" s="240" t="str">
        <f t="shared" si="191"/>
        <v>OK</v>
      </c>
      <c r="AF1511" s="240" t="str" cm="1">
        <f t="array" aca="1" ref="AF1511" ca="1" xml:space="preserve">
IF(AND($G1511&lt;&gt;"",$F1511=""),"ERROR",
IF(OR($F1511:$G1511="",AND($G1511="",$F1511&lt;&gt;"")),"OK",
IF(COUNTIF(INDIRECT(IFERROR(LEFT($F1511,FIND(" ",$F1511)-1),$F1511)), $G1511)&gt;0, "OK", "ERROR")))</f>
        <v>OK</v>
      </c>
    </row>
    <row r="1512" spans="1:32" s="240" customFormat="1">
      <c r="A1512" s="48"/>
      <c r="B1512" s="31"/>
      <c r="C1512" s="48"/>
      <c r="D1512" s="47"/>
      <c r="E1512" s="47"/>
      <c r="F1512" s="31"/>
      <c r="G1512" s="31"/>
      <c r="H1512" s="31"/>
      <c r="I1512" s="47"/>
      <c r="J1512" s="31"/>
      <c r="K1512" s="47"/>
      <c r="L1512" s="47"/>
      <c r="M1512" s="47"/>
      <c r="N1512" s="31"/>
      <c r="O1512" s="47"/>
      <c r="P1512" s="31"/>
      <c r="Q1512" s="31"/>
      <c r="R1512" s="31"/>
      <c r="S1512" s="31"/>
      <c r="T1512" s="270">
        <f t="shared" si="184"/>
        <v>0</v>
      </c>
      <c r="U1512" s="270">
        <f t="shared" si="185"/>
        <v>0</v>
      </c>
      <c r="V1512" s="31"/>
      <c r="X1512" s="240" t="str">
        <f t="shared" si="186"/>
        <v>OK</v>
      </c>
      <c r="Y1512" s="240" t="str">
        <f t="shared" si="187"/>
        <v>OK</v>
      </c>
      <c r="Z1512" s="240" t="str">
        <f t="shared" si="188"/>
        <v>OK</v>
      </c>
      <c r="AA1512" s="240" t="str" cm="1">
        <f t="array" ref="AA1512">IF(OR(AND(J1512="Not accepted",N1512:O1512&lt;&gt;"",$S1512=""),AND(J1512="Accepted",S1512="")),"ERROR","OK")</f>
        <v>OK</v>
      </c>
      <c r="AB1512" s="240" t="str">
        <f t="shared" si="189"/>
        <v>OK</v>
      </c>
      <c r="AC1512" s="240" t="str" cm="1">
        <f t="array" ref="AC1512">IF(AND(F1512:H1512&lt;&gt;"",I1512=""),"ERROR","OK")</f>
        <v>OK</v>
      </c>
      <c r="AD1512" s="240" t="str">
        <f t="shared" si="190"/>
        <v>OK</v>
      </c>
      <c r="AE1512" s="240" t="str">
        <f t="shared" si="191"/>
        <v>OK</v>
      </c>
      <c r="AF1512" s="240" t="str" cm="1">
        <f t="array" aca="1" ref="AF1512" ca="1" xml:space="preserve">
IF(AND($G1512&lt;&gt;"",$F1512=""),"ERROR",
IF(OR($F1512:$G1512="",AND($G1512="",$F1512&lt;&gt;"")),"OK",
IF(COUNTIF(INDIRECT(IFERROR(LEFT($F1512,FIND(" ",$F1512)-1),$F1512)), $G1512)&gt;0, "OK", "ERROR")))</f>
        <v>OK</v>
      </c>
    </row>
    <row r="1513" spans="1:32" s="240" customFormat="1">
      <c r="A1513" s="48"/>
      <c r="B1513" s="31"/>
      <c r="C1513" s="48"/>
      <c r="D1513" s="47"/>
      <c r="E1513" s="47"/>
      <c r="F1513" s="31"/>
      <c r="G1513" s="31"/>
      <c r="H1513" s="31"/>
      <c r="I1513" s="47"/>
      <c r="J1513" s="31"/>
      <c r="K1513" s="47"/>
      <c r="L1513" s="47"/>
      <c r="M1513" s="47"/>
      <c r="N1513" s="31"/>
      <c r="O1513" s="47"/>
      <c r="P1513" s="31"/>
      <c r="Q1513" s="31"/>
      <c r="R1513" s="31"/>
      <c r="S1513" s="31"/>
      <c r="T1513" s="270">
        <f t="shared" si="184"/>
        <v>0</v>
      </c>
      <c r="U1513" s="270">
        <f t="shared" si="185"/>
        <v>0</v>
      </c>
      <c r="V1513" s="31"/>
      <c r="X1513" s="240" t="str">
        <f t="shared" si="186"/>
        <v>OK</v>
      </c>
      <c r="Y1513" s="240" t="str">
        <f t="shared" si="187"/>
        <v>OK</v>
      </c>
      <c r="Z1513" s="240" t="str">
        <f t="shared" si="188"/>
        <v>OK</v>
      </c>
      <c r="AA1513" s="240" t="str" cm="1">
        <f t="array" ref="AA1513">IF(OR(AND(J1513="Not accepted",N1513:O1513&lt;&gt;"",$S1513=""),AND(J1513="Accepted",S1513="")),"ERROR","OK")</f>
        <v>OK</v>
      </c>
      <c r="AB1513" s="240" t="str">
        <f t="shared" si="189"/>
        <v>OK</v>
      </c>
      <c r="AC1513" s="240" t="str" cm="1">
        <f t="array" ref="AC1513">IF(AND(F1513:H1513&lt;&gt;"",I1513=""),"ERROR","OK")</f>
        <v>OK</v>
      </c>
      <c r="AD1513" s="240" t="str">
        <f t="shared" si="190"/>
        <v>OK</v>
      </c>
      <c r="AE1513" s="240" t="str">
        <f t="shared" si="191"/>
        <v>OK</v>
      </c>
      <c r="AF1513" s="240" t="str" cm="1">
        <f t="array" aca="1" ref="AF1513" ca="1" xml:space="preserve">
IF(AND($G1513&lt;&gt;"",$F1513=""),"ERROR",
IF(OR($F1513:$G1513="",AND($G1513="",$F1513&lt;&gt;"")),"OK",
IF(COUNTIF(INDIRECT(IFERROR(LEFT($F1513,FIND(" ",$F1513)-1),$F1513)), $G1513)&gt;0, "OK", "ERROR")))</f>
        <v>OK</v>
      </c>
    </row>
    <row r="1514" spans="1:32" s="240" customFormat="1">
      <c r="A1514" s="48"/>
      <c r="B1514" s="31"/>
      <c r="C1514" s="48"/>
      <c r="D1514" s="47"/>
      <c r="E1514" s="47"/>
      <c r="F1514" s="31"/>
      <c r="G1514" s="31"/>
      <c r="H1514" s="31"/>
      <c r="I1514" s="47"/>
      <c r="J1514" s="31"/>
      <c r="K1514" s="47"/>
      <c r="L1514" s="47"/>
      <c r="M1514" s="47"/>
      <c r="N1514" s="31"/>
      <c r="O1514" s="47"/>
      <c r="P1514" s="31"/>
      <c r="Q1514" s="31"/>
      <c r="R1514" s="31"/>
      <c r="S1514" s="31"/>
      <c r="T1514" s="270">
        <f t="shared" si="184"/>
        <v>0</v>
      </c>
      <c r="U1514" s="270">
        <f t="shared" si="185"/>
        <v>0</v>
      </c>
      <c r="V1514" s="31"/>
      <c r="X1514" s="240" t="str">
        <f t="shared" si="186"/>
        <v>OK</v>
      </c>
      <c r="Y1514" s="240" t="str">
        <f t="shared" si="187"/>
        <v>OK</v>
      </c>
      <c r="Z1514" s="240" t="str">
        <f t="shared" si="188"/>
        <v>OK</v>
      </c>
      <c r="AA1514" s="240" t="str" cm="1">
        <f t="array" ref="AA1514">IF(OR(AND(J1514="Not accepted",N1514:O1514&lt;&gt;"",$S1514=""),AND(J1514="Accepted",S1514="")),"ERROR","OK")</f>
        <v>OK</v>
      </c>
      <c r="AB1514" s="240" t="str">
        <f t="shared" si="189"/>
        <v>OK</v>
      </c>
      <c r="AC1514" s="240" t="str" cm="1">
        <f t="array" ref="AC1514">IF(AND(F1514:H1514&lt;&gt;"",I1514=""),"ERROR","OK")</f>
        <v>OK</v>
      </c>
      <c r="AD1514" s="240" t="str">
        <f t="shared" si="190"/>
        <v>OK</v>
      </c>
      <c r="AE1514" s="240" t="str">
        <f t="shared" si="191"/>
        <v>OK</v>
      </c>
      <c r="AF1514" s="240" t="str" cm="1">
        <f t="array" aca="1" ref="AF1514" ca="1" xml:space="preserve">
IF(AND($G1514&lt;&gt;"",$F1514=""),"ERROR",
IF(OR($F1514:$G1514="",AND($G1514="",$F1514&lt;&gt;"")),"OK",
IF(COUNTIF(INDIRECT(IFERROR(LEFT($F1514,FIND(" ",$F1514)-1),$F1514)), $G1514)&gt;0, "OK", "ERROR")))</f>
        <v>OK</v>
      </c>
    </row>
    <row r="1515" spans="1:32" s="240" customFormat="1">
      <c r="A1515" s="48"/>
      <c r="B1515" s="31"/>
      <c r="C1515" s="48"/>
      <c r="D1515" s="47"/>
      <c r="E1515" s="47"/>
      <c r="F1515" s="31"/>
      <c r="G1515" s="31"/>
      <c r="H1515" s="31"/>
      <c r="I1515" s="47"/>
      <c r="J1515" s="31"/>
      <c r="K1515" s="47"/>
      <c r="L1515" s="47"/>
      <c r="M1515" s="47"/>
      <c r="N1515" s="31"/>
      <c r="O1515" s="47"/>
      <c r="P1515" s="31"/>
      <c r="Q1515" s="31"/>
      <c r="R1515" s="31"/>
      <c r="S1515" s="31"/>
      <c r="T1515" s="270">
        <f t="shared" si="184"/>
        <v>0</v>
      </c>
      <c r="U1515" s="270">
        <f t="shared" si="185"/>
        <v>0</v>
      </c>
      <c r="V1515" s="31"/>
      <c r="X1515" s="240" t="str">
        <f t="shared" si="186"/>
        <v>OK</v>
      </c>
      <c r="Y1515" s="240" t="str">
        <f t="shared" si="187"/>
        <v>OK</v>
      </c>
      <c r="Z1515" s="240" t="str">
        <f t="shared" si="188"/>
        <v>OK</v>
      </c>
      <c r="AA1515" s="240" t="str" cm="1">
        <f t="array" ref="AA1515">IF(OR(AND(J1515="Not accepted",N1515:O1515&lt;&gt;"",$S1515=""),AND(J1515="Accepted",S1515="")),"ERROR","OK")</f>
        <v>OK</v>
      </c>
      <c r="AB1515" s="240" t="str">
        <f t="shared" si="189"/>
        <v>OK</v>
      </c>
      <c r="AC1515" s="240" t="str" cm="1">
        <f t="array" ref="AC1515">IF(AND(F1515:H1515&lt;&gt;"",I1515=""),"ERROR","OK")</f>
        <v>OK</v>
      </c>
      <c r="AD1515" s="240" t="str">
        <f t="shared" si="190"/>
        <v>OK</v>
      </c>
      <c r="AE1515" s="240" t="str">
        <f t="shared" si="191"/>
        <v>OK</v>
      </c>
      <c r="AF1515" s="240" t="str" cm="1">
        <f t="array" aca="1" ref="AF1515" ca="1" xml:space="preserve">
IF(AND($G1515&lt;&gt;"",$F1515=""),"ERROR",
IF(OR($F1515:$G1515="",AND($G1515="",$F1515&lt;&gt;"")),"OK",
IF(COUNTIF(INDIRECT(IFERROR(LEFT($F1515,FIND(" ",$F1515)-1),$F1515)), $G1515)&gt;0, "OK", "ERROR")))</f>
        <v>OK</v>
      </c>
    </row>
    <row r="1516" spans="1:32" s="240" customFormat="1">
      <c r="A1516" s="48"/>
      <c r="B1516" s="31"/>
      <c r="C1516" s="48"/>
      <c r="D1516" s="47"/>
      <c r="E1516" s="47"/>
      <c r="F1516" s="31"/>
      <c r="G1516" s="31"/>
      <c r="H1516" s="31"/>
      <c r="I1516" s="47"/>
      <c r="J1516" s="31"/>
      <c r="K1516" s="47"/>
      <c r="L1516" s="47"/>
      <c r="M1516" s="47"/>
      <c r="N1516" s="31"/>
      <c r="O1516" s="47"/>
      <c r="P1516" s="31"/>
      <c r="Q1516" s="31"/>
      <c r="R1516" s="31"/>
      <c r="S1516" s="31"/>
      <c r="T1516" s="270">
        <f t="shared" si="184"/>
        <v>0</v>
      </c>
      <c r="U1516" s="270">
        <f t="shared" si="185"/>
        <v>0</v>
      </c>
      <c r="V1516" s="31"/>
      <c r="X1516" s="240" t="str">
        <f t="shared" si="186"/>
        <v>OK</v>
      </c>
      <c r="Y1516" s="240" t="str">
        <f t="shared" si="187"/>
        <v>OK</v>
      </c>
      <c r="Z1516" s="240" t="str">
        <f t="shared" si="188"/>
        <v>OK</v>
      </c>
      <c r="AA1516" s="240" t="str" cm="1">
        <f t="array" ref="AA1516">IF(OR(AND(J1516="Not accepted",N1516:O1516&lt;&gt;"",$S1516=""),AND(J1516="Accepted",S1516="")),"ERROR","OK")</f>
        <v>OK</v>
      </c>
      <c r="AB1516" s="240" t="str">
        <f t="shared" si="189"/>
        <v>OK</v>
      </c>
      <c r="AC1516" s="240" t="str" cm="1">
        <f t="array" ref="AC1516">IF(AND(F1516:H1516&lt;&gt;"",I1516=""),"ERROR","OK")</f>
        <v>OK</v>
      </c>
      <c r="AD1516" s="240" t="str">
        <f t="shared" si="190"/>
        <v>OK</v>
      </c>
      <c r="AE1516" s="240" t="str">
        <f t="shared" si="191"/>
        <v>OK</v>
      </c>
      <c r="AF1516" s="240" t="str" cm="1">
        <f t="array" aca="1" ref="AF1516" ca="1" xml:space="preserve">
IF(AND($G1516&lt;&gt;"",$F1516=""),"ERROR",
IF(OR($F1516:$G1516="",AND($G1516="",$F1516&lt;&gt;"")),"OK",
IF(COUNTIF(INDIRECT(IFERROR(LEFT($F1516,FIND(" ",$F1516)-1),$F1516)), $G1516)&gt;0, "OK", "ERROR")))</f>
        <v>OK</v>
      </c>
    </row>
    <row r="1517" spans="1:32" s="240" customFormat="1">
      <c r="A1517" s="48"/>
      <c r="B1517" s="31"/>
      <c r="C1517" s="48"/>
      <c r="D1517" s="47"/>
      <c r="E1517" s="47"/>
      <c r="F1517" s="31"/>
      <c r="G1517" s="31"/>
      <c r="H1517" s="31"/>
      <c r="I1517" s="47"/>
      <c r="J1517" s="31"/>
      <c r="K1517" s="47"/>
      <c r="L1517" s="47"/>
      <c r="M1517" s="47"/>
      <c r="N1517" s="31"/>
      <c r="O1517" s="47"/>
      <c r="P1517" s="31"/>
      <c r="Q1517" s="31"/>
      <c r="R1517" s="31"/>
      <c r="S1517" s="31"/>
      <c r="T1517" s="270">
        <f t="shared" si="184"/>
        <v>0</v>
      </c>
      <c r="U1517" s="270">
        <f t="shared" si="185"/>
        <v>0</v>
      </c>
      <c r="V1517" s="31"/>
      <c r="X1517" s="240" t="str">
        <f t="shared" si="186"/>
        <v>OK</v>
      </c>
      <c r="Y1517" s="240" t="str">
        <f t="shared" si="187"/>
        <v>OK</v>
      </c>
      <c r="Z1517" s="240" t="str">
        <f t="shared" si="188"/>
        <v>OK</v>
      </c>
      <c r="AA1517" s="240" t="str" cm="1">
        <f t="array" ref="AA1517">IF(OR(AND(J1517="Not accepted",N1517:O1517&lt;&gt;"",$S1517=""),AND(J1517="Accepted",S1517="")),"ERROR","OK")</f>
        <v>OK</v>
      </c>
      <c r="AB1517" s="240" t="str">
        <f t="shared" si="189"/>
        <v>OK</v>
      </c>
      <c r="AC1517" s="240" t="str" cm="1">
        <f t="array" ref="AC1517">IF(AND(F1517:H1517&lt;&gt;"",I1517=""),"ERROR","OK")</f>
        <v>OK</v>
      </c>
      <c r="AD1517" s="240" t="str">
        <f t="shared" si="190"/>
        <v>OK</v>
      </c>
      <c r="AE1517" s="240" t="str">
        <f t="shared" si="191"/>
        <v>OK</v>
      </c>
      <c r="AF1517" s="240" t="str" cm="1">
        <f t="array" aca="1" ref="AF1517" ca="1" xml:space="preserve">
IF(AND($G1517&lt;&gt;"",$F1517=""),"ERROR",
IF(OR($F1517:$G1517="",AND($G1517="",$F1517&lt;&gt;"")),"OK",
IF(COUNTIF(INDIRECT(IFERROR(LEFT($F1517,FIND(" ",$F1517)-1),$F1517)), $G1517)&gt;0, "OK", "ERROR")))</f>
        <v>OK</v>
      </c>
    </row>
    <row r="1518" spans="1:32" s="240" customFormat="1">
      <c r="A1518" s="48"/>
      <c r="B1518" s="31"/>
      <c r="C1518" s="48"/>
      <c r="D1518" s="47"/>
      <c r="E1518" s="47"/>
      <c r="F1518" s="31"/>
      <c r="G1518" s="31"/>
      <c r="H1518" s="31"/>
      <c r="I1518" s="47"/>
      <c r="J1518" s="31"/>
      <c r="K1518" s="47"/>
      <c r="L1518" s="47"/>
      <c r="M1518" s="47"/>
      <c r="N1518" s="31"/>
      <c r="O1518" s="47"/>
      <c r="P1518" s="31"/>
      <c r="Q1518" s="31"/>
      <c r="R1518" s="31"/>
      <c r="S1518" s="31"/>
      <c r="T1518" s="270">
        <f t="shared" si="184"/>
        <v>0</v>
      </c>
      <c r="U1518" s="270">
        <f t="shared" si="185"/>
        <v>0</v>
      </c>
      <c r="V1518" s="31"/>
      <c r="X1518" s="240" t="str">
        <f t="shared" si="186"/>
        <v>OK</v>
      </c>
      <c r="Y1518" s="240" t="str">
        <f t="shared" si="187"/>
        <v>OK</v>
      </c>
      <c r="Z1518" s="240" t="str">
        <f t="shared" si="188"/>
        <v>OK</v>
      </c>
      <c r="AA1518" s="240" t="str" cm="1">
        <f t="array" ref="AA1518">IF(OR(AND(J1518="Not accepted",N1518:O1518&lt;&gt;"",$S1518=""),AND(J1518="Accepted",S1518="")),"ERROR","OK")</f>
        <v>OK</v>
      </c>
      <c r="AB1518" s="240" t="str">
        <f t="shared" si="189"/>
        <v>OK</v>
      </c>
      <c r="AC1518" s="240" t="str" cm="1">
        <f t="array" ref="AC1518">IF(AND(F1518:H1518&lt;&gt;"",I1518=""),"ERROR","OK")</f>
        <v>OK</v>
      </c>
      <c r="AD1518" s="240" t="str">
        <f t="shared" si="190"/>
        <v>OK</v>
      </c>
      <c r="AE1518" s="240" t="str">
        <f t="shared" si="191"/>
        <v>OK</v>
      </c>
      <c r="AF1518" s="240" t="str" cm="1">
        <f t="array" aca="1" ref="AF1518" ca="1" xml:space="preserve">
IF(AND($G1518&lt;&gt;"",$F1518=""),"ERROR",
IF(OR($F1518:$G1518="",AND($G1518="",$F1518&lt;&gt;"")),"OK",
IF(COUNTIF(INDIRECT(IFERROR(LEFT($F1518,FIND(" ",$F1518)-1),$F1518)), $G1518)&gt;0, "OK", "ERROR")))</f>
        <v>OK</v>
      </c>
    </row>
    <row r="1519" spans="1:32" s="240" customFormat="1">
      <c r="A1519" s="48"/>
      <c r="B1519" s="31"/>
      <c r="C1519" s="48"/>
      <c r="D1519" s="47"/>
      <c r="E1519" s="47"/>
      <c r="F1519" s="31"/>
      <c r="G1519" s="31"/>
      <c r="H1519" s="31"/>
      <c r="I1519" s="47"/>
      <c r="J1519" s="31"/>
      <c r="K1519" s="47"/>
      <c r="L1519" s="47"/>
      <c r="M1519" s="47"/>
      <c r="N1519" s="31"/>
      <c r="O1519" s="47"/>
      <c r="P1519" s="31"/>
      <c r="Q1519" s="31"/>
      <c r="R1519" s="31"/>
      <c r="S1519" s="31"/>
      <c r="T1519" s="270">
        <f t="shared" si="184"/>
        <v>0</v>
      </c>
      <c r="U1519" s="270">
        <f t="shared" si="185"/>
        <v>0</v>
      </c>
      <c r="V1519" s="31"/>
      <c r="X1519" s="240" t="str">
        <f t="shared" si="186"/>
        <v>OK</v>
      </c>
      <c r="Y1519" s="240" t="str">
        <f t="shared" si="187"/>
        <v>OK</v>
      </c>
      <c r="Z1519" s="240" t="str">
        <f t="shared" si="188"/>
        <v>OK</v>
      </c>
      <c r="AA1519" s="240" t="str" cm="1">
        <f t="array" ref="AA1519">IF(OR(AND(J1519="Not accepted",N1519:O1519&lt;&gt;"",$S1519=""),AND(J1519="Accepted",S1519="")),"ERROR","OK")</f>
        <v>OK</v>
      </c>
      <c r="AB1519" s="240" t="str">
        <f t="shared" si="189"/>
        <v>OK</v>
      </c>
      <c r="AC1519" s="240" t="str" cm="1">
        <f t="array" ref="AC1519">IF(AND(F1519:H1519&lt;&gt;"",I1519=""),"ERROR","OK")</f>
        <v>OK</v>
      </c>
      <c r="AD1519" s="240" t="str">
        <f t="shared" si="190"/>
        <v>OK</v>
      </c>
      <c r="AE1519" s="240" t="str">
        <f t="shared" si="191"/>
        <v>OK</v>
      </c>
      <c r="AF1519" s="240" t="str" cm="1">
        <f t="array" aca="1" ref="AF1519" ca="1" xml:space="preserve">
IF(AND($G1519&lt;&gt;"",$F1519=""),"ERROR",
IF(OR($F1519:$G1519="",AND($G1519="",$F1519&lt;&gt;"")),"OK",
IF(COUNTIF(INDIRECT(IFERROR(LEFT($F1519,FIND(" ",$F1519)-1),$F1519)), $G1519)&gt;0, "OK", "ERROR")))</f>
        <v>OK</v>
      </c>
    </row>
    <row r="1520" spans="1:32" s="240" customFormat="1">
      <c r="A1520" s="48"/>
      <c r="B1520" s="31"/>
      <c r="C1520" s="48"/>
      <c r="D1520" s="47"/>
      <c r="E1520" s="47"/>
      <c r="F1520" s="31"/>
      <c r="G1520" s="31"/>
      <c r="H1520" s="31"/>
      <c r="I1520" s="47"/>
      <c r="J1520" s="31"/>
      <c r="K1520" s="47"/>
      <c r="L1520" s="47"/>
      <c r="M1520" s="47"/>
      <c r="N1520" s="31"/>
      <c r="O1520" s="47"/>
      <c r="P1520" s="31"/>
      <c r="Q1520" s="31"/>
      <c r="R1520" s="31"/>
      <c r="S1520" s="31"/>
      <c r="T1520" s="270">
        <f t="shared" si="184"/>
        <v>0</v>
      </c>
      <c r="U1520" s="270">
        <f t="shared" si="185"/>
        <v>0</v>
      </c>
      <c r="V1520" s="31"/>
      <c r="X1520" s="240" t="str">
        <f t="shared" si="186"/>
        <v>OK</v>
      </c>
      <c r="Y1520" s="240" t="str">
        <f t="shared" si="187"/>
        <v>OK</v>
      </c>
      <c r="Z1520" s="240" t="str">
        <f t="shared" si="188"/>
        <v>OK</v>
      </c>
      <c r="AA1520" s="240" t="str" cm="1">
        <f t="array" ref="AA1520">IF(OR(AND(J1520="Not accepted",N1520:O1520&lt;&gt;"",$S1520=""),AND(J1520="Accepted",S1520="")),"ERROR","OK")</f>
        <v>OK</v>
      </c>
      <c r="AB1520" s="240" t="str">
        <f t="shared" si="189"/>
        <v>OK</v>
      </c>
      <c r="AC1520" s="240" t="str" cm="1">
        <f t="array" ref="AC1520">IF(AND(F1520:H1520&lt;&gt;"",I1520=""),"ERROR","OK")</f>
        <v>OK</v>
      </c>
      <c r="AD1520" s="240" t="str">
        <f t="shared" si="190"/>
        <v>OK</v>
      </c>
      <c r="AE1520" s="240" t="str">
        <f t="shared" si="191"/>
        <v>OK</v>
      </c>
      <c r="AF1520" s="240" t="str" cm="1">
        <f t="array" aca="1" ref="AF1520" ca="1" xml:space="preserve">
IF(AND($G1520&lt;&gt;"",$F1520=""),"ERROR",
IF(OR($F1520:$G1520="",AND($G1520="",$F1520&lt;&gt;"")),"OK",
IF(COUNTIF(INDIRECT(IFERROR(LEFT($F1520,FIND(" ",$F1520)-1),$F1520)), $G1520)&gt;0, "OK", "ERROR")))</f>
        <v>OK</v>
      </c>
    </row>
    <row r="1521" spans="1:32" s="240" customFormat="1">
      <c r="A1521" s="48"/>
      <c r="B1521" s="31"/>
      <c r="C1521" s="48"/>
      <c r="D1521" s="47"/>
      <c r="E1521" s="47"/>
      <c r="F1521" s="31"/>
      <c r="G1521" s="31"/>
      <c r="H1521" s="31"/>
      <c r="I1521" s="47"/>
      <c r="J1521" s="31"/>
      <c r="K1521" s="47"/>
      <c r="L1521" s="47"/>
      <c r="M1521" s="47"/>
      <c r="N1521" s="31"/>
      <c r="O1521" s="47"/>
      <c r="P1521" s="31"/>
      <c r="Q1521" s="31"/>
      <c r="R1521" s="31"/>
      <c r="S1521" s="31"/>
      <c r="T1521" s="270">
        <f t="shared" si="184"/>
        <v>0</v>
      </c>
      <c r="U1521" s="270">
        <f t="shared" si="185"/>
        <v>0</v>
      </c>
      <c r="V1521" s="31"/>
      <c r="X1521" s="240" t="str">
        <f t="shared" si="186"/>
        <v>OK</v>
      </c>
      <c r="Y1521" s="240" t="str">
        <f t="shared" si="187"/>
        <v>OK</v>
      </c>
      <c r="Z1521" s="240" t="str">
        <f t="shared" si="188"/>
        <v>OK</v>
      </c>
      <c r="AA1521" s="240" t="str" cm="1">
        <f t="array" ref="AA1521">IF(OR(AND(J1521="Not accepted",N1521:O1521&lt;&gt;"",$S1521=""),AND(J1521="Accepted",S1521="")),"ERROR","OK")</f>
        <v>OK</v>
      </c>
      <c r="AB1521" s="240" t="str">
        <f t="shared" si="189"/>
        <v>OK</v>
      </c>
      <c r="AC1521" s="240" t="str" cm="1">
        <f t="array" ref="AC1521">IF(AND(F1521:H1521&lt;&gt;"",I1521=""),"ERROR","OK")</f>
        <v>OK</v>
      </c>
      <c r="AD1521" s="240" t="str">
        <f t="shared" si="190"/>
        <v>OK</v>
      </c>
      <c r="AE1521" s="240" t="str">
        <f t="shared" si="191"/>
        <v>OK</v>
      </c>
      <c r="AF1521" s="240" t="str" cm="1">
        <f t="array" aca="1" ref="AF1521" ca="1" xml:space="preserve">
IF(AND($G1521&lt;&gt;"",$F1521=""),"ERROR",
IF(OR($F1521:$G1521="",AND($G1521="",$F1521&lt;&gt;"")),"OK",
IF(COUNTIF(INDIRECT(IFERROR(LEFT($F1521,FIND(" ",$F1521)-1),$F1521)), $G1521)&gt;0, "OK", "ERROR")))</f>
        <v>OK</v>
      </c>
    </row>
    <row r="1522" spans="1:32" s="240" customFormat="1">
      <c r="A1522" s="48"/>
      <c r="B1522" s="31"/>
      <c r="C1522" s="48"/>
      <c r="D1522" s="47"/>
      <c r="E1522" s="47"/>
      <c r="F1522" s="31"/>
      <c r="G1522" s="31"/>
      <c r="H1522" s="31"/>
      <c r="I1522" s="47"/>
      <c r="J1522" s="31"/>
      <c r="K1522" s="47"/>
      <c r="L1522" s="47"/>
      <c r="M1522" s="47"/>
      <c r="N1522" s="31"/>
      <c r="O1522" s="47"/>
      <c r="P1522" s="31"/>
      <c r="Q1522" s="31"/>
      <c r="R1522" s="31"/>
      <c r="S1522" s="31"/>
      <c r="T1522" s="270">
        <f t="shared" si="184"/>
        <v>0</v>
      </c>
      <c r="U1522" s="270">
        <f t="shared" si="185"/>
        <v>0</v>
      </c>
      <c r="V1522" s="31"/>
      <c r="X1522" s="240" t="str">
        <f t="shared" si="186"/>
        <v>OK</v>
      </c>
      <c r="Y1522" s="240" t="str">
        <f t="shared" si="187"/>
        <v>OK</v>
      </c>
      <c r="Z1522" s="240" t="str">
        <f t="shared" si="188"/>
        <v>OK</v>
      </c>
      <c r="AA1522" s="240" t="str" cm="1">
        <f t="array" ref="AA1522">IF(OR(AND(J1522="Not accepted",N1522:O1522&lt;&gt;"",$S1522=""),AND(J1522="Accepted",S1522="")),"ERROR","OK")</f>
        <v>OK</v>
      </c>
      <c r="AB1522" s="240" t="str">
        <f t="shared" si="189"/>
        <v>OK</v>
      </c>
      <c r="AC1522" s="240" t="str" cm="1">
        <f t="array" ref="AC1522">IF(AND(F1522:H1522&lt;&gt;"",I1522=""),"ERROR","OK")</f>
        <v>OK</v>
      </c>
      <c r="AD1522" s="240" t="str">
        <f t="shared" si="190"/>
        <v>OK</v>
      </c>
      <c r="AE1522" s="240" t="str">
        <f t="shared" si="191"/>
        <v>OK</v>
      </c>
      <c r="AF1522" s="240" t="str" cm="1">
        <f t="array" aca="1" ref="AF1522" ca="1" xml:space="preserve">
IF(AND($G1522&lt;&gt;"",$F1522=""),"ERROR",
IF(OR($F1522:$G1522="",AND($G1522="",$F1522&lt;&gt;"")),"OK",
IF(COUNTIF(INDIRECT(IFERROR(LEFT($F1522,FIND(" ",$F1522)-1),$F1522)), $G1522)&gt;0, "OK", "ERROR")))</f>
        <v>OK</v>
      </c>
    </row>
    <row r="1523" spans="1:32" s="240" customFormat="1">
      <c r="A1523" s="48"/>
      <c r="B1523" s="31"/>
      <c r="C1523" s="48"/>
      <c r="D1523" s="47"/>
      <c r="E1523" s="47"/>
      <c r="F1523" s="31"/>
      <c r="G1523" s="31"/>
      <c r="H1523" s="31"/>
      <c r="I1523" s="47"/>
      <c r="J1523" s="31"/>
      <c r="K1523" s="47"/>
      <c r="L1523" s="47"/>
      <c r="M1523" s="47"/>
      <c r="N1523" s="31"/>
      <c r="O1523" s="47"/>
      <c r="P1523" s="31"/>
      <c r="Q1523" s="31"/>
      <c r="R1523" s="31"/>
      <c r="S1523" s="31"/>
      <c r="T1523" s="270">
        <f t="shared" si="184"/>
        <v>0</v>
      </c>
      <c r="U1523" s="270">
        <f t="shared" si="185"/>
        <v>0</v>
      </c>
      <c r="V1523" s="31"/>
      <c r="X1523" s="240" t="str">
        <f t="shared" si="186"/>
        <v>OK</v>
      </c>
      <c r="Y1523" s="240" t="str">
        <f t="shared" si="187"/>
        <v>OK</v>
      </c>
      <c r="Z1523" s="240" t="str">
        <f t="shared" si="188"/>
        <v>OK</v>
      </c>
      <c r="AA1523" s="240" t="str" cm="1">
        <f t="array" ref="AA1523">IF(OR(AND(J1523="Not accepted",N1523:O1523&lt;&gt;"",$S1523=""),AND(J1523="Accepted",S1523="")),"ERROR","OK")</f>
        <v>OK</v>
      </c>
      <c r="AB1523" s="240" t="str">
        <f t="shared" si="189"/>
        <v>OK</v>
      </c>
      <c r="AC1523" s="240" t="str" cm="1">
        <f t="array" ref="AC1523">IF(AND(F1523:H1523&lt;&gt;"",I1523=""),"ERROR","OK")</f>
        <v>OK</v>
      </c>
      <c r="AD1523" s="240" t="str">
        <f t="shared" si="190"/>
        <v>OK</v>
      </c>
      <c r="AE1523" s="240" t="str">
        <f t="shared" si="191"/>
        <v>OK</v>
      </c>
      <c r="AF1523" s="240" t="str" cm="1">
        <f t="array" aca="1" ref="AF1523" ca="1" xml:space="preserve">
IF(AND($G1523&lt;&gt;"",$F1523=""),"ERROR",
IF(OR($F1523:$G1523="",AND($G1523="",$F1523&lt;&gt;"")),"OK",
IF(COUNTIF(INDIRECT(IFERROR(LEFT($F1523,FIND(" ",$F1523)-1),$F1523)), $G1523)&gt;0, "OK", "ERROR")))</f>
        <v>OK</v>
      </c>
    </row>
    <row r="1524" spans="1:32" s="240" customFormat="1">
      <c r="A1524" s="48"/>
      <c r="B1524" s="31"/>
      <c r="C1524" s="48"/>
      <c r="D1524" s="47"/>
      <c r="E1524" s="47"/>
      <c r="F1524" s="31"/>
      <c r="G1524" s="31"/>
      <c r="H1524" s="31"/>
      <c r="I1524" s="47"/>
      <c r="J1524" s="31"/>
      <c r="K1524" s="47"/>
      <c r="L1524" s="47"/>
      <c r="M1524" s="47"/>
      <c r="N1524" s="31"/>
      <c r="O1524" s="47"/>
      <c r="P1524" s="31"/>
      <c r="Q1524" s="31"/>
      <c r="R1524" s="31"/>
      <c r="S1524" s="31"/>
      <c r="T1524" s="270">
        <f t="shared" si="184"/>
        <v>0</v>
      </c>
      <c r="U1524" s="270">
        <f t="shared" si="185"/>
        <v>0</v>
      </c>
      <c r="V1524" s="31"/>
      <c r="X1524" s="240" t="str">
        <f t="shared" si="186"/>
        <v>OK</v>
      </c>
      <c r="Y1524" s="240" t="str">
        <f t="shared" si="187"/>
        <v>OK</v>
      </c>
      <c r="Z1524" s="240" t="str">
        <f t="shared" si="188"/>
        <v>OK</v>
      </c>
      <c r="AA1524" s="240" t="str" cm="1">
        <f t="array" ref="AA1524">IF(OR(AND(J1524="Not accepted",N1524:O1524&lt;&gt;"",$S1524=""),AND(J1524="Accepted",S1524="")),"ERROR","OK")</f>
        <v>OK</v>
      </c>
      <c r="AB1524" s="240" t="str">
        <f t="shared" si="189"/>
        <v>OK</v>
      </c>
      <c r="AC1524" s="240" t="str" cm="1">
        <f t="array" ref="AC1524">IF(AND(F1524:H1524&lt;&gt;"",I1524=""),"ERROR","OK")</f>
        <v>OK</v>
      </c>
      <c r="AD1524" s="240" t="str">
        <f t="shared" si="190"/>
        <v>OK</v>
      </c>
      <c r="AE1524" s="240" t="str">
        <f t="shared" si="191"/>
        <v>OK</v>
      </c>
      <c r="AF1524" s="240" t="str" cm="1">
        <f t="array" aca="1" ref="AF1524" ca="1" xml:space="preserve">
IF(AND($G1524&lt;&gt;"",$F1524=""),"ERROR",
IF(OR($F1524:$G1524="",AND($G1524="",$F1524&lt;&gt;"")),"OK",
IF(COUNTIF(INDIRECT(IFERROR(LEFT($F1524,FIND(" ",$F1524)-1),$F1524)), $G1524)&gt;0, "OK", "ERROR")))</f>
        <v>OK</v>
      </c>
    </row>
    <row r="1525" spans="1:32" s="240" customFormat="1">
      <c r="A1525" s="48"/>
      <c r="B1525" s="31"/>
      <c r="C1525" s="48"/>
      <c r="D1525" s="47"/>
      <c r="E1525" s="47"/>
      <c r="F1525" s="31"/>
      <c r="G1525" s="31"/>
      <c r="H1525" s="31"/>
      <c r="I1525" s="47"/>
      <c r="J1525" s="31"/>
      <c r="K1525" s="47"/>
      <c r="L1525" s="47"/>
      <c r="M1525" s="47"/>
      <c r="N1525" s="31"/>
      <c r="O1525" s="47"/>
      <c r="P1525" s="31"/>
      <c r="Q1525" s="31"/>
      <c r="R1525" s="31"/>
      <c r="S1525" s="31"/>
      <c r="T1525" s="270">
        <f t="shared" si="184"/>
        <v>0</v>
      </c>
      <c r="U1525" s="270">
        <f t="shared" si="185"/>
        <v>0</v>
      </c>
      <c r="V1525" s="31"/>
      <c r="X1525" s="240" t="str">
        <f t="shared" si="186"/>
        <v>OK</v>
      </c>
      <c r="Y1525" s="240" t="str">
        <f t="shared" si="187"/>
        <v>OK</v>
      </c>
      <c r="Z1525" s="240" t="str">
        <f t="shared" si="188"/>
        <v>OK</v>
      </c>
      <c r="AA1525" s="240" t="str" cm="1">
        <f t="array" ref="AA1525">IF(OR(AND(J1525="Not accepted",N1525:O1525&lt;&gt;"",$S1525=""),AND(J1525="Accepted",S1525="")),"ERROR","OK")</f>
        <v>OK</v>
      </c>
      <c r="AB1525" s="240" t="str">
        <f t="shared" si="189"/>
        <v>OK</v>
      </c>
      <c r="AC1525" s="240" t="str" cm="1">
        <f t="array" ref="AC1525">IF(AND(F1525:H1525&lt;&gt;"",I1525=""),"ERROR","OK")</f>
        <v>OK</v>
      </c>
      <c r="AD1525" s="240" t="str">
        <f t="shared" si="190"/>
        <v>OK</v>
      </c>
      <c r="AE1525" s="240" t="str">
        <f t="shared" si="191"/>
        <v>OK</v>
      </c>
      <c r="AF1525" s="240" t="str" cm="1">
        <f t="array" aca="1" ref="AF1525" ca="1" xml:space="preserve">
IF(AND($G1525&lt;&gt;"",$F1525=""),"ERROR",
IF(OR($F1525:$G1525="",AND($G1525="",$F1525&lt;&gt;"")),"OK",
IF(COUNTIF(INDIRECT(IFERROR(LEFT($F1525,FIND(" ",$F1525)-1),$F1525)), $G1525)&gt;0, "OK", "ERROR")))</f>
        <v>OK</v>
      </c>
    </row>
    <row r="1526" spans="1:32" s="240" customFormat="1">
      <c r="A1526" s="48"/>
      <c r="B1526" s="31"/>
      <c r="C1526" s="48"/>
      <c r="D1526" s="47"/>
      <c r="E1526" s="47"/>
      <c r="F1526" s="31"/>
      <c r="G1526" s="31"/>
      <c r="H1526" s="31"/>
      <c r="I1526" s="47"/>
      <c r="J1526" s="31"/>
      <c r="K1526" s="47"/>
      <c r="L1526" s="47"/>
      <c r="M1526" s="47"/>
      <c r="N1526" s="31"/>
      <c r="O1526" s="47"/>
      <c r="P1526" s="31"/>
      <c r="Q1526" s="31"/>
      <c r="R1526" s="31"/>
      <c r="S1526" s="31"/>
      <c r="T1526" s="270">
        <f t="shared" si="184"/>
        <v>0</v>
      </c>
      <c r="U1526" s="270">
        <f t="shared" si="185"/>
        <v>0</v>
      </c>
      <c r="V1526" s="31"/>
      <c r="X1526" s="240" t="str">
        <f t="shared" si="186"/>
        <v>OK</v>
      </c>
      <c r="Y1526" s="240" t="str">
        <f t="shared" si="187"/>
        <v>OK</v>
      </c>
      <c r="Z1526" s="240" t="str">
        <f t="shared" si="188"/>
        <v>OK</v>
      </c>
      <c r="AA1526" s="240" t="str" cm="1">
        <f t="array" ref="AA1526">IF(OR(AND(J1526="Not accepted",N1526:O1526&lt;&gt;"",$S1526=""),AND(J1526="Accepted",S1526="")),"ERROR","OK")</f>
        <v>OK</v>
      </c>
      <c r="AB1526" s="240" t="str">
        <f t="shared" si="189"/>
        <v>OK</v>
      </c>
      <c r="AC1526" s="240" t="str" cm="1">
        <f t="array" ref="AC1526">IF(AND(F1526:H1526&lt;&gt;"",I1526=""),"ERROR","OK")</f>
        <v>OK</v>
      </c>
      <c r="AD1526" s="240" t="str">
        <f t="shared" si="190"/>
        <v>OK</v>
      </c>
      <c r="AE1526" s="240" t="str">
        <f t="shared" si="191"/>
        <v>OK</v>
      </c>
      <c r="AF1526" s="240" t="str" cm="1">
        <f t="array" aca="1" ref="AF1526" ca="1" xml:space="preserve">
IF(AND($G1526&lt;&gt;"",$F1526=""),"ERROR",
IF(OR($F1526:$G1526="",AND($G1526="",$F1526&lt;&gt;"")),"OK",
IF(COUNTIF(INDIRECT(IFERROR(LEFT($F1526,FIND(" ",$F1526)-1),$F1526)), $G1526)&gt;0, "OK", "ERROR")))</f>
        <v>OK</v>
      </c>
    </row>
    <row r="1527" spans="1:32" s="240" customFormat="1">
      <c r="A1527" s="48"/>
      <c r="B1527" s="31"/>
      <c r="C1527" s="48"/>
      <c r="D1527" s="47"/>
      <c r="E1527" s="47"/>
      <c r="F1527" s="31"/>
      <c r="G1527" s="31"/>
      <c r="H1527" s="31"/>
      <c r="I1527" s="47"/>
      <c r="J1527" s="31"/>
      <c r="K1527" s="47"/>
      <c r="L1527" s="47"/>
      <c r="M1527" s="47"/>
      <c r="N1527" s="31"/>
      <c r="O1527" s="47"/>
      <c r="P1527" s="31"/>
      <c r="Q1527" s="31"/>
      <c r="R1527" s="31"/>
      <c r="S1527" s="31"/>
      <c r="T1527" s="270">
        <f t="shared" si="184"/>
        <v>0</v>
      </c>
      <c r="U1527" s="270">
        <f t="shared" si="185"/>
        <v>0</v>
      </c>
      <c r="V1527" s="31"/>
      <c r="X1527" s="240" t="str">
        <f t="shared" si="186"/>
        <v>OK</v>
      </c>
      <c r="Y1527" s="240" t="str">
        <f t="shared" si="187"/>
        <v>OK</v>
      </c>
      <c r="Z1527" s="240" t="str">
        <f t="shared" si="188"/>
        <v>OK</v>
      </c>
      <c r="AA1527" s="240" t="str" cm="1">
        <f t="array" ref="AA1527">IF(OR(AND(J1527="Not accepted",N1527:O1527&lt;&gt;"",$S1527=""),AND(J1527="Accepted",S1527="")),"ERROR","OK")</f>
        <v>OK</v>
      </c>
      <c r="AB1527" s="240" t="str">
        <f t="shared" si="189"/>
        <v>OK</v>
      </c>
      <c r="AC1527" s="240" t="str" cm="1">
        <f t="array" ref="AC1527">IF(AND(F1527:H1527&lt;&gt;"",I1527=""),"ERROR","OK")</f>
        <v>OK</v>
      </c>
      <c r="AD1527" s="240" t="str">
        <f t="shared" si="190"/>
        <v>OK</v>
      </c>
      <c r="AE1527" s="240" t="str">
        <f t="shared" si="191"/>
        <v>OK</v>
      </c>
      <c r="AF1527" s="240" t="str" cm="1">
        <f t="array" aca="1" ref="AF1527" ca="1" xml:space="preserve">
IF(AND($G1527&lt;&gt;"",$F1527=""),"ERROR",
IF(OR($F1527:$G1527="",AND($G1527="",$F1527&lt;&gt;"")),"OK",
IF(COUNTIF(INDIRECT(IFERROR(LEFT($F1527,FIND(" ",$F1527)-1),$F1527)), $G1527)&gt;0, "OK", "ERROR")))</f>
        <v>OK</v>
      </c>
    </row>
    <row r="1528" spans="1:32" s="240" customFormat="1">
      <c r="A1528" s="48"/>
      <c r="B1528" s="31"/>
      <c r="C1528" s="48"/>
      <c r="D1528" s="47"/>
      <c r="E1528" s="47"/>
      <c r="F1528" s="31"/>
      <c r="G1528" s="31"/>
      <c r="H1528" s="31"/>
      <c r="I1528" s="47"/>
      <c r="J1528" s="31"/>
      <c r="K1528" s="47"/>
      <c r="L1528" s="47"/>
      <c r="M1528" s="47"/>
      <c r="N1528" s="31"/>
      <c r="O1528" s="47"/>
      <c r="P1528" s="31"/>
      <c r="Q1528" s="31"/>
      <c r="R1528" s="31"/>
      <c r="S1528" s="31"/>
      <c r="T1528" s="270">
        <f t="shared" si="184"/>
        <v>0</v>
      </c>
      <c r="U1528" s="270">
        <f t="shared" si="185"/>
        <v>0</v>
      </c>
      <c r="V1528" s="31"/>
      <c r="X1528" s="240" t="str">
        <f t="shared" si="186"/>
        <v>OK</v>
      </c>
      <c r="Y1528" s="240" t="str">
        <f t="shared" si="187"/>
        <v>OK</v>
      </c>
      <c r="Z1528" s="240" t="str">
        <f t="shared" si="188"/>
        <v>OK</v>
      </c>
      <c r="AA1528" s="240" t="str" cm="1">
        <f t="array" ref="AA1528">IF(OR(AND(J1528="Not accepted",N1528:O1528&lt;&gt;"",$S1528=""),AND(J1528="Accepted",S1528="")),"ERROR","OK")</f>
        <v>OK</v>
      </c>
      <c r="AB1528" s="240" t="str">
        <f t="shared" si="189"/>
        <v>OK</v>
      </c>
      <c r="AC1528" s="240" t="str" cm="1">
        <f t="array" ref="AC1528">IF(AND(F1528:H1528&lt;&gt;"",I1528=""),"ERROR","OK")</f>
        <v>OK</v>
      </c>
      <c r="AD1528" s="240" t="str">
        <f t="shared" si="190"/>
        <v>OK</v>
      </c>
      <c r="AE1528" s="240" t="str">
        <f t="shared" si="191"/>
        <v>OK</v>
      </c>
      <c r="AF1528" s="240" t="str" cm="1">
        <f t="array" aca="1" ref="AF1528" ca="1" xml:space="preserve">
IF(AND($G1528&lt;&gt;"",$F1528=""),"ERROR",
IF(OR($F1528:$G1528="",AND($G1528="",$F1528&lt;&gt;"")),"OK",
IF(COUNTIF(INDIRECT(IFERROR(LEFT($F1528,FIND(" ",$F1528)-1),$F1528)), $G1528)&gt;0, "OK", "ERROR")))</f>
        <v>OK</v>
      </c>
    </row>
    <row r="1529" spans="1:32" s="240" customFormat="1">
      <c r="A1529" s="48"/>
      <c r="B1529" s="31"/>
      <c r="C1529" s="48"/>
      <c r="D1529" s="47"/>
      <c r="E1529" s="47"/>
      <c r="F1529" s="31"/>
      <c r="G1529" s="31"/>
      <c r="H1529" s="31"/>
      <c r="I1529" s="47"/>
      <c r="J1529" s="31"/>
      <c r="K1529" s="47"/>
      <c r="L1529" s="47"/>
      <c r="M1529" s="47"/>
      <c r="N1529" s="31"/>
      <c r="O1529" s="47"/>
      <c r="P1529" s="31"/>
      <c r="Q1529" s="31"/>
      <c r="R1529" s="31"/>
      <c r="S1529" s="31"/>
      <c r="T1529" s="270">
        <f t="shared" si="184"/>
        <v>0</v>
      </c>
      <c r="U1529" s="270">
        <f t="shared" si="185"/>
        <v>0</v>
      </c>
      <c r="V1529" s="31"/>
      <c r="X1529" s="240" t="str">
        <f t="shared" si="186"/>
        <v>OK</v>
      </c>
      <c r="Y1529" s="240" t="str">
        <f t="shared" si="187"/>
        <v>OK</v>
      </c>
      <c r="Z1529" s="240" t="str">
        <f t="shared" si="188"/>
        <v>OK</v>
      </c>
      <c r="AA1529" s="240" t="str" cm="1">
        <f t="array" ref="AA1529">IF(OR(AND(J1529="Not accepted",N1529:O1529&lt;&gt;"",$S1529=""),AND(J1529="Accepted",S1529="")),"ERROR","OK")</f>
        <v>OK</v>
      </c>
      <c r="AB1529" s="240" t="str">
        <f t="shared" si="189"/>
        <v>OK</v>
      </c>
      <c r="AC1529" s="240" t="str" cm="1">
        <f t="array" ref="AC1529">IF(AND(F1529:H1529&lt;&gt;"",I1529=""),"ERROR","OK")</f>
        <v>OK</v>
      </c>
      <c r="AD1529" s="240" t="str">
        <f t="shared" si="190"/>
        <v>OK</v>
      </c>
      <c r="AE1529" s="240" t="str">
        <f t="shared" si="191"/>
        <v>OK</v>
      </c>
      <c r="AF1529" s="240" t="str" cm="1">
        <f t="array" aca="1" ref="AF1529" ca="1" xml:space="preserve">
IF(AND($G1529&lt;&gt;"",$F1529=""),"ERROR",
IF(OR($F1529:$G1529="",AND($G1529="",$F1529&lt;&gt;"")),"OK",
IF(COUNTIF(INDIRECT(IFERROR(LEFT($F1529,FIND(" ",$F1529)-1),$F1529)), $G1529)&gt;0, "OK", "ERROR")))</f>
        <v>OK</v>
      </c>
    </row>
    <row r="1530" spans="1:32" s="240" customFormat="1">
      <c r="A1530" s="48"/>
      <c r="B1530" s="31"/>
      <c r="C1530" s="48"/>
      <c r="D1530" s="47"/>
      <c r="E1530" s="47"/>
      <c r="F1530" s="31"/>
      <c r="G1530" s="31"/>
      <c r="H1530" s="31"/>
      <c r="I1530" s="47"/>
      <c r="J1530" s="31"/>
      <c r="K1530" s="47"/>
      <c r="L1530" s="47"/>
      <c r="M1530" s="47"/>
      <c r="N1530" s="31"/>
      <c r="O1530" s="47"/>
      <c r="P1530" s="31"/>
      <c r="Q1530" s="31"/>
      <c r="R1530" s="31"/>
      <c r="S1530" s="31"/>
      <c r="T1530" s="270">
        <f t="shared" si="184"/>
        <v>0</v>
      </c>
      <c r="U1530" s="270">
        <f t="shared" si="185"/>
        <v>0</v>
      </c>
      <c r="V1530" s="31"/>
      <c r="X1530" s="240" t="str">
        <f t="shared" si="186"/>
        <v>OK</v>
      </c>
      <c r="Y1530" s="240" t="str">
        <f t="shared" si="187"/>
        <v>OK</v>
      </c>
      <c r="Z1530" s="240" t="str">
        <f t="shared" si="188"/>
        <v>OK</v>
      </c>
      <c r="AA1530" s="240" t="str" cm="1">
        <f t="array" ref="AA1530">IF(OR(AND(J1530="Not accepted",N1530:O1530&lt;&gt;"",$S1530=""),AND(J1530="Accepted",S1530="")),"ERROR","OK")</f>
        <v>OK</v>
      </c>
      <c r="AB1530" s="240" t="str">
        <f t="shared" si="189"/>
        <v>OK</v>
      </c>
      <c r="AC1530" s="240" t="str" cm="1">
        <f t="array" ref="AC1530">IF(AND(F1530:H1530&lt;&gt;"",I1530=""),"ERROR","OK")</f>
        <v>OK</v>
      </c>
      <c r="AD1530" s="240" t="str">
        <f t="shared" si="190"/>
        <v>OK</v>
      </c>
      <c r="AE1530" s="240" t="str">
        <f t="shared" si="191"/>
        <v>OK</v>
      </c>
      <c r="AF1530" s="240" t="str" cm="1">
        <f t="array" aca="1" ref="AF1530" ca="1" xml:space="preserve">
IF(AND($G1530&lt;&gt;"",$F1530=""),"ERROR",
IF(OR($F1530:$G1530="",AND($G1530="",$F1530&lt;&gt;"")),"OK",
IF(COUNTIF(INDIRECT(IFERROR(LEFT($F1530,FIND(" ",$F1530)-1),$F1530)), $G1530)&gt;0, "OK", "ERROR")))</f>
        <v>OK</v>
      </c>
    </row>
    <row r="1531" spans="1:32" s="240" customFormat="1">
      <c r="A1531" s="48"/>
      <c r="B1531" s="31"/>
      <c r="C1531" s="48"/>
      <c r="D1531" s="47"/>
      <c r="E1531" s="47"/>
      <c r="F1531" s="31"/>
      <c r="G1531" s="31"/>
      <c r="H1531" s="31"/>
      <c r="I1531" s="47"/>
      <c r="J1531" s="31"/>
      <c r="K1531" s="47"/>
      <c r="L1531" s="47"/>
      <c r="M1531" s="47"/>
      <c r="N1531" s="31"/>
      <c r="O1531" s="47"/>
      <c r="P1531" s="31"/>
      <c r="Q1531" s="31"/>
      <c r="R1531" s="31"/>
      <c r="S1531" s="31"/>
      <c r="T1531" s="270">
        <f t="shared" si="184"/>
        <v>0</v>
      </c>
      <c r="U1531" s="270">
        <f t="shared" si="185"/>
        <v>0</v>
      </c>
      <c r="V1531" s="31"/>
      <c r="X1531" s="240" t="str">
        <f t="shared" si="186"/>
        <v>OK</v>
      </c>
      <c r="Y1531" s="240" t="str">
        <f t="shared" si="187"/>
        <v>OK</v>
      </c>
      <c r="Z1531" s="240" t="str">
        <f t="shared" si="188"/>
        <v>OK</v>
      </c>
      <c r="AA1531" s="240" t="str" cm="1">
        <f t="array" ref="AA1531">IF(OR(AND(J1531="Not accepted",N1531:O1531&lt;&gt;"",$S1531=""),AND(J1531="Accepted",S1531="")),"ERROR","OK")</f>
        <v>OK</v>
      </c>
      <c r="AB1531" s="240" t="str">
        <f t="shared" si="189"/>
        <v>OK</v>
      </c>
      <c r="AC1531" s="240" t="str" cm="1">
        <f t="array" ref="AC1531">IF(AND(F1531:H1531&lt;&gt;"",I1531=""),"ERROR","OK")</f>
        <v>OK</v>
      </c>
      <c r="AD1531" s="240" t="str">
        <f t="shared" si="190"/>
        <v>OK</v>
      </c>
      <c r="AE1531" s="240" t="str">
        <f t="shared" si="191"/>
        <v>OK</v>
      </c>
      <c r="AF1531" s="240" t="str" cm="1">
        <f t="array" aca="1" ref="AF1531" ca="1" xml:space="preserve">
IF(AND($G1531&lt;&gt;"",$F1531=""),"ERROR",
IF(OR($F1531:$G1531="",AND($G1531="",$F1531&lt;&gt;"")),"OK",
IF(COUNTIF(INDIRECT(IFERROR(LEFT($F1531,FIND(" ",$F1531)-1),$F1531)), $G1531)&gt;0, "OK", "ERROR")))</f>
        <v>OK</v>
      </c>
    </row>
    <row r="1532" spans="1:32" s="240" customFormat="1">
      <c r="A1532" s="48"/>
      <c r="B1532" s="31"/>
      <c r="C1532" s="48"/>
      <c r="D1532" s="47"/>
      <c r="E1532" s="47"/>
      <c r="F1532" s="31"/>
      <c r="G1532" s="31"/>
      <c r="H1532" s="31"/>
      <c r="I1532" s="47"/>
      <c r="J1532" s="31"/>
      <c r="K1532" s="47"/>
      <c r="L1532" s="47"/>
      <c r="M1532" s="47"/>
      <c r="N1532" s="31"/>
      <c r="O1532" s="47"/>
      <c r="P1532" s="31"/>
      <c r="Q1532" s="31"/>
      <c r="R1532" s="31"/>
      <c r="S1532" s="31"/>
      <c r="T1532" s="270">
        <f t="shared" si="184"/>
        <v>0</v>
      </c>
      <c r="U1532" s="270">
        <f t="shared" si="185"/>
        <v>0</v>
      </c>
      <c r="V1532" s="31"/>
      <c r="X1532" s="240" t="str">
        <f t="shared" si="186"/>
        <v>OK</v>
      </c>
      <c r="Y1532" s="240" t="str">
        <f t="shared" si="187"/>
        <v>OK</v>
      </c>
      <c r="Z1532" s="240" t="str">
        <f t="shared" si="188"/>
        <v>OK</v>
      </c>
      <c r="AA1532" s="240" t="str" cm="1">
        <f t="array" ref="AA1532">IF(OR(AND(J1532="Not accepted",N1532:O1532&lt;&gt;"",$S1532=""),AND(J1532="Accepted",S1532="")),"ERROR","OK")</f>
        <v>OK</v>
      </c>
      <c r="AB1532" s="240" t="str">
        <f t="shared" si="189"/>
        <v>OK</v>
      </c>
      <c r="AC1532" s="240" t="str" cm="1">
        <f t="array" ref="AC1532">IF(AND(F1532:H1532&lt;&gt;"",I1532=""),"ERROR","OK")</f>
        <v>OK</v>
      </c>
      <c r="AD1532" s="240" t="str">
        <f t="shared" si="190"/>
        <v>OK</v>
      </c>
      <c r="AE1532" s="240" t="str">
        <f t="shared" si="191"/>
        <v>OK</v>
      </c>
      <c r="AF1532" s="240" t="str" cm="1">
        <f t="array" aca="1" ref="AF1532" ca="1" xml:space="preserve">
IF(AND($G1532&lt;&gt;"",$F1532=""),"ERROR",
IF(OR($F1532:$G1532="",AND($G1532="",$F1532&lt;&gt;"")),"OK",
IF(COUNTIF(INDIRECT(IFERROR(LEFT($F1532,FIND(" ",$F1532)-1),$F1532)), $G1532)&gt;0, "OK", "ERROR")))</f>
        <v>OK</v>
      </c>
    </row>
    <row r="1533" spans="1:32" s="240" customFormat="1">
      <c r="A1533" s="48"/>
      <c r="B1533" s="31"/>
      <c r="C1533" s="48"/>
      <c r="D1533" s="47"/>
      <c r="E1533" s="47"/>
      <c r="F1533" s="31"/>
      <c r="G1533" s="31"/>
      <c r="H1533" s="31"/>
      <c r="I1533" s="47"/>
      <c r="J1533" s="31"/>
      <c r="K1533" s="47"/>
      <c r="L1533" s="47"/>
      <c r="M1533" s="47"/>
      <c r="N1533" s="31"/>
      <c r="O1533" s="47"/>
      <c r="P1533" s="31"/>
      <c r="Q1533" s="31"/>
      <c r="R1533" s="31"/>
      <c r="S1533" s="31"/>
      <c r="T1533" s="270">
        <f t="shared" si="184"/>
        <v>0</v>
      </c>
      <c r="U1533" s="270">
        <f t="shared" si="185"/>
        <v>0</v>
      </c>
      <c r="V1533" s="31"/>
      <c r="X1533" s="240" t="str">
        <f t="shared" si="186"/>
        <v>OK</v>
      </c>
      <c r="Y1533" s="240" t="str">
        <f t="shared" si="187"/>
        <v>OK</v>
      </c>
      <c r="Z1533" s="240" t="str">
        <f t="shared" si="188"/>
        <v>OK</v>
      </c>
      <c r="AA1533" s="240" t="str" cm="1">
        <f t="array" ref="AA1533">IF(OR(AND(J1533="Not accepted",N1533:O1533&lt;&gt;"",$S1533=""),AND(J1533="Accepted",S1533="")),"ERROR","OK")</f>
        <v>OK</v>
      </c>
      <c r="AB1533" s="240" t="str">
        <f t="shared" si="189"/>
        <v>OK</v>
      </c>
      <c r="AC1533" s="240" t="str" cm="1">
        <f t="array" ref="AC1533">IF(AND(F1533:H1533&lt;&gt;"",I1533=""),"ERROR","OK")</f>
        <v>OK</v>
      </c>
      <c r="AD1533" s="240" t="str">
        <f t="shared" si="190"/>
        <v>OK</v>
      </c>
      <c r="AE1533" s="240" t="str">
        <f t="shared" si="191"/>
        <v>OK</v>
      </c>
      <c r="AF1533" s="240" t="str" cm="1">
        <f t="array" aca="1" ref="AF1533" ca="1" xml:space="preserve">
IF(AND($G1533&lt;&gt;"",$F1533=""),"ERROR",
IF(OR($F1533:$G1533="",AND($G1533="",$F1533&lt;&gt;"")),"OK",
IF(COUNTIF(INDIRECT(IFERROR(LEFT($F1533,FIND(" ",$F1533)-1),$F1533)), $G1533)&gt;0, "OK", "ERROR")))</f>
        <v>OK</v>
      </c>
    </row>
    <row r="1534" spans="1:32" s="240" customFormat="1">
      <c r="A1534" s="48"/>
      <c r="B1534" s="31"/>
      <c r="C1534" s="48"/>
      <c r="D1534" s="47"/>
      <c r="E1534" s="47"/>
      <c r="F1534" s="31"/>
      <c r="G1534" s="31"/>
      <c r="H1534" s="31"/>
      <c r="I1534" s="47"/>
      <c r="J1534" s="31"/>
      <c r="K1534" s="47"/>
      <c r="L1534" s="47"/>
      <c r="M1534" s="47"/>
      <c r="N1534" s="31"/>
      <c r="O1534" s="47"/>
      <c r="P1534" s="31"/>
      <c r="Q1534" s="31"/>
      <c r="R1534" s="31"/>
      <c r="S1534" s="31"/>
      <c r="T1534" s="270">
        <f t="shared" si="184"/>
        <v>0</v>
      </c>
      <c r="U1534" s="270">
        <f t="shared" si="185"/>
        <v>0</v>
      </c>
      <c r="V1534" s="31"/>
      <c r="X1534" s="240" t="str">
        <f t="shared" si="186"/>
        <v>OK</v>
      </c>
      <c r="Y1534" s="240" t="str">
        <f t="shared" si="187"/>
        <v>OK</v>
      </c>
      <c r="Z1534" s="240" t="str">
        <f t="shared" si="188"/>
        <v>OK</v>
      </c>
      <c r="AA1534" s="240" t="str" cm="1">
        <f t="array" ref="AA1534">IF(OR(AND(J1534="Not accepted",N1534:O1534&lt;&gt;"",$S1534=""),AND(J1534="Accepted",S1534="")),"ERROR","OK")</f>
        <v>OK</v>
      </c>
      <c r="AB1534" s="240" t="str">
        <f t="shared" si="189"/>
        <v>OK</v>
      </c>
      <c r="AC1534" s="240" t="str" cm="1">
        <f t="array" ref="AC1534">IF(AND(F1534:H1534&lt;&gt;"",I1534=""),"ERROR","OK")</f>
        <v>OK</v>
      </c>
      <c r="AD1534" s="240" t="str">
        <f t="shared" si="190"/>
        <v>OK</v>
      </c>
      <c r="AE1534" s="240" t="str">
        <f t="shared" si="191"/>
        <v>OK</v>
      </c>
      <c r="AF1534" s="240" t="str" cm="1">
        <f t="array" aca="1" ref="AF1534" ca="1" xml:space="preserve">
IF(AND($G1534&lt;&gt;"",$F1534=""),"ERROR",
IF(OR($F1534:$G1534="",AND($G1534="",$F1534&lt;&gt;"")),"OK",
IF(COUNTIF(INDIRECT(IFERROR(LEFT($F1534,FIND(" ",$F1534)-1),$F1534)), $G1534)&gt;0, "OK", "ERROR")))</f>
        <v>OK</v>
      </c>
    </row>
    <row r="1535" spans="1:32" s="240" customFormat="1">
      <c r="A1535" s="48"/>
      <c r="B1535" s="31"/>
      <c r="C1535" s="48"/>
      <c r="D1535" s="47"/>
      <c r="E1535" s="47"/>
      <c r="F1535" s="31"/>
      <c r="G1535" s="31"/>
      <c r="H1535" s="31"/>
      <c r="I1535" s="47"/>
      <c r="J1535" s="31"/>
      <c r="K1535" s="47"/>
      <c r="L1535" s="47"/>
      <c r="M1535" s="47"/>
      <c r="N1535" s="31"/>
      <c r="O1535" s="47"/>
      <c r="P1535" s="31"/>
      <c r="Q1535" s="31"/>
      <c r="R1535" s="31"/>
      <c r="S1535" s="31"/>
      <c r="T1535" s="270">
        <f t="shared" si="184"/>
        <v>0</v>
      </c>
      <c r="U1535" s="270">
        <f t="shared" si="185"/>
        <v>0</v>
      </c>
      <c r="V1535" s="31"/>
      <c r="X1535" s="240" t="str">
        <f t="shared" si="186"/>
        <v>OK</v>
      </c>
      <c r="Y1535" s="240" t="str">
        <f t="shared" si="187"/>
        <v>OK</v>
      </c>
      <c r="Z1535" s="240" t="str">
        <f t="shared" si="188"/>
        <v>OK</v>
      </c>
      <c r="AA1535" s="240" t="str" cm="1">
        <f t="array" ref="AA1535">IF(OR(AND(J1535="Not accepted",N1535:O1535&lt;&gt;"",$S1535=""),AND(J1535="Accepted",S1535="")),"ERROR","OK")</f>
        <v>OK</v>
      </c>
      <c r="AB1535" s="240" t="str">
        <f t="shared" si="189"/>
        <v>OK</v>
      </c>
      <c r="AC1535" s="240" t="str" cm="1">
        <f t="array" ref="AC1535">IF(AND(F1535:H1535&lt;&gt;"",I1535=""),"ERROR","OK")</f>
        <v>OK</v>
      </c>
      <c r="AD1535" s="240" t="str">
        <f t="shared" si="190"/>
        <v>OK</v>
      </c>
      <c r="AE1535" s="240" t="str">
        <f t="shared" si="191"/>
        <v>OK</v>
      </c>
      <c r="AF1535" s="240" t="str" cm="1">
        <f t="array" aca="1" ref="AF1535" ca="1" xml:space="preserve">
IF(AND($G1535&lt;&gt;"",$F1535=""),"ERROR",
IF(OR($F1535:$G1535="",AND($G1535="",$F1535&lt;&gt;"")),"OK",
IF(COUNTIF(INDIRECT(IFERROR(LEFT($F1535,FIND(" ",$F1535)-1),$F1535)), $G1535)&gt;0, "OK", "ERROR")))</f>
        <v>OK</v>
      </c>
    </row>
    <row r="1536" spans="1:32" s="240" customFormat="1">
      <c r="A1536" s="48"/>
      <c r="B1536" s="31"/>
      <c r="C1536" s="48"/>
      <c r="D1536" s="47"/>
      <c r="E1536" s="47"/>
      <c r="F1536" s="31"/>
      <c r="G1536" s="31"/>
      <c r="H1536" s="31"/>
      <c r="I1536" s="47"/>
      <c r="J1536" s="31"/>
      <c r="K1536" s="47"/>
      <c r="L1536" s="47"/>
      <c r="M1536" s="47"/>
      <c r="N1536" s="31"/>
      <c r="O1536" s="47"/>
      <c r="P1536" s="31"/>
      <c r="Q1536" s="31"/>
      <c r="R1536" s="31"/>
      <c r="S1536" s="31"/>
      <c r="T1536" s="270">
        <f t="shared" si="184"/>
        <v>0</v>
      </c>
      <c r="U1536" s="270">
        <f t="shared" si="185"/>
        <v>0</v>
      </c>
      <c r="V1536" s="31"/>
      <c r="X1536" s="240" t="str">
        <f t="shared" si="186"/>
        <v>OK</v>
      </c>
      <c r="Y1536" s="240" t="str">
        <f t="shared" si="187"/>
        <v>OK</v>
      </c>
      <c r="Z1536" s="240" t="str">
        <f t="shared" si="188"/>
        <v>OK</v>
      </c>
      <c r="AA1536" s="240" t="str" cm="1">
        <f t="array" ref="AA1536">IF(OR(AND(J1536="Not accepted",N1536:O1536&lt;&gt;"",$S1536=""),AND(J1536="Accepted",S1536="")),"ERROR","OK")</f>
        <v>OK</v>
      </c>
      <c r="AB1536" s="240" t="str">
        <f t="shared" si="189"/>
        <v>OK</v>
      </c>
      <c r="AC1536" s="240" t="str" cm="1">
        <f t="array" ref="AC1536">IF(AND(F1536:H1536&lt;&gt;"",I1536=""),"ERROR","OK")</f>
        <v>OK</v>
      </c>
      <c r="AD1536" s="240" t="str">
        <f t="shared" si="190"/>
        <v>OK</v>
      </c>
      <c r="AE1536" s="240" t="str">
        <f t="shared" si="191"/>
        <v>OK</v>
      </c>
      <c r="AF1536" s="240" t="str" cm="1">
        <f t="array" aca="1" ref="AF1536" ca="1" xml:space="preserve">
IF(AND($G1536&lt;&gt;"",$F1536=""),"ERROR",
IF(OR($F1536:$G1536="",AND($G1536="",$F1536&lt;&gt;"")),"OK",
IF(COUNTIF(INDIRECT(IFERROR(LEFT($F1536,FIND(" ",$F1536)-1),$F1536)), $G1536)&gt;0, "OK", "ERROR")))</f>
        <v>OK</v>
      </c>
    </row>
    <row r="1537" spans="1:32" s="240" customFormat="1">
      <c r="A1537" s="48"/>
      <c r="B1537" s="31"/>
      <c r="C1537" s="48"/>
      <c r="D1537" s="47"/>
      <c r="E1537" s="47"/>
      <c r="F1537" s="31"/>
      <c r="G1537" s="31"/>
      <c r="H1537" s="31"/>
      <c r="I1537" s="47"/>
      <c r="J1537" s="31"/>
      <c r="K1537" s="47"/>
      <c r="L1537" s="47"/>
      <c r="M1537" s="47"/>
      <c r="N1537" s="31"/>
      <c r="O1537" s="47"/>
      <c r="P1537" s="31"/>
      <c r="Q1537" s="31"/>
      <c r="R1537" s="31"/>
      <c r="S1537" s="31"/>
      <c r="T1537" s="270">
        <f t="shared" si="184"/>
        <v>0</v>
      </c>
      <c r="U1537" s="270">
        <f t="shared" si="185"/>
        <v>0</v>
      </c>
      <c r="V1537" s="31"/>
      <c r="X1537" s="240" t="str">
        <f t="shared" si="186"/>
        <v>OK</v>
      </c>
      <c r="Y1537" s="240" t="str">
        <f t="shared" si="187"/>
        <v>OK</v>
      </c>
      <c r="Z1537" s="240" t="str">
        <f t="shared" si="188"/>
        <v>OK</v>
      </c>
      <c r="AA1537" s="240" t="str" cm="1">
        <f t="array" ref="AA1537">IF(OR(AND(J1537="Not accepted",N1537:O1537&lt;&gt;"",$S1537=""),AND(J1537="Accepted",S1537="")),"ERROR","OK")</f>
        <v>OK</v>
      </c>
      <c r="AB1537" s="240" t="str">
        <f t="shared" si="189"/>
        <v>OK</v>
      </c>
      <c r="AC1537" s="240" t="str" cm="1">
        <f t="array" ref="AC1537">IF(AND(F1537:H1537&lt;&gt;"",I1537=""),"ERROR","OK")</f>
        <v>OK</v>
      </c>
      <c r="AD1537" s="240" t="str">
        <f t="shared" si="190"/>
        <v>OK</v>
      </c>
      <c r="AE1537" s="240" t="str">
        <f t="shared" si="191"/>
        <v>OK</v>
      </c>
      <c r="AF1537" s="240" t="str" cm="1">
        <f t="array" aca="1" ref="AF1537" ca="1" xml:space="preserve">
IF(AND($G1537&lt;&gt;"",$F1537=""),"ERROR",
IF(OR($F1537:$G1537="",AND($G1537="",$F1537&lt;&gt;"")),"OK",
IF(COUNTIF(INDIRECT(IFERROR(LEFT($F1537,FIND(" ",$F1537)-1),$F1537)), $G1537)&gt;0, "OK", "ERROR")))</f>
        <v>OK</v>
      </c>
    </row>
    <row r="1538" spans="1:32" s="240" customFormat="1">
      <c r="A1538" s="48"/>
      <c r="B1538" s="31"/>
      <c r="C1538" s="48"/>
      <c r="D1538" s="47"/>
      <c r="E1538" s="47"/>
      <c r="F1538" s="31"/>
      <c r="G1538" s="31"/>
      <c r="H1538" s="31"/>
      <c r="I1538" s="47"/>
      <c r="J1538" s="31"/>
      <c r="K1538" s="47"/>
      <c r="L1538" s="47"/>
      <c r="M1538" s="47"/>
      <c r="N1538" s="31"/>
      <c r="O1538" s="47"/>
      <c r="P1538" s="31"/>
      <c r="Q1538" s="31"/>
      <c r="R1538" s="31"/>
      <c r="S1538" s="31"/>
      <c r="T1538" s="270">
        <f t="shared" si="184"/>
        <v>0</v>
      </c>
      <c r="U1538" s="270">
        <f t="shared" si="185"/>
        <v>0</v>
      </c>
      <c r="V1538" s="31"/>
      <c r="X1538" s="240" t="str">
        <f t="shared" si="186"/>
        <v>OK</v>
      </c>
      <c r="Y1538" s="240" t="str">
        <f t="shared" si="187"/>
        <v>OK</v>
      </c>
      <c r="Z1538" s="240" t="str">
        <f t="shared" si="188"/>
        <v>OK</v>
      </c>
      <c r="AA1538" s="240" t="str" cm="1">
        <f t="array" ref="AA1538">IF(OR(AND(J1538="Not accepted",N1538:O1538&lt;&gt;"",$S1538=""),AND(J1538="Accepted",S1538="")),"ERROR","OK")</f>
        <v>OK</v>
      </c>
      <c r="AB1538" s="240" t="str">
        <f t="shared" si="189"/>
        <v>OK</v>
      </c>
      <c r="AC1538" s="240" t="str" cm="1">
        <f t="array" ref="AC1538">IF(AND(F1538:H1538&lt;&gt;"",I1538=""),"ERROR","OK")</f>
        <v>OK</v>
      </c>
      <c r="AD1538" s="240" t="str">
        <f t="shared" si="190"/>
        <v>OK</v>
      </c>
      <c r="AE1538" s="240" t="str">
        <f t="shared" si="191"/>
        <v>OK</v>
      </c>
      <c r="AF1538" s="240" t="str" cm="1">
        <f t="array" aca="1" ref="AF1538" ca="1" xml:space="preserve">
IF(AND($G1538&lt;&gt;"",$F1538=""),"ERROR",
IF(OR($F1538:$G1538="",AND($G1538="",$F1538&lt;&gt;"")),"OK",
IF(COUNTIF(INDIRECT(IFERROR(LEFT($F1538,FIND(" ",$F1538)-1),$F1538)), $G1538)&gt;0, "OK", "ERROR")))</f>
        <v>OK</v>
      </c>
    </row>
    <row r="1539" spans="1:32" s="240" customFormat="1">
      <c r="A1539" s="48"/>
      <c r="B1539" s="31"/>
      <c r="C1539" s="48"/>
      <c r="D1539" s="47"/>
      <c r="E1539" s="47"/>
      <c r="F1539" s="31"/>
      <c r="G1539" s="31"/>
      <c r="H1539" s="31"/>
      <c r="I1539" s="47"/>
      <c r="J1539" s="31"/>
      <c r="K1539" s="47"/>
      <c r="L1539" s="47"/>
      <c r="M1539" s="47"/>
      <c r="N1539" s="31"/>
      <c r="O1539" s="47"/>
      <c r="P1539" s="31"/>
      <c r="Q1539" s="31"/>
      <c r="R1539" s="31"/>
      <c r="S1539" s="31"/>
      <c r="T1539" s="270">
        <f t="shared" si="184"/>
        <v>0</v>
      </c>
      <c r="U1539" s="270">
        <f t="shared" si="185"/>
        <v>0</v>
      </c>
      <c r="V1539" s="31"/>
      <c r="X1539" s="240" t="str">
        <f t="shared" si="186"/>
        <v>OK</v>
      </c>
      <c r="Y1539" s="240" t="str">
        <f t="shared" si="187"/>
        <v>OK</v>
      </c>
      <c r="Z1539" s="240" t="str">
        <f t="shared" si="188"/>
        <v>OK</v>
      </c>
      <c r="AA1539" s="240" t="str" cm="1">
        <f t="array" ref="AA1539">IF(OR(AND(J1539="Not accepted",N1539:O1539&lt;&gt;"",$S1539=""),AND(J1539="Accepted",S1539="")),"ERROR","OK")</f>
        <v>OK</v>
      </c>
      <c r="AB1539" s="240" t="str">
        <f t="shared" si="189"/>
        <v>OK</v>
      </c>
      <c r="AC1539" s="240" t="str" cm="1">
        <f t="array" ref="AC1539">IF(AND(F1539:H1539&lt;&gt;"",I1539=""),"ERROR","OK")</f>
        <v>OK</v>
      </c>
      <c r="AD1539" s="240" t="str">
        <f t="shared" si="190"/>
        <v>OK</v>
      </c>
      <c r="AE1539" s="240" t="str">
        <f t="shared" si="191"/>
        <v>OK</v>
      </c>
      <c r="AF1539" s="240" t="str" cm="1">
        <f t="array" aca="1" ref="AF1539" ca="1" xml:space="preserve">
IF(AND($G1539&lt;&gt;"",$F1539=""),"ERROR",
IF(OR($F1539:$G1539="",AND($G1539="",$F1539&lt;&gt;"")),"OK",
IF(COUNTIF(INDIRECT(IFERROR(LEFT($F1539,FIND(" ",$F1539)-1),$F1539)), $G1539)&gt;0, "OK", "ERROR")))</f>
        <v>OK</v>
      </c>
    </row>
    <row r="1540" spans="1:32" s="240" customFormat="1">
      <c r="A1540" s="48"/>
      <c r="B1540" s="31"/>
      <c r="C1540" s="48"/>
      <c r="D1540" s="47"/>
      <c r="E1540" s="47"/>
      <c r="F1540" s="31"/>
      <c r="G1540" s="31"/>
      <c r="H1540" s="31"/>
      <c r="I1540" s="47"/>
      <c r="J1540" s="31"/>
      <c r="K1540" s="47"/>
      <c r="L1540" s="47"/>
      <c r="M1540" s="47"/>
      <c r="N1540" s="31"/>
      <c r="O1540" s="47"/>
      <c r="P1540" s="31"/>
      <c r="Q1540" s="31"/>
      <c r="R1540" s="31"/>
      <c r="S1540" s="31"/>
      <c r="T1540" s="270">
        <f t="shared" si="184"/>
        <v>0</v>
      </c>
      <c r="U1540" s="270">
        <f t="shared" si="185"/>
        <v>0</v>
      </c>
      <c r="V1540" s="31"/>
      <c r="X1540" s="240" t="str">
        <f t="shared" si="186"/>
        <v>OK</v>
      </c>
      <c r="Y1540" s="240" t="str">
        <f t="shared" si="187"/>
        <v>OK</v>
      </c>
      <c r="Z1540" s="240" t="str">
        <f t="shared" si="188"/>
        <v>OK</v>
      </c>
      <c r="AA1540" s="240" t="str" cm="1">
        <f t="array" ref="AA1540">IF(OR(AND(J1540="Not accepted",N1540:O1540&lt;&gt;"",$S1540=""),AND(J1540="Accepted",S1540="")),"ERROR","OK")</f>
        <v>OK</v>
      </c>
      <c r="AB1540" s="240" t="str">
        <f t="shared" si="189"/>
        <v>OK</v>
      </c>
      <c r="AC1540" s="240" t="str" cm="1">
        <f t="array" ref="AC1540">IF(AND(F1540:H1540&lt;&gt;"",I1540=""),"ERROR","OK")</f>
        <v>OK</v>
      </c>
      <c r="AD1540" s="240" t="str">
        <f t="shared" si="190"/>
        <v>OK</v>
      </c>
      <c r="AE1540" s="240" t="str">
        <f t="shared" si="191"/>
        <v>OK</v>
      </c>
      <c r="AF1540" s="240" t="str" cm="1">
        <f t="array" aca="1" ref="AF1540" ca="1" xml:space="preserve">
IF(AND($G1540&lt;&gt;"",$F1540=""),"ERROR",
IF(OR($F1540:$G1540="",AND($G1540="",$F1540&lt;&gt;"")),"OK",
IF(COUNTIF(INDIRECT(IFERROR(LEFT($F1540,FIND(" ",$F1540)-1),$F1540)), $G1540)&gt;0, "OK", "ERROR")))</f>
        <v>OK</v>
      </c>
    </row>
    <row r="1541" spans="1:32" s="240" customFormat="1">
      <c r="A1541" s="48"/>
      <c r="B1541" s="31"/>
      <c r="C1541" s="48"/>
      <c r="D1541" s="47"/>
      <c r="E1541" s="47"/>
      <c r="F1541" s="31"/>
      <c r="G1541" s="31"/>
      <c r="H1541" s="31"/>
      <c r="I1541" s="47"/>
      <c r="J1541" s="31"/>
      <c r="K1541" s="47"/>
      <c r="L1541" s="47"/>
      <c r="M1541" s="47"/>
      <c r="N1541" s="31"/>
      <c r="O1541" s="47"/>
      <c r="P1541" s="31"/>
      <c r="Q1541" s="31"/>
      <c r="R1541" s="31"/>
      <c r="S1541" s="31"/>
      <c r="T1541" s="270">
        <f t="shared" ref="T1541:T1604" si="192">IF(OR($J1541="Accepted",ISBLANK($J1541)),IF(AND($G1541="Legacy Data",$Q1541="Legacy Data"),1,IF(OR($G1541="Legacy Data",$Q1541="Legacy Data"),1,0)),IF(OR($N1541="Agree with original translator",ISBLANK($N1541)),IF(AND($G1541="Source Text Data",$Q1541="Legacy Data"),1,IF(AND($G1541="Legacy Data",$Q1541="Legacy Data"),1,IF($Q1541="Legacy Data",1,0))),IF(AND($G1541="Legacy Data",$Q1541="Legacy Data"),1,IF(OR($Q1541="Legacy Data",ISBLANK($Q1541)),IF($G1541&lt;&gt;"Legacy Data",IF(AND($G1541="Source Text Data",$Q1541="Legacy Data"),1,0),1),0))))</f>
        <v>0</v>
      </c>
      <c r="U1541" s="270">
        <f t="shared" ref="U1541:U1604" si="193">IF(OR($J1541="Accepted",ISBLANK($J1541)),IF(AND($G1541="Source Text Data",$Q1541="Source Text Data"),1,IF(OR($G1541="Source Text Data",$Q1541="Source Text Data"),1,0)),IF(OR($N1541="Agree with original translator",ISBLANK($N1541)),IF(AND($G1541="Legacy Data",$Q1541="Source Text Data"),1,IF(AND($G1541="Source Text Data",$Q1541="Source Text Data"),1,IF($Q1541="Source Text Data",1,0))),IF(AND($G1541="Source Text Data",$Q1541="Source Text Data"),1,IF(OR($Q1541="Source Text Data",ISBLANK($Q1541)),IF($G1541&lt;&gt;"Source Text Data",IF(AND($G1541="Legacy Data",$Q1541="Source Text Data"),1,0),1),0))))</f>
        <v>0</v>
      </c>
      <c r="V1541" s="31"/>
      <c r="X1541" s="240" t="str">
        <f t="shared" ref="X1541:X1604" si="194">IF(AND(COUNTBLANK($F1541:$H1541)&lt;&gt;COLUMNS($F1541:$H1541),COUNTA($F1541:$H1541)&lt;&gt;COLUMNS($F1541:$H1541)),"ERROR","OK")</f>
        <v>OK</v>
      </c>
      <c r="Y1541" s="240" t="str">
        <f t="shared" ref="Y1541:Y1604" si="195">IF(AND($J1541="Not accepted",$K1541=""),"ERROR","OK")</f>
        <v>OK</v>
      </c>
      <c r="Z1541" s="240" t="str">
        <f t="shared" ref="Z1541:Z1604" si="196">IF(AND($F1541&lt;&gt;"",$J1541=""),"ERROR","OK")</f>
        <v>OK</v>
      </c>
      <c r="AA1541" s="240" t="str" cm="1">
        <f t="array" ref="AA1541">IF(OR(AND(J1541="Not accepted",N1541:O1541&lt;&gt;"",$S1541=""),AND(J1541="Accepted",S1541="")),"ERROR","OK")</f>
        <v>OK</v>
      </c>
      <c r="AB1541" s="240" t="str">
        <f t="shared" ref="AB1541:AB1604" si="197">IF(AND($S1541="Not Implemented",$V1541=""),"ERROR","OK")</f>
        <v>OK</v>
      </c>
      <c r="AC1541" s="240" t="str" cm="1">
        <f t="array" ref="AC1541">IF(AND(F1541:H1541&lt;&gt;"",I1541=""),"ERROR","OK")</f>
        <v>OK</v>
      </c>
      <c r="AD1541" s="240" t="str">
        <f t="shared" ref="AD1541:AD1604" si="198">IF(AND($N1541="",$J1541="Not accepted",$K1541&lt;&gt;""),"ERROR","OK")</f>
        <v>OK</v>
      </c>
      <c r="AE1541" s="240" t="str">
        <f t="shared" ref="AE1541:AE1604" si="199">IF(AND($O1541="",$N1541&lt;&gt;""),"ERROR","OK")</f>
        <v>OK</v>
      </c>
      <c r="AF1541" s="240" t="str" cm="1">
        <f t="array" aca="1" ref="AF1541" ca="1" xml:space="preserve">
IF(AND($G1541&lt;&gt;"",$F1541=""),"ERROR",
IF(OR($F1541:$G1541="",AND($G1541="",$F1541&lt;&gt;"")),"OK",
IF(COUNTIF(INDIRECT(IFERROR(LEFT($F1541,FIND(" ",$F1541)-1),$F1541)), $G1541)&gt;0, "OK", "ERROR")))</f>
        <v>OK</v>
      </c>
    </row>
    <row r="1542" spans="1:32" s="240" customFormat="1">
      <c r="A1542" s="48"/>
      <c r="B1542" s="31"/>
      <c r="C1542" s="48"/>
      <c r="D1542" s="47"/>
      <c r="E1542" s="47"/>
      <c r="F1542" s="31"/>
      <c r="G1542" s="31"/>
      <c r="H1542" s="31"/>
      <c r="I1542" s="47"/>
      <c r="J1542" s="31"/>
      <c r="K1542" s="47"/>
      <c r="L1542" s="47"/>
      <c r="M1542" s="47"/>
      <c r="N1542" s="31"/>
      <c r="O1542" s="47"/>
      <c r="P1542" s="31"/>
      <c r="Q1542" s="31"/>
      <c r="R1542" s="31"/>
      <c r="S1542" s="31"/>
      <c r="T1542" s="270">
        <f t="shared" si="192"/>
        <v>0</v>
      </c>
      <c r="U1542" s="270">
        <f t="shared" si="193"/>
        <v>0</v>
      </c>
      <c r="V1542" s="31"/>
      <c r="X1542" s="240" t="str">
        <f t="shared" si="194"/>
        <v>OK</v>
      </c>
      <c r="Y1542" s="240" t="str">
        <f t="shared" si="195"/>
        <v>OK</v>
      </c>
      <c r="Z1542" s="240" t="str">
        <f t="shared" si="196"/>
        <v>OK</v>
      </c>
      <c r="AA1542" s="240" t="str" cm="1">
        <f t="array" ref="AA1542">IF(OR(AND(J1542="Not accepted",N1542:O1542&lt;&gt;"",$S1542=""),AND(J1542="Accepted",S1542="")),"ERROR","OK")</f>
        <v>OK</v>
      </c>
      <c r="AB1542" s="240" t="str">
        <f t="shared" si="197"/>
        <v>OK</v>
      </c>
      <c r="AC1542" s="240" t="str" cm="1">
        <f t="array" ref="AC1542">IF(AND(F1542:H1542&lt;&gt;"",I1542=""),"ERROR","OK")</f>
        <v>OK</v>
      </c>
      <c r="AD1542" s="240" t="str">
        <f t="shared" si="198"/>
        <v>OK</v>
      </c>
      <c r="AE1542" s="240" t="str">
        <f t="shared" si="199"/>
        <v>OK</v>
      </c>
      <c r="AF1542" s="240" t="str" cm="1">
        <f t="array" aca="1" ref="AF1542" ca="1" xml:space="preserve">
IF(AND($G1542&lt;&gt;"",$F1542=""),"ERROR",
IF(OR($F1542:$G1542="",AND($G1542="",$F1542&lt;&gt;"")),"OK",
IF(COUNTIF(INDIRECT(IFERROR(LEFT($F1542,FIND(" ",$F1542)-1),$F1542)), $G1542)&gt;0, "OK", "ERROR")))</f>
        <v>OK</v>
      </c>
    </row>
    <row r="1543" spans="1:32" s="240" customFormat="1">
      <c r="A1543" s="48"/>
      <c r="B1543" s="31"/>
      <c r="C1543" s="48"/>
      <c r="D1543" s="47"/>
      <c r="E1543" s="47"/>
      <c r="F1543" s="31"/>
      <c r="G1543" s="31"/>
      <c r="H1543" s="31"/>
      <c r="I1543" s="47"/>
      <c r="J1543" s="31"/>
      <c r="K1543" s="47"/>
      <c r="L1543" s="47"/>
      <c r="M1543" s="47"/>
      <c r="N1543" s="31"/>
      <c r="O1543" s="47"/>
      <c r="P1543" s="31"/>
      <c r="Q1543" s="31"/>
      <c r="R1543" s="31"/>
      <c r="S1543" s="31"/>
      <c r="T1543" s="270">
        <f t="shared" si="192"/>
        <v>0</v>
      </c>
      <c r="U1543" s="270">
        <f t="shared" si="193"/>
        <v>0</v>
      </c>
      <c r="V1543" s="31"/>
      <c r="X1543" s="240" t="str">
        <f t="shared" si="194"/>
        <v>OK</v>
      </c>
      <c r="Y1543" s="240" t="str">
        <f t="shared" si="195"/>
        <v>OK</v>
      </c>
      <c r="Z1543" s="240" t="str">
        <f t="shared" si="196"/>
        <v>OK</v>
      </c>
      <c r="AA1543" s="240" t="str" cm="1">
        <f t="array" ref="AA1543">IF(OR(AND(J1543="Not accepted",N1543:O1543&lt;&gt;"",$S1543=""),AND(J1543="Accepted",S1543="")),"ERROR","OK")</f>
        <v>OK</v>
      </c>
      <c r="AB1543" s="240" t="str">
        <f t="shared" si="197"/>
        <v>OK</v>
      </c>
      <c r="AC1543" s="240" t="str" cm="1">
        <f t="array" ref="AC1543">IF(AND(F1543:H1543&lt;&gt;"",I1543=""),"ERROR","OK")</f>
        <v>OK</v>
      </c>
      <c r="AD1543" s="240" t="str">
        <f t="shared" si="198"/>
        <v>OK</v>
      </c>
      <c r="AE1543" s="240" t="str">
        <f t="shared" si="199"/>
        <v>OK</v>
      </c>
      <c r="AF1543" s="240" t="str" cm="1">
        <f t="array" aca="1" ref="AF1543" ca="1" xml:space="preserve">
IF(AND($G1543&lt;&gt;"",$F1543=""),"ERROR",
IF(OR($F1543:$G1543="",AND($G1543="",$F1543&lt;&gt;"")),"OK",
IF(COUNTIF(INDIRECT(IFERROR(LEFT($F1543,FIND(" ",$F1543)-1),$F1543)), $G1543)&gt;0, "OK", "ERROR")))</f>
        <v>OK</v>
      </c>
    </row>
    <row r="1544" spans="1:32" s="240" customFormat="1">
      <c r="A1544" s="48"/>
      <c r="B1544" s="31"/>
      <c r="C1544" s="48"/>
      <c r="D1544" s="47"/>
      <c r="E1544" s="47"/>
      <c r="F1544" s="31"/>
      <c r="G1544" s="31"/>
      <c r="H1544" s="31"/>
      <c r="I1544" s="47"/>
      <c r="J1544" s="31"/>
      <c r="K1544" s="47"/>
      <c r="L1544" s="47"/>
      <c r="M1544" s="47"/>
      <c r="N1544" s="31"/>
      <c r="O1544" s="47"/>
      <c r="P1544" s="31"/>
      <c r="Q1544" s="31"/>
      <c r="R1544" s="31"/>
      <c r="S1544" s="31"/>
      <c r="T1544" s="270">
        <f t="shared" si="192"/>
        <v>0</v>
      </c>
      <c r="U1544" s="270">
        <f t="shared" si="193"/>
        <v>0</v>
      </c>
      <c r="V1544" s="31"/>
      <c r="X1544" s="240" t="str">
        <f t="shared" si="194"/>
        <v>OK</v>
      </c>
      <c r="Y1544" s="240" t="str">
        <f t="shared" si="195"/>
        <v>OK</v>
      </c>
      <c r="Z1544" s="240" t="str">
        <f t="shared" si="196"/>
        <v>OK</v>
      </c>
      <c r="AA1544" s="240" t="str" cm="1">
        <f t="array" ref="AA1544">IF(OR(AND(J1544="Not accepted",N1544:O1544&lt;&gt;"",$S1544=""),AND(J1544="Accepted",S1544="")),"ERROR","OK")</f>
        <v>OK</v>
      </c>
      <c r="AB1544" s="240" t="str">
        <f t="shared" si="197"/>
        <v>OK</v>
      </c>
      <c r="AC1544" s="240" t="str" cm="1">
        <f t="array" ref="AC1544">IF(AND(F1544:H1544&lt;&gt;"",I1544=""),"ERROR","OK")</f>
        <v>OK</v>
      </c>
      <c r="AD1544" s="240" t="str">
        <f t="shared" si="198"/>
        <v>OK</v>
      </c>
      <c r="AE1544" s="240" t="str">
        <f t="shared" si="199"/>
        <v>OK</v>
      </c>
      <c r="AF1544" s="240" t="str" cm="1">
        <f t="array" aca="1" ref="AF1544" ca="1" xml:space="preserve">
IF(AND($G1544&lt;&gt;"",$F1544=""),"ERROR",
IF(OR($F1544:$G1544="",AND($G1544="",$F1544&lt;&gt;"")),"OK",
IF(COUNTIF(INDIRECT(IFERROR(LEFT($F1544,FIND(" ",$F1544)-1),$F1544)), $G1544)&gt;0, "OK", "ERROR")))</f>
        <v>OK</v>
      </c>
    </row>
    <row r="1545" spans="1:32" s="240" customFormat="1">
      <c r="A1545" s="48"/>
      <c r="B1545" s="31"/>
      <c r="C1545" s="48"/>
      <c r="D1545" s="47"/>
      <c r="E1545" s="47"/>
      <c r="F1545" s="31"/>
      <c r="G1545" s="31"/>
      <c r="H1545" s="31"/>
      <c r="I1545" s="47"/>
      <c r="J1545" s="31"/>
      <c r="K1545" s="47"/>
      <c r="L1545" s="47"/>
      <c r="M1545" s="47"/>
      <c r="N1545" s="31"/>
      <c r="O1545" s="47"/>
      <c r="P1545" s="31"/>
      <c r="Q1545" s="31"/>
      <c r="R1545" s="31"/>
      <c r="S1545" s="31"/>
      <c r="T1545" s="270">
        <f t="shared" si="192"/>
        <v>0</v>
      </c>
      <c r="U1545" s="270">
        <f t="shared" si="193"/>
        <v>0</v>
      </c>
      <c r="V1545" s="31"/>
      <c r="X1545" s="240" t="str">
        <f t="shared" si="194"/>
        <v>OK</v>
      </c>
      <c r="Y1545" s="240" t="str">
        <f t="shared" si="195"/>
        <v>OK</v>
      </c>
      <c r="Z1545" s="240" t="str">
        <f t="shared" si="196"/>
        <v>OK</v>
      </c>
      <c r="AA1545" s="240" t="str" cm="1">
        <f t="array" ref="AA1545">IF(OR(AND(J1545="Not accepted",N1545:O1545&lt;&gt;"",$S1545=""),AND(J1545="Accepted",S1545="")),"ERROR","OK")</f>
        <v>OK</v>
      </c>
      <c r="AB1545" s="240" t="str">
        <f t="shared" si="197"/>
        <v>OK</v>
      </c>
      <c r="AC1545" s="240" t="str" cm="1">
        <f t="array" ref="AC1545">IF(AND(F1545:H1545&lt;&gt;"",I1545=""),"ERROR","OK")</f>
        <v>OK</v>
      </c>
      <c r="AD1545" s="240" t="str">
        <f t="shared" si="198"/>
        <v>OK</v>
      </c>
      <c r="AE1545" s="240" t="str">
        <f t="shared" si="199"/>
        <v>OK</v>
      </c>
      <c r="AF1545" s="240" t="str" cm="1">
        <f t="array" aca="1" ref="AF1545" ca="1" xml:space="preserve">
IF(AND($G1545&lt;&gt;"",$F1545=""),"ERROR",
IF(OR($F1545:$G1545="",AND($G1545="",$F1545&lt;&gt;"")),"OK",
IF(COUNTIF(INDIRECT(IFERROR(LEFT($F1545,FIND(" ",$F1545)-1),$F1545)), $G1545)&gt;0, "OK", "ERROR")))</f>
        <v>OK</v>
      </c>
    </row>
    <row r="1546" spans="1:32" s="240" customFormat="1">
      <c r="A1546" s="48"/>
      <c r="B1546" s="31"/>
      <c r="C1546" s="48"/>
      <c r="D1546" s="47"/>
      <c r="E1546" s="47"/>
      <c r="F1546" s="31"/>
      <c r="G1546" s="31"/>
      <c r="H1546" s="31"/>
      <c r="I1546" s="47"/>
      <c r="J1546" s="31"/>
      <c r="K1546" s="47"/>
      <c r="L1546" s="47"/>
      <c r="M1546" s="47"/>
      <c r="N1546" s="31"/>
      <c r="O1546" s="47"/>
      <c r="P1546" s="31"/>
      <c r="Q1546" s="31"/>
      <c r="R1546" s="31"/>
      <c r="S1546" s="31"/>
      <c r="T1546" s="270">
        <f t="shared" si="192"/>
        <v>0</v>
      </c>
      <c r="U1546" s="270">
        <f t="shared" si="193"/>
        <v>0</v>
      </c>
      <c r="V1546" s="31"/>
      <c r="X1546" s="240" t="str">
        <f t="shared" si="194"/>
        <v>OK</v>
      </c>
      <c r="Y1546" s="240" t="str">
        <f t="shared" si="195"/>
        <v>OK</v>
      </c>
      <c r="Z1546" s="240" t="str">
        <f t="shared" si="196"/>
        <v>OK</v>
      </c>
      <c r="AA1546" s="240" t="str" cm="1">
        <f t="array" ref="AA1546">IF(OR(AND(J1546="Not accepted",N1546:O1546&lt;&gt;"",$S1546=""),AND(J1546="Accepted",S1546="")),"ERROR","OK")</f>
        <v>OK</v>
      </c>
      <c r="AB1546" s="240" t="str">
        <f t="shared" si="197"/>
        <v>OK</v>
      </c>
      <c r="AC1546" s="240" t="str" cm="1">
        <f t="array" ref="AC1546">IF(AND(F1546:H1546&lt;&gt;"",I1546=""),"ERROR","OK")</f>
        <v>OK</v>
      </c>
      <c r="AD1546" s="240" t="str">
        <f t="shared" si="198"/>
        <v>OK</v>
      </c>
      <c r="AE1546" s="240" t="str">
        <f t="shared" si="199"/>
        <v>OK</v>
      </c>
      <c r="AF1546" s="240" t="str" cm="1">
        <f t="array" aca="1" ref="AF1546" ca="1" xml:space="preserve">
IF(AND($G1546&lt;&gt;"",$F1546=""),"ERROR",
IF(OR($F1546:$G1546="",AND($G1546="",$F1546&lt;&gt;"")),"OK",
IF(COUNTIF(INDIRECT(IFERROR(LEFT($F1546,FIND(" ",$F1546)-1),$F1546)), $G1546)&gt;0, "OK", "ERROR")))</f>
        <v>OK</v>
      </c>
    </row>
    <row r="1547" spans="1:32" s="240" customFormat="1">
      <c r="A1547" s="48"/>
      <c r="B1547" s="31"/>
      <c r="C1547" s="48"/>
      <c r="D1547" s="47"/>
      <c r="E1547" s="47"/>
      <c r="F1547" s="31"/>
      <c r="G1547" s="31"/>
      <c r="H1547" s="31"/>
      <c r="I1547" s="47"/>
      <c r="J1547" s="31"/>
      <c r="K1547" s="47"/>
      <c r="L1547" s="47"/>
      <c r="M1547" s="47"/>
      <c r="N1547" s="31"/>
      <c r="O1547" s="47"/>
      <c r="P1547" s="31"/>
      <c r="Q1547" s="31"/>
      <c r="R1547" s="31"/>
      <c r="S1547" s="31"/>
      <c r="T1547" s="270">
        <f t="shared" si="192"/>
        <v>0</v>
      </c>
      <c r="U1547" s="270">
        <f t="shared" si="193"/>
        <v>0</v>
      </c>
      <c r="V1547" s="31"/>
      <c r="X1547" s="240" t="str">
        <f t="shared" si="194"/>
        <v>OK</v>
      </c>
      <c r="Y1547" s="240" t="str">
        <f t="shared" si="195"/>
        <v>OK</v>
      </c>
      <c r="Z1547" s="240" t="str">
        <f t="shared" si="196"/>
        <v>OK</v>
      </c>
      <c r="AA1547" s="240" t="str" cm="1">
        <f t="array" ref="AA1547">IF(OR(AND(J1547="Not accepted",N1547:O1547&lt;&gt;"",$S1547=""),AND(J1547="Accepted",S1547="")),"ERROR","OK")</f>
        <v>OK</v>
      </c>
      <c r="AB1547" s="240" t="str">
        <f t="shared" si="197"/>
        <v>OK</v>
      </c>
      <c r="AC1547" s="240" t="str" cm="1">
        <f t="array" ref="AC1547">IF(AND(F1547:H1547&lt;&gt;"",I1547=""),"ERROR","OK")</f>
        <v>OK</v>
      </c>
      <c r="AD1547" s="240" t="str">
        <f t="shared" si="198"/>
        <v>OK</v>
      </c>
      <c r="AE1547" s="240" t="str">
        <f t="shared" si="199"/>
        <v>OK</v>
      </c>
      <c r="AF1547" s="240" t="str" cm="1">
        <f t="array" aca="1" ref="AF1547" ca="1" xml:space="preserve">
IF(AND($G1547&lt;&gt;"",$F1547=""),"ERROR",
IF(OR($F1547:$G1547="",AND($G1547="",$F1547&lt;&gt;"")),"OK",
IF(COUNTIF(INDIRECT(IFERROR(LEFT($F1547,FIND(" ",$F1547)-1),$F1547)), $G1547)&gt;0, "OK", "ERROR")))</f>
        <v>OK</v>
      </c>
    </row>
    <row r="1548" spans="1:32" s="240" customFormat="1">
      <c r="A1548" s="48"/>
      <c r="B1548" s="31"/>
      <c r="C1548" s="48"/>
      <c r="D1548" s="47"/>
      <c r="E1548" s="47"/>
      <c r="F1548" s="31"/>
      <c r="G1548" s="31"/>
      <c r="H1548" s="31"/>
      <c r="I1548" s="47"/>
      <c r="J1548" s="31"/>
      <c r="K1548" s="47"/>
      <c r="L1548" s="47"/>
      <c r="M1548" s="47"/>
      <c r="N1548" s="31"/>
      <c r="O1548" s="47"/>
      <c r="P1548" s="31"/>
      <c r="Q1548" s="31"/>
      <c r="R1548" s="31"/>
      <c r="S1548" s="31"/>
      <c r="T1548" s="270">
        <f t="shared" si="192"/>
        <v>0</v>
      </c>
      <c r="U1548" s="270">
        <f t="shared" si="193"/>
        <v>0</v>
      </c>
      <c r="V1548" s="31"/>
      <c r="X1548" s="240" t="str">
        <f t="shared" si="194"/>
        <v>OK</v>
      </c>
      <c r="Y1548" s="240" t="str">
        <f t="shared" si="195"/>
        <v>OK</v>
      </c>
      <c r="Z1548" s="240" t="str">
        <f t="shared" si="196"/>
        <v>OK</v>
      </c>
      <c r="AA1548" s="240" t="str" cm="1">
        <f t="array" ref="AA1548">IF(OR(AND(J1548="Not accepted",N1548:O1548&lt;&gt;"",$S1548=""),AND(J1548="Accepted",S1548="")),"ERROR","OK")</f>
        <v>OK</v>
      </c>
      <c r="AB1548" s="240" t="str">
        <f t="shared" si="197"/>
        <v>OK</v>
      </c>
      <c r="AC1548" s="240" t="str" cm="1">
        <f t="array" ref="AC1548">IF(AND(F1548:H1548&lt;&gt;"",I1548=""),"ERROR","OK")</f>
        <v>OK</v>
      </c>
      <c r="AD1548" s="240" t="str">
        <f t="shared" si="198"/>
        <v>OK</v>
      </c>
      <c r="AE1548" s="240" t="str">
        <f t="shared" si="199"/>
        <v>OK</v>
      </c>
      <c r="AF1548" s="240" t="str" cm="1">
        <f t="array" aca="1" ref="AF1548" ca="1" xml:space="preserve">
IF(AND($G1548&lt;&gt;"",$F1548=""),"ERROR",
IF(OR($F1548:$G1548="",AND($G1548="",$F1548&lt;&gt;"")),"OK",
IF(COUNTIF(INDIRECT(IFERROR(LEFT($F1548,FIND(" ",$F1548)-1),$F1548)), $G1548)&gt;0, "OK", "ERROR")))</f>
        <v>OK</v>
      </c>
    </row>
    <row r="1549" spans="1:32" s="240" customFormat="1">
      <c r="A1549" s="48"/>
      <c r="B1549" s="31"/>
      <c r="C1549" s="48"/>
      <c r="D1549" s="47"/>
      <c r="E1549" s="47"/>
      <c r="F1549" s="31"/>
      <c r="G1549" s="31"/>
      <c r="H1549" s="31"/>
      <c r="I1549" s="47"/>
      <c r="J1549" s="31"/>
      <c r="K1549" s="47"/>
      <c r="L1549" s="47"/>
      <c r="M1549" s="47"/>
      <c r="N1549" s="31"/>
      <c r="O1549" s="47"/>
      <c r="P1549" s="31"/>
      <c r="Q1549" s="31"/>
      <c r="R1549" s="31"/>
      <c r="S1549" s="31"/>
      <c r="T1549" s="270">
        <f t="shared" si="192"/>
        <v>0</v>
      </c>
      <c r="U1549" s="270">
        <f t="shared" si="193"/>
        <v>0</v>
      </c>
      <c r="V1549" s="31"/>
      <c r="X1549" s="240" t="str">
        <f t="shared" si="194"/>
        <v>OK</v>
      </c>
      <c r="Y1549" s="240" t="str">
        <f t="shared" si="195"/>
        <v>OK</v>
      </c>
      <c r="Z1549" s="240" t="str">
        <f t="shared" si="196"/>
        <v>OK</v>
      </c>
      <c r="AA1549" s="240" t="str" cm="1">
        <f t="array" ref="AA1549">IF(OR(AND(J1549="Not accepted",N1549:O1549&lt;&gt;"",$S1549=""),AND(J1549="Accepted",S1549="")),"ERROR","OK")</f>
        <v>OK</v>
      </c>
      <c r="AB1549" s="240" t="str">
        <f t="shared" si="197"/>
        <v>OK</v>
      </c>
      <c r="AC1549" s="240" t="str" cm="1">
        <f t="array" ref="AC1549">IF(AND(F1549:H1549&lt;&gt;"",I1549=""),"ERROR","OK")</f>
        <v>OK</v>
      </c>
      <c r="AD1549" s="240" t="str">
        <f t="shared" si="198"/>
        <v>OK</v>
      </c>
      <c r="AE1549" s="240" t="str">
        <f t="shared" si="199"/>
        <v>OK</v>
      </c>
      <c r="AF1549" s="240" t="str" cm="1">
        <f t="array" aca="1" ref="AF1549" ca="1" xml:space="preserve">
IF(AND($G1549&lt;&gt;"",$F1549=""),"ERROR",
IF(OR($F1549:$G1549="",AND($G1549="",$F1549&lt;&gt;"")),"OK",
IF(COUNTIF(INDIRECT(IFERROR(LEFT($F1549,FIND(" ",$F1549)-1),$F1549)), $G1549)&gt;0, "OK", "ERROR")))</f>
        <v>OK</v>
      </c>
    </row>
    <row r="1550" spans="1:32" s="240" customFormat="1">
      <c r="A1550" s="48"/>
      <c r="B1550" s="31"/>
      <c r="C1550" s="48"/>
      <c r="D1550" s="47"/>
      <c r="E1550" s="47"/>
      <c r="F1550" s="31"/>
      <c r="G1550" s="31"/>
      <c r="H1550" s="31"/>
      <c r="I1550" s="47"/>
      <c r="J1550" s="31"/>
      <c r="K1550" s="47"/>
      <c r="L1550" s="47"/>
      <c r="M1550" s="47"/>
      <c r="N1550" s="31"/>
      <c r="O1550" s="47"/>
      <c r="P1550" s="31"/>
      <c r="Q1550" s="31"/>
      <c r="R1550" s="31"/>
      <c r="S1550" s="31"/>
      <c r="T1550" s="270">
        <f t="shared" si="192"/>
        <v>0</v>
      </c>
      <c r="U1550" s="270">
        <f t="shared" si="193"/>
        <v>0</v>
      </c>
      <c r="V1550" s="31"/>
      <c r="X1550" s="240" t="str">
        <f t="shared" si="194"/>
        <v>OK</v>
      </c>
      <c r="Y1550" s="240" t="str">
        <f t="shared" si="195"/>
        <v>OK</v>
      </c>
      <c r="Z1550" s="240" t="str">
        <f t="shared" si="196"/>
        <v>OK</v>
      </c>
      <c r="AA1550" s="240" t="str" cm="1">
        <f t="array" ref="AA1550">IF(OR(AND(J1550="Not accepted",N1550:O1550&lt;&gt;"",$S1550=""),AND(J1550="Accepted",S1550="")),"ERROR","OK")</f>
        <v>OK</v>
      </c>
      <c r="AB1550" s="240" t="str">
        <f t="shared" si="197"/>
        <v>OK</v>
      </c>
      <c r="AC1550" s="240" t="str" cm="1">
        <f t="array" ref="AC1550">IF(AND(F1550:H1550&lt;&gt;"",I1550=""),"ERROR","OK")</f>
        <v>OK</v>
      </c>
      <c r="AD1550" s="240" t="str">
        <f t="shared" si="198"/>
        <v>OK</v>
      </c>
      <c r="AE1550" s="240" t="str">
        <f t="shared" si="199"/>
        <v>OK</v>
      </c>
      <c r="AF1550" s="240" t="str" cm="1">
        <f t="array" aca="1" ref="AF1550" ca="1" xml:space="preserve">
IF(AND($G1550&lt;&gt;"",$F1550=""),"ERROR",
IF(OR($F1550:$G1550="",AND($G1550="",$F1550&lt;&gt;"")),"OK",
IF(COUNTIF(INDIRECT(IFERROR(LEFT($F1550,FIND(" ",$F1550)-1),$F1550)), $G1550)&gt;0, "OK", "ERROR")))</f>
        <v>OK</v>
      </c>
    </row>
    <row r="1551" spans="1:32" s="240" customFormat="1">
      <c r="A1551" s="48"/>
      <c r="B1551" s="31"/>
      <c r="C1551" s="48"/>
      <c r="D1551" s="47"/>
      <c r="E1551" s="47"/>
      <c r="F1551" s="31"/>
      <c r="G1551" s="31"/>
      <c r="H1551" s="31"/>
      <c r="I1551" s="47"/>
      <c r="J1551" s="31"/>
      <c r="K1551" s="47"/>
      <c r="L1551" s="47"/>
      <c r="M1551" s="47"/>
      <c r="N1551" s="31"/>
      <c r="O1551" s="47"/>
      <c r="P1551" s="31"/>
      <c r="Q1551" s="31"/>
      <c r="R1551" s="31"/>
      <c r="S1551" s="31"/>
      <c r="T1551" s="270">
        <f t="shared" si="192"/>
        <v>0</v>
      </c>
      <c r="U1551" s="270">
        <f t="shared" si="193"/>
        <v>0</v>
      </c>
      <c r="V1551" s="31"/>
      <c r="X1551" s="240" t="str">
        <f t="shared" si="194"/>
        <v>OK</v>
      </c>
      <c r="Y1551" s="240" t="str">
        <f t="shared" si="195"/>
        <v>OK</v>
      </c>
      <c r="Z1551" s="240" t="str">
        <f t="shared" si="196"/>
        <v>OK</v>
      </c>
      <c r="AA1551" s="240" t="str" cm="1">
        <f t="array" ref="AA1551">IF(OR(AND(J1551="Not accepted",N1551:O1551&lt;&gt;"",$S1551=""),AND(J1551="Accepted",S1551="")),"ERROR","OK")</f>
        <v>OK</v>
      </c>
      <c r="AB1551" s="240" t="str">
        <f t="shared" si="197"/>
        <v>OK</v>
      </c>
      <c r="AC1551" s="240" t="str" cm="1">
        <f t="array" ref="AC1551">IF(AND(F1551:H1551&lt;&gt;"",I1551=""),"ERROR","OK")</f>
        <v>OK</v>
      </c>
      <c r="AD1551" s="240" t="str">
        <f t="shared" si="198"/>
        <v>OK</v>
      </c>
      <c r="AE1551" s="240" t="str">
        <f t="shared" si="199"/>
        <v>OK</v>
      </c>
      <c r="AF1551" s="240" t="str" cm="1">
        <f t="array" aca="1" ref="AF1551" ca="1" xml:space="preserve">
IF(AND($G1551&lt;&gt;"",$F1551=""),"ERROR",
IF(OR($F1551:$G1551="",AND($G1551="",$F1551&lt;&gt;"")),"OK",
IF(COUNTIF(INDIRECT(IFERROR(LEFT($F1551,FIND(" ",$F1551)-1),$F1551)), $G1551)&gt;0, "OK", "ERROR")))</f>
        <v>OK</v>
      </c>
    </row>
    <row r="1552" spans="1:32" s="240" customFormat="1">
      <c r="A1552" s="48"/>
      <c r="B1552" s="31"/>
      <c r="C1552" s="48"/>
      <c r="D1552" s="47"/>
      <c r="E1552" s="47"/>
      <c r="F1552" s="31"/>
      <c r="G1552" s="31"/>
      <c r="H1552" s="31"/>
      <c r="I1552" s="47"/>
      <c r="J1552" s="31"/>
      <c r="K1552" s="47"/>
      <c r="L1552" s="47"/>
      <c r="M1552" s="47"/>
      <c r="N1552" s="31"/>
      <c r="O1552" s="47"/>
      <c r="P1552" s="31"/>
      <c r="Q1552" s="31"/>
      <c r="R1552" s="31"/>
      <c r="S1552" s="31"/>
      <c r="T1552" s="270">
        <f t="shared" si="192"/>
        <v>0</v>
      </c>
      <c r="U1552" s="270">
        <f t="shared" si="193"/>
        <v>0</v>
      </c>
      <c r="V1552" s="31"/>
      <c r="X1552" s="240" t="str">
        <f t="shared" si="194"/>
        <v>OK</v>
      </c>
      <c r="Y1552" s="240" t="str">
        <f t="shared" si="195"/>
        <v>OK</v>
      </c>
      <c r="Z1552" s="240" t="str">
        <f t="shared" si="196"/>
        <v>OK</v>
      </c>
      <c r="AA1552" s="240" t="str" cm="1">
        <f t="array" ref="AA1552">IF(OR(AND(J1552="Not accepted",N1552:O1552&lt;&gt;"",$S1552=""),AND(J1552="Accepted",S1552="")),"ERROR","OK")</f>
        <v>OK</v>
      </c>
      <c r="AB1552" s="240" t="str">
        <f t="shared" si="197"/>
        <v>OK</v>
      </c>
      <c r="AC1552" s="240" t="str" cm="1">
        <f t="array" ref="AC1552">IF(AND(F1552:H1552&lt;&gt;"",I1552=""),"ERROR","OK")</f>
        <v>OK</v>
      </c>
      <c r="AD1552" s="240" t="str">
        <f t="shared" si="198"/>
        <v>OK</v>
      </c>
      <c r="AE1552" s="240" t="str">
        <f t="shared" si="199"/>
        <v>OK</v>
      </c>
      <c r="AF1552" s="240" t="str" cm="1">
        <f t="array" aca="1" ref="AF1552" ca="1" xml:space="preserve">
IF(AND($G1552&lt;&gt;"",$F1552=""),"ERROR",
IF(OR($F1552:$G1552="",AND($G1552="",$F1552&lt;&gt;"")),"OK",
IF(COUNTIF(INDIRECT(IFERROR(LEFT($F1552,FIND(" ",$F1552)-1),$F1552)), $G1552)&gt;0, "OK", "ERROR")))</f>
        <v>OK</v>
      </c>
    </row>
    <row r="1553" spans="1:32" s="240" customFormat="1">
      <c r="A1553" s="48"/>
      <c r="B1553" s="31"/>
      <c r="C1553" s="48"/>
      <c r="D1553" s="47"/>
      <c r="E1553" s="47"/>
      <c r="F1553" s="31"/>
      <c r="G1553" s="31"/>
      <c r="H1553" s="31"/>
      <c r="I1553" s="47"/>
      <c r="J1553" s="31"/>
      <c r="K1553" s="47"/>
      <c r="L1553" s="47"/>
      <c r="M1553" s="47"/>
      <c r="N1553" s="31"/>
      <c r="O1553" s="47"/>
      <c r="P1553" s="31"/>
      <c r="Q1553" s="31"/>
      <c r="R1553" s="31"/>
      <c r="S1553" s="31"/>
      <c r="T1553" s="270">
        <f t="shared" si="192"/>
        <v>0</v>
      </c>
      <c r="U1553" s="270">
        <f t="shared" si="193"/>
        <v>0</v>
      </c>
      <c r="V1553" s="31"/>
      <c r="X1553" s="240" t="str">
        <f t="shared" si="194"/>
        <v>OK</v>
      </c>
      <c r="Y1553" s="240" t="str">
        <f t="shared" si="195"/>
        <v>OK</v>
      </c>
      <c r="Z1553" s="240" t="str">
        <f t="shared" si="196"/>
        <v>OK</v>
      </c>
      <c r="AA1553" s="240" t="str" cm="1">
        <f t="array" ref="AA1553">IF(OR(AND(J1553="Not accepted",N1553:O1553&lt;&gt;"",$S1553=""),AND(J1553="Accepted",S1553="")),"ERROR","OK")</f>
        <v>OK</v>
      </c>
      <c r="AB1553" s="240" t="str">
        <f t="shared" si="197"/>
        <v>OK</v>
      </c>
      <c r="AC1553" s="240" t="str" cm="1">
        <f t="array" ref="AC1553">IF(AND(F1553:H1553&lt;&gt;"",I1553=""),"ERROR","OK")</f>
        <v>OK</v>
      </c>
      <c r="AD1553" s="240" t="str">
        <f t="shared" si="198"/>
        <v>OK</v>
      </c>
      <c r="AE1553" s="240" t="str">
        <f t="shared" si="199"/>
        <v>OK</v>
      </c>
      <c r="AF1553" s="240" t="str" cm="1">
        <f t="array" aca="1" ref="AF1553" ca="1" xml:space="preserve">
IF(AND($G1553&lt;&gt;"",$F1553=""),"ERROR",
IF(OR($F1553:$G1553="",AND($G1553="",$F1553&lt;&gt;"")),"OK",
IF(COUNTIF(INDIRECT(IFERROR(LEFT($F1553,FIND(" ",$F1553)-1),$F1553)), $G1553)&gt;0, "OK", "ERROR")))</f>
        <v>OK</v>
      </c>
    </row>
    <row r="1554" spans="1:32" s="240" customFormat="1">
      <c r="A1554" s="48"/>
      <c r="B1554" s="31"/>
      <c r="C1554" s="48"/>
      <c r="D1554" s="47"/>
      <c r="E1554" s="47"/>
      <c r="F1554" s="31"/>
      <c r="G1554" s="31"/>
      <c r="H1554" s="31"/>
      <c r="I1554" s="47"/>
      <c r="J1554" s="31"/>
      <c r="K1554" s="47"/>
      <c r="L1554" s="47"/>
      <c r="M1554" s="47"/>
      <c r="N1554" s="31"/>
      <c r="O1554" s="47"/>
      <c r="P1554" s="31"/>
      <c r="Q1554" s="31"/>
      <c r="R1554" s="31"/>
      <c r="S1554" s="31"/>
      <c r="T1554" s="270">
        <f t="shared" si="192"/>
        <v>0</v>
      </c>
      <c r="U1554" s="270">
        <f t="shared" si="193"/>
        <v>0</v>
      </c>
      <c r="V1554" s="31"/>
      <c r="X1554" s="240" t="str">
        <f t="shared" si="194"/>
        <v>OK</v>
      </c>
      <c r="Y1554" s="240" t="str">
        <f t="shared" si="195"/>
        <v>OK</v>
      </c>
      <c r="Z1554" s="240" t="str">
        <f t="shared" si="196"/>
        <v>OK</v>
      </c>
      <c r="AA1554" s="240" t="str" cm="1">
        <f t="array" ref="AA1554">IF(OR(AND(J1554="Not accepted",N1554:O1554&lt;&gt;"",$S1554=""),AND(J1554="Accepted",S1554="")),"ERROR","OK")</f>
        <v>OK</v>
      </c>
      <c r="AB1554" s="240" t="str">
        <f t="shared" si="197"/>
        <v>OK</v>
      </c>
      <c r="AC1554" s="240" t="str" cm="1">
        <f t="array" ref="AC1554">IF(AND(F1554:H1554&lt;&gt;"",I1554=""),"ERROR","OK")</f>
        <v>OK</v>
      </c>
      <c r="AD1554" s="240" t="str">
        <f t="shared" si="198"/>
        <v>OK</v>
      </c>
      <c r="AE1554" s="240" t="str">
        <f t="shared" si="199"/>
        <v>OK</v>
      </c>
      <c r="AF1554" s="240" t="str" cm="1">
        <f t="array" aca="1" ref="AF1554" ca="1" xml:space="preserve">
IF(AND($G1554&lt;&gt;"",$F1554=""),"ERROR",
IF(OR($F1554:$G1554="",AND($G1554="",$F1554&lt;&gt;"")),"OK",
IF(COUNTIF(INDIRECT(IFERROR(LEFT($F1554,FIND(" ",$F1554)-1),$F1554)), $G1554)&gt;0, "OK", "ERROR")))</f>
        <v>OK</v>
      </c>
    </row>
    <row r="1555" spans="1:32" s="240" customFormat="1">
      <c r="A1555" s="48"/>
      <c r="B1555" s="31"/>
      <c r="C1555" s="48"/>
      <c r="D1555" s="47"/>
      <c r="E1555" s="47"/>
      <c r="F1555" s="31"/>
      <c r="G1555" s="31"/>
      <c r="H1555" s="31"/>
      <c r="I1555" s="47"/>
      <c r="J1555" s="31"/>
      <c r="K1555" s="47"/>
      <c r="L1555" s="47"/>
      <c r="M1555" s="47"/>
      <c r="N1555" s="31"/>
      <c r="O1555" s="47"/>
      <c r="P1555" s="31"/>
      <c r="Q1555" s="31"/>
      <c r="R1555" s="31"/>
      <c r="S1555" s="31"/>
      <c r="T1555" s="270">
        <f t="shared" si="192"/>
        <v>0</v>
      </c>
      <c r="U1555" s="270">
        <f t="shared" si="193"/>
        <v>0</v>
      </c>
      <c r="V1555" s="31"/>
      <c r="X1555" s="240" t="str">
        <f t="shared" si="194"/>
        <v>OK</v>
      </c>
      <c r="Y1555" s="240" t="str">
        <f t="shared" si="195"/>
        <v>OK</v>
      </c>
      <c r="Z1555" s="240" t="str">
        <f t="shared" si="196"/>
        <v>OK</v>
      </c>
      <c r="AA1555" s="240" t="str" cm="1">
        <f t="array" ref="AA1555">IF(OR(AND(J1555="Not accepted",N1555:O1555&lt;&gt;"",$S1555=""),AND(J1555="Accepted",S1555="")),"ERROR","OK")</f>
        <v>OK</v>
      </c>
      <c r="AB1555" s="240" t="str">
        <f t="shared" si="197"/>
        <v>OK</v>
      </c>
      <c r="AC1555" s="240" t="str" cm="1">
        <f t="array" ref="AC1555">IF(AND(F1555:H1555&lt;&gt;"",I1555=""),"ERROR","OK")</f>
        <v>OK</v>
      </c>
      <c r="AD1555" s="240" t="str">
        <f t="shared" si="198"/>
        <v>OK</v>
      </c>
      <c r="AE1555" s="240" t="str">
        <f t="shared" si="199"/>
        <v>OK</v>
      </c>
      <c r="AF1555" s="240" t="str" cm="1">
        <f t="array" aca="1" ref="AF1555" ca="1" xml:space="preserve">
IF(AND($G1555&lt;&gt;"",$F1555=""),"ERROR",
IF(OR($F1555:$G1555="",AND($G1555="",$F1555&lt;&gt;"")),"OK",
IF(COUNTIF(INDIRECT(IFERROR(LEFT($F1555,FIND(" ",$F1555)-1),$F1555)), $G1555)&gt;0, "OK", "ERROR")))</f>
        <v>OK</v>
      </c>
    </row>
    <row r="1556" spans="1:32" s="240" customFormat="1">
      <c r="A1556" s="48"/>
      <c r="B1556" s="31"/>
      <c r="C1556" s="48"/>
      <c r="D1556" s="47"/>
      <c r="E1556" s="47"/>
      <c r="F1556" s="31"/>
      <c r="G1556" s="31"/>
      <c r="H1556" s="31"/>
      <c r="I1556" s="47"/>
      <c r="J1556" s="31"/>
      <c r="K1556" s="47"/>
      <c r="L1556" s="47"/>
      <c r="M1556" s="47"/>
      <c r="N1556" s="31"/>
      <c r="O1556" s="47"/>
      <c r="P1556" s="31"/>
      <c r="Q1556" s="31"/>
      <c r="R1556" s="31"/>
      <c r="S1556" s="31"/>
      <c r="T1556" s="270">
        <f t="shared" si="192"/>
        <v>0</v>
      </c>
      <c r="U1556" s="270">
        <f t="shared" si="193"/>
        <v>0</v>
      </c>
      <c r="V1556" s="31"/>
      <c r="X1556" s="240" t="str">
        <f t="shared" si="194"/>
        <v>OK</v>
      </c>
      <c r="Y1556" s="240" t="str">
        <f t="shared" si="195"/>
        <v>OK</v>
      </c>
      <c r="Z1556" s="240" t="str">
        <f t="shared" si="196"/>
        <v>OK</v>
      </c>
      <c r="AA1556" s="240" t="str" cm="1">
        <f t="array" ref="AA1556">IF(OR(AND(J1556="Not accepted",N1556:O1556&lt;&gt;"",$S1556=""),AND(J1556="Accepted",S1556="")),"ERROR","OK")</f>
        <v>OK</v>
      </c>
      <c r="AB1556" s="240" t="str">
        <f t="shared" si="197"/>
        <v>OK</v>
      </c>
      <c r="AC1556" s="240" t="str" cm="1">
        <f t="array" ref="AC1556">IF(AND(F1556:H1556&lt;&gt;"",I1556=""),"ERROR","OK")</f>
        <v>OK</v>
      </c>
      <c r="AD1556" s="240" t="str">
        <f t="shared" si="198"/>
        <v>OK</v>
      </c>
      <c r="AE1556" s="240" t="str">
        <f t="shared" si="199"/>
        <v>OK</v>
      </c>
      <c r="AF1556" s="240" t="str" cm="1">
        <f t="array" aca="1" ref="AF1556" ca="1" xml:space="preserve">
IF(AND($G1556&lt;&gt;"",$F1556=""),"ERROR",
IF(OR($F1556:$G1556="",AND($G1556="",$F1556&lt;&gt;"")),"OK",
IF(COUNTIF(INDIRECT(IFERROR(LEFT($F1556,FIND(" ",$F1556)-1),$F1556)), $G1556)&gt;0, "OK", "ERROR")))</f>
        <v>OK</v>
      </c>
    </row>
    <row r="1557" spans="1:32" s="240" customFormat="1">
      <c r="A1557" s="48"/>
      <c r="B1557" s="31"/>
      <c r="C1557" s="48"/>
      <c r="D1557" s="47"/>
      <c r="E1557" s="47"/>
      <c r="F1557" s="31"/>
      <c r="G1557" s="31"/>
      <c r="H1557" s="31"/>
      <c r="I1557" s="47"/>
      <c r="J1557" s="31"/>
      <c r="K1557" s="47"/>
      <c r="L1557" s="47"/>
      <c r="M1557" s="47"/>
      <c r="N1557" s="31"/>
      <c r="O1557" s="47"/>
      <c r="P1557" s="31"/>
      <c r="Q1557" s="31"/>
      <c r="R1557" s="31"/>
      <c r="S1557" s="31"/>
      <c r="T1557" s="270">
        <f t="shared" si="192"/>
        <v>0</v>
      </c>
      <c r="U1557" s="270">
        <f t="shared" si="193"/>
        <v>0</v>
      </c>
      <c r="V1557" s="31"/>
      <c r="X1557" s="240" t="str">
        <f t="shared" si="194"/>
        <v>OK</v>
      </c>
      <c r="Y1557" s="240" t="str">
        <f t="shared" si="195"/>
        <v>OK</v>
      </c>
      <c r="Z1557" s="240" t="str">
        <f t="shared" si="196"/>
        <v>OK</v>
      </c>
      <c r="AA1557" s="240" t="str" cm="1">
        <f t="array" ref="AA1557">IF(OR(AND(J1557="Not accepted",N1557:O1557&lt;&gt;"",$S1557=""),AND(J1557="Accepted",S1557="")),"ERROR","OK")</f>
        <v>OK</v>
      </c>
      <c r="AB1557" s="240" t="str">
        <f t="shared" si="197"/>
        <v>OK</v>
      </c>
      <c r="AC1557" s="240" t="str" cm="1">
        <f t="array" ref="AC1557">IF(AND(F1557:H1557&lt;&gt;"",I1557=""),"ERROR","OK")</f>
        <v>OK</v>
      </c>
      <c r="AD1557" s="240" t="str">
        <f t="shared" si="198"/>
        <v>OK</v>
      </c>
      <c r="AE1557" s="240" t="str">
        <f t="shared" si="199"/>
        <v>OK</v>
      </c>
      <c r="AF1557" s="240" t="str" cm="1">
        <f t="array" aca="1" ref="AF1557" ca="1" xml:space="preserve">
IF(AND($G1557&lt;&gt;"",$F1557=""),"ERROR",
IF(OR($F1557:$G1557="",AND($G1557="",$F1557&lt;&gt;"")),"OK",
IF(COUNTIF(INDIRECT(IFERROR(LEFT($F1557,FIND(" ",$F1557)-1),$F1557)), $G1557)&gt;0, "OK", "ERROR")))</f>
        <v>OK</v>
      </c>
    </row>
    <row r="1558" spans="1:32" s="240" customFormat="1">
      <c r="A1558" s="48"/>
      <c r="B1558" s="31"/>
      <c r="C1558" s="48"/>
      <c r="D1558" s="47"/>
      <c r="E1558" s="47"/>
      <c r="F1558" s="31"/>
      <c r="G1558" s="31"/>
      <c r="H1558" s="31"/>
      <c r="I1558" s="47"/>
      <c r="J1558" s="31"/>
      <c r="K1558" s="47"/>
      <c r="L1558" s="47"/>
      <c r="M1558" s="47"/>
      <c r="N1558" s="31"/>
      <c r="O1558" s="47"/>
      <c r="P1558" s="31"/>
      <c r="Q1558" s="31"/>
      <c r="R1558" s="31"/>
      <c r="S1558" s="31"/>
      <c r="T1558" s="270">
        <f t="shared" si="192"/>
        <v>0</v>
      </c>
      <c r="U1558" s="270">
        <f t="shared" si="193"/>
        <v>0</v>
      </c>
      <c r="V1558" s="31"/>
      <c r="X1558" s="240" t="str">
        <f t="shared" si="194"/>
        <v>OK</v>
      </c>
      <c r="Y1558" s="240" t="str">
        <f t="shared" si="195"/>
        <v>OK</v>
      </c>
      <c r="Z1558" s="240" t="str">
        <f t="shared" si="196"/>
        <v>OK</v>
      </c>
      <c r="AA1558" s="240" t="str" cm="1">
        <f t="array" ref="AA1558">IF(OR(AND(J1558="Not accepted",N1558:O1558&lt;&gt;"",$S1558=""),AND(J1558="Accepted",S1558="")),"ERROR","OK")</f>
        <v>OK</v>
      </c>
      <c r="AB1558" s="240" t="str">
        <f t="shared" si="197"/>
        <v>OK</v>
      </c>
      <c r="AC1558" s="240" t="str" cm="1">
        <f t="array" ref="AC1558">IF(AND(F1558:H1558&lt;&gt;"",I1558=""),"ERROR","OK")</f>
        <v>OK</v>
      </c>
      <c r="AD1558" s="240" t="str">
        <f t="shared" si="198"/>
        <v>OK</v>
      </c>
      <c r="AE1558" s="240" t="str">
        <f t="shared" si="199"/>
        <v>OK</v>
      </c>
      <c r="AF1558" s="240" t="str" cm="1">
        <f t="array" aca="1" ref="AF1558" ca="1" xml:space="preserve">
IF(AND($G1558&lt;&gt;"",$F1558=""),"ERROR",
IF(OR($F1558:$G1558="",AND($G1558="",$F1558&lt;&gt;"")),"OK",
IF(COUNTIF(INDIRECT(IFERROR(LEFT($F1558,FIND(" ",$F1558)-1),$F1558)), $G1558)&gt;0, "OK", "ERROR")))</f>
        <v>OK</v>
      </c>
    </row>
    <row r="1559" spans="1:32" s="240" customFormat="1">
      <c r="A1559" s="48"/>
      <c r="B1559" s="31"/>
      <c r="C1559" s="48"/>
      <c r="D1559" s="47"/>
      <c r="E1559" s="47"/>
      <c r="F1559" s="31"/>
      <c r="G1559" s="31"/>
      <c r="H1559" s="31"/>
      <c r="I1559" s="47"/>
      <c r="J1559" s="31"/>
      <c r="K1559" s="47"/>
      <c r="L1559" s="47"/>
      <c r="M1559" s="47"/>
      <c r="N1559" s="31"/>
      <c r="O1559" s="47"/>
      <c r="P1559" s="31"/>
      <c r="Q1559" s="31"/>
      <c r="R1559" s="31"/>
      <c r="S1559" s="31"/>
      <c r="T1559" s="270">
        <f t="shared" si="192"/>
        <v>0</v>
      </c>
      <c r="U1559" s="270">
        <f t="shared" si="193"/>
        <v>0</v>
      </c>
      <c r="V1559" s="31"/>
      <c r="X1559" s="240" t="str">
        <f t="shared" si="194"/>
        <v>OK</v>
      </c>
      <c r="Y1559" s="240" t="str">
        <f t="shared" si="195"/>
        <v>OK</v>
      </c>
      <c r="Z1559" s="240" t="str">
        <f t="shared" si="196"/>
        <v>OK</v>
      </c>
      <c r="AA1559" s="240" t="str" cm="1">
        <f t="array" ref="AA1559">IF(OR(AND(J1559="Not accepted",N1559:O1559&lt;&gt;"",$S1559=""),AND(J1559="Accepted",S1559="")),"ERROR","OK")</f>
        <v>OK</v>
      </c>
      <c r="AB1559" s="240" t="str">
        <f t="shared" si="197"/>
        <v>OK</v>
      </c>
      <c r="AC1559" s="240" t="str" cm="1">
        <f t="array" ref="AC1559">IF(AND(F1559:H1559&lt;&gt;"",I1559=""),"ERROR","OK")</f>
        <v>OK</v>
      </c>
      <c r="AD1559" s="240" t="str">
        <f t="shared" si="198"/>
        <v>OK</v>
      </c>
      <c r="AE1559" s="240" t="str">
        <f t="shared" si="199"/>
        <v>OK</v>
      </c>
      <c r="AF1559" s="240" t="str" cm="1">
        <f t="array" aca="1" ref="AF1559" ca="1" xml:space="preserve">
IF(AND($G1559&lt;&gt;"",$F1559=""),"ERROR",
IF(OR($F1559:$G1559="",AND($G1559="",$F1559&lt;&gt;"")),"OK",
IF(COUNTIF(INDIRECT(IFERROR(LEFT($F1559,FIND(" ",$F1559)-1),$F1559)), $G1559)&gt;0, "OK", "ERROR")))</f>
        <v>OK</v>
      </c>
    </row>
    <row r="1560" spans="1:32" s="240" customFormat="1">
      <c r="A1560" s="48"/>
      <c r="B1560" s="31"/>
      <c r="C1560" s="48"/>
      <c r="D1560" s="47"/>
      <c r="E1560" s="47"/>
      <c r="F1560" s="31"/>
      <c r="G1560" s="31"/>
      <c r="H1560" s="31"/>
      <c r="I1560" s="47"/>
      <c r="J1560" s="31"/>
      <c r="K1560" s="47"/>
      <c r="L1560" s="47"/>
      <c r="M1560" s="47"/>
      <c r="N1560" s="31"/>
      <c r="O1560" s="47"/>
      <c r="P1560" s="31"/>
      <c r="Q1560" s="31"/>
      <c r="R1560" s="31"/>
      <c r="S1560" s="31"/>
      <c r="T1560" s="270">
        <f t="shared" si="192"/>
        <v>0</v>
      </c>
      <c r="U1560" s="270">
        <f t="shared" si="193"/>
        <v>0</v>
      </c>
      <c r="V1560" s="31"/>
      <c r="X1560" s="240" t="str">
        <f t="shared" si="194"/>
        <v>OK</v>
      </c>
      <c r="Y1560" s="240" t="str">
        <f t="shared" si="195"/>
        <v>OK</v>
      </c>
      <c r="Z1560" s="240" t="str">
        <f t="shared" si="196"/>
        <v>OK</v>
      </c>
      <c r="AA1560" s="240" t="str" cm="1">
        <f t="array" ref="AA1560">IF(OR(AND(J1560="Not accepted",N1560:O1560&lt;&gt;"",$S1560=""),AND(J1560="Accepted",S1560="")),"ERROR","OK")</f>
        <v>OK</v>
      </c>
      <c r="AB1560" s="240" t="str">
        <f t="shared" si="197"/>
        <v>OK</v>
      </c>
      <c r="AC1560" s="240" t="str" cm="1">
        <f t="array" ref="AC1560">IF(AND(F1560:H1560&lt;&gt;"",I1560=""),"ERROR","OK")</f>
        <v>OK</v>
      </c>
      <c r="AD1560" s="240" t="str">
        <f t="shared" si="198"/>
        <v>OK</v>
      </c>
      <c r="AE1560" s="240" t="str">
        <f t="shared" si="199"/>
        <v>OK</v>
      </c>
      <c r="AF1560" s="240" t="str" cm="1">
        <f t="array" aca="1" ref="AF1560" ca="1" xml:space="preserve">
IF(AND($G1560&lt;&gt;"",$F1560=""),"ERROR",
IF(OR($F1560:$G1560="",AND($G1560="",$F1560&lt;&gt;"")),"OK",
IF(COUNTIF(INDIRECT(IFERROR(LEFT($F1560,FIND(" ",$F1560)-1),$F1560)), $G1560)&gt;0, "OK", "ERROR")))</f>
        <v>OK</v>
      </c>
    </row>
    <row r="1561" spans="1:32" s="240" customFormat="1">
      <c r="A1561" s="48"/>
      <c r="B1561" s="31"/>
      <c r="C1561" s="48"/>
      <c r="D1561" s="47"/>
      <c r="E1561" s="47"/>
      <c r="F1561" s="31"/>
      <c r="G1561" s="31"/>
      <c r="H1561" s="31"/>
      <c r="I1561" s="47"/>
      <c r="J1561" s="31"/>
      <c r="K1561" s="47"/>
      <c r="L1561" s="47"/>
      <c r="M1561" s="47"/>
      <c r="N1561" s="31"/>
      <c r="O1561" s="47"/>
      <c r="P1561" s="31"/>
      <c r="Q1561" s="31"/>
      <c r="R1561" s="31"/>
      <c r="S1561" s="31"/>
      <c r="T1561" s="270">
        <f t="shared" si="192"/>
        <v>0</v>
      </c>
      <c r="U1561" s="270">
        <f t="shared" si="193"/>
        <v>0</v>
      </c>
      <c r="V1561" s="31"/>
      <c r="X1561" s="240" t="str">
        <f t="shared" si="194"/>
        <v>OK</v>
      </c>
      <c r="Y1561" s="240" t="str">
        <f t="shared" si="195"/>
        <v>OK</v>
      </c>
      <c r="Z1561" s="240" t="str">
        <f t="shared" si="196"/>
        <v>OK</v>
      </c>
      <c r="AA1561" s="240" t="str" cm="1">
        <f t="array" ref="AA1561">IF(OR(AND(J1561="Not accepted",N1561:O1561&lt;&gt;"",$S1561=""),AND(J1561="Accepted",S1561="")),"ERROR","OK")</f>
        <v>OK</v>
      </c>
      <c r="AB1561" s="240" t="str">
        <f t="shared" si="197"/>
        <v>OK</v>
      </c>
      <c r="AC1561" s="240" t="str" cm="1">
        <f t="array" ref="AC1561">IF(AND(F1561:H1561&lt;&gt;"",I1561=""),"ERROR","OK")</f>
        <v>OK</v>
      </c>
      <c r="AD1561" s="240" t="str">
        <f t="shared" si="198"/>
        <v>OK</v>
      </c>
      <c r="AE1561" s="240" t="str">
        <f t="shared" si="199"/>
        <v>OK</v>
      </c>
      <c r="AF1561" s="240" t="str" cm="1">
        <f t="array" aca="1" ref="AF1561" ca="1" xml:space="preserve">
IF(AND($G1561&lt;&gt;"",$F1561=""),"ERROR",
IF(OR($F1561:$G1561="",AND($G1561="",$F1561&lt;&gt;"")),"OK",
IF(COUNTIF(INDIRECT(IFERROR(LEFT($F1561,FIND(" ",$F1561)-1),$F1561)), $G1561)&gt;0, "OK", "ERROR")))</f>
        <v>OK</v>
      </c>
    </row>
    <row r="1562" spans="1:32" s="240" customFormat="1">
      <c r="A1562" s="48"/>
      <c r="B1562" s="31"/>
      <c r="C1562" s="48"/>
      <c r="D1562" s="47"/>
      <c r="E1562" s="47"/>
      <c r="F1562" s="31"/>
      <c r="G1562" s="31"/>
      <c r="H1562" s="31"/>
      <c r="I1562" s="47"/>
      <c r="J1562" s="31"/>
      <c r="K1562" s="47"/>
      <c r="L1562" s="47"/>
      <c r="M1562" s="47"/>
      <c r="N1562" s="31"/>
      <c r="O1562" s="47"/>
      <c r="P1562" s="31"/>
      <c r="Q1562" s="31"/>
      <c r="R1562" s="31"/>
      <c r="S1562" s="31"/>
      <c r="T1562" s="270">
        <f t="shared" si="192"/>
        <v>0</v>
      </c>
      <c r="U1562" s="270">
        <f t="shared" si="193"/>
        <v>0</v>
      </c>
      <c r="V1562" s="31"/>
      <c r="X1562" s="240" t="str">
        <f t="shared" si="194"/>
        <v>OK</v>
      </c>
      <c r="Y1562" s="240" t="str">
        <f t="shared" si="195"/>
        <v>OK</v>
      </c>
      <c r="Z1562" s="240" t="str">
        <f t="shared" si="196"/>
        <v>OK</v>
      </c>
      <c r="AA1562" s="240" t="str" cm="1">
        <f t="array" ref="AA1562">IF(OR(AND(J1562="Not accepted",N1562:O1562&lt;&gt;"",$S1562=""),AND(J1562="Accepted",S1562="")),"ERROR","OK")</f>
        <v>OK</v>
      </c>
      <c r="AB1562" s="240" t="str">
        <f t="shared" si="197"/>
        <v>OK</v>
      </c>
      <c r="AC1562" s="240" t="str" cm="1">
        <f t="array" ref="AC1562">IF(AND(F1562:H1562&lt;&gt;"",I1562=""),"ERROR","OK")</f>
        <v>OK</v>
      </c>
      <c r="AD1562" s="240" t="str">
        <f t="shared" si="198"/>
        <v>OK</v>
      </c>
      <c r="AE1562" s="240" t="str">
        <f t="shared" si="199"/>
        <v>OK</v>
      </c>
      <c r="AF1562" s="240" t="str" cm="1">
        <f t="array" aca="1" ref="AF1562" ca="1" xml:space="preserve">
IF(AND($G1562&lt;&gt;"",$F1562=""),"ERROR",
IF(OR($F1562:$G1562="",AND($G1562="",$F1562&lt;&gt;"")),"OK",
IF(COUNTIF(INDIRECT(IFERROR(LEFT($F1562,FIND(" ",$F1562)-1),$F1562)), $G1562)&gt;0, "OK", "ERROR")))</f>
        <v>OK</v>
      </c>
    </row>
    <row r="1563" spans="1:32" s="240" customFormat="1">
      <c r="A1563" s="48"/>
      <c r="B1563" s="31"/>
      <c r="C1563" s="48"/>
      <c r="D1563" s="47"/>
      <c r="E1563" s="47"/>
      <c r="F1563" s="31"/>
      <c r="G1563" s="31"/>
      <c r="H1563" s="31"/>
      <c r="I1563" s="47"/>
      <c r="J1563" s="31"/>
      <c r="K1563" s="47"/>
      <c r="L1563" s="47"/>
      <c r="M1563" s="47"/>
      <c r="N1563" s="31"/>
      <c r="O1563" s="47"/>
      <c r="P1563" s="31"/>
      <c r="Q1563" s="31"/>
      <c r="R1563" s="31"/>
      <c r="S1563" s="31"/>
      <c r="T1563" s="270">
        <f t="shared" si="192"/>
        <v>0</v>
      </c>
      <c r="U1563" s="270">
        <f t="shared" si="193"/>
        <v>0</v>
      </c>
      <c r="V1563" s="31"/>
      <c r="X1563" s="240" t="str">
        <f t="shared" si="194"/>
        <v>OK</v>
      </c>
      <c r="Y1563" s="240" t="str">
        <f t="shared" si="195"/>
        <v>OK</v>
      </c>
      <c r="Z1563" s="240" t="str">
        <f t="shared" si="196"/>
        <v>OK</v>
      </c>
      <c r="AA1563" s="240" t="str" cm="1">
        <f t="array" ref="AA1563">IF(OR(AND(J1563="Not accepted",N1563:O1563&lt;&gt;"",$S1563=""),AND(J1563="Accepted",S1563="")),"ERROR","OK")</f>
        <v>OK</v>
      </c>
      <c r="AB1563" s="240" t="str">
        <f t="shared" si="197"/>
        <v>OK</v>
      </c>
      <c r="AC1563" s="240" t="str" cm="1">
        <f t="array" ref="AC1563">IF(AND(F1563:H1563&lt;&gt;"",I1563=""),"ERROR","OK")</f>
        <v>OK</v>
      </c>
      <c r="AD1563" s="240" t="str">
        <f t="shared" si="198"/>
        <v>OK</v>
      </c>
      <c r="AE1563" s="240" t="str">
        <f t="shared" si="199"/>
        <v>OK</v>
      </c>
      <c r="AF1563" s="240" t="str" cm="1">
        <f t="array" aca="1" ref="AF1563" ca="1" xml:space="preserve">
IF(AND($G1563&lt;&gt;"",$F1563=""),"ERROR",
IF(OR($F1563:$G1563="",AND($G1563="",$F1563&lt;&gt;"")),"OK",
IF(COUNTIF(INDIRECT(IFERROR(LEFT($F1563,FIND(" ",$F1563)-1),$F1563)), $G1563)&gt;0, "OK", "ERROR")))</f>
        <v>OK</v>
      </c>
    </row>
    <row r="1564" spans="1:32" s="240" customFormat="1">
      <c r="A1564" s="48"/>
      <c r="B1564" s="31"/>
      <c r="C1564" s="48"/>
      <c r="D1564" s="47"/>
      <c r="E1564" s="47"/>
      <c r="F1564" s="31"/>
      <c r="G1564" s="31"/>
      <c r="H1564" s="31"/>
      <c r="I1564" s="47"/>
      <c r="J1564" s="31"/>
      <c r="K1564" s="47"/>
      <c r="L1564" s="47"/>
      <c r="M1564" s="47"/>
      <c r="N1564" s="31"/>
      <c r="O1564" s="47"/>
      <c r="P1564" s="31"/>
      <c r="Q1564" s="31"/>
      <c r="R1564" s="31"/>
      <c r="S1564" s="31"/>
      <c r="T1564" s="270">
        <f t="shared" si="192"/>
        <v>0</v>
      </c>
      <c r="U1564" s="270">
        <f t="shared" si="193"/>
        <v>0</v>
      </c>
      <c r="V1564" s="31"/>
      <c r="X1564" s="240" t="str">
        <f t="shared" si="194"/>
        <v>OK</v>
      </c>
      <c r="Y1564" s="240" t="str">
        <f t="shared" si="195"/>
        <v>OK</v>
      </c>
      <c r="Z1564" s="240" t="str">
        <f t="shared" si="196"/>
        <v>OK</v>
      </c>
      <c r="AA1564" s="240" t="str" cm="1">
        <f t="array" ref="AA1564">IF(OR(AND(J1564="Not accepted",N1564:O1564&lt;&gt;"",$S1564=""),AND(J1564="Accepted",S1564="")),"ERROR","OK")</f>
        <v>OK</v>
      </c>
      <c r="AB1564" s="240" t="str">
        <f t="shared" si="197"/>
        <v>OK</v>
      </c>
      <c r="AC1564" s="240" t="str" cm="1">
        <f t="array" ref="AC1564">IF(AND(F1564:H1564&lt;&gt;"",I1564=""),"ERROR","OK")</f>
        <v>OK</v>
      </c>
      <c r="AD1564" s="240" t="str">
        <f t="shared" si="198"/>
        <v>OK</v>
      </c>
      <c r="AE1564" s="240" t="str">
        <f t="shared" si="199"/>
        <v>OK</v>
      </c>
      <c r="AF1564" s="240" t="str" cm="1">
        <f t="array" aca="1" ref="AF1564" ca="1" xml:space="preserve">
IF(AND($G1564&lt;&gt;"",$F1564=""),"ERROR",
IF(OR($F1564:$G1564="",AND($G1564="",$F1564&lt;&gt;"")),"OK",
IF(COUNTIF(INDIRECT(IFERROR(LEFT($F1564,FIND(" ",$F1564)-1),$F1564)), $G1564)&gt;0, "OK", "ERROR")))</f>
        <v>OK</v>
      </c>
    </row>
    <row r="1565" spans="1:32" s="240" customFormat="1">
      <c r="A1565" s="48"/>
      <c r="B1565" s="31"/>
      <c r="C1565" s="48"/>
      <c r="D1565" s="47"/>
      <c r="E1565" s="47"/>
      <c r="F1565" s="31"/>
      <c r="G1565" s="31"/>
      <c r="H1565" s="31"/>
      <c r="I1565" s="47"/>
      <c r="J1565" s="31"/>
      <c r="K1565" s="47"/>
      <c r="L1565" s="47"/>
      <c r="M1565" s="47"/>
      <c r="N1565" s="31"/>
      <c r="O1565" s="47"/>
      <c r="P1565" s="31"/>
      <c r="Q1565" s="31"/>
      <c r="R1565" s="31"/>
      <c r="S1565" s="31"/>
      <c r="T1565" s="270">
        <f t="shared" si="192"/>
        <v>0</v>
      </c>
      <c r="U1565" s="270">
        <f t="shared" si="193"/>
        <v>0</v>
      </c>
      <c r="V1565" s="31"/>
      <c r="X1565" s="240" t="str">
        <f t="shared" si="194"/>
        <v>OK</v>
      </c>
      <c r="Y1565" s="240" t="str">
        <f t="shared" si="195"/>
        <v>OK</v>
      </c>
      <c r="Z1565" s="240" t="str">
        <f t="shared" si="196"/>
        <v>OK</v>
      </c>
      <c r="AA1565" s="240" t="str" cm="1">
        <f t="array" ref="AA1565">IF(OR(AND(J1565="Not accepted",N1565:O1565&lt;&gt;"",$S1565=""),AND(J1565="Accepted",S1565="")),"ERROR","OK")</f>
        <v>OK</v>
      </c>
      <c r="AB1565" s="240" t="str">
        <f t="shared" si="197"/>
        <v>OK</v>
      </c>
      <c r="AC1565" s="240" t="str" cm="1">
        <f t="array" ref="AC1565">IF(AND(F1565:H1565&lt;&gt;"",I1565=""),"ERROR","OK")</f>
        <v>OK</v>
      </c>
      <c r="AD1565" s="240" t="str">
        <f t="shared" si="198"/>
        <v>OK</v>
      </c>
      <c r="AE1565" s="240" t="str">
        <f t="shared" si="199"/>
        <v>OK</v>
      </c>
      <c r="AF1565" s="240" t="str" cm="1">
        <f t="array" aca="1" ref="AF1565" ca="1" xml:space="preserve">
IF(AND($G1565&lt;&gt;"",$F1565=""),"ERROR",
IF(OR($F1565:$G1565="",AND($G1565="",$F1565&lt;&gt;"")),"OK",
IF(COUNTIF(INDIRECT(IFERROR(LEFT($F1565,FIND(" ",$F1565)-1),$F1565)), $G1565)&gt;0, "OK", "ERROR")))</f>
        <v>OK</v>
      </c>
    </row>
    <row r="1566" spans="1:32" s="240" customFormat="1">
      <c r="A1566" s="48"/>
      <c r="B1566" s="31"/>
      <c r="C1566" s="48"/>
      <c r="D1566" s="47"/>
      <c r="E1566" s="47"/>
      <c r="F1566" s="31"/>
      <c r="G1566" s="31"/>
      <c r="H1566" s="31"/>
      <c r="I1566" s="47"/>
      <c r="J1566" s="31"/>
      <c r="K1566" s="47"/>
      <c r="L1566" s="47"/>
      <c r="M1566" s="47"/>
      <c r="N1566" s="31"/>
      <c r="O1566" s="47"/>
      <c r="P1566" s="31"/>
      <c r="Q1566" s="31"/>
      <c r="R1566" s="31"/>
      <c r="S1566" s="31"/>
      <c r="T1566" s="270">
        <f t="shared" si="192"/>
        <v>0</v>
      </c>
      <c r="U1566" s="270">
        <f t="shared" si="193"/>
        <v>0</v>
      </c>
      <c r="V1566" s="31"/>
      <c r="X1566" s="240" t="str">
        <f t="shared" si="194"/>
        <v>OK</v>
      </c>
      <c r="Y1566" s="240" t="str">
        <f t="shared" si="195"/>
        <v>OK</v>
      </c>
      <c r="Z1566" s="240" t="str">
        <f t="shared" si="196"/>
        <v>OK</v>
      </c>
      <c r="AA1566" s="240" t="str" cm="1">
        <f t="array" ref="AA1566">IF(OR(AND(J1566="Not accepted",N1566:O1566&lt;&gt;"",$S1566=""),AND(J1566="Accepted",S1566="")),"ERROR","OK")</f>
        <v>OK</v>
      </c>
      <c r="AB1566" s="240" t="str">
        <f t="shared" si="197"/>
        <v>OK</v>
      </c>
      <c r="AC1566" s="240" t="str" cm="1">
        <f t="array" ref="AC1566">IF(AND(F1566:H1566&lt;&gt;"",I1566=""),"ERROR","OK")</f>
        <v>OK</v>
      </c>
      <c r="AD1566" s="240" t="str">
        <f t="shared" si="198"/>
        <v>OK</v>
      </c>
      <c r="AE1566" s="240" t="str">
        <f t="shared" si="199"/>
        <v>OK</v>
      </c>
      <c r="AF1566" s="240" t="str" cm="1">
        <f t="array" aca="1" ref="AF1566" ca="1" xml:space="preserve">
IF(AND($G1566&lt;&gt;"",$F1566=""),"ERROR",
IF(OR($F1566:$G1566="",AND($G1566="",$F1566&lt;&gt;"")),"OK",
IF(COUNTIF(INDIRECT(IFERROR(LEFT($F1566,FIND(" ",$F1566)-1),$F1566)), $G1566)&gt;0, "OK", "ERROR")))</f>
        <v>OK</v>
      </c>
    </row>
    <row r="1567" spans="1:32" s="240" customFormat="1">
      <c r="A1567" s="48"/>
      <c r="B1567" s="31"/>
      <c r="C1567" s="48"/>
      <c r="D1567" s="47"/>
      <c r="E1567" s="47"/>
      <c r="F1567" s="31"/>
      <c r="G1567" s="31"/>
      <c r="H1567" s="31"/>
      <c r="I1567" s="47"/>
      <c r="J1567" s="31"/>
      <c r="K1567" s="47"/>
      <c r="L1567" s="47"/>
      <c r="M1567" s="47"/>
      <c r="N1567" s="31"/>
      <c r="O1567" s="47"/>
      <c r="P1567" s="31"/>
      <c r="Q1567" s="31"/>
      <c r="R1567" s="31"/>
      <c r="S1567" s="31"/>
      <c r="T1567" s="270">
        <f t="shared" si="192"/>
        <v>0</v>
      </c>
      <c r="U1567" s="270">
        <f t="shared" si="193"/>
        <v>0</v>
      </c>
      <c r="V1567" s="31"/>
      <c r="X1567" s="240" t="str">
        <f t="shared" si="194"/>
        <v>OK</v>
      </c>
      <c r="Y1567" s="240" t="str">
        <f t="shared" si="195"/>
        <v>OK</v>
      </c>
      <c r="Z1567" s="240" t="str">
        <f t="shared" si="196"/>
        <v>OK</v>
      </c>
      <c r="AA1567" s="240" t="str" cm="1">
        <f t="array" ref="AA1567">IF(OR(AND(J1567="Not accepted",N1567:O1567&lt;&gt;"",$S1567=""),AND(J1567="Accepted",S1567="")),"ERROR","OK")</f>
        <v>OK</v>
      </c>
      <c r="AB1567" s="240" t="str">
        <f t="shared" si="197"/>
        <v>OK</v>
      </c>
      <c r="AC1567" s="240" t="str" cm="1">
        <f t="array" ref="AC1567">IF(AND(F1567:H1567&lt;&gt;"",I1567=""),"ERROR","OK")</f>
        <v>OK</v>
      </c>
      <c r="AD1567" s="240" t="str">
        <f t="shared" si="198"/>
        <v>OK</v>
      </c>
      <c r="AE1567" s="240" t="str">
        <f t="shared" si="199"/>
        <v>OK</v>
      </c>
      <c r="AF1567" s="240" t="str" cm="1">
        <f t="array" aca="1" ref="AF1567" ca="1" xml:space="preserve">
IF(AND($G1567&lt;&gt;"",$F1567=""),"ERROR",
IF(OR($F1567:$G1567="",AND($G1567="",$F1567&lt;&gt;"")),"OK",
IF(COUNTIF(INDIRECT(IFERROR(LEFT($F1567,FIND(" ",$F1567)-1),$F1567)), $G1567)&gt;0, "OK", "ERROR")))</f>
        <v>OK</v>
      </c>
    </row>
    <row r="1568" spans="1:32" s="240" customFormat="1">
      <c r="A1568" s="48"/>
      <c r="B1568" s="31"/>
      <c r="C1568" s="48"/>
      <c r="D1568" s="47"/>
      <c r="E1568" s="47"/>
      <c r="F1568" s="31"/>
      <c r="G1568" s="31"/>
      <c r="H1568" s="31"/>
      <c r="I1568" s="47"/>
      <c r="J1568" s="31"/>
      <c r="K1568" s="47"/>
      <c r="L1568" s="47"/>
      <c r="M1568" s="47"/>
      <c r="N1568" s="31"/>
      <c r="O1568" s="47"/>
      <c r="P1568" s="31"/>
      <c r="Q1568" s="31"/>
      <c r="R1568" s="31"/>
      <c r="S1568" s="31"/>
      <c r="T1568" s="270">
        <f t="shared" si="192"/>
        <v>0</v>
      </c>
      <c r="U1568" s="270">
        <f t="shared" si="193"/>
        <v>0</v>
      </c>
      <c r="V1568" s="31"/>
      <c r="X1568" s="240" t="str">
        <f t="shared" si="194"/>
        <v>OK</v>
      </c>
      <c r="Y1568" s="240" t="str">
        <f t="shared" si="195"/>
        <v>OK</v>
      </c>
      <c r="Z1568" s="240" t="str">
        <f t="shared" si="196"/>
        <v>OK</v>
      </c>
      <c r="AA1568" s="240" t="str" cm="1">
        <f t="array" ref="AA1568">IF(OR(AND(J1568="Not accepted",N1568:O1568&lt;&gt;"",$S1568=""),AND(J1568="Accepted",S1568="")),"ERROR","OK")</f>
        <v>OK</v>
      </c>
      <c r="AB1568" s="240" t="str">
        <f t="shared" si="197"/>
        <v>OK</v>
      </c>
      <c r="AC1568" s="240" t="str" cm="1">
        <f t="array" ref="AC1568">IF(AND(F1568:H1568&lt;&gt;"",I1568=""),"ERROR","OK")</f>
        <v>OK</v>
      </c>
      <c r="AD1568" s="240" t="str">
        <f t="shared" si="198"/>
        <v>OK</v>
      </c>
      <c r="AE1568" s="240" t="str">
        <f t="shared" si="199"/>
        <v>OK</v>
      </c>
      <c r="AF1568" s="240" t="str" cm="1">
        <f t="array" aca="1" ref="AF1568" ca="1" xml:space="preserve">
IF(AND($G1568&lt;&gt;"",$F1568=""),"ERROR",
IF(OR($F1568:$G1568="",AND($G1568="",$F1568&lt;&gt;"")),"OK",
IF(COUNTIF(INDIRECT(IFERROR(LEFT($F1568,FIND(" ",$F1568)-1),$F1568)), $G1568)&gt;0, "OK", "ERROR")))</f>
        <v>OK</v>
      </c>
    </row>
    <row r="1569" spans="1:32" s="240" customFormat="1">
      <c r="A1569" s="48"/>
      <c r="B1569" s="31"/>
      <c r="C1569" s="48"/>
      <c r="D1569" s="47"/>
      <c r="E1569" s="47"/>
      <c r="F1569" s="31"/>
      <c r="G1569" s="31"/>
      <c r="H1569" s="31"/>
      <c r="I1569" s="47"/>
      <c r="J1569" s="31"/>
      <c r="K1569" s="47"/>
      <c r="L1569" s="47"/>
      <c r="M1569" s="47"/>
      <c r="N1569" s="31"/>
      <c r="O1569" s="47"/>
      <c r="P1569" s="31"/>
      <c r="Q1569" s="31"/>
      <c r="R1569" s="31"/>
      <c r="S1569" s="31"/>
      <c r="T1569" s="270">
        <f t="shared" si="192"/>
        <v>0</v>
      </c>
      <c r="U1569" s="270">
        <f t="shared" si="193"/>
        <v>0</v>
      </c>
      <c r="V1569" s="31"/>
      <c r="X1569" s="240" t="str">
        <f t="shared" si="194"/>
        <v>OK</v>
      </c>
      <c r="Y1569" s="240" t="str">
        <f t="shared" si="195"/>
        <v>OK</v>
      </c>
      <c r="Z1569" s="240" t="str">
        <f t="shared" si="196"/>
        <v>OK</v>
      </c>
      <c r="AA1569" s="240" t="str" cm="1">
        <f t="array" ref="AA1569">IF(OR(AND(J1569="Not accepted",N1569:O1569&lt;&gt;"",$S1569=""),AND(J1569="Accepted",S1569="")),"ERROR","OK")</f>
        <v>OK</v>
      </c>
      <c r="AB1569" s="240" t="str">
        <f t="shared" si="197"/>
        <v>OK</v>
      </c>
      <c r="AC1569" s="240" t="str" cm="1">
        <f t="array" ref="AC1569">IF(AND(F1569:H1569&lt;&gt;"",I1569=""),"ERROR","OK")</f>
        <v>OK</v>
      </c>
      <c r="AD1569" s="240" t="str">
        <f t="shared" si="198"/>
        <v>OK</v>
      </c>
      <c r="AE1569" s="240" t="str">
        <f t="shared" si="199"/>
        <v>OK</v>
      </c>
      <c r="AF1569" s="240" t="str" cm="1">
        <f t="array" aca="1" ref="AF1569" ca="1" xml:space="preserve">
IF(AND($G1569&lt;&gt;"",$F1569=""),"ERROR",
IF(OR($F1569:$G1569="",AND($G1569="",$F1569&lt;&gt;"")),"OK",
IF(COUNTIF(INDIRECT(IFERROR(LEFT($F1569,FIND(" ",$F1569)-1),$F1569)), $G1569)&gt;0, "OK", "ERROR")))</f>
        <v>OK</v>
      </c>
    </row>
    <row r="1570" spans="1:32" s="240" customFormat="1">
      <c r="A1570" s="48"/>
      <c r="B1570" s="31"/>
      <c r="C1570" s="48"/>
      <c r="D1570" s="47"/>
      <c r="E1570" s="47"/>
      <c r="F1570" s="31"/>
      <c r="G1570" s="31"/>
      <c r="H1570" s="31"/>
      <c r="I1570" s="47"/>
      <c r="J1570" s="31"/>
      <c r="K1570" s="47"/>
      <c r="L1570" s="47"/>
      <c r="M1570" s="47"/>
      <c r="N1570" s="31"/>
      <c r="O1570" s="47"/>
      <c r="P1570" s="31"/>
      <c r="Q1570" s="31"/>
      <c r="R1570" s="31"/>
      <c r="S1570" s="31"/>
      <c r="T1570" s="270">
        <f t="shared" si="192"/>
        <v>0</v>
      </c>
      <c r="U1570" s="270">
        <f t="shared" si="193"/>
        <v>0</v>
      </c>
      <c r="V1570" s="31"/>
      <c r="X1570" s="240" t="str">
        <f t="shared" si="194"/>
        <v>OK</v>
      </c>
      <c r="Y1570" s="240" t="str">
        <f t="shared" si="195"/>
        <v>OK</v>
      </c>
      <c r="Z1570" s="240" t="str">
        <f t="shared" si="196"/>
        <v>OK</v>
      </c>
      <c r="AA1570" s="240" t="str" cm="1">
        <f t="array" ref="AA1570">IF(OR(AND(J1570="Not accepted",N1570:O1570&lt;&gt;"",$S1570=""),AND(J1570="Accepted",S1570="")),"ERROR","OK")</f>
        <v>OK</v>
      </c>
      <c r="AB1570" s="240" t="str">
        <f t="shared" si="197"/>
        <v>OK</v>
      </c>
      <c r="AC1570" s="240" t="str" cm="1">
        <f t="array" ref="AC1570">IF(AND(F1570:H1570&lt;&gt;"",I1570=""),"ERROR","OK")</f>
        <v>OK</v>
      </c>
      <c r="AD1570" s="240" t="str">
        <f t="shared" si="198"/>
        <v>OK</v>
      </c>
      <c r="AE1570" s="240" t="str">
        <f t="shared" si="199"/>
        <v>OK</v>
      </c>
      <c r="AF1570" s="240" t="str" cm="1">
        <f t="array" aca="1" ref="AF1570" ca="1" xml:space="preserve">
IF(AND($G1570&lt;&gt;"",$F1570=""),"ERROR",
IF(OR($F1570:$G1570="",AND($G1570="",$F1570&lt;&gt;"")),"OK",
IF(COUNTIF(INDIRECT(IFERROR(LEFT($F1570,FIND(" ",$F1570)-1),$F1570)), $G1570)&gt;0, "OK", "ERROR")))</f>
        <v>OK</v>
      </c>
    </row>
    <row r="1571" spans="1:32" s="240" customFormat="1">
      <c r="A1571" s="48"/>
      <c r="B1571" s="31"/>
      <c r="C1571" s="48"/>
      <c r="D1571" s="47"/>
      <c r="E1571" s="47"/>
      <c r="F1571" s="31"/>
      <c r="G1571" s="31"/>
      <c r="H1571" s="31"/>
      <c r="I1571" s="47"/>
      <c r="J1571" s="31"/>
      <c r="K1571" s="47"/>
      <c r="L1571" s="47"/>
      <c r="M1571" s="47"/>
      <c r="N1571" s="31"/>
      <c r="O1571" s="47"/>
      <c r="P1571" s="31"/>
      <c r="Q1571" s="31"/>
      <c r="R1571" s="31"/>
      <c r="S1571" s="31"/>
      <c r="T1571" s="270">
        <f t="shared" si="192"/>
        <v>0</v>
      </c>
      <c r="U1571" s="270">
        <f t="shared" si="193"/>
        <v>0</v>
      </c>
      <c r="V1571" s="31"/>
      <c r="X1571" s="240" t="str">
        <f t="shared" si="194"/>
        <v>OK</v>
      </c>
      <c r="Y1571" s="240" t="str">
        <f t="shared" si="195"/>
        <v>OK</v>
      </c>
      <c r="Z1571" s="240" t="str">
        <f t="shared" si="196"/>
        <v>OK</v>
      </c>
      <c r="AA1571" s="240" t="str" cm="1">
        <f t="array" ref="AA1571">IF(OR(AND(J1571="Not accepted",N1571:O1571&lt;&gt;"",$S1571=""),AND(J1571="Accepted",S1571="")),"ERROR","OK")</f>
        <v>OK</v>
      </c>
      <c r="AB1571" s="240" t="str">
        <f t="shared" si="197"/>
        <v>OK</v>
      </c>
      <c r="AC1571" s="240" t="str" cm="1">
        <f t="array" ref="AC1571">IF(AND(F1571:H1571&lt;&gt;"",I1571=""),"ERROR","OK")</f>
        <v>OK</v>
      </c>
      <c r="AD1571" s="240" t="str">
        <f t="shared" si="198"/>
        <v>OK</v>
      </c>
      <c r="AE1571" s="240" t="str">
        <f t="shared" si="199"/>
        <v>OK</v>
      </c>
      <c r="AF1571" s="240" t="str" cm="1">
        <f t="array" aca="1" ref="AF1571" ca="1" xml:space="preserve">
IF(AND($G1571&lt;&gt;"",$F1571=""),"ERROR",
IF(OR($F1571:$G1571="",AND($G1571="",$F1571&lt;&gt;"")),"OK",
IF(COUNTIF(INDIRECT(IFERROR(LEFT($F1571,FIND(" ",$F1571)-1),$F1571)), $G1571)&gt;0, "OK", "ERROR")))</f>
        <v>OK</v>
      </c>
    </row>
    <row r="1572" spans="1:32" s="240" customFormat="1">
      <c r="A1572" s="48"/>
      <c r="B1572" s="31"/>
      <c r="C1572" s="48"/>
      <c r="D1572" s="47"/>
      <c r="E1572" s="47"/>
      <c r="F1572" s="31"/>
      <c r="G1572" s="31"/>
      <c r="H1572" s="31"/>
      <c r="I1572" s="47"/>
      <c r="J1572" s="31"/>
      <c r="K1572" s="47"/>
      <c r="L1572" s="47"/>
      <c r="M1572" s="47"/>
      <c r="N1572" s="31"/>
      <c r="O1572" s="47"/>
      <c r="P1572" s="31"/>
      <c r="Q1572" s="31"/>
      <c r="R1572" s="31"/>
      <c r="S1572" s="31"/>
      <c r="T1572" s="270">
        <f t="shared" si="192"/>
        <v>0</v>
      </c>
      <c r="U1572" s="270">
        <f t="shared" si="193"/>
        <v>0</v>
      </c>
      <c r="V1572" s="31"/>
      <c r="X1572" s="240" t="str">
        <f t="shared" si="194"/>
        <v>OK</v>
      </c>
      <c r="Y1572" s="240" t="str">
        <f t="shared" si="195"/>
        <v>OK</v>
      </c>
      <c r="Z1572" s="240" t="str">
        <f t="shared" si="196"/>
        <v>OK</v>
      </c>
      <c r="AA1572" s="240" t="str" cm="1">
        <f t="array" ref="AA1572">IF(OR(AND(J1572="Not accepted",N1572:O1572&lt;&gt;"",$S1572=""),AND(J1572="Accepted",S1572="")),"ERROR","OK")</f>
        <v>OK</v>
      </c>
      <c r="AB1572" s="240" t="str">
        <f t="shared" si="197"/>
        <v>OK</v>
      </c>
      <c r="AC1572" s="240" t="str" cm="1">
        <f t="array" ref="AC1572">IF(AND(F1572:H1572&lt;&gt;"",I1572=""),"ERROR","OK")</f>
        <v>OK</v>
      </c>
      <c r="AD1572" s="240" t="str">
        <f t="shared" si="198"/>
        <v>OK</v>
      </c>
      <c r="AE1572" s="240" t="str">
        <f t="shared" si="199"/>
        <v>OK</v>
      </c>
      <c r="AF1572" s="240" t="str" cm="1">
        <f t="array" aca="1" ref="AF1572" ca="1" xml:space="preserve">
IF(AND($G1572&lt;&gt;"",$F1572=""),"ERROR",
IF(OR($F1572:$G1572="",AND($G1572="",$F1572&lt;&gt;"")),"OK",
IF(COUNTIF(INDIRECT(IFERROR(LEFT($F1572,FIND(" ",$F1572)-1),$F1572)), $G1572)&gt;0, "OK", "ERROR")))</f>
        <v>OK</v>
      </c>
    </row>
    <row r="1573" spans="1:32" s="240" customFormat="1">
      <c r="A1573" s="48"/>
      <c r="B1573" s="31"/>
      <c r="C1573" s="48"/>
      <c r="D1573" s="47"/>
      <c r="E1573" s="47"/>
      <c r="F1573" s="31"/>
      <c r="G1573" s="31"/>
      <c r="H1573" s="31"/>
      <c r="I1573" s="47"/>
      <c r="J1573" s="31"/>
      <c r="K1573" s="47"/>
      <c r="L1573" s="47"/>
      <c r="M1573" s="47"/>
      <c r="N1573" s="31"/>
      <c r="O1573" s="47"/>
      <c r="P1573" s="31"/>
      <c r="Q1573" s="31"/>
      <c r="R1573" s="31"/>
      <c r="S1573" s="31"/>
      <c r="T1573" s="270">
        <f t="shared" si="192"/>
        <v>0</v>
      </c>
      <c r="U1573" s="270">
        <f t="shared" si="193"/>
        <v>0</v>
      </c>
      <c r="V1573" s="31"/>
      <c r="X1573" s="240" t="str">
        <f t="shared" si="194"/>
        <v>OK</v>
      </c>
      <c r="Y1573" s="240" t="str">
        <f t="shared" si="195"/>
        <v>OK</v>
      </c>
      <c r="Z1573" s="240" t="str">
        <f t="shared" si="196"/>
        <v>OK</v>
      </c>
      <c r="AA1573" s="240" t="str" cm="1">
        <f t="array" ref="AA1573">IF(OR(AND(J1573="Not accepted",N1573:O1573&lt;&gt;"",$S1573=""),AND(J1573="Accepted",S1573="")),"ERROR","OK")</f>
        <v>OK</v>
      </c>
      <c r="AB1573" s="240" t="str">
        <f t="shared" si="197"/>
        <v>OK</v>
      </c>
      <c r="AC1573" s="240" t="str" cm="1">
        <f t="array" ref="AC1573">IF(AND(F1573:H1573&lt;&gt;"",I1573=""),"ERROR","OK")</f>
        <v>OK</v>
      </c>
      <c r="AD1573" s="240" t="str">
        <f t="shared" si="198"/>
        <v>OK</v>
      </c>
      <c r="AE1573" s="240" t="str">
        <f t="shared" si="199"/>
        <v>OK</v>
      </c>
      <c r="AF1573" s="240" t="str" cm="1">
        <f t="array" aca="1" ref="AF1573" ca="1" xml:space="preserve">
IF(AND($G1573&lt;&gt;"",$F1573=""),"ERROR",
IF(OR($F1573:$G1573="",AND($G1573="",$F1573&lt;&gt;"")),"OK",
IF(COUNTIF(INDIRECT(IFERROR(LEFT($F1573,FIND(" ",$F1573)-1),$F1573)), $G1573)&gt;0, "OK", "ERROR")))</f>
        <v>OK</v>
      </c>
    </row>
    <row r="1574" spans="1:32" s="240" customFormat="1">
      <c r="A1574" s="48"/>
      <c r="B1574" s="31"/>
      <c r="C1574" s="48"/>
      <c r="D1574" s="47"/>
      <c r="E1574" s="47"/>
      <c r="F1574" s="31"/>
      <c r="G1574" s="31"/>
      <c r="H1574" s="31"/>
      <c r="I1574" s="47"/>
      <c r="J1574" s="31"/>
      <c r="K1574" s="47"/>
      <c r="L1574" s="47"/>
      <c r="M1574" s="47"/>
      <c r="N1574" s="31"/>
      <c r="O1574" s="47"/>
      <c r="P1574" s="31"/>
      <c r="Q1574" s="31"/>
      <c r="R1574" s="31"/>
      <c r="S1574" s="31"/>
      <c r="T1574" s="270">
        <f t="shared" si="192"/>
        <v>0</v>
      </c>
      <c r="U1574" s="270">
        <f t="shared" si="193"/>
        <v>0</v>
      </c>
      <c r="V1574" s="31"/>
      <c r="X1574" s="240" t="str">
        <f t="shared" si="194"/>
        <v>OK</v>
      </c>
      <c r="Y1574" s="240" t="str">
        <f t="shared" si="195"/>
        <v>OK</v>
      </c>
      <c r="Z1574" s="240" t="str">
        <f t="shared" si="196"/>
        <v>OK</v>
      </c>
      <c r="AA1574" s="240" t="str" cm="1">
        <f t="array" ref="AA1574">IF(OR(AND(J1574="Not accepted",N1574:O1574&lt;&gt;"",$S1574=""),AND(J1574="Accepted",S1574="")),"ERROR","OK")</f>
        <v>OK</v>
      </c>
      <c r="AB1574" s="240" t="str">
        <f t="shared" si="197"/>
        <v>OK</v>
      </c>
      <c r="AC1574" s="240" t="str" cm="1">
        <f t="array" ref="AC1574">IF(AND(F1574:H1574&lt;&gt;"",I1574=""),"ERROR","OK")</f>
        <v>OK</v>
      </c>
      <c r="AD1574" s="240" t="str">
        <f t="shared" si="198"/>
        <v>OK</v>
      </c>
      <c r="AE1574" s="240" t="str">
        <f t="shared" si="199"/>
        <v>OK</v>
      </c>
      <c r="AF1574" s="240" t="str" cm="1">
        <f t="array" aca="1" ref="AF1574" ca="1" xml:space="preserve">
IF(AND($G1574&lt;&gt;"",$F1574=""),"ERROR",
IF(OR($F1574:$G1574="",AND($G1574="",$F1574&lt;&gt;"")),"OK",
IF(COUNTIF(INDIRECT(IFERROR(LEFT($F1574,FIND(" ",$F1574)-1),$F1574)), $G1574)&gt;0, "OK", "ERROR")))</f>
        <v>OK</v>
      </c>
    </row>
    <row r="1575" spans="1:32" s="240" customFormat="1">
      <c r="A1575" s="48"/>
      <c r="B1575" s="31"/>
      <c r="C1575" s="48"/>
      <c r="D1575" s="47"/>
      <c r="E1575" s="47"/>
      <c r="F1575" s="31"/>
      <c r="G1575" s="31"/>
      <c r="H1575" s="31"/>
      <c r="I1575" s="47"/>
      <c r="J1575" s="31"/>
      <c r="K1575" s="47"/>
      <c r="L1575" s="47"/>
      <c r="M1575" s="47"/>
      <c r="N1575" s="31"/>
      <c r="O1575" s="47"/>
      <c r="P1575" s="31"/>
      <c r="Q1575" s="31"/>
      <c r="R1575" s="31"/>
      <c r="S1575" s="31"/>
      <c r="T1575" s="270">
        <f t="shared" si="192"/>
        <v>0</v>
      </c>
      <c r="U1575" s="270">
        <f t="shared" si="193"/>
        <v>0</v>
      </c>
      <c r="V1575" s="31"/>
      <c r="X1575" s="240" t="str">
        <f t="shared" si="194"/>
        <v>OK</v>
      </c>
      <c r="Y1575" s="240" t="str">
        <f t="shared" si="195"/>
        <v>OK</v>
      </c>
      <c r="Z1575" s="240" t="str">
        <f t="shared" si="196"/>
        <v>OK</v>
      </c>
      <c r="AA1575" s="240" t="str" cm="1">
        <f t="array" ref="AA1575">IF(OR(AND(J1575="Not accepted",N1575:O1575&lt;&gt;"",$S1575=""),AND(J1575="Accepted",S1575="")),"ERROR","OK")</f>
        <v>OK</v>
      </c>
      <c r="AB1575" s="240" t="str">
        <f t="shared" si="197"/>
        <v>OK</v>
      </c>
      <c r="AC1575" s="240" t="str" cm="1">
        <f t="array" ref="AC1575">IF(AND(F1575:H1575&lt;&gt;"",I1575=""),"ERROR","OK")</f>
        <v>OK</v>
      </c>
      <c r="AD1575" s="240" t="str">
        <f t="shared" si="198"/>
        <v>OK</v>
      </c>
      <c r="AE1575" s="240" t="str">
        <f t="shared" si="199"/>
        <v>OK</v>
      </c>
      <c r="AF1575" s="240" t="str" cm="1">
        <f t="array" aca="1" ref="AF1575" ca="1" xml:space="preserve">
IF(AND($G1575&lt;&gt;"",$F1575=""),"ERROR",
IF(OR($F1575:$G1575="",AND($G1575="",$F1575&lt;&gt;"")),"OK",
IF(COUNTIF(INDIRECT(IFERROR(LEFT($F1575,FIND(" ",$F1575)-1),$F1575)), $G1575)&gt;0, "OK", "ERROR")))</f>
        <v>OK</v>
      </c>
    </row>
    <row r="1576" spans="1:32" s="240" customFormat="1">
      <c r="A1576" s="48"/>
      <c r="B1576" s="31"/>
      <c r="C1576" s="48"/>
      <c r="D1576" s="47"/>
      <c r="E1576" s="47"/>
      <c r="F1576" s="31"/>
      <c r="G1576" s="31"/>
      <c r="H1576" s="31"/>
      <c r="I1576" s="47"/>
      <c r="J1576" s="31"/>
      <c r="K1576" s="47"/>
      <c r="L1576" s="47"/>
      <c r="M1576" s="47"/>
      <c r="N1576" s="31"/>
      <c r="O1576" s="47"/>
      <c r="P1576" s="31"/>
      <c r="Q1576" s="31"/>
      <c r="R1576" s="31"/>
      <c r="S1576" s="31"/>
      <c r="T1576" s="270">
        <f t="shared" si="192"/>
        <v>0</v>
      </c>
      <c r="U1576" s="270">
        <f t="shared" si="193"/>
        <v>0</v>
      </c>
      <c r="V1576" s="31"/>
      <c r="X1576" s="240" t="str">
        <f t="shared" si="194"/>
        <v>OK</v>
      </c>
      <c r="Y1576" s="240" t="str">
        <f t="shared" si="195"/>
        <v>OK</v>
      </c>
      <c r="Z1576" s="240" t="str">
        <f t="shared" si="196"/>
        <v>OK</v>
      </c>
      <c r="AA1576" s="240" t="str" cm="1">
        <f t="array" ref="AA1576">IF(OR(AND(J1576="Not accepted",N1576:O1576&lt;&gt;"",$S1576=""),AND(J1576="Accepted",S1576="")),"ERROR","OK")</f>
        <v>OK</v>
      </c>
      <c r="AB1576" s="240" t="str">
        <f t="shared" si="197"/>
        <v>OK</v>
      </c>
      <c r="AC1576" s="240" t="str" cm="1">
        <f t="array" ref="AC1576">IF(AND(F1576:H1576&lt;&gt;"",I1576=""),"ERROR","OK")</f>
        <v>OK</v>
      </c>
      <c r="AD1576" s="240" t="str">
        <f t="shared" si="198"/>
        <v>OK</v>
      </c>
      <c r="AE1576" s="240" t="str">
        <f t="shared" si="199"/>
        <v>OK</v>
      </c>
      <c r="AF1576" s="240" t="str" cm="1">
        <f t="array" aca="1" ref="AF1576" ca="1" xml:space="preserve">
IF(AND($G1576&lt;&gt;"",$F1576=""),"ERROR",
IF(OR($F1576:$G1576="",AND($G1576="",$F1576&lt;&gt;"")),"OK",
IF(COUNTIF(INDIRECT(IFERROR(LEFT($F1576,FIND(" ",$F1576)-1),$F1576)), $G1576)&gt;0, "OK", "ERROR")))</f>
        <v>OK</v>
      </c>
    </row>
    <row r="1577" spans="1:32" s="240" customFormat="1">
      <c r="A1577" s="48"/>
      <c r="B1577" s="31"/>
      <c r="C1577" s="48"/>
      <c r="D1577" s="47"/>
      <c r="E1577" s="47"/>
      <c r="F1577" s="31"/>
      <c r="G1577" s="31"/>
      <c r="H1577" s="31"/>
      <c r="I1577" s="47"/>
      <c r="J1577" s="31"/>
      <c r="K1577" s="47"/>
      <c r="L1577" s="47"/>
      <c r="M1577" s="47"/>
      <c r="N1577" s="31"/>
      <c r="O1577" s="47"/>
      <c r="P1577" s="31"/>
      <c r="Q1577" s="31"/>
      <c r="R1577" s="31"/>
      <c r="S1577" s="31"/>
      <c r="T1577" s="270">
        <f t="shared" si="192"/>
        <v>0</v>
      </c>
      <c r="U1577" s="270">
        <f t="shared" si="193"/>
        <v>0</v>
      </c>
      <c r="V1577" s="31"/>
      <c r="X1577" s="240" t="str">
        <f t="shared" si="194"/>
        <v>OK</v>
      </c>
      <c r="Y1577" s="240" t="str">
        <f t="shared" si="195"/>
        <v>OK</v>
      </c>
      <c r="Z1577" s="240" t="str">
        <f t="shared" si="196"/>
        <v>OK</v>
      </c>
      <c r="AA1577" s="240" t="str" cm="1">
        <f t="array" ref="AA1577">IF(OR(AND(J1577="Not accepted",N1577:O1577&lt;&gt;"",$S1577=""),AND(J1577="Accepted",S1577="")),"ERROR","OK")</f>
        <v>OK</v>
      </c>
      <c r="AB1577" s="240" t="str">
        <f t="shared" si="197"/>
        <v>OK</v>
      </c>
      <c r="AC1577" s="240" t="str" cm="1">
        <f t="array" ref="AC1577">IF(AND(F1577:H1577&lt;&gt;"",I1577=""),"ERROR","OK")</f>
        <v>OK</v>
      </c>
      <c r="AD1577" s="240" t="str">
        <f t="shared" si="198"/>
        <v>OK</v>
      </c>
      <c r="AE1577" s="240" t="str">
        <f t="shared" si="199"/>
        <v>OK</v>
      </c>
      <c r="AF1577" s="240" t="str" cm="1">
        <f t="array" aca="1" ref="AF1577" ca="1" xml:space="preserve">
IF(AND($G1577&lt;&gt;"",$F1577=""),"ERROR",
IF(OR($F1577:$G1577="",AND($G1577="",$F1577&lt;&gt;"")),"OK",
IF(COUNTIF(INDIRECT(IFERROR(LEFT($F1577,FIND(" ",$F1577)-1),$F1577)), $G1577)&gt;0, "OK", "ERROR")))</f>
        <v>OK</v>
      </c>
    </row>
    <row r="1578" spans="1:32" s="240" customFormat="1">
      <c r="A1578" s="48"/>
      <c r="B1578" s="31"/>
      <c r="C1578" s="48"/>
      <c r="D1578" s="47"/>
      <c r="E1578" s="47"/>
      <c r="F1578" s="31"/>
      <c r="G1578" s="31"/>
      <c r="H1578" s="31"/>
      <c r="I1578" s="47"/>
      <c r="J1578" s="31"/>
      <c r="K1578" s="47"/>
      <c r="L1578" s="47"/>
      <c r="M1578" s="47"/>
      <c r="N1578" s="31"/>
      <c r="O1578" s="47"/>
      <c r="P1578" s="31"/>
      <c r="Q1578" s="31"/>
      <c r="R1578" s="31"/>
      <c r="S1578" s="31"/>
      <c r="T1578" s="270">
        <f t="shared" si="192"/>
        <v>0</v>
      </c>
      <c r="U1578" s="270">
        <f t="shared" si="193"/>
        <v>0</v>
      </c>
      <c r="V1578" s="31"/>
      <c r="X1578" s="240" t="str">
        <f t="shared" si="194"/>
        <v>OK</v>
      </c>
      <c r="Y1578" s="240" t="str">
        <f t="shared" si="195"/>
        <v>OK</v>
      </c>
      <c r="Z1578" s="240" t="str">
        <f t="shared" si="196"/>
        <v>OK</v>
      </c>
      <c r="AA1578" s="240" t="str" cm="1">
        <f t="array" ref="AA1578">IF(OR(AND(J1578="Not accepted",N1578:O1578&lt;&gt;"",$S1578=""),AND(J1578="Accepted",S1578="")),"ERROR","OK")</f>
        <v>OK</v>
      </c>
      <c r="AB1578" s="240" t="str">
        <f t="shared" si="197"/>
        <v>OK</v>
      </c>
      <c r="AC1578" s="240" t="str" cm="1">
        <f t="array" ref="AC1578">IF(AND(F1578:H1578&lt;&gt;"",I1578=""),"ERROR","OK")</f>
        <v>OK</v>
      </c>
      <c r="AD1578" s="240" t="str">
        <f t="shared" si="198"/>
        <v>OK</v>
      </c>
      <c r="AE1578" s="240" t="str">
        <f t="shared" si="199"/>
        <v>OK</v>
      </c>
      <c r="AF1578" s="240" t="str" cm="1">
        <f t="array" aca="1" ref="AF1578" ca="1" xml:space="preserve">
IF(AND($G1578&lt;&gt;"",$F1578=""),"ERROR",
IF(OR($F1578:$G1578="",AND($G1578="",$F1578&lt;&gt;"")),"OK",
IF(COUNTIF(INDIRECT(IFERROR(LEFT($F1578,FIND(" ",$F1578)-1),$F1578)), $G1578)&gt;0, "OK", "ERROR")))</f>
        <v>OK</v>
      </c>
    </row>
    <row r="1579" spans="1:32" s="240" customFormat="1">
      <c r="A1579" s="48"/>
      <c r="B1579" s="31"/>
      <c r="C1579" s="48"/>
      <c r="D1579" s="47"/>
      <c r="E1579" s="47"/>
      <c r="F1579" s="31"/>
      <c r="G1579" s="31"/>
      <c r="H1579" s="31"/>
      <c r="I1579" s="47"/>
      <c r="J1579" s="31"/>
      <c r="K1579" s="47"/>
      <c r="L1579" s="47"/>
      <c r="M1579" s="47"/>
      <c r="N1579" s="31"/>
      <c r="O1579" s="47"/>
      <c r="P1579" s="31"/>
      <c r="Q1579" s="31"/>
      <c r="R1579" s="31"/>
      <c r="S1579" s="31"/>
      <c r="T1579" s="270">
        <f t="shared" si="192"/>
        <v>0</v>
      </c>
      <c r="U1579" s="270">
        <f t="shared" si="193"/>
        <v>0</v>
      </c>
      <c r="V1579" s="31"/>
      <c r="X1579" s="240" t="str">
        <f t="shared" si="194"/>
        <v>OK</v>
      </c>
      <c r="Y1579" s="240" t="str">
        <f t="shared" si="195"/>
        <v>OK</v>
      </c>
      <c r="Z1579" s="240" t="str">
        <f t="shared" si="196"/>
        <v>OK</v>
      </c>
      <c r="AA1579" s="240" t="str" cm="1">
        <f t="array" ref="AA1579">IF(OR(AND(J1579="Not accepted",N1579:O1579&lt;&gt;"",$S1579=""),AND(J1579="Accepted",S1579="")),"ERROR","OK")</f>
        <v>OK</v>
      </c>
      <c r="AB1579" s="240" t="str">
        <f t="shared" si="197"/>
        <v>OK</v>
      </c>
      <c r="AC1579" s="240" t="str" cm="1">
        <f t="array" ref="AC1579">IF(AND(F1579:H1579&lt;&gt;"",I1579=""),"ERROR","OK")</f>
        <v>OK</v>
      </c>
      <c r="AD1579" s="240" t="str">
        <f t="shared" si="198"/>
        <v>OK</v>
      </c>
      <c r="AE1579" s="240" t="str">
        <f t="shared" si="199"/>
        <v>OK</v>
      </c>
      <c r="AF1579" s="240" t="str" cm="1">
        <f t="array" aca="1" ref="AF1579" ca="1" xml:space="preserve">
IF(AND($G1579&lt;&gt;"",$F1579=""),"ERROR",
IF(OR($F1579:$G1579="",AND($G1579="",$F1579&lt;&gt;"")),"OK",
IF(COUNTIF(INDIRECT(IFERROR(LEFT($F1579,FIND(" ",$F1579)-1),$F1579)), $G1579)&gt;0, "OK", "ERROR")))</f>
        <v>OK</v>
      </c>
    </row>
    <row r="1580" spans="1:32" s="240" customFormat="1">
      <c r="A1580" s="48"/>
      <c r="B1580" s="31"/>
      <c r="C1580" s="48"/>
      <c r="D1580" s="47"/>
      <c r="E1580" s="47"/>
      <c r="F1580" s="31"/>
      <c r="G1580" s="31"/>
      <c r="H1580" s="31"/>
      <c r="I1580" s="47"/>
      <c r="J1580" s="31"/>
      <c r="K1580" s="47"/>
      <c r="L1580" s="47"/>
      <c r="M1580" s="47"/>
      <c r="N1580" s="31"/>
      <c r="O1580" s="47"/>
      <c r="P1580" s="31"/>
      <c r="Q1580" s="31"/>
      <c r="R1580" s="31"/>
      <c r="S1580" s="31"/>
      <c r="T1580" s="270">
        <f t="shared" si="192"/>
        <v>0</v>
      </c>
      <c r="U1580" s="270">
        <f t="shared" si="193"/>
        <v>0</v>
      </c>
      <c r="V1580" s="31"/>
      <c r="X1580" s="240" t="str">
        <f t="shared" si="194"/>
        <v>OK</v>
      </c>
      <c r="Y1580" s="240" t="str">
        <f t="shared" si="195"/>
        <v>OK</v>
      </c>
      <c r="Z1580" s="240" t="str">
        <f t="shared" si="196"/>
        <v>OK</v>
      </c>
      <c r="AA1580" s="240" t="str" cm="1">
        <f t="array" ref="AA1580">IF(OR(AND(J1580="Not accepted",N1580:O1580&lt;&gt;"",$S1580=""),AND(J1580="Accepted",S1580="")),"ERROR","OK")</f>
        <v>OK</v>
      </c>
      <c r="AB1580" s="240" t="str">
        <f t="shared" si="197"/>
        <v>OK</v>
      </c>
      <c r="AC1580" s="240" t="str" cm="1">
        <f t="array" ref="AC1580">IF(AND(F1580:H1580&lt;&gt;"",I1580=""),"ERROR","OK")</f>
        <v>OK</v>
      </c>
      <c r="AD1580" s="240" t="str">
        <f t="shared" si="198"/>
        <v>OK</v>
      </c>
      <c r="AE1580" s="240" t="str">
        <f t="shared" si="199"/>
        <v>OK</v>
      </c>
      <c r="AF1580" s="240" t="str" cm="1">
        <f t="array" aca="1" ref="AF1580" ca="1" xml:space="preserve">
IF(AND($G1580&lt;&gt;"",$F1580=""),"ERROR",
IF(OR($F1580:$G1580="",AND($G1580="",$F1580&lt;&gt;"")),"OK",
IF(COUNTIF(INDIRECT(IFERROR(LEFT($F1580,FIND(" ",$F1580)-1),$F1580)), $G1580)&gt;0, "OK", "ERROR")))</f>
        <v>OK</v>
      </c>
    </row>
    <row r="1581" spans="1:32" s="240" customFormat="1">
      <c r="A1581" s="48"/>
      <c r="B1581" s="31"/>
      <c r="C1581" s="48"/>
      <c r="D1581" s="47"/>
      <c r="E1581" s="47"/>
      <c r="F1581" s="31"/>
      <c r="G1581" s="31"/>
      <c r="H1581" s="31"/>
      <c r="I1581" s="47"/>
      <c r="J1581" s="31"/>
      <c r="K1581" s="47"/>
      <c r="L1581" s="47"/>
      <c r="M1581" s="47"/>
      <c r="N1581" s="31"/>
      <c r="O1581" s="47"/>
      <c r="P1581" s="31"/>
      <c r="Q1581" s="31"/>
      <c r="R1581" s="31"/>
      <c r="S1581" s="31"/>
      <c r="T1581" s="270">
        <f t="shared" si="192"/>
        <v>0</v>
      </c>
      <c r="U1581" s="270">
        <f t="shared" si="193"/>
        <v>0</v>
      </c>
      <c r="V1581" s="31"/>
      <c r="X1581" s="240" t="str">
        <f t="shared" si="194"/>
        <v>OK</v>
      </c>
      <c r="Y1581" s="240" t="str">
        <f t="shared" si="195"/>
        <v>OK</v>
      </c>
      <c r="Z1581" s="240" t="str">
        <f t="shared" si="196"/>
        <v>OK</v>
      </c>
      <c r="AA1581" s="240" t="str" cm="1">
        <f t="array" ref="AA1581">IF(OR(AND(J1581="Not accepted",N1581:O1581&lt;&gt;"",$S1581=""),AND(J1581="Accepted",S1581="")),"ERROR","OK")</f>
        <v>OK</v>
      </c>
      <c r="AB1581" s="240" t="str">
        <f t="shared" si="197"/>
        <v>OK</v>
      </c>
      <c r="AC1581" s="240" t="str" cm="1">
        <f t="array" ref="AC1581">IF(AND(F1581:H1581&lt;&gt;"",I1581=""),"ERROR","OK")</f>
        <v>OK</v>
      </c>
      <c r="AD1581" s="240" t="str">
        <f t="shared" si="198"/>
        <v>OK</v>
      </c>
      <c r="AE1581" s="240" t="str">
        <f t="shared" si="199"/>
        <v>OK</v>
      </c>
      <c r="AF1581" s="240" t="str" cm="1">
        <f t="array" aca="1" ref="AF1581" ca="1" xml:space="preserve">
IF(AND($G1581&lt;&gt;"",$F1581=""),"ERROR",
IF(OR($F1581:$G1581="",AND($G1581="",$F1581&lt;&gt;"")),"OK",
IF(COUNTIF(INDIRECT(IFERROR(LEFT($F1581,FIND(" ",$F1581)-1),$F1581)), $G1581)&gt;0, "OK", "ERROR")))</f>
        <v>OK</v>
      </c>
    </row>
    <row r="1582" spans="1:32" s="240" customFormat="1">
      <c r="A1582" s="48"/>
      <c r="B1582" s="31"/>
      <c r="C1582" s="48"/>
      <c r="D1582" s="47"/>
      <c r="E1582" s="47"/>
      <c r="F1582" s="31"/>
      <c r="G1582" s="31"/>
      <c r="H1582" s="31"/>
      <c r="I1582" s="47"/>
      <c r="J1582" s="31"/>
      <c r="K1582" s="47"/>
      <c r="L1582" s="47"/>
      <c r="M1582" s="47"/>
      <c r="N1582" s="31"/>
      <c r="O1582" s="47"/>
      <c r="P1582" s="31"/>
      <c r="Q1582" s="31"/>
      <c r="R1582" s="31"/>
      <c r="S1582" s="31"/>
      <c r="T1582" s="270">
        <f t="shared" si="192"/>
        <v>0</v>
      </c>
      <c r="U1582" s="270">
        <f t="shared" si="193"/>
        <v>0</v>
      </c>
      <c r="V1582" s="31"/>
      <c r="X1582" s="240" t="str">
        <f t="shared" si="194"/>
        <v>OK</v>
      </c>
      <c r="Y1582" s="240" t="str">
        <f t="shared" si="195"/>
        <v>OK</v>
      </c>
      <c r="Z1582" s="240" t="str">
        <f t="shared" si="196"/>
        <v>OK</v>
      </c>
      <c r="AA1582" s="240" t="str" cm="1">
        <f t="array" ref="AA1582">IF(OR(AND(J1582="Not accepted",N1582:O1582&lt;&gt;"",$S1582=""),AND(J1582="Accepted",S1582="")),"ERROR","OK")</f>
        <v>OK</v>
      </c>
      <c r="AB1582" s="240" t="str">
        <f t="shared" si="197"/>
        <v>OK</v>
      </c>
      <c r="AC1582" s="240" t="str" cm="1">
        <f t="array" ref="AC1582">IF(AND(F1582:H1582&lt;&gt;"",I1582=""),"ERROR","OK")</f>
        <v>OK</v>
      </c>
      <c r="AD1582" s="240" t="str">
        <f t="shared" si="198"/>
        <v>OK</v>
      </c>
      <c r="AE1582" s="240" t="str">
        <f t="shared" si="199"/>
        <v>OK</v>
      </c>
      <c r="AF1582" s="240" t="str" cm="1">
        <f t="array" aca="1" ref="AF1582" ca="1" xml:space="preserve">
IF(AND($G1582&lt;&gt;"",$F1582=""),"ERROR",
IF(OR($F1582:$G1582="",AND($G1582="",$F1582&lt;&gt;"")),"OK",
IF(COUNTIF(INDIRECT(IFERROR(LEFT($F1582,FIND(" ",$F1582)-1),$F1582)), $G1582)&gt;0, "OK", "ERROR")))</f>
        <v>OK</v>
      </c>
    </row>
    <row r="1583" spans="1:32" s="240" customFormat="1">
      <c r="A1583" s="48"/>
      <c r="B1583" s="31"/>
      <c r="C1583" s="48"/>
      <c r="D1583" s="47"/>
      <c r="E1583" s="47"/>
      <c r="F1583" s="31"/>
      <c r="G1583" s="31"/>
      <c r="H1583" s="31"/>
      <c r="I1583" s="47"/>
      <c r="J1583" s="31"/>
      <c r="K1583" s="47"/>
      <c r="L1583" s="47"/>
      <c r="M1583" s="47"/>
      <c r="N1583" s="31"/>
      <c r="O1583" s="47"/>
      <c r="P1583" s="31"/>
      <c r="Q1583" s="31"/>
      <c r="R1583" s="31"/>
      <c r="S1583" s="31"/>
      <c r="T1583" s="270">
        <f t="shared" si="192"/>
        <v>0</v>
      </c>
      <c r="U1583" s="270">
        <f t="shared" si="193"/>
        <v>0</v>
      </c>
      <c r="V1583" s="31"/>
      <c r="X1583" s="240" t="str">
        <f t="shared" si="194"/>
        <v>OK</v>
      </c>
      <c r="Y1583" s="240" t="str">
        <f t="shared" si="195"/>
        <v>OK</v>
      </c>
      <c r="Z1583" s="240" t="str">
        <f t="shared" si="196"/>
        <v>OK</v>
      </c>
      <c r="AA1583" s="240" t="str" cm="1">
        <f t="array" ref="AA1583">IF(OR(AND(J1583="Not accepted",N1583:O1583&lt;&gt;"",$S1583=""),AND(J1583="Accepted",S1583="")),"ERROR","OK")</f>
        <v>OK</v>
      </c>
      <c r="AB1583" s="240" t="str">
        <f t="shared" si="197"/>
        <v>OK</v>
      </c>
      <c r="AC1583" s="240" t="str" cm="1">
        <f t="array" ref="AC1583">IF(AND(F1583:H1583&lt;&gt;"",I1583=""),"ERROR","OK")</f>
        <v>OK</v>
      </c>
      <c r="AD1583" s="240" t="str">
        <f t="shared" si="198"/>
        <v>OK</v>
      </c>
      <c r="AE1583" s="240" t="str">
        <f t="shared" si="199"/>
        <v>OK</v>
      </c>
      <c r="AF1583" s="240" t="str" cm="1">
        <f t="array" aca="1" ref="AF1583" ca="1" xml:space="preserve">
IF(AND($G1583&lt;&gt;"",$F1583=""),"ERROR",
IF(OR($F1583:$G1583="",AND($G1583="",$F1583&lt;&gt;"")),"OK",
IF(COUNTIF(INDIRECT(IFERROR(LEFT($F1583,FIND(" ",$F1583)-1),$F1583)), $G1583)&gt;0, "OK", "ERROR")))</f>
        <v>OK</v>
      </c>
    </row>
    <row r="1584" spans="1:32" s="240" customFormat="1">
      <c r="A1584" s="48"/>
      <c r="B1584" s="31"/>
      <c r="C1584" s="48"/>
      <c r="D1584" s="47"/>
      <c r="E1584" s="47"/>
      <c r="F1584" s="31"/>
      <c r="G1584" s="31"/>
      <c r="H1584" s="31"/>
      <c r="I1584" s="47"/>
      <c r="J1584" s="31"/>
      <c r="K1584" s="47"/>
      <c r="L1584" s="47"/>
      <c r="M1584" s="47"/>
      <c r="N1584" s="31"/>
      <c r="O1584" s="47"/>
      <c r="P1584" s="31"/>
      <c r="Q1584" s="31"/>
      <c r="R1584" s="31"/>
      <c r="S1584" s="31"/>
      <c r="T1584" s="270">
        <f t="shared" si="192"/>
        <v>0</v>
      </c>
      <c r="U1584" s="270">
        <f t="shared" si="193"/>
        <v>0</v>
      </c>
      <c r="V1584" s="31"/>
      <c r="X1584" s="240" t="str">
        <f t="shared" si="194"/>
        <v>OK</v>
      </c>
      <c r="Y1584" s="240" t="str">
        <f t="shared" si="195"/>
        <v>OK</v>
      </c>
      <c r="Z1584" s="240" t="str">
        <f t="shared" si="196"/>
        <v>OK</v>
      </c>
      <c r="AA1584" s="240" t="str" cm="1">
        <f t="array" ref="AA1584">IF(OR(AND(J1584="Not accepted",N1584:O1584&lt;&gt;"",$S1584=""),AND(J1584="Accepted",S1584="")),"ERROR","OK")</f>
        <v>OK</v>
      </c>
      <c r="AB1584" s="240" t="str">
        <f t="shared" si="197"/>
        <v>OK</v>
      </c>
      <c r="AC1584" s="240" t="str" cm="1">
        <f t="array" ref="AC1584">IF(AND(F1584:H1584&lt;&gt;"",I1584=""),"ERROR","OK")</f>
        <v>OK</v>
      </c>
      <c r="AD1584" s="240" t="str">
        <f t="shared" si="198"/>
        <v>OK</v>
      </c>
      <c r="AE1584" s="240" t="str">
        <f t="shared" si="199"/>
        <v>OK</v>
      </c>
      <c r="AF1584" s="240" t="str" cm="1">
        <f t="array" aca="1" ref="AF1584" ca="1" xml:space="preserve">
IF(AND($G1584&lt;&gt;"",$F1584=""),"ERROR",
IF(OR($F1584:$G1584="",AND($G1584="",$F1584&lt;&gt;"")),"OK",
IF(COUNTIF(INDIRECT(IFERROR(LEFT($F1584,FIND(" ",$F1584)-1),$F1584)), $G1584)&gt;0, "OK", "ERROR")))</f>
        <v>OK</v>
      </c>
    </row>
    <row r="1585" spans="1:32" s="240" customFormat="1">
      <c r="A1585" s="48"/>
      <c r="B1585" s="31"/>
      <c r="C1585" s="48"/>
      <c r="D1585" s="47"/>
      <c r="E1585" s="47"/>
      <c r="F1585" s="31"/>
      <c r="G1585" s="31"/>
      <c r="H1585" s="31"/>
      <c r="I1585" s="47"/>
      <c r="J1585" s="31"/>
      <c r="K1585" s="47"/>
      <c r="L1585" s="47"/>
      <c r="M1585" s="47"/>
      <c r="N1585" s="31"/>
      <c r="O1585" s="47"/>
      <c r="P1585" s="31"/>
      <c r="Q1585" s="31"/>
      <c r="R1585" s="31"/>
      <c r="S1585" s="31"/>
      <c r="T1585" s="270">
        <f t="shared" si="192"/>
        <v>0</v>
      </c>
      <c r="U1585" s="270">
        <f t="shared" si="193"/>
        <v>0</v>
      </c>
      <c r="V1585" s="31"/>
      <c r="X1585" s="240" t="str">
        <f t="shared" si="194"/>
        <v>OK</v>
      </c>
      <c r="Y1585" s="240" t="str">
        <f t="shared" si="195"/>
        <v>OK</v>
      </c>
      <c r="Z1585" s="240" t="str">
        <f t="shared" si="196"/>
        <v>OK</v>
      </c>
      <c r="AA1585" s="240" t="str" cm="1">
        <f t="array" ref="AA1585">IF(OR(AND(J1585="Not accepted",N1585:O1585&lt;&gt;"",$S1585=""),AND(J1585="Accepted",S1585="")),"ERROR","OK")</f>
        <v>OK</v>
      </c>
      <c r="AB1585" s="240" t="str">
        <f t="shared" si="197"/>
        <v>OK</v>
      </c>
      <c r="AC1585" s="240" t="str" cm="1">
        <f t="array" ref="AC1585">IF(AND(F1585:H1585&lt;&gt;"",I1585=""),"ERROR","OK")</f>
        <v>OK</v>
      </c>
      <c r="AD1585" s="240" t="str">
        <f t="shared" si="198"/>
        <v>OK</v>
      </c>
      <c r="AE1585" s="240" t="str">
        <f t="shared" si="199"/>
        <v>OK</v>
      </c>
      <c r="AF1585" s="240" t="str" cm="1">
        <f t="array" aca="1" ref="AF1585" ca="1" xml:space="preserve">
IF(AND($G1585&lt;&gt;"",$F1585=""),"ERROR",
IF(OR($F1585:$G1585="",AND($G1585="",$F1585&lt;&gt;"")),"OK",
IF(COUNTIF(INDIRECT(IFERROR(LEFT($F1585,FIND(" ",$F1585)-1),$F1585)), $G1585)&gt;0, "OK", "ERROR")))</f>
        <v>OK</v>
      </c>
    </row>
    <row r="1586" spans="1:32" s="240" customFormat="1">
      <c r="A1586" s="48"/>
      <c r="B1586" s="31"/>
      <c r="C1586" s="48"/>
      <c r="D1586" s="47"/>
      <c r="E1586" s="47"/>
      <c r="F1586" s="31"/>
      <c r="G1586" s="31"/>
      <c r="H1586" s="31"/>
      <c r="I1586" s="47"/>
      <c r="J1586" s="31"/>
      <c r="K1586" s="47"/>
      <c r="L1586" s="47"/>
      <c r="M1586" s="47"/>
      <c r="N1586" s="31"/>
      <c r="O1586" s="47"/>
      <c r="P1586" s="31"/>
      <c r="Q1586" s="31"/>
      <c r="R1586" s="31"/>
      <c r="S1586" s="31"/>
      <c r="T1586" s="270">
        <f t="shared" si="192"/>
        <v>0</v>
      </c>
      <c r="U1586" s="270">
        <f t="shared" si="193"/>
        <v>0</v>
      </c>
      <c r="V1586" s="31"/>
      <c r="X1586" s="240" t="str">
        <f t="shared" si="194"/>
        <v>OK</v>
      </c>
      <c r="Y1586" s="240" t="str">
        <f t="shared" si="195"/>
        <v>OK</v>
      </c>
      <c r="Z1586" s="240" t="str">
        <f t="shared" si="196"/>
        <v>OK</v>
      </c>
      <c r="AA1586" s="240" t="str" cm="1">
        <f t="array" ref="AA1586">IF(OR(AND(J1586="Not accepted",N1586:O1586&lt;&gt;"",$S1586=""),AND(J1586="Accepted",S1586="")),"ERROR","OK")</f>
        <v>OK</v>
      </c>
      <c r="AB1586" s="240" t="str">
        <f t="shared" si="197"/>
        <v>OK</v>
      </c>
      <c r="AC1586" s="240" t="str" cm="1">
        <f t="array" ref="AC1586">IF(AND(F1586:H1586&lt;&gt;"",I1586=""),"ERROR","OK")</f>
        <v>OK</v>
      </c>
      <c r="AD1586" s="240" t="str">
        <f t="shared" si="198"/>
        <v>OK</v>
      </c>
      <c r="AE1586" s="240" t="str">
        <f t="shared" si="199"/>
        <v>OK</v>
      </c>
      <c r="AF1586" s="240" t="str" cm="1">
        <f t="array" aca="1" ref="AF1586" ca="1" xml:space="preserve">
IF(AND($G1586&lt;&gt;"",$F1586=""),"ERROR",
IF(OR($F1586:$G1586="",AND($G1586="",$F1586&lt;&gt;"")),"OK",
IF(COUNTIF(INDIRECT(IFERROR(LEFT($F1586,FIND(" ",$F1586)-1),$F1586)), $G1586)&gt;0, "OK", "ERROR")))</f>
        <v>OK</v>
      </c>
    </row>
    <row r="1587" spans="1:32" s="240" customFormat="1">
      <c r="A1587" s="48"/>
      <c r="B1587" s="31"/>
      <c r="C1587" s="48"/>
      <c r="D1587" s="47"/>
      <c r="E1587" s="47"/>
      <c r="F1587" s="31"/>
      <c r="G1587" s="31"/>
      <c r="H1587" s="31"/>
      <c r="I1587" s="47"/>
      <c r="J1587" s="31"/>
      <c r="K1587" s="47"/>
      <c r="L1587" s="47"/>
      <c r="M1587" s="47"/>
      <c r="N1587" s="31"/>
      <c r="O1587" s="47"/>
      <c r="P1587" s="31"/>
      <c r="Q1587" s="31"/>
      <c r="R1587" s="31"/>
      <c r="S1587" s="31"/>
      <c r="T1587" s="270">
        <f t="shared" si="192"/>
        <v>0</v>
      </c>
      <c r="U1587" s="270">
        <f t="shared" si="193"/>
        <v>0</v>
      </c>
      <c r="V1587" s="31"/>
      <c r="X1587" s="240" t="str">
        <f t="shared" si="194"/>
        <v>OK</v>
      </c>
      <c r="Y1587" s="240" t="str">
        <f t="shared" si="195"/>
        <v>OK</v>
      </c>
      <c r="Z1587" s="240" t="str">
        <f t="shared" si="196"/>
        <v>OK</v>
      </c>
      <c r="AA1587" s="240" t="str" cm="1">
        <f t="array" ref="AA1587">IF(OR(AND(J1587="Not accepted",N1587:O1587&lt;&gt;"",$S1587=""),AND(J1587="Accepted",S1587="")),"ERROR","OK")</f>
        <v>OK</v>
      </c>
      <c r="AB1587" s="240" t="str">
        <f t="shared" si="197"/>
        <v>OK</v>
      </c>
      <c r="AC1587" s="240" t="str" cm="1">
        <f t="array" ref="AC1587">IF(AND(F1587:H1587&lt;&gt;"",I1587=""),"ERROR","OK")</f>
        <v>OK</v>
      </c>
      <c r="AD1587" s="240" t="str">
        <f t="shared" si="198"/>
        <v>OK</v>
      </c>
      <c r="AE1587" s="240" t="str">
        <f t="shared" si="199"/>
        <v>OK</v>
      </c>
      <c r="AF1587" s="240" t="str" cm="1">
        <f t="array" aca="1" ref="AF1587" ca="1" xml:space="preserve">
IF(AND($G1587&lt;&gt;"",$F1587=""),"ERROR",
IF(OR($F1587:$G1587="",AND($G1587="",$F1587&lt;&gt;"")),"OK",
IF(COUNTIF(INDIRECT(IFERROR(LEFT($F1587,FIND(" ",$F1587)-1),$F1587)), $G1587)&gt;0, "OK", "ERROR")))</f>
        <v>OK</v>
      </c>
    </row>
    <row r="1588" spans="1:32" s="240" customFormat="1">
      <c r="A1588" s="48"/>
      <c r="B1588" s="31"/>
      <c r="C1588" s="48"/>
      <c r="D1588" s="47"/>
      <c r="E1588" s="47"/>
      <c r="F1588" s="31"/>
      <c r="G1588" s="31"/>
      <c r="H1588" s="31"/>
      <c r="I1588" s="47"/>
      <c r="J1588" s="31"/>
      <c r="K1588" s="47"/>
      <c r="L1588" s="47"/>
      <c r="M1588" s="47"/>
      <c r="N1588" s="31"/>
      <c r="O1588" s="47"/>
      <c r="P1588" s="31"/>
      <c r="Q1588" s="31"/>
      <c r="R1588" s="31"/>
      <c r="S1588" s="31"/>
      <c r="T1588" s="270">
        <f t="shared" si="192"/>
        <v>0</v>
      </c>
      <c r="U1588" s="270">
        <f t="shared" si="193"/>
        <v>0</v>
      </c>
      <c r="V1588" s="31"/>
      <c r="X1588" s="240" t="str">
        <f t="shared" si="194"/>
        <v>OK</v>
      </c>
      <c r="Y1588" s="240" t="str">
        <f t="shared" si="195"/>
        <v>OK</v>
      </c>
      <c r="Z1588" s="240" t="str">
        <f t="shared" si="196"/>
        <v>OK</v>
      </c>
      <c r="AA1588" s="240" t="str" cm="1">
        <f t="array" ref="AA1588">IF(OR(AND(J1588="Not accepted",N1588:O1588&lt;&gt;"",$S1588=""),AND(J1588="Accepted",S1588="")),"ERROR","OK")</f>
        <v>OK</v>
      </c>
      <c r="AB1588" s="240" t="str">
        <f t="shared" si="197"/>
        <v>OK</v>
      </c>
      <c r="AC1588" s="240" t="str" cm="1">
        <f t="array" ref="AC1588">IF(AND(F1588:H1588&lt;&gt;"",I1588=""),"ERROR","OK")</f>
        <v>OK</v>
      </c>
      <c r="AD1588" s="240" t="str">
        <f t="shared" si="198"/>
        <v>OK</v>
      </c>
      <c r="AE1588" s="240" t="str">
        <f t="shared" si="199"/>
        <v>OK</v>
      </c>
      <c r="AF1588" s="240" t="str" cm="1">
        <f t="array" aca="1" ref="AF1588" ca="1" xml:space="preserve">
IF(AND($G1588&lt;&gt;"",$F1588=""),"ERROR",
IF(OR($F1588:$G1588="",AND($G1588="",$F1588&lt;&gt;"")),"OK",
IF(COUNTIF(INDIRECT(IFERROR(LEFT($F1588,FIND(" ",$F1588)-1),$F1588)), $G1588)&gt;0, "OK", "ERROR")))</f>
        <v>OK</v>
      </c>
    </row>
    <row r="1589" spans="1:32" s="240" customFormat="1">
      <c r="A1589" s="48"/>
      <c r="B1589" s="31"/>
      <c r="C1589" s="48"/>
      <c r="D1589" s="47"/>
      <c r="E1589" s="47"/>
      <c r="F1589" s="31"/>
      <c r="G1589" s="31"/>
      <c r="H1589" s="31"/>
      <c r="I1589" s="47"/>
      <c r="J1589" s="31"/>
      <c r="K1589" s="47"/>
      <c r="L1589" s="47"/>
      <c r="M1589" s="47"/>
      <c r="N1589" s="31"/>
      <c r="O1589" s="47"/>
      <c r="P1589" s="31"/>
      <c r="Q1589" s="31"/>
      <c r="R1589" s="31"/>
      <c r="S1589" s="31"/>
      <c r="T1589" s="270">
        <f t="shared" si="192"/>
        <v>0</v>
      </c>
      <c r="U1589" s="270">
        <f t="shared" si="193"/>
        <v>0</v>
      </c>
      <c r="V1589" s="31"/>
      <c r="X1589" s="240" t="str">
        <f t="shared" si="194"/>
        <v>OK</v>
      </c>
      <c r="Y1589" s="240" t="str">
        <f t="shared" si="195"/>
        <v>OK</v>
      </c>
      <c r="Z1589" s="240" t="str">
        <f t="shared" si="196"/>
        <v>OK</v>
      </c>
      <c r="AA1589" s="240" t="str" cm="1">
        <f t="array" ref="AA1589">IF(OR(AND(J1589="Not accepted",N1589:O1589&lt;&gt;"",$S1589=""),AND(J1589="Accepted",S1589="")),"ERROR","OK")</f>
        <v>OK</v>
      </c>
      <c r="AB1589" s="240" t="str">
        <f t="shared" si="197"/>
        <v>OK</v>
      </c>
      <c r="AC1589" s="240" t="str" cm="1">
        <f t="array" ref="AC1589">IF(AND(F1589:H1589&lt;&gt;"",I1589=""),"ERROR","OK")</f>
        <v>OK</v>
      </c>
      <c r="AD1589" s="240" t="str">
        <f t="shared" si="198"/>
        <v>OK</v>
      </c>
      <c r="AE1589" s="240" t="str">
        <f t="shared" si="199"/>
        <v>OK</v>
      </c>
      <c r="AF1589" s="240" t="str" cm="1">
        <f t="array" aca="1" ref="AF1589" ca="1" xml:space="preserve">
IF(AND($G1589&lt;&gt;"",$F1589=""),"ERROR",
IF(OR($F1589:$G1589="",AND($G1589="",$F1589&lt;&gt;"")),"OK",
IF(COUNTIF(INDIRECT(IFERROR(LEFT($F1589,FIND(" ",$F1589)-1),$F1589)), $G1589)&gt;0, "OK", "ERROR")))</f>
        <v>OK</v>
      </c>
    </row>
    <row r="1590" spans="1:32" s="240" customFormat="1">
      <c r="A1590" s="48"/>
      <c r="B1590" s="31"/>
      <c r="C1590" s="48"/>
      <c r="D1590" s="47"/>
      <c r="E1590" s="47"/>
      <c r="F1590" s="31"/>
      <c r="G1590" s="31"/>
      <c r="H1590" s="31"/>
      <c r="I1590" s="47"/>
      <c r="J1590" s="31"/>
      <c r="K1590" s="47"/>
      <c r="L1590" s="47"/>
      <c r="M1590" s="47"/>
      <c r="N1590" s="31"/>
      <c r="O1590" s="47"/>
      <c r="P1590" s="31"/>
      <c r="Q1590" s="31"/>
      <c r="R1590" s="31"/>
      <c r="S1590" s="31"/>
      <c r="T1590" s="270">
        <f t="shared" si="192"/>
        <v>0</v>
      </c>
      <c r="U1590" s="270">
        <f t="shared" si="193"/>
        <v>0</v>
      </c>
      <c r="V1590" s="31"/>
      <c r="X1590" s="240" t="str">
        <f t="shared" si="194"/>
        <v>OK</v>
      </c>
      <c r="Y1590" s="240" t="str">
        <f t="shared" si="195"/>
        <v>OK</v>
      </c>
      <c r="Z1590" s="240" t="str">
        <f t="shared" si="196"/>
        <v>OK</v>
      </c>
      <c r="AA1590" s="240" t="str" cm="1">
        <f t="array" ref="AA1590">IF(OR(AND(J1590="Not accepted",N1590:O1590&lt;&gt;"",$S1590=""),AND(J1590="Accepted",S1590="")),"ERROR","OK")</f>
        <v>OK</v>
      </c>
      <c r="AB1590" s="240" t="str">
        <f t="shared" si="197"/>
        <v>OK</v>
      </c>
      <c r="AC1590" s="240" t="str" cm="1">
        <f t="array" ref="AC1590">IF(AND(F1590:H1590&lt;&gt;"",I1590=""),"ERROR","OK")</f>
        <v>OK</v>
      </c>
      <c r="AD1590" s="240" t="str">
        <f t="shared" si="198"/>
        <v>OK</v>
      </c>
      <c r="AE1590" s="240" t="str">
        <f t="shared" si="199"/>
        <v>OK</v>
      </c>
      <c r="AF1590" s="240" t="str" cm="1">
        <f t="array" aca="1" ref="AF1590" ca="1" xml:space="preserve">
IF(AND($G1590&lt;&gt;"",$F1590=""),"ERROR",
IF(OR($F1590:$G1590="",AND($G1590="",$F1590&lt;&gt;"")),"OK",
IF(COUNTIF(INDIRECT(IFERROR(LEFT($F1590,FIND(" ",$F1590)-1),$F1590)), $G1590)&gt;0, "OK", "ERROR")))</f>
        <v>OK</v>
      </c>
    </row>
    <row r="1591" spans="1:32" s="240" customFormat="1">
      <c r="A1591" s="48"/>
      <c r="B1591" s="31"/>
      <c r="C1591" s="48"/>
      <c r="D1591" s="47"/>
      <c r="E1591" s="47"/>
      <c r="F1591" s="31"/>
      <c r="G1591" s="31"/>
      <c r="H1591" s="31"/>
      <c r="I1591" s="47"/>
      <c r="J1591" s="31"/>
      <c r="K1591" s="47"/>
      <c r="L1591" s="47"/>
      <c r="M1591" s="47"/>
      <c r="N1591" s="31"/>
      <c r="O1591" s="47"/>
      <c r="P1591" s="31"/>
      <c r="Q1591" s="31"/>
      <c r="R1591" s="31"/>
      <c r="S1591" s="31"/>
      <c r="T1591" s="270">
        <f t="shared" si="192"/>
        <v>0</v>
      </c>
      <c r="U1591" s="270">
        <f t="shared" si="193"/>
        <v>0</v>
      </c>
      <c r="V1591" s="31"/>
      <c r="X1591" s="240" t="str">
        <f t="shared" si="194"/>
        <v>OK</v>
      </c>
      <c r="Y1591" s="240" t="str">
        <f t="shared" si="195"/>
        <v>OK</v>
      </c>
      <c r="Z1591" s="240" t="str">
        <f t="shared" si="196"/>
        <v>OK</v>
      </c>
      <c r="AA1591" s="240" t="str" cm="1">
        <f t="array" ref="AA1591">IF(OR(AND(J1591="Not accepted",N1591:O1591&lt;&gt;"",$S1591=""),AND(J1591="Accepted",S1591="")),"ERROR","OK")</f>
        <v>OK</v>
      </c>
      <c r="AB1591" s="240" t="str">
        <f t="shared" si="197"/>
        <v>OK</v>
      </c>
      <c r="AC1591" s="240" t="str" cm="1">
        <f t="array" ref="AC1591">IF(AND(F1591:H1591&lt;&gt;"",I1591=""),"ERROR","OK")</f>
        <v>OK</v>
      </c>
      <c r="AD1591" s="240" t="str">
        <f t="shared" si="198"/>
        <v>OK</v>
      </c>
      <c r="AE1591" s="240" t="str">
        <f t="shared" si="199"/>
        <v>OK</v>
      </c>
      <c r="AF1591" s="240" t="str" cm="1">
        <f t="array" aca="1" ref="AF1591" ca="1" xml:space="preserve">
IF(AND($G1591&lt;&gt;"",$F1591=""),"ERROR",
IF(OR($F1591:$G1591="",AND($G1591="",$F1591&lt;&gt;"")),"OK",
IF(COUNTIF(INDIRECT(IFERROR(LEFT($F1591,FIND(" ",$F1591)-1),$F1591)), $G1591)&gt;0, "OK", "ERROR")))</f>
        <v>OK</v>
      </c>
    </row>
    <row r="1592" spans="1:32" s="240" customFormat="1">
      <c r="A1592" s="48"/>
      <c r="B1592" s="31"/>
      <c r="C1592" s="48"/>
      <c r="D1592" s="47"/>
      <c r="E1592" s="47"/>
      <c r="F1592" s="31"/>
      <c r="G1592" s="31"/>
      <c r="H1592" s="31"/>
      <c r="I1592" s="47"/>
      <c r="J1592" s="31"/>
      <c r="K1592" s="47"/>
      <c r="L1592" s="47"/>
      <c r="M1592" s="47"/>
      <c r="N1592" s="31"/>
      <c r="O1592" s="47"/>
      <c r="P1592" s="31"/>
      <c r="Q1592" s="31"/>
      <c r="R1592" s="31"/>
      <c r="S1592" s="31"/>
      <c r="T1592" s="270">
        <f t="shared" si="192"/>
        <v>0</v>
      </c>
      <c r="U1592" s="270">
        <f t="shared" si="193"/>
        <v>0</v>
      </c>
      <c r="V1592" s="31"/>
      <c r="X1592" s="240" t="str">
        <f t="shared" si="194"/>
        <v>OK</v>
      </c>
      <c r="Y1592" s="240" t="str">
        <f t="shared" si="195"/>
        <v>OK</v>
      </c>
      <c r="Z1592" s="240" t="str">
        <f t="shared" si="196"/>
        <v>OK</v>
      </c>
      <c r="AA1592" s="240" t="str" cm="1">
        <f t="array" ref="AA1592">IF(OR(AND(J1592="Not accepted",N1592:O1592&lt;&gt;"",$S1592=""),AND(J1592="Accepted",S1592="")),"ERROR","OK")</f>
        <v>OK</v>
      </c>
      <c r="AB1592" s="240" t="str">
        <f t="shared" si="197"/>
        <v>OK</v>
      </c>
      <c r="AC1592" s="240" t="str" cm="1">
        <f t="array" ref="AC1592">IF(AND(F1592:H1592&lt;&gt;"",I1592=""),"ERROR","OK")</f>
        <v>OK</v>
      </c>
      <c r="AD1592" s="240" t="str">
        <f t="shared" si="198"/>
        <v>OK</v>
      </c>
      <c r="AE1592" s="240" t="str">
        <f t="shared" si="199"/>
        <v>OK</v>
      </c>
      <c r="AF1592" s="240" t="str" cm="1">
        <f t="array" aca="1" ref="AF1592" ca="1" xml:space="preserve">
IF(AND($G1592&lt;&gt;"",$F1592=""),"ERROR",
IF(OR($F1592:$G1592="",AND($G1592="",$F1592&lt;&gt;"")),"OK",
IF(COUNTIF(INDIRECT(IFERROR(LEFT($F1592,FIND(" ",$F1592)-1),$F1592)), $G1592)&gt;0, "OK", "ERROR")))</f>
        <v>OK</v>
      </c>
    </row>
    <row r="1593" spans="1:32" s="240" customFormat="1">
      <c r="A1593" s="48"/>
      <c r="B1593" s="31"/>
      <c r="C1593" s="48"/>
      <c r="D1593" s="47"/>
      <c r="E1593" s="47"/>
      <c r="F1593" s="31"/>
      <c r="G1593" s="31"/>
      <c r="H1593" s="31"/>
      <c r="I1593" s="47"/>
      <c r="J1593" s="31"/>
      <c r="K1593" s="47"/>
      <c r="L1593" s="47"/>
      <c r="M1593" s="47"/>
      <c r="N1593" s="31"/>
      <c r="O1593" s="47"/>
      <c r="P1593" s="31"/>
      <c r="Q1593" s="31"/>
      <c r="R1593" s="31"/>
      <c r="S1593" s="31"/>
      <c r="T1593" s="270">
        <f t="shared" si="192"/>
        <v>0</v>
      </c>
      <c r="U1593" s="270">
        <f t="shared" si="193"/>
        <v>0</v>
      </c>
      <c r="V1593" s="31"/>
      <c r="X1593" s="240" t="str">
        <f t="shared" si="194"/>
        <v>OK</v>
      </c>
      <c r="Y1593" s="240" t="str">
        <f t="shared" si="195"/>
        <v>OK</v>
      </c>
      <c r="Z1593" s="240" t="str">
        <f t="shared" si="196"/>
        <v>OK</v>
      </c>
      <c r="AA1593" s="240" t="str" cm="1">
        <f t="array" ref="AA1593">IF(OR(AND(J1593="Not accepted",N1593:O1593&lt;&gt;"",$S1593=""),AND(J1593="Accepted",S1593="")),"ERROR","OK")</f>
        <v>OK</v>
      </c>
      <c r="AB1593" s="240" t="str">
        <f t="shared" si="197"/>
        <v>OK</v>
      </c>
      <c r="AC1593" s="240" t="str" cm="1">
        <f t="array" ref="AC1593">IF(AND(F1593:H1593&lt;&gt;"",I1593=""),"ERROR","OK")</f>
        <v>OK</v>
      </c>
      <c r="AD1593" s="240" t="str">
        <f t="shared" si="198"/>
        <v>OK</v>
      </c>
      <c r="AE1593" s="240" t="str">
        <f t="shared" si="199"/>
        <v>OK</v>
      </c>
      <c r="AF1593" s="240" t="str" cm="1">
        <f t="array" aca="1" ref="AF1593" ca="1" xml:space="preserve">
IF(AND($G1593&lt;&gt;"",$F1593=""),"ERROR",
IF(OR($F1593:$G1593="",AND($G1593="",$F1593&lt;&gt;"")),"OK",
IF(COUNTIF(INDIRECT(IFERROR(LEFT($F1593,FIND(" ",$F1593)-1),$F1593)), $G1593)&gt;0, "OK", "ERROR")))</f>
        <v>OK</v>
      </c>
    </row>
    <row r="1594" spans="1:32" s="240" customFormat="1">
      <c r="A1594" s="48"/>
      <c r="B1594" s="31"/>
      <c r="C1594" s="48"/>
      <c r="D1594" s="47"/>
      <c r="E1594" s="47"/>
      <c r="F1594" s="31"/>
      <c r="G1594" s="31"/>
      <c r="H1594" s="31"/>
      <c r="I1594" s="47"/>
      <c r="J1594" s="31"/>
      <c r="K1594" s="47"/>
      <c r="L1594" s="47"/>
      <c r="M1594" s="47"/>
      <c r="N1594" s="31"/>
      <c r="O1594" s="47"/>
      <c r="P1594" s="31"/>
      <c r="Q1594" s="31"/>
      <c r="R1594" s="31"/>
      <c r="S1594" s="31"/>
      <c r="T1594" s="270">
        <f t="shared" si="192"/>
        <v>0</v>
      </c>
      <c r="U1594" s="270">
        <f t="shared" si="193"/>
        <v>0</v>
      </c>
      <c r="V1594" s="31"/>
      <c r="X1594" s="240" t="str">
        <f t="shared" si="194"/>
        <v>OK</v>
      </c>
      <c r="Y1594" s="240" t="str">
        <f t="shared" si="195"/>
        <v>OK</v>
      </c>
      <c r="Z1594" s="240" t="str">
        <f t="shared" si="196"/>
        <v>OK</v>
      </c>
      <c r="AA1594" s="240" t="str" cm="1">
        <f t="array" ref="AA1594">IF(OR(AND(J1594="Not accepted",N1594:O1594&lt;&gt;"",$S1594=""),AND(J1594="Accepted",S1594="")),"ERROR","OK")</f>
        <v>OK</v>
      </c>
      <c r="AB1594" s="240" t="str">
        <f t="shared" si="197"/>
        <v>OK</v>
      </c>
      <c r="AC1594" s="240" t="str" cm="1">
        <f t="array" ref="AC1594">IF(AND(F1594:H1594&lt;&gt;"",I1594=""),"ERROR","OK")</f>
        <v>OK</v>
      </c>
      <c r="AD1594" s="240" t="str">
        <f t="shared" si="198"/>
        <v>OK</v>
      </c>
      <c r="AE1594" s="240" t="str">
        <f t="shared" si="199"/>
        <v>OK</v>
      </c>
      <c r="AF1594" s="240" t="str" cm="1">
        <f t="array" aca="1" ref="AF1594" ca="1" xml:space="preserve">
IF(AND($G1594&lt;&gt;"",$F1594=""),"ERROR",
IF(OR($F1594:$G1594="",AND($G1594="",$F1594&lt;&gt;"")),"OK",
IF(COUNTIF(INDIRECT(IFERROR(LEFT($F1594,FIND(" ",$F1594)-1),$F1594)), $G1594)&gt;0, "OK", "ERROR")))</f>
        <v>OK</v>
      </c>
    </row>
    <row r="1595" spans="1:32" s="240" customFormat="1">
      <c r="A1595" s="48"/>
      <c r="B1595" s="31"/>
      <c r="C1595" s="48"/>
      <c r="D1595" s="47"/>
      <c r="E1595" s="47"/>
      <c r="F1595" s="31"/>
      <c r="G1595" s="31"/>
      <c r="H1595" s="31"/>
      <c r="I1595" s="47"/>
      <c r="J1595" s="31"/>
      <c r="K1595" s="47"/>
      <c r="L1595" s="47"/>
      <c r="M1595" s="47"/>
      <c r="N1595" s="31"/>
      <c r="O1595" s="47"/>
      <c r="P1595" s="31"/>
      <c r="Q1595" s="31"/>
      <c r="R1595" s="31"/>
      <c r="S1595" s="31"/>
      <c r="T1595" s="270">
        <f t="shared" si="192"/>
        <v>0</v>
      </c>
      <c r="U1595" s="270">
        <f t="shared" si="193"/>
        <v>0</v>
      </c>
      <c r="V1595" s="31"/>
      <c r="X1595" s="240" t="str">
        <f t="shared" si="194"/>
        <v>OK</v>
      </c>
      <c r="Y1595" s="240" t="str">
        <f t="shared" si="195"/>
        <v>OK</v>
      </c>
      <c r="Z1595" s="240" t="str">
        <f t="shared" si="196"/>
        <v>OK</v>
      </c>
      <c r="AA1595" s="240" t="str" cm="1">
        <f t="array" ref="AA1595">IF(OR(AND(J1595="Not accepted",N1595:O1595&lt;&gt;"",$S1595=""),AND(J1595="Accepted",S1595="")),"ERROR","OK")</f>
        <v>OK</v>
      </c>
      <c r="AB1595" s="240" t="str">
        <f t="shared" si="197"/>
        <v>OK</v>
      </c>
      <c r="AC1595" s="240" t="str" cm="1">
        <f t="array" ref="AC1595">IF(AND(F1595:H1595&lt;&gt;"",I1595=""),"ERROR","OK")</f>
        <v>OK</v>
      </c>
      <c r="AD1595" s="240" t="str">
        <f t="shared" si="198"/>
        <v>OK</v>
      </c>
      <c r="AE1595" s="240" t="str">
        <f t="shared" si="199"/>
        <v>OK</v>
      </c>
      <c r="AF1595" s="240" t="str" cm="1">
        <f t="array" aca="1" ref="AF1595" ca="1" xml:space="preserve">
IF(AND($G1595&lt;&gt;"",$F1595=""),"ERROR",
IF(OR($F1595:$G1595="",AND($G1595="",$F1595&lt;&gt;"")),"OK",
IF(COUNTIF(INDIRECT(IFERROR(LEFT($F1595,FIND(" ",$F1595)-1),$F1595)), $G1595)&gt;0, "OK", "ERROR")))</f>
        <v>OK</v>
      </c>
    </row>
    <row r="1596" spans="1:32" s="240" customFormat="1">
      <c r="A1596" s="48"/>
      <c r="B1596" s="31"/>
      <c r="C1596" s="48"/>
      <c r="D1596" s="47"/>
      <c r="E1596" s="47"/>
      <c r="F1596" s="31"/>
      <c r="G1596" s="31"/>
      <c r="H1596" s="31"/>
      <c r="I1596" s="47"/>
      <c r="J1596" s="31"/>
      <c r="K1596" s="47"/>
      <c r="L1596" s="47"/>
      <c r="M1596" s="47"/>
      <c r="N1596" s="31"/>
      <c r="O1596" s="47"/>
      <c r="P1596" s="31"/>
      <c r="Q1596" s="31"/>
      <c r="R1596" s="31"/>
      <c r="S1596" s="31"/>
      <c r="T1596" s="270">
        <f t="shared" si="192"/>
        <v>0</v>
      </c>
      <c r="U1596" s="270">
        <f t="shared" si="193"/>
        <v>0</v>
      </c>
      <c r="V1596" s="31"/>
      <c r="X1596" s="240" t="str">
        <f t="shared" si="194"/>
        <v>OK</v>
      </c>
      <c r="Y1596" s="240" t="str">
        <f t="shared" si="195"/>
        <v>OK</v>
      </c>
      <c r="Z1596" s="240" t="str">
        <f t="shared" si="196"/>
        <v>OK</v>
      </c>
      <c r="AA1596" s="240" t="str" cm="1">
        <f t="array" ref="AA1596">IF(OR(AND(J1596="Not accepted",N1596:O1596&lt;&gt;"",$S1596=""),AND(J1596="Accepted",S1596="")),"ERROR","OK")</f>
        <v>OK</v>
      </c>
      <c r="AB1596" s="240" t="str">
        <f t="shared" si="197"/>
        <v>OK</v>
      </c>
      <c r="AC1596" s="240" t="str" cm="1">
        <f t="array" ref="AC1596">IF(AND(F1596:H1596&lt;&gt;"",I1596=""),"ERROR","OK")</f>
        <v>OK</v>
      </c>
      <c r="AD1596" s="240" t="str">
        <f t="shared" si="198"/>
        <v>OK</v>
      </c>
      <c r="AE1596" s="240" t="str">
        <f t="shared" si="199"/>
        <v>OK</v>
      </c>
      <c r="AF1596" s="240" t="str" cm="1">
        <f t="array" aca="1" ref="AF1596" ca="1" xml:space="preserve">
IF(AND($G1596&lt;&gt;"",$F1596=""),"ERROR",
IF(OR($F1596:$G1596="",AND($G1596="",$F1596&lt;&gt;"")),"OK",
IF(COUNTIF(INDIRECT(IFERROR(LEFT($F1596,FIND(" ",$F1596)-1),$F1596)), $G1596)&gt;0, "OK", "ERROR")))</f>
        <v>OK</v>
      </c>
    </row>
    <row r="1597" spans="1:32" s="240" customFormat="1">
      <c r="A1597" s="48"/>
      <c r="B1597" s="31"/>
      <c r="C1597" s="48"/>
      <c r="D1597" s="47"/>
      <c r="E1597" s="47"/>
      <c r="F1597" s="31"/>
      <c r="G1597" s="31"/>
      <c r="H1597" s="31"/>
      <c r="I1597" s="47"/>
      <c r="J1597" s="31"/>
      <c r="K1597" s="47"/>
      <c r="L1597" s="47"/>
      <c r="M1597" s="47"/>
      <c r="N1597" s="31"/>
      <c r="O1597" s="47"/>
      <c r="P1597" s="31"/>
      <c r="Q1597" s="31"/>
      <c r="R1597" s="31"/>
      <c r="S1597" s="31"/>
      <c r="T1597" s="270">
        <f t="shared" si="192"/>
        <v>0</v>
      </c>
      <c r="U1597" s="270">
        <f t="shared" si="193"/>
        <v>0</v>
      </c>
      <c r="V1597" s="31"/>
      <c r="X1597" s="240" t="str">
        <f t="shared" si="194"/>
        <v>OK</v>
      </c>
      <c r="Y1597" s="240" t="str">
        <f t="shared" si="195"/>
        <v>OK</v>
      </c>
      <c r="Z1597" s="240" t="str">
        <f t="shared" si="196"/>
        <v>OK</v>
      </c>
      <c r="AA1597" s="240" t="str" cm="1">
        <f t="array" ref="AA1597">IF(OR(AND(J1597="Not accepted",N1597:O1597&lt;&gt;"",$S1597=""),AND(J1597="Accepted",S1597="")),"ERROR","OK")</f>
        <v>OK</v>
      </c>
      <c r="AB1597" s="240" t="str">
        <f t="shared" si="197"/>
        <v>OK</v>
      </c>
      <c r="AC1597" s="240" t="str" cm="1">
        <f t="array" ref="AC1597">IF(AND(F1597:H1597&lt;&gt;"",I1597=""),"ERROR","OK")</f>
        <v>OK</v>
      </c>
      <c r="AD1597" s="240" t="str">
        <f t="shared" si="198"/>
        <v>OK</v>
      </c>
      <c r="AE1597" s="240" t="str">
        <f t="shared" si="199"/>
        <v>OK</v>
      </c>
      <c r="AF1597" s="240" t="str" cm="1">
        <f t="array" aca="1" ref="AF1597" ca="1" xml:space="preserve">
IF(AND($G1597&lt;&gt;"",$F1597=""),"ERROR",
IF(OR($F1597:$G1597="",AND($G1597="",$F1597&lt;&gt;"")),"OK",
IF(COUNTIF(INDIRECT(IFERROR(LEFT($F1597,FIND(" ",$F1597)-1),$F1597)), $G1597)&gt;0, "OK", "ERROR")))</f>
        <v>OK</v>
      </c>
    </row>
    <row r="1598" spans="1:32" s="240" customFormat="1">
      <c r="A1598" s="48"/>
      <c r="B1598" s="31"/>
      <c r="C1598" s="48"/>
      <c r="D1598" s="47"/>
      <c r="E1598" s="47"/>
      <c r="F1598" s="31"/>
      <c r="G1598" s="31"/>
      <c r="H1598" s="31"/>
      <c r="I1598" s="47"/>
      <c r="J1598" s="31"/>
      <c r="K1598" s="47"/>
      <c r="L1598" s="47"/>
      <c r="M1598" s="47"/>
      <c r="N1598" s="31"/>
      <c r="O1598" s="47"/>
      <c r="P1598" s="31"/>
      <c r="Q1598" s="31"/>
      <c r="R1598" s="31"/>
      <c r="S1598" s="31"/>
      <c r="T1598" s="270">
        <f t="shared" si="192"/>
        <v>0</v>
      </c>
      <c r="U1598" s="270">
        <f t="shared" si="193"/>
        <v>0</v>
      </c>
      <c r="V1598" s="31"/>
      <c r="X1598" s="240" t="str">
        <f t="shared" si="194"/>
        <v>OK</v>
      </c>
      <c r="Y1598" s="240" t="str">
        <f t="shared" si="195"/>
        <v>OK</v>
      </c>
      <c r="Z1598" s="240" t="str">
        <f t="shared" si="196"/>
        <v>OK</v>
      </c>
      <c r="AA1598" s="240" t="str" cm="1">
        <f t="array" ref="AA1598">IF(OR(AND(J1598="Not accepted",N1598:O1598&lt;&gt;"",$S1598=""),AND(J1598="Accepted",S1598="")),"ERROR","OK")</f>
        <v>OK</v>
      </c>
      <c r="AB1598" s="240" t="str">
        <f t="shared" si="197"/>
        <v>OK</v>
      </c>
      <c r="AC1598" s="240" t="str" cm="1">
        <f t="array" ref="AC1598">IF(AND(F1598:H1598&lt;&gt;"",I1598=""),"ERROR","OK")</f>
        <v>OK</v>
      </c>
      <c r="AD1598" s="240" t="str">
        <f t="shared" si="198"/>
        <v>OK</v>
      </c>
      <c r="AE1598" s="240" t="str">
        <f t="shared" si="199"/>
        <v>OK</v>
      </c>
      <c r="AF1598" s="240" t="str" cm="1">
        <f t="array" aca="1" ref="AF1598" ca="1" xml:space="preserve">
IF(AND($G1598&lt;&gt;"",$F1598=""),"ERROR",
IF(OR($F1598:$G1598="",AND($G1598="",$F1598&lt;&gt;"")),"OK",
IF(COUNTIF(INDIRECT(IFERROR(LEFT($F1598,FIND(" ",$F1598)-1),$F1598)), $G1598)&gt;0, "OK", "ERROR")))</f>
        <v>OK</v>
      </c>
    </row>
    <row r="1599" spans="1:32" s="240" customFormat="1">
      <c r="A1599" s="48"/>
      <c r="B1599" s="31"/>
      <c r="C1599" s="48"/>
      <c r="D1599" s="47"/>
      <c r="E1599" s="47"/>
      <c r="F1599" s="31"/>
      <c r="G1599" s="31"/>
      <c r="H1599" s="31"/>
      <c r="I1599" s="47"/>
      <c r="J1599" s="31"/>
      <c r="K1599" s="47"/>
      <c r="L1599" s="47"/>
      <c r="M1599" s="47"/>
      <c r="N1599" s="31"/>
      <c r="O1599" s="47"/>
      <c r="P1599" s="31"/>
      <c r="Q1599" s="31"/>
      <c r="R1599" s="31"/>
      <c r="S1599" s="31"/>
      <c r="T1599" s="270">
        <f t="shared" si="192"/>
        <v>0</v>
      </c>
      <c r="U1599" s="270">
        <f t="shared" si="193"/>
        <v>0</v>
      </c>
      <c r="V1599" s="31"/>
      <c r="X1599" s="240" t="str">
        <f t="shared" si="194"/>
        <v>OK</v>
      </c>
      <c r="Y1599" s="240" t="str">
        <f t="shared" si="195"/>
        <v>OK</v>
      </c>
      <c r="Z1599" s="240" t="str">
        <f t="shared" si="196"/>
        <v>OK</v>
      </c>
      <c r="AA1599" s="240" t="str" cm="1">
        <f t="array" ref="AA1599">IF(OR(AND(J1599="Not accepted",N1599:O1599&lt;&gt;"",$S1599=""),AND(J1599="Accepted",S1599="")),"ERROR","OK")</f>
        <v>OK</v>
      </c>
      <c r="AB1599" s="240" t="str">
        <f t="shared" si="197"/>
        <v>OK</v>
      </c>
      <c r="AC1599" s="240" t="str" cm="1">
        <f t="array" ref="AC1599">IF(AND(F1599:H1599&lt;&gt;"",I1599=""),"ERROR","OK")</f>
        <v>OK</v>
      </c>
      <c r="AD1599" s="240" t="str">
        <f t="shared" si="198"/>
        <v>OK</v>
      </c>
      <c r="AE1599" s="240" t="str">
        <f t="shared" si="199"/>
        <v>OK</v>
      </c>
      <c r="AF1599" s="240" t="str" cm="1">
        <f t="array" aca="1" ref="AF1599" ca="1" xml:space="preserve">
IF(AND($G1599&lt;&gt;"",$F1599=""),"ERROR",
IF(OR($F1599:$G1599="",AND($G1599="",$F1599&lt;&gt;"")),"OK",
IF(COUNTIF(INDIRECT(IFERROR(LEFT($F1599,FIND(" ",$F1599)-1),$F1599)), $G1599)&gt;0, "OK", "ERROR")))</f>
        <v>OK</v>
      </c>
    </row>
    <row r="1600" spans="1:32" s="240" customFormat="1">
      <c r="A1600" s="48"/>
      <c r="B1600" s="31"/>
      <c r="C1600" s="48"/>
      <c r="D1600" s="47"/>
      <c r="E1600" s="47"/>
      <c r="F1600" s="31"/>
      <c r="G1600" s="31"/>
      <c r="H1600" s="31"/>
      <c r="I1600" s="47"/>
      <c r="J1600" s="31"/>
      <c r="K1600" s="47"/>
      <c r="L1600" s="47"/>
      <c r="M1600" s="47"/>
      <c r="N1600" s="31"/>
      <c r="O1600" s="47"/>
      <c r="P1600" s="31"/>
      <c r="Q1600" s="31"/>
      <c r="R1600" s="31"/>
      <c r="S1600" s="31"/>
      <c r="T1600" s="270">
        <f t="shared" si="192"/>
        <v>0</v>
      </c>
      <c r="U1600" s="270">
        <f t="shared" si="193"/>
        <v>0</v>
      </c>
      <c r="V1600" s="31"/>
      <c r="X1600" s="240" t="str">
        <f t="shared" si="194"/>
        <v>OK</v>
      </c>
      <c r="Y1600" s="240" t="str">
        <f t="shared" si="195"/>
        <v>OK</v>
      </c>
      <c r="Z1600" s="240" t="str">
        <f t="shared" si="196"/>
        <v>OK</v>
      </c>
      <c r="AA1600" s="240" t="str" cm="1">
        <f t="array" ref="AA1600">IF(OR(AND(J1600="Not accepted",N1600:O1600&lt;&gt;"",$S1600=""),AND(J1600="Accepted",S1600="")),"ERROR","OK")</f>
        <v>OK</v>
      </c>
      <c r="AB1600" s="240" t="str">
        <f t="shared" si="197"/>
        <v>OK</v>
      </c>
      <c r="AC1600" s="240" t="str" cm="1">
        <f t="array" ref="AC1600">IF(AND(F1600:H1600&lt;&gt;"",I1600=""),"ERROR","OK")</f>
        <v>OK</v>
      </c>
      <c r="AD1600" s="240" t="str">
        <f t="shared" si="198"/>
        <v>OK</v>
      </c>
      <c r="AE1600" s="240" t="str">
        <f t="shared" si="199"/>
        <v>OK</v>
      </c>
      <c r="AF1600" s="240" t="str" cm="1">
        <f t="array" aca="1" ref="AF1600" ca="1" xml:space="preserve">
IF(AND($G1600&lt;&gt;"",$F1600=""),"ERROR",
IF(OR($F1600:$G1600="",AND($G1600="",$F1600&lt;&gt;"")),"OK",
IF(COUNTIF(INDIRECT(IFERROR(LEFT($F1600,FIND(" ",$F1600)-1),$F1600)), $G1600)&gt;0, "OK", "ERROR")))</f>
        <v>OK</v>
      </c>
    </row>
    <row r="1601" spans="1:32" s="240" customFormat="1">
      <c r="A1601" s="48"/>
      <c r="B1601" s="31"/>
      <c r="C1601" s="48"/>
      <c r="D1601" s="47"/>
      <c r="E1601" s="47"/>
      <c r="F1601" s="31"/>
      <c r="G1601" s="31"/>
      <c r="H1601" s="31"/>
      <c r="I1601" s="47"/>
      <c r="J1601" s="31"/>
      <c r="K1601" s="47"/>
      <c r="L1601" s="47"/>
      <c r="M1601" s="47"/>
      <c r="N1601" s="31"/>
      <c r="O1601" s="47"/>
      <c r="P1601" s="31"/>
      <c r="Q1601" s="31"/>
      <c r="R1601" s="31"/>
      <c r="S1601" s="31"/>
      <c r="T1601" s="270">
        <f t="shared" si="192"/>
        <v>0</v>
      </c>
      <c r="U1601" s="270">
        <f t="shared" si="193"/>
        <v>0</v>
      </c>
      <c r="V1601" s="31"/>
      <c r="X1601" s="240" t="str">
        <f t="shared" si="194"/>
        <v>OK</v>
      </c>
      <c r="Y1601" s="240" t="str">
        <f t="shared" si="195"/>
        <v>OK</v>
      </c>
      <c r="Z1601" s="240" t="str">
        <f t="shared" si="196"/>
        <v>OK</v>
      </c>
      <c r="AA1601" s="240" t="str" cm="1">
        <f t="array" ref="AA1601">IF(OR(AND(J1601="Not accepted",N1601:O1601&lt;&gt;"",$S1601=""),AND(J1601="Accepted",S1601="")),"ERROR","OK")</f>
        <v>OK</v>
      </c>
      <c r="AB1601" s="240" t="str">
        <f t="shared" si="197"/>
        <v>OK</v>
      </c>
      <c r="AC1601" s="240" t="str" cm="1">
        <f t="array" ref="AC1601">IF(AND(F1601:H1601&lt;&gt;"",I1601=""),"ERROR","OK")</f>
        <v>OK</v>
      </c>
      <c r="AD1601" s="240" t="str">
        <f t="shared" si="198"/>
        <v>OK</v>
      </c>
      <c r="AE1601" s="240" t="str">
        <f t="shared" si="199"/>
        <v>OK</v>
      </c>
      <c r="AF1601" s="240" t="str" cm="1">
        <f t="array" aca="1" ref="AF1601" ca="1" xml:space="preserve">
IF(AND($G1601&lt;&gt;"",$F1601=""),"ERROR",
IF(OR($F1601:$G1601="",AND($G1601="",$F1601&lt;&gt;"")),"OK",
IF(COUNTIF(INDIRECT(IFERROR(LEFT($F1601,FIND(" ",$F1601)-1),$F1601)), $G1601)&gt;0, "OK", "ERROR")))</f>
        <v>OK</v>
      </c>
    </row>
    <row r="1602" spans="1:32" s="240" customFormat="1">
      <c r="A1602" s="48"/>
      <c r="B1602" s="31"/>
      <c r="C1602" s="48"/>
      <c r="D1602" s="47"/>
      <c r="E1602" s="47"/>
      <c r="F1602" s="31"/>
      <c r="G1602" s="31"/>
      <c r="H1602" s="31"/>
      <c r="I1602" s="47"/>
      <c r="J1602" s="31"/>
      <c r="K1602" s="47"/>
      <c r="L1602" s="47"/>
      <c r="M1602" s="47"/>
      <c r="N1602" s="31"/>
      <c r="O1602" s="47"/>
      <c r="P1602" s="31"/>
      <c r="Q1602" s="31"/>
      <c r="R1602" s="31"/>
      <c r="S1602" s="31"/>
      <c r="T1602" s="270">
        <f t="shared" si="192"/>
        <v>0</v>
      </c>
      <c r="U1602" s="270">
        <f t="shared" si="193"/>
        <v>0</v>
      </c>
      <c r="V1602" s="31"/>
      <c r="X1602" s="240" t="str">
        <f t="shared" si="194"/>
        <v>OK</v>
      </c>
      <c r="Y1602" s="240" t="str">
        <f t="shared" si="195"/>
        <v>OK</v>
      </c>
      <c r="Z1602" s="240" t="str">
        <f t="shared" si="196"/>
        <v>OK</v>
      </c>
      <c r="AA1602" s="240" t="str" cm="1">
        <f t="array" ref="AA1602">IF(OR(AND(J1602="Not accepted",N1602:O1602&lt;&gt;"",$S1602=""),AND(J1602="Accepted",S1602="")),"ERROR","OK")</f>
        <v>OK</v>
      </c>
      <c r="AB1602" s="240" t="str">
        <f t="shared" si="197"/>
        <v>OK</v>
      </c>
      <c r="AC1602" s="240" t="str" cm="1">
        <f t="array" ref="AC1602">IF(AND(F1602:H1602&lt;&gt;"",I1602=""),"ERROR","OK")</f>
        <v>OK</v>
      </c>
      <c r="AD1602" s="240" t="str">
        <f t="shared" si="198"/>
        <v>OK</v>
      </c>
      <c r="AE1602" s="240" t="str">
        <f t="shared" si="199"/>
        <v>OK</v>
      </c>
      <c r="AF1602" s="240" t="str" cm="1">
        <f t="array" aca="1" ref="AF1602" ca="1" xml:space="preserve">
IF(AND($G1602&lt;&gt;"",$F1602=""),"ERROR",
IF(OR($F1602:$G1602="",AND($G1602="",$F1602&lt;&gt;"")),"OK",
IF(COUNTIF(INDIRECT(IFERROR(LEFT($F1602,FIND(" ",$F1602)-1),$F1602)), $G1602)&gt;0, "OK", "ERROR")))</f>
        <v>OK</v>
      </c>
    </row>
    <row r="1603" spans="1:32" s="240" customFormat="1">
      <c r="A1603" s="48"/>
      <c r="B1603" s="31"/>
      <c r="C1603" s="48"/>
      <c r="D1603" s="47"/>
      <c r="E1603" s="47"/>
      <c r="F1603" s="31"/>
      <c r="G1603" s="31"/>
      <c r="H1603" s="31"/>
      <c r="I1603" s="47"/>
      <c r="J1603" s="31"/>
      <c r="K1603" s="47"/>
      <c r="L1603" s="47"/>
      <c r="M1603" s="47"/>
      <c r="N1603" s="31"/>
      <c r="O1603" s="47"/>
      <c r="P1603" s="31"/>
      <c r="Q1603" s="31"/>
      <c r="R1603" s="31"/>
      <c r="S1603" s="31"/>
      <c r="T1603" s="270">
        <f t="shared" si="192"/>
        <v>0</v>
      </c>
      <c r="U1603" s="270">
        <f t="shared" si="193"/>
        <v>0</v>
      </c>
      <c r="V1603" s="31"/>
      <c r="X1603" s="240" t="str">
        <f t="shared" si="194"/>
        <v>OK</v>
      </c>
      <c r="Y1603" s="240" t="str">
        <f t="shared" si="195"/>
        <v>OK</v>
      </c>
      <c r="Z1603" s="240" t="str">
        <f t="shared" si="196"/>
        <v>OK</v>
      </c>
      <c r="AA1603" s="240" t="str" cm="1">
        <f t="array" ref="AA1603">IF(OR(AND(J1603="Not accepted",N1603:O1603&lt;&gt;"",$S1603=""),AND(J1603="Accepted",S1603="")),"ERROR","OK")</f>
        <v>OK</v>
      </c>
      <c r="AB1603" s="240" t="str">
        <f t="shared" si="197"/>
        <v>OK</v>
      </c>
      <c r="AC1603" s="240" t="str" cm="1">
        <f t="array" ref="AC1603">IF(AND(F1603:H1603&lt;&gt;"",I1603=""),"ERROR","OK")</f>
        <v>OK</v>
      </c>
      <c r="AD1603" s="240" t="str">
        <f t="shared" si="198"/>
        <v>OK</v>
      </c>
      <c r="AE1603" s="240" t="str">
        <f t="shared" si="199"/>
        <v>OK</v>
      </c>
      <c r="AF1603" s="240" t="str" cm="1">
        <f t="array" aca="1" ref="AF1603" ca="1" xml:space="preserve">
IF(AND($G1603&lt;&gt;"",$F1603=""),"ERROR",
IF(OR($F1603:$G1603="",AND($G1603="",$F1603&lt;&gt;"")),"OK",
IF(COUNTIF(INDIRECT(IFERROR(LEFT($F1603,FIND(" ",$F1603)-1),$F1603)), $G1603)&gt;0, "OK", "ERROR")))</f>
        <v>OK</v>
      </c>
    </row>
    <row r="1604" spans="1:32" s="240" customFormat="1">
      <c r="A1604" s="48"/>
      <c r="B1604" s="31"/>
      <c r="C1604" s="48"/>
      <c r="D1604" s="47"/>
      <c r="E1604" s="47"/>
      <c r="F1604" s="31"/>
      <c r="G1604" s="31"/>
      <c r="H1604" s="31"/>
      <c r="I1604" s="47"/>
      <c r="J1604" s="31"/>
      <c r="K1604" s="47"/>
      <c r="L1604" s="47"/>
      <c r="M1604" s="47"/>
      <c r="N1604" s="31"/>
      <c r="O1604" s="47"/>
      <c r="P1604" s="31"/>
      <c r="Q1604" s="31"/>
      <c r="R1604" s="31"/>
      <c r="S1604" s="31"/>
      <c r="T1604" s="270">
        <f t="shared" si="192"/>
        <v>0</v>
      </c>
      <c r="U1604" s="270">
        <f t="shared" si="193"/>
        <v>0</v>
      </c>
      <c r="V1604" s="31"/>
      <c r="X1604" s="240" t="str">
        <f t="shared" si="194"/>
        <v>OK</v>
      </c>
      <c r="Y1604" s="240" t="str">
        <f t="shared" si="195"/>
        <v>OK</v>
      </c>
      <c r="Z1604" s="240" t="str">
        <f t="shared" si="196"/>
        <v>OK</v>
      </c>
      <c r="AA1604" s="240" t="str" cm="1">
        <f t="array" ref="AA1604">IF(OR(AND(J1604="Not accepted",N1604:O1604&lt;&gt;"",$S1604=""),AND(J1604="Accepted",S1604="")),"ERROR","OK")</f>
        <v>OK</v>
      </c>
      <c r="AB1604" s="240" t="str">
        <f t="shared" si="197"/>
        <v>OK</v>
      </c>
      <c r="AC1604" s="240" t="str" cm="1">
        <f t="array" ref="AC1604">IF(AND(F1604:H1604&lt;&gt;"",I1604=""),"ERROR","OK")</f>
        <v>OK</v>
      </c>
      <c r="AD1604" s="240" t="str">
        <f t="shared" si="198"/>
        <v>OK</v>
      </c>
      <c r="AE1604" s="240" t="str">
        <f t="shared" si="199"/>
        <v>OK</v>
      </c>
      <c r="AF1604" s="240" t="str" cm="1">
        <f t="array" aca="1" ref="AF1604" ca="1" xml:space="preserve">
IF(AND($G1604&lt;&gt;"",$F1604=""),"ERROR",
IF(OR($F1604:$G1604="",AND($G1604="",$F1604&lt;&gt;"")),"OK",
IF(COUNTIF(INDIRECT(IFERROR(LEFT($F1604,FIND(" ",$F1604)-1),$F1604)), $G1604)&gt;0, "OK", "ERROR")))</f>
        <v>OK</v>
      </c>
    </row>
    <row r="1605" spans="1:32" s="240" customFormat="1">
      <c r="A1605" s="48"/>
      <c r="B1605" s="31"/>
      <c r="C1605" s="48"/>
      <c r="D1605" s="47"/>
      <c r="E1605" s="47"/>
      <c r="F1605" s="31"/>
      <c r="G1605" s="31"/>
      <c r="H1605" s="31"/>
      <c r="I1605" s="47"/>
      <c r="J1605" s="31"/>
      <c r="K1605" s="47"/>
      <c r="L1605" s="47"/>
      <c r="M1605" s="47"/>
      <c r="N1605" s="31"/>
      <c r="O1605" s="47"/>
      <c r="P1605" s="31"/>
      <c r="Q1605" s="31"/>
      <c r="R1605" s="31"/>
      <c r="S1605" s="31"/>
      <c r="T1605" s="270">
        <f t="shared" ref="T1605:T1668" si="200">IF(OR($J1605="Accepted",ISBLANK($J1605)),IF(AND($G1605="Legacy Data",$Q1605="Legacy Data"),1,IF(OR($G1605="Legacy Data",$Q1605="Legacy Data"),1,0)),IF(OR($N1605="Agree with original translator",ISBLANK($N1605)),IF(AND($G1605="Source Text Data",$Q1605="Legacy Data"),1,IF(AND($G1605="Legacy Data",$Q1605="Legacy Data"),1,IF($Q1605="Legacy Data",1,0))),IF(AND($G1605="Legacy Data",$Q1605="Legacy Data"),1,IF(OR($Q1605="Legacy Data",ISBLANK($Q1605)),IF($G1605&lt;&gt;"Legacy Data",IF(AND($G1605="Source Text Data",$Q1605="Legacy Data"),1,0),1),0))))</f>
        <v>0</v>
      </c>
      <c r="U1605" s="270">
        <f t="shared" ref="U1605:U1668" si="201">IF(OR($J1605="Accepted",ISBLANK($J1605)),IF(AND($G1605="Source Text Data",$Q1605="Source Text Data"),1,IF(OR($G1605="Source Text Data",$Q1605="Source Text Data"),1,0)),IF(OR($N1605="Agree with original translator",ISBLANK($N1605)),IF(AND($G1605="Legacy Data",$Q1605="Source Text Data"),1,IF(AND($G1605="Source Text Data",$Q1605="Source Text Data"),1,IF($Q1605="Source Text Data",1,0))),IF(AND($G1605="Source Text Data",$Q1605="Source Text Data"),1,IF(OR($Q1605="Source Text Data",ISBLANK($Q1605)),IF($G1605&lt;&gt;"Source Text Data",IF(AND($G1605="Legacy Data",$Q1605="Source Text Data"),1,0),1),0))))</f>
        <v>0</v>
      </c>
      <c r="V1605" s="31"/>
      <c r="X1605" s="240" t="str">
        <f t="shared" ref="X1605:X1668" si="202">IF(AND(COUNTBLANK($F1605:$H1605)&lt;&gt;COLUMNS($F1605:$H1605),COUNTA($F1605:$H1605)&lt;&gt;COLUMNS($F1605:$H1605)),"ERROR","OK")</f>
        <v>OK</v>
      </c>
      <c r="Y1605" s="240" t="str">
        <f t="shared" ref="Y1605:Y1668" si="203">IF(AND($J1605="Not accepted",$K1605=""),"ERROR","OK")</f>
        <v>OK</v>
      </c>
      <c r="Z1605" s="240" t="str">
        <f t="shared" ref="Z1605:Z1668" si="204">IF(AND($F1605&lt;&gt;"",$J1605=""),"ERROR","OK")</f>
        <v>OK</v>
      </c>
      <c r="AA1605" s="240" t="str" cm="1">
        <f t="array" ref="AA1605">IF(OR(AND(J1605="Not accepted",N1605:O1605&lt;&gt;"",$S1605=""),AND(J1605="Accepted",S1605="")),"ERROR","OK")</f>
        <v>OK</v>
      </c>
      <c r="AB1605" s="240" t="str">
        <f t="shared" ref="AB1605:AB1668" si="205">IF(AND($S1605="Not Implemented",$V1605=""),"ERROR","OK")</f>
        <v>OK</v>
      </c>
      <c r="AC1605" s="240" t="str" cm="1">
        <f t="array" ref="AC1605">IF(AND(F1605:H1605&lt;&gt;"",I1605=""),"ERROR","OK")</f>
        <v>OK</v>
      </c>
      <c r="AD1605" s="240" t="str">
        <f t="shared" ref="AD1605:AD1668" si="206">IF(AND($N1605="",$J1605="Not accepted",$K1605&lt;&gt;""),"ERROR","OK")</f>
        <v>OK</v>
      </c>
      <c r="AE1605" s="240" t="str">
        <f t="shared" ref="AE1605:AE1668" si="207">IF(AND($O1605="",$N1605&lt;&gt;""),"ERROR","OK")</f>
        <v>OK</v>
      </c>
      <c r="AF1605" s="240" t="str" cm="1">
        <f t="array" aca="1" ref="AF1605" ca="1" xml:space="preserve">
IF(AND($G1605&lt;&gt;"",$F1605=""),"ERROR",
IF(OR($F1605:$G1605="",AND($G1605="",$F1605&lt;&gt;"")),"OK",
IF(COUNTIF(INDIRECT(IFERROR(LEFT($F1605,FIND(" ",$F1605)-1),$F1605)), $G1605)&gt;0, "OK", "ERROR")))</f>
        <v>OK</v>
      </c>
    </row>
    <row r="1606" spans="1:32" s="240" customFormat="1">
      <c r="A1606" s="48"/>
      <c r="B1606" s="31"/>
      <c r="C1606" s="48"/>
      <c r="D1606" s="47"/>
      <c r="E1606" s="47"/>
      <c r="F1606" s="31"/>
      <c r="G1606" s="31"/>
      <c r="H1606" s="31"/>
      <c r="I1606" s="47"/>
      <c r="J1606" s="31"/>
      <c r="K1606" s="47"/>
      <c r="L1606" s="47"/>
      <c r="M1606" s="47"/>
      <c r="N1606" s="31"/>
      <c r="O1606" s="47"/>
      <c r="P1606" s="31"/>
      <c r="Q1606" s="31"/>
      <c r="R1606" s="31"/>
      <c r="S1606" s="31"/>
      <c r="T1606" s="270">
        <f t="shared" si="200"/>
        <v>0</v>
      </c>
      <c r="U1606" s="270">
        <f t="shared" si="201"/>
        <v>0</v>
      </c>
      <c r="V1606" s="31"/>
      <c r="X1606" s="240" t="str">
        <f t="shared" si="202"/>
        <v>OK</v>
      </c>
      <c r="Y1606" s="240" t="str">
        <f t="shared" si="203"/>
        <v>OK</v>
      </c>
      <c r="Z1606" s="240" t="str">
        <f t="shared" si="204"/>
        <v>OK</v>
      </c>
      <c r="AA1606" s="240" t="str" cm="1">
        <f t="array" ref="AA1606">IF(OR(AND(J1606="Not accepted",N1606:O1606&lt;&gt;"",$S1606=""),AND(J1606="Accepted",S1606="")),"ERROR","OK")</f>
        <v>OK</v>
      </c>
      <c r="AB1606" s="240" t="str">
        <f t="shared" si="205"/>
        <v>OK</v>
      </c>
      <c r="AC1606" s="240" t="str" cm="1">
        <f t="array" ref="AC1606">IF(AND(F1606:H1606&lt;&gt;"",I1606=""),"ERROR","OK")</f>
        <v>OK</v>
      </c>
      <c r="AD1606" s="240" t="str">
        <f t="shared" si="206"/>
        <v>OK</v>
      </c>
      <c r="AE1606" s="240" t="str">
        <f t="shared" si="207"/>
        <v>OK</v>
      </c>
      <c r="AF1606" s="240" t="str" cm="1">
        <f t="array" aca="1" ref="AF1606" ca="1" xml:space="preserve">
IF(AND($G1606&lt;&gt;"",$F1606=""),"ERROR",
IF(OR($F1606:$G1606="",AND($G1606="",$F1606&lt;&gt;"")),"OK",
IF(COUNTIF(INDIRECT(IFERROR(LEFT($F1606,FIND(" ",$F1606)-1),$F1606)), $G1606)&gt;0, "OK", "ERROR")))</f>
        <v>OK</v>
      </c>
    </row>
    <row r="1607" spans="1:32" s="240" customFormat="1">
      <c r="A1607" s="48"/>
      <c r="B1607" s="31"/>
      <c r="C1607" s="48"/>
      <c r="D1607" s="47"/>
      <c r="E1607" s="47"/>
      <c r="F1607" s="31"/>
      <c r="G1607" s="31"/>
      <c r="H1607" s="31"/>
      <c r="I1607" s="47"/>
      <c r="J1607" s="31"/>
      <c r="K1607" s="47"/>
      <c r="L1607" s="47"/>
      <c r="M1607" s="47"/>
      <c r="N1607" s="31"/>
      <c r="O1607" s="47"/>
      <c r="P1607" s="31"/>
      <c r="Q1607" s="31"/>
      <c r="R1607" s="31"/>
      <c r="S1607" s="31"/>
      <c r="T1607" s="270">
        <f t="shared" si="200"/>
        <v>0</v>
      </c>
      <c r="U1607" s="270">
        <f t="shared" si="201"/>
        <v>0</v>
      </c>
      <c r="V1607" s="31"/>
      <c r="X1607" s="240" t="str">
        <f t="shared" si="202"/>
        <v>OK</v>
      </c>
      <c r="Y1607" s="240" t="str">
        <f t="shared" si="203"/>
        <v>OK</v>
      </c>
      <c r="Z1607" s="240" t="str">
        <f t="shared" si="204"/>
        <v>OK</v>
      </c>
      <c r="AA1607" s="240" t="str" cm="1">
        <f t="array" ref="AA1607">IF(OR(AND(J1607="Not accepted",N1607:O1607&lt;&gt;"",$S1607=""),AND(J1607="Accepted",S1607="")),"ERROR","OK")</f>
        <v>OK</v>
      </c>
      <c r="AB1607" s="240" t="str">
        <f t="shared" si="205"/>
        <v>OK</v>
      </c>
      <c r="AC1607" s="240" t="str" cm="1">
        <f t="array" ref="AC1607">IF(AND(F1607:H1607&lt;&gt;"",I1607=""),"ERROR","OK")</f>
        <v>OK</v>
      </c>
      <c r="AD1607" s="240" t="str">
        <f t="shared" si="206"/>
        <v>OK</v>
      </c>
      <c r="AE1607" s="240" t="str">
        <f t="shared" si="207"/>
        <v>OK</v>
      </c>
      <c r="AF1607" s="240" t="str" cm="1">
        <f t="array" aca="1" ref="AF1607" ca="1" xml:space="preserve">
IF(AND($G1607&lt;&gt;"",$F1607=""),"ERROR",
IF(OR($F1607:$G1607="",AND($G1607="",$F1607&lt;&gt;"")),"OK",
IF(COUNTIF(INDIRECT(IFERROR(LEFT($F1607,FIND(" ",$F1607)-1),$F1607)), $G1607)&gt;0, "OK", "ERROR")))</f>
        <v>OK</v>
      </c>
    </row>
    <row r="1608" spans="1:32" s="240" customFormat="1">
      <c r="A1608" s="48"/>
      <c r="B1608" s="31"/>
      <c r="C1608" s="48"/>
      <c r="D1608" s="47"/>
      <c r="E1608" s="47"/>
      <c r="F1608" s="31"/>
      <c r="G1608" s="31"/>
      <c r="H1608" s="31"/>
      <c r="I1608" s="47"/>
      <c r="J1608" s="31"/>
      <c r="K1608" s="47"/>
      <c r="L1608" s="47"/>
      <c r="M1608" s="47"/>
      <c r="N1608" s="31"/>
      <c r="O1608" s="47"/>
      <c r="P1608" s="31"/>
      <c r="Q1608" s="31"/>
      <c r="R1608" s="31"/>
      <c r="S1608" s="31"/>
      <c r="T1608" s="270">
        <f t="shared" si="200"/>
        <v>0</v>
      </c>
      <c r="U1608" s="270">
        <f t="shared" si="201"/>
        <v>0</v>
      </c>
      <c r="V1608" s="31"/>
      <c r="X1608" s="240" t="str">
        <f t="shared" si="202"/>
        <v>OK</v>
      </c>
      <c r="Y1608" s="240" t="str">
        <f t="shared" si="203"/>
        <v>OK</v>
      </c>
      <c r="Z1608" s="240" t="str">
        <f t="shared" si="204"/>
        <v>OK</v>
      </c>
      <c r="AA1608" s="240" t="str" cm="1">
        <f t="array" ref="AA1608">IF(OR(AND(J1608="Not accepted",N1608:O1608&lt;&gt;"",$S1608=""),AND(J1608="Accepted",S1608="")),"ERROR","OK")</f>
        <v>OK</v>
      </c>
      <c r="AB1608" s="240" t="str">
        <f t="shared" si="205"/>
        <v>OK</v>
      </c>
      <c r="AC1608" s="240" t="str" cm="1">
        <f t="array" ref="AC1608">IF(AND(F1608:H1608&lt;&gt;"",I1608=""),"ERROR","OK")</f>
        <v>OK</v>
      </c>
      <c r="AD1608" s="240" t="str">
        <f t="shared" si="206"/>
        <v>OK</v>
      </c>
      <c r="AE1608" s="240" t="str">
        <f t="shared" si="207"/>
        <v>OK</v>
      </c>
      <c r="AF1608" s="240" t="str" cm="1">
        <f t="array" aca="1" ref="AF1608" ca="1" xml:space="preserve">
IF(AND($G1608&lt;&gt;"",$F1608=""),"ERROR",
IF(OR($F1608:$G1608="",AND($G1608="",$F1608&lt;&gt;"")),"OK",
IF(COUNTIF(INDIRECT(IFERROR(LEFT($F1608,FIND(" ",$F1608)-1),$F1608)), $G1608)&gt;0, "OK", "ERROR")))</f>
        <v>OK</v>
      </c>
    </row>
    <row r="1609" spans="1:32" s="240" customFormat="1">
      <c r="A1609" s="48"/>
      <c r="B1609" s="31"/>
      <c r="C1609" s="48"/>
      <c r="D1609" s="47"/>
      <c r="E1609" s="47"/>
      <c r="F1609" s="31"/>
      <c r="G1609" s="31"/>
      <c r="H1609" s="31"/>
      <c r="I1609" s="47"/>
      <c r="J1609" s="31"/>
      <c r="K1609" s="47"/>
      <c r="L1609" s="47"/>
      <c r="M1609" s="47"/>
      <c r="N1609" s="31"/>
      <c r="O1609" s="47"/>
      <c r="P1609" s="31"/>
      <c r="Q1609" s="31"/>
      <c r="R1609" s="31"/>
      <c r="S1609" s="31"/>
      <c r="T1609" s="270">
        <f t="shared" si="200"/>
        <v>0</v>
      </c>
      <c r="U1609" s="270">
        <f t="shared" si="201"/>
        <v>0</v>
      </c>
      <c r="V1609" s="31"/>
      <c r="X1609" s="240" t="str">
        <f t="shared" si="202"/>
        <v>OK</v>
      </c>
      <c r="Y1609" s="240" t="str">
        <f t="shared" si="203"/>
        <v>OK</v>
      </c>
      <c r="Z1609" s="240" t="str">
        <f t="shared" si="204"/>
        <v>OK</v>
      </c>
      <c r="AA1609" s="240" t="str" cm="1">
        <f t="array" ref="AA1609">IF(OR(AND(J1609="Not accepted",N1609:O1609&lt;&gt;"",$S1609=""),AND(J1609="Accepted",S1609="")),"ERROR","OK")</f>
        <v>OK</v>
      </c>
      <c r="AB1609" s="240" t="str">
        <f t="shared" si="205"/>
        <v>OK</v>
      </c>
      <c r="AC1609" s="240" t="str" cm="1">
        <f t="array" ref="AC1609">IF(AND(F1609:H1609&lt;&gt;"",I1609=""),"ERROR","OK")</f>
        <v>OK</v>
      </c>
      <c r="AD1609" s="240" t="str">
        <f t="shared" si="206"/>
        <v>OK</v>
      </c>
      <c r="AE1609" s="240" t="str">
        <f t="shared" si="207"/>
        <v>OK</v>
      </c>
      <c r="AF1609" s="240" t="str" cm="1">
        <f t="array" aca="1" ref="AF1609" ca="1" xml:space="preserve">
IF(AND($G1609&lt;&gt;"",$F1609=""),"ERROR",
IF(OR($F1609:$G1609="",AND($G1609="",$F1609&lt;&gt;"")),"OK",
IF(COUNTIF(INDIRECT(IFERROR(LEFT($F1609,FIND(" ",$F1609)-1),$F1609)), $G1609)&gt;0, "OK", "ERROR")))</f>
        <v>OK</v>
      </c>
    </row>
    <row r="1610" spans="1:32" s="240" customFormat="1">
      <c r="A1610" s="48"/>
      <c r="B1610" s="31"/>
      <c r="C1610" s="48"/>
      <c r="D1610" s="47"/>
      <c r="E1610" s="47"/>
      <c r="F1610" s="31"/>
      <c r="G1610" s="31"/>
      <c r="H1610" s="31"/>
      <c r="I1610" s="47"/>
      <c r="J1610" s="31"/>
      <c r="K1610" s="47"/>
      <c r="L1610" s="47"/>
      <c r="M1610" s="47"/>
      <c r="N1610" s="31"/>
      <c r="O1610" s="47"/>
      <c r="P1610" s="31"/>
      <c r="Q1610" s="31"/>
      <c r="R1610" s="31"/>
      <c r="S1610" s="31"/>
      <c r="T1610" s="270">
        <f t="shared" si="200"/>
        <v>0</v>
      </c>
      <c r="U1610" s="270">
        <f t="shared" si="201"/>
        <v>0</v>
      </c>
      <c r="V1610" s="31"/>
      <c r="X1610" s="240" t="str">
        <f t="shared" si="202"/>
        <v>OK</v>
      </c>
      <c r="Y1610" s="240" t="str">
        <f t="shared" si="203"/>
        <v>OK</v>
      </c>
      <c r="Z1610" s="240" t="str">
        <f t="shared" si="204"/>
        <v>OK</v>
      </c>
      <c r="AA1610" s="240" t="str" cm="1">
        <f t="array" ref="AA1610">IF(OR(AND(J1610="Not accepted",N1610:O1610&lt;&gt;"",$S1610=""),AND(J1610="Accepted",S1610="")),"ERROR","OK")</f>
        <v>OK</v>
      </c>
      <c r="AB1610" s="240" t="str">
        <f t="shared" si="205"/>
        <v>OK</v>
      </c>
      <c r="AC1610" s="240" t="str" cm="1">
        <f t="array" ref="AC1610">IF(AND(F1610:H1610&lt;&gt;"",I1610=""),"ERROR","OK")</f>
        <v>OK</v>
      </c>
      <c r="AD1610" s="240" t="str">
        <f t="shared" si="206"/>
        <v>OK</v>
      </c>
      <c r="AE1610" s="240" t="str">
        <f t="shared" si="207"/>
        <v>OK</v>
      </c>
      <c r="AF1610" s="240" t="str" cm="1">
        <f t="array" aca="1" ref="AF1610" ca="1" xml:space="preserve">
IF(AND($G1610&lt;&gt;"",$F1610=""),"ERROR",
IF(OR($F1610:$G1610="",AND($G1610="",$F1610&lt;&gt;"")),"OK",
IF(COUNTIF(INDIRECT(IFERROR(LEFT($F1610,FIND(" ",$F1610)-1),$F1610)), $G1610)&gt;0, "OK", "ERROR")))</f>
        <v>OK</v>
      </c>
    </row>
    <row r="1611" spans="1:32" s="240" customFormat="1">
      <c r="A1611" s="48"/>
      <c r="B1611" s="31"/>
      <c r="C1611" s="48"/>
      <c r="D1611" s="47"/>
      <c r="E1611" s="47"/>
      <c r="F1611" s="31"/>
      <c r="G1611" s="31"/>
      <c r="H1611" s="31"/>
      <c r="I1611" s="47"/>
      <c r="J1611" s="31"/>
      <c r="K1611" s="47"/>
      <c r="L1611" s="47"/>
      <c r="M1611" s="47"/>
      <c r="N1611" s="31"/>
      <c r="O1611" s="47"/>
      <c r="P1611" s="31"/>
      <c r="Q1611" s="31"/>
      <c r="R1611" s="31"/>
      <c r="S1611" s="31"/>
      <c r="T1611" s="270">
        <f t="shared" si="200"/>
        <v>0</v>
      </c>
      <c r="U1611" s="270">
        <f t="shared" si="201"/>
        <v>0</v>
      </c>
      <c r="V1611" s="31"/>
      <c r="X1611" s="240" t="str">
        <f t="shared" si="202"/>
        <v>OK</v>
      </c>
      <c r="Y1611" s="240" t="str">
        <f t="shared" si="203"/>
        <v>OK</v>
      </c>
      <c r="Z1611" s="240" t="str">
        <f t="shared" si="204"/>
        <v>OK</v>
      </c>
      <c r="AA1611" s="240" t="str" cm="1">
        <f t="array" ref="AA1611">IF(OR(AND(J1611="Not accepted",N1611:O1611&lt;&gt;"",$S1611=""),AND(J1611="Accepted",S1611="")),"ERROR","OK")</f>
        <v>OK</v>
      </c>
      <c r="AB1611" s="240" t="str">
        <f t="shared" si="205"/>
        <v>OK</v>
      </c>
      <c r="AC1611" s="240" t="str" cm="1">
        <f t="array" ref="AC1611">IF(AND(F1611:H1611&lt;&gt;"",I1611=""),"ERROR","OK")</f>
        <v>OK</v>
      </c>
      <c r="AD1611" s="240" t="str">
        <f t="shared" si="206"/>
        <v>OK</v>
      </c>
      <c r="AE1611" s="240" t="str">
        <f t="shared" si="207"/>
        <v>OK</v>
      </c>
      <c r="AF1611" s="240" t="str" cm="1">
        <f t="array" aca="1" ref="AF1611" ca="1" xml:space="preserve">
IF(AND($G1611&lt;&gt;"",$F1611=""),"ERROR",
IF(OR($F1611:$G1611="",AND($G1611="",$F1611&lt;&gt;"")),"OK",
IF(COUNTIF(INDIRECT(IFERROR(LEFT($F1611,FIND(" ",$F1611)-1),$F1611)), $G1611)&gt;0, "OK", "ERROR")))</f>
        <v>OK</v>
      </c>
    </row>
    <row r="1612" spans="1:32" s="240" customFormat="1">
      <c r="A1612" s="48"/>
      <c r="B1612" s="31"/>
      <c r="C1612" s="48"/>
      <c r="D1612" s="47"/>
      <c r="E1612" s="47"/>
      <c r="F1612" s="31"/>
      <c r="G1612" s="31"/>
      <c r="H1612" s="31"/>
      <c r="I1612" s="47"/>
      <c r="J1612" s="31"/>
      <c r="K1612" s="47"/>
      <c r="L1612" s="47"/>
      <c r="M1612" s="47"/>
      <c r="N1612" s="31"/>
      <c r="O1612" s="47"/>
      <c r="P1612" s="31"/>
      <c r="Q1612" s="31"/>
      <c r="R1612" s="31"/>
      <c r="S1612" s="31"/>
      <c r="T1612" s="270">
        <f t="shared" si="200"/>
        <v>0</v>
      </c>
      <c r="U1612" s="270">
        <f t="shared" si="201"/>
        <v>0</v>
      </c>
      <c r="V1612" s="31"/>
      <c r="X1612" s="240" t="str">
        <f t="shared" si="202"/>
        <v>OK</v>
      </c>
      <c r="Y1612" s="240" t="str">
        <f t="shared" si="203"/>
        <v>OK</v>
      </c>
      <c r="Z1612" s="240" t="str">
        <f t="shared" si="204"/>
        <v>OK</v>
      </c>
      <c r="AA1612" s="240" t="str" cm="1">
        <f t="array" ref="AA1612">IF(OR(AND(J1612="Not accepted",N1612:O1612&lt;&gt;"",$S1612=""),AND(J1612="Accepted",S1612="")),"ERROR","OK")</f>
        <v>OK</v>
      </c>
      <c r="AB1612" s="240" t="str">
        <f t="shared" si="205"/>
        <v>OK</v>
      </c>
      <c r="AC1612" s="240" t="str" cm="1">
        <f t="array" ref="AC1612">IF(AND(F1612:H1612&lt;&gt;"",I1612=""),"ERROR","OK")</f>
        <v>OK</v>
      </c>
      <c r="AD1612" s="240" t="str">
        <f t="shared" si="206"/>
        <v>OK</v>
      </c>
      <c r="AE1612" s="240" t="str">
        <f t="shared" si="207"/>
        <v>OK</v>
      </c>
      <c r="AF1612" s="240" t="str" cm="1">
        <f t="array" aca="1" ref="AF1612" ca="1" xml:space="preserve">
IF(AND($G1612&lt;&gt;"",$F1612=""),"ERROR",
IF(OR($F1612:$G1612="",AND($G1612="",$F1612&lt;&gt;"")),"OK",
IF(COUNTIF(INDIRECT(IFERROR(LEFT($F1612,FIND(" ",$F1612)-1),$F1612)), $G1612)&gt;0, "OK", "ERROR")))</f>
        <v>OK</v>
      </c>
    </row>
    <row r="1613" spans="1:32" s="240" customFormat="1">
      <c r="A1613" s="48"/>
      <c r="B1613" s="31"/>
      <c r="C1613" s="48"/>
      <c r="D1613" s="47"/>
      <c r="E1613" s="47"/>
      <c r="F1613" s="31"/>
      <c r="G1613" s="31"/>
      <c r="H1613" s="31"/>
      <c r="I1613" s="47"/>
      <c r="J1613" s="31"/>
      <c r="K1613" s="47"/>
      <c r="L1613" s="47"/>
      <c r="M1613" s="47"/>
      <c r="N1613" s="31"/>
      <c r="O1613" s="47"/>
      <c r="P1613" s="31"/>
      <c r="Q1613" s="31"/>
      <c r="R1613" s="31"/>
      <c r="S1613" s="31"/>
      <c r="T1613" s="270">
        <f t="shared" si="200"/>
        <v>0</v>
      </c>
      <c r="U1613" s="270">
        <f t="shared" si="201"/>
        <v>0</v>
      </c>
      <c r="V1613" s="31"/>
      <c r="X1613" s="240" t="str">
        <f t="shared" si="202"/>
        <v>OK</v>
      </c>
      <c r="Y1613" s="240" t="str">
        <f t="shared" si="203"/>
        <v>OK</v>
      </c>
      <c r="Z1613" s="240" t="str">
        <f t="shared" si="204"/>
        <v>OK</v>
      </c>
      <c r="AA1613" s="240" t="str" cm="1">
        <f t="array" ref="AA1613">IF(OR(AND(J1613="Not accepted",N1613:O1613&lt;&gt;"",$S1613=""),AND(J1613="Accepted",S1613="")),"ERROR","OK")</f>
        <v>OK</v>
      </c>
      <c r="AB1613" s="240" t="str">
        <f t="shared" si="205"/>
        <v>OK</v>
      </c>
      <c r="AC1613" s="240" t="str" cm="1">
        <f t="array" ref="AC1613">IF(AND(F1613:H1613&lt;&gt;"",I1613=""),"ERROR","OK")</f>
        <v>OK</v>
      </c>
      <c r="AD1613" s="240" t="str">
        <f t="shared" si="206"/>
        <v>OK</v>
      </c>
      <c r="AE1613" s="240" t="str">
        <f t="shared" si="207"/>
        <v>OK</v>
      </c>
      <c r="AF1613" s="240" t="str" cm="1">
        <f t="array" aca="1" ref="AF1613" ca="1" xml:space="preserve">
IF(AND($G1613&lt;&gt;"",$F1613=""),"ERROR",
IF(OR($F1613:$G1613="",AND($G1613="",$F1613&lt;&gt;"")),"OK",
IF(COUNTIF(INDIRECT(IFERROR(LEFT($F1613,FIND(" ",$F1613)-1),$F1613)), $G1613)&gt;0, "OK", "ERROR")))</f>
        <v>OK</v>
      </c>
    </row>
    <row r="1614" spans="1:32" s="240" customFormat="1">
      <c r="A1614" s="48"/>
      <c r="B1614" s="31"/>
      <c r="C1614" s="48"/>
      <c r="D1614" s="47"/>
      <c r="E1614" s="47"/>
      <c r="F1614" s="31"/>
      <c r="G1614" s="31"/>
      <c r="H1614" s="31"/>
      <c r="I1614" s="47"/>
      <c r="J1614" s="31"/>
      <c r="K1614" s="47"/>
      <c r="L1614" s="47"/>
      <c r="M1614" s="47"/>
      <c r="N1614" s="31"/>
      <c r="O1614" s="47"/>
      <c r="P1614" s="31"/>
      <c r="Q1614" s="31"/>
      <c r="R1614" s="31"/>
      <c r="S1614" s="31"/>
      <c r="T1614" s="270">
        <f t="shared" si="200"/>
        <v>0</v>
      </c>
      <c r="U1614" s="270">
        <f t="shared" si="201"/>
        <v>0</v>
      </c>
      <c r="V1614" s="31"/>
      <c r="X1614" s="240" t="str">
        <f t="shared" si="202"/>
        <v>OK</v>
      </c>
      <c r="Y1614" s="240" t="str">
        <f t="shared" si="203"/>
        <v>OK</v>
      </c>
      <c r="Z1614" s="240" t="str">
        <f t="shared" si="204"/>
        <v>OK</v>
      </c>
      <c r="AA1614" s="240" t="str" cm="1">
        <f t="array" ref="AA1614">IF(OR(AND(J1614="Not accepted",N1614:O1614&lt;&gt;"",$S1614=""),AND(J1614="Accepted",S1614="")),"ERROR","OK")</f>
        <v>OK</v>
      </c>
      <c r="AB1614" s="240" t="str">
        <f t="shared" si="205"/>
        <v>OK</v>
      </c>
      <c r="AC1614" s="240" t="str" cm="1">
        <f t="array" ref="AC1614">IF(AND(F1614:H1614&lt;&gt;"",I1614=""),"ERROR","OK")</f>
        <v>OK</v>
      </c>
      <c r="AD1614" s="240" t="str">
        <f t="shared" si="206"/>
        <v>OK</v>
      </c>
      <c r="AE1614" s="240" t="str">
        <f t="shared" si="207"/>
        <v>OK</v>
      </c>
      <c r="AF1614" s="240" t="str" cm="1">
        <f t="array" aca="1" ref="AF1614" ca="1" xml:space="preserve">
IF(AND($G1614&lt;&gt;"",$F1614=""),"ERROR",
IF(OR($F1614:$G1614="",AND($G1614="",$F1614&lt;&gt;"")),"OK",
IF(COUNTIF(INDIRECT(IFERROR(LEFT($F1614,FIND(" ",$F1614)-1),$F1614)), $G1614)&gt;0, "OK", "ERROR")))</f>
        <v>OK</v>
      </c>
    </row>
    <row r="1615" spans="1:32" s="240" customFormat="1">
      <c r="A1615" s="48"/>
      <c r="B1615" s="31"/>
      <c r="C1615" s="48"/>
      <c r="D1615" s="47"/>
      <c r="E1615" s="47"/>
      <c r="F1615" s="31"/>
      <c r="G1615" s="31"/>
      <c r="H1615" s="31"/>
      <c r="I1615" s="47"/>
      <c r="J1615" s="31"/>
      <c r="K1615" s="47"/>
      <c r="L1615" s="47"/>
      <c r="M1615" s="47"/>
      <c r="N1615" s="31"/>
      <c r="O1615" s="47"/>
      <c r="P1615" s="31"/>
      <c r="Q1615" s="31"/>
      <c r="R1615" s="31"/>
      <c r="S1615" s="31"/>
      <c r="T1615" s="270">
        <f t="shared" si="200"/>
        <v>0</v>
      </c>
      <c r="U1615" s="270">
        <f t="shared" si="201"/>
        <v>0</v>
      </c>
      <c r="V1615" s="31"/>
      <c r="X1615" s="240" t="str">
        <f t="shared" si="202"/>
        <v>OK</v>
      </c>
      <c r="Y1615" s="240" t="str">
        <f t="shared" si="203"/>
        <v>OK</v>
      </c>
      <c r="Z1615" s="240" t="str">
        <f t="shared" si="204"/>
        <v>OK</v>
      </c>
      <c r="AA1615" s="240" t="str" cm="1">
        <f t="array" ref="AA1615">IF(OR(AND(J1615="Not accepted",N1615:O1615&lt;&gt;"",$S1615=""),AND(J1615="Accepted",S1615="")),"ERROR","OK")</f>
        <v>OK</v>
      </c>
      <c r="AB1615" s="240" t="str">
        <f t="shared" si="205"/>
        <v>OK</v>
      </c>
      <c r="AC1615" s="240" t="str" cm="1">
        <f t="array" ref="AC1615">IF(AND(F1615:H1615&lt;&gt;"",I1615=""),"ERROR","OK")</f>
        <v>OK</v>
      </c>
      <c r="AD1615" s="240" t="str">
        <f t="shared" si="206"/>
        <v>OK</v>
      </c>
      <c r="AE1615" s="240" t="str">
        <f t="shared" si="207"/>
        <v>OK</v>
      </c>
      <c r="AF1615" s="240" t="str" cm="1">
        <f t="array" aca="1" ref="AF1615" ca="1" xml:space="preserve">
IF(AND($G1615&lt;&gt;"",$F1615=""),"ERROR",
IF(OR($F1615:$G1615="",AND($G1615="",$F1615&lt;&gt;"")),"OK",
IF(COUNTIF(INDIRECT(IFERROR(LEFT($F1615,FIND(" ",$F1615)-1),$F1615)), $G1615)&gt;0, "OK", "ERROR")))</f>
        <v>OK</v>
      </c>
    </row>
    <row r="1616" spans="1:32" s="240" customFormat="1">
      <c r="A1616" s="48"/>
      <c r="B1616" s="31"/>
      <c r="C1616" s="48"/>
      <c r="D1616" s="47"/>
      <c r="E1616" s="47"/>
      <c r="F1616" s="31"/>
      <c r="G1616" s="31"/>
      <c r="H1616" s="31"/>
      <c r="I1616" s="47"/>
      <c r="J1616" s="31"/>
      <c r="K1616" s="47"/>
      <c r="L1616" s="47"/>
      <c r="M1616" s="47"/>
      <c r="N1616" s="31"/>
      <c r="O1616" s="47"/>
      <c r="P1616" s="31"/>
      <c r="Q1616" s="31"/>
      <c r="R1616" s="31"/>
      <c r="S1616" s="31"/>
      <c r="T1616" s="270">
        <f t="shared" si="200"/>
        <v>0</v>
      </c>
      <c r="U1616" s="270">
        <f t="shared" si="201"/>
        <v>0</v>
      </c>
      <c r="V1616" s="31"/>
      <c r="X1616" s="240" t="str">
        <f t="shared" si="202"/>
        <v>OK</v>
      </c>
      <c r="Y1616" s="240" t="str">
        <f t="shared" si="203"/>
        <v>OK</v>
      </c>
      <c r="Z1616" s="240" t="str">
        <f t="shared" si="204"/>
        <v>OK</v>
      </c>
      <c r="AA1616" s="240" t="str" cm="1">
        <f t="array" ref="AA1616">IF(OR(AND(J1616="Not accepted",N1616:O1616&lt;&gt;"",$S1616=""),AND(J1616="Accepted",S1616="")),"ERROR","OK")</f>
        <v>OK</v>
      </c>
      <c r="AB1616" s="240" t="str">
        <f t="shared" si="205"/>
        <v>OK</v>
      </c>
      <c r="AC1616" s="240" t="str" cm="1">
        <f t="array" ref="AC1616">IF(AND(F1616:H1616&lt;&gt;"",I1616=""),"ERROR","OK")</f>
        <v>OK</v>
      </c>
      <c r="AD1616" s="240" t="str">
        <f t="shared" si="206"/>
        <v>OK</v>
      </c>
      <c r="AE1616" s="240" t="str">
        <f t="shared" si="207"/>
        <v>OK</v>
      </c>
      <c r="AF1616" s="240" t="str" cm="1">
        <f t="array" aca="1" ref="AF1616" ca="1" xml:space="preserve">
IF(AND($G1616&lt;&gt;"",$F1616=""),"ERROR",
IF(OR($F1616:$G1616="",AND($G1616="",$F1616&lt;&gt;"")),"OK",
IF(COUNTIF(INDIRECT(IFERROR(LEFT($F1616,FIND(" ",$F1616)-1),$F1616)), $G1616)&gt;0, "OK", "ERROR")))</f>
        <v>OK</v>
      </c>
    </row>
    <row r="1617" spans="1:32" s="240" customFormat="1">
      <c r="A1617" s="48"/>
      <c r="B1617" s="31"/>
      <c r="C1617" s="48"/>
      <c r="D1617" s="47"/>
      <c r="E1617" s="47"/>
      <c r="F1617" s="31"/>
      <c r="G1617" s="31"/>
      <c r="H1617" s="31"/>
      <c r="I1617" s="47"/>
      <c r="J1617" s="31"/>
      <c r="K1617" s="47"/>
      <c r="L1617" s="47"/>
      <c r="M1617" s="47"/>
      <c r="N1617" s="31"/>
      <c r="O1617" s="47"/>
      <c r="P1617" s="31"/>
      <c r="Q1617" s="31"/>
      <c r="R1617" s="31"/>
      <c r="S1617" s="31"/>
      <c r="T1617" s="270">
        <f t="shared" si="200"/>
        <v>0</v>
      </c>
      <c r="U1617" s="270">
        <f t="shared" si="201"/>
        <v>0</v>
      </c>
      <c r="V1617" s="31"/>
      <c r="X1617" s="240" t="str">
        <f t="shared" si="202"/>
        <v>OK</v>
      </c>
      <c r="Y1617" s="240" t="str">
        <f t="shared" si="203"/>
        <v>OK</v>
      </c>
      <c r="Z1617" s="240" t="str">
        <f t="shared" si="204"/>
        <v>OK</v>
      </c>
      <c r="AA1617" s="240" t="str" cm="1">
        <f t="array" ref="AA1617">IF(OR(AND(J1617="Not accepted",N1617:O1617&lt;&gt;"",$S1617=""),AND(J1617="Accepted",S1617="")),"ERROR","OK")</f>
        <v>OK</v>
      </c>
      <c r="AB1617" s="240" t="str">
        <f t="shared" si="205"/>
        <v>OK</v>
      </c>
      <c r="AC1617" s="240" t="str" cm="1">
        <f t="array" ref="AC1617">IF(AND(F1617:H1617&lt;&gt;"",I1617=""),"ERROR","OK")</f>
        <v>OK</v>
      </c>
      <c r="AD1617" s="240" t="str">
        <f t="shared" si="206"/>
        <v>OK</v>
      </c>
      <c r="AE1617" s="240" t="str">
        <f t="shared" si="207"/>
        <v>OK</v>
      </c>
      <c r="AF1617" s="240" t="str" cm="1">
        <f t="array" aca="1" ref="AF1617" ca="1" xml:space="preserve">
IF(AND($G1617&lt;&gt;"",$F1617=""),"ERROR",
IF(OR($F1617:$G1617="",AND($G1617="",$F1617&lt;&gt;"")),"OK",
IF(COUNTIF(INDIRECT(IFERROR(LEFT($F1617,FIND(" ",$F1617)-1),$F1617)), $G1617)&gt;0, "OK", "ERROR")))</f>
        <v>OK</v>
      </c>
    </row>
    <row r="1618" spans="1:32" s="240" customFormat="1">
      <c r="A1618" s="48"/>
      <c r="B1618" s="31"/>
      <c r="C1618" s="48"/>
      <c r="D1618" s="47"/>
      <c r="E1618" s="47"/>
      <c r="F1618" s="31"/>
      <c r="G1618" s="31"/>
      <c r="H1618" s="31"/>
      <c r="I1618" s="47"/>
      <c r="J1618" s="31"/>
      <c r="K1618" s="47"/>
      <c r="L1618" s="47"/>
      <c r="M1618" s="47"/>
      <c r="N1618" s="31"/>
      <c r="O1618" s="47"/>
      <c r="P1618" s="31"/>
      <c r="Q1618" s="31"/>
      <c r="R1618" s="31"/>
      <c r="S1618" s="31"/>
      <c r="T1618" s="270">
        <f t="shared" si="200"/>
        <v>0</v>
      </c>
      <c r="U1618" s="270">
        <f t="shared" si="201"/>
        <v>0</v>
      </c>
      <c r="V1618" s="31"/>
      <c r="X1618" s="240" t="str">
        <f t="shared" si="202"/>
        <v>OK</v>
      </c>
      <c r="Y1618" s="240" t="str">
        <f t="shared" si="203"/>
        <v>OK</v>
      </c>
      <c r="Z1618" s="240" t="str">
        <f t="shared" si="204"/>
        <v>OK</v>
      </c>
      <c r="AA1618" s="240" t="str" cm="1">
        <f t="array" ref="AA1618">IF(OR(AND(J1618="Not accepted",N1618:O1618&lt;&gt;"",$S1618=""),AND(J1618="Accepted",S1618="")),"ERROR","OK")</f>
        <v>OK</v>
      </c>
      <c r="AB1618" s="240" t="str">
        <f t="shared" si="205"/>
        <v>OK</v>
      </c>
      <c r="AC1618" s="240" t="str" cm="1">
        <f t="array" ref="AC1618">IF(AND(F1618:H1618&lt;&gt;"",I1618=""),"ERROR","OK")</f>
        <v>OK</v>
      </c>
      <c r="AD1618" s="240" t="str">
        <f t="shared" si="206"/>
        <v>OK</v>
      </c>
      <c r="AE1618" s="240" t="str">
        <f t="shared" si="207"/>
        <v>OK</v>
      </c>
      <c r="AF1618" s="240" t="str" cm="1">
        <f t="array" aca="1" ref="AF1618" ca="1" xml:space="preserve">
IF(AND($G1618&lt;&gt;"",$F1618=""),"ERROR",
IF(OR($F1618:$G1618="",AND($G1618="",$F1618&lt;&gt;"")),"OK",
IF(COUNTIF(INDIRECT(IFERROR(LEFT($F1618,FIND(" ",$F1618)-1),$F1618)), $G1618)&gt;0, "OK", "ERROR")))</f>
        <v>OK</v>
      </c>
    </row>
    <row r="1619" spans="1:32" s="240" customFormat="1">
      <c r="A1619" s="48"/>
      <c r="B1619" s="31"/>
      <c r="C1619" s="48"/>
      <c r="D1619" s="47"/>
      <c r="E1619" s="47"/>
      <c r="F1619" s="31"/>
      <c r="G1619" s="31"/>
      <c r="H1619" s="31"/>
      <c r="I1619" s="47"/>
      <c r="J1619" s="31"/>
      <c r="K1619" s="47"/>
      <c r="L1619" s="47"/>
      <c r="M1619" s="47"/>
      <c r="N1619" s="31"/>
      <c r="O1619" s="47"/>
      <c r="P1619" s="31"/>
      <c r="Q1619" s="31"/>
      <c r="R1619" s="31"/>
      <c r="S1619" s="31"/>
      <c r="T1619" s="270">
        <f t="shared" si="200"/>
        <v>0</v>
      </c>
      <c r="U1619" s="270">
        <f t="shared" si="201"/>
        <v>0</v>
      </c>
      <c r="V1619" s="31"/>
      <c r="X1619" s="240" t="str">
        <f t="shared" si="202"/>
        <v>OK</v>
      </c>
      <c r="Y1619" s="240" t="str">
        <f t="shared" si="203"/>
        <v>OK</v>
      </c>
      <c r="Z1619" s="240" t="str">
        <f t="shared" si="204"/>
        <v>OK</v>
      </c>
      <c r="AA1619" s="240" t="str" cm="1">
        <f t="array" ref="AA1619">IF(OR(AND(J1619="Not accepted",N1619:O1619&lt;&gt;"",$S1619=""),AND(J1619="Accepted",S1619="")),"ERROR","OK")</f>
        <v>OK</v>
      </c>
      <c r="AB1619" s="240" t="str">
        <f t="shared" si="205"/>
        <v>OK</v>
      </c>
      <c r="AC1619" s="240" t="str" cm="1">
        <f t="array" ref="AC1619">IF(AND(F1619:H1619&lt;&gt;"",I1619=""),"ERROR","OK")</f>
        <v>OK</v>
      </c>
      <c r="AD1619" s="240" t="str">
        <f t="shared" si="206"/>
        <v>OK</v>
      </c>
      <c r="AE1619" s="240" t="str">
        <f t="shared" si="207"/>
        <v>OK</v>
      </c>
      <c r="AF1619" s="240" t="str" cm="1">
        <f t="array" aca="1" ref="AF1619" ca="1" xml:space="preserve">
IF(AND($G1619&lt;&gt;"",$F1619=""),"ERROR",
IF(OR($F1619:$G1619="",AND($G1619="",$F1619&lt;&gt;"")),"OK",
IF(COUNTIF(INDIRECT(IFERROR(LEFT($F1619,FIND(" ",$F1619)-1),$F1619)), $G1619)&gt;0, "OK", "ERROR")))</f>
        <v>OK</v>
      </c>
    </row>
    <row r="1620" spans="1:32" s="240" customFormat="1">
      <c r="A1620" s="48"/>
      <c r="B1620" s="31"/>
      <c r="C1620" s="48"/>
      <c r="D1620" s="47"/>
      <c r="E1620" s="47"/>
      <c r="F1620" s="31"/>
      <c r="G1620" s="31"/>
      <c r="H1620" s="31"/>
      <c r="I1620" s="47"/>
      <c r="J1620" s="31"/>
      <c r="K1620" s="47"/>
      <c r="L1620" s="47"/>
      <c r="M1620" s="47"/>
      <c r="N1620" s="31"/>
      <c r="O1620" s="47"/>
      <c r="P1620" s="31"/>
      <c r="Q1620" s="31"/>
      <c r="R1620" s="31"/>
      <c r="S1620" s="31"/>
      <c r="T1620" s="270">
        <f t="shared" si="200"/>
        <v>0</v>
      </c>
      <c r="U1620" s="270">
        <f t="shared" si="201"/>
        <v>0</v>
      </c>
      <c r="V1620" s="31"/>
      <c r="X1620" s="240" t="str">
        <f t="shared" si="202"/>
        <v>OK</v>
      </c>
      <c r="Y1620" s="240" t="str">
        <f t="shared" si="203"/>
        <v>OK</v>
      </c>
      <c r="Z1620" s="240" t="str">
        <f t="shared" si="204"/>
        <v>OK</v>
      </c>
      <c r="AA1620" s="240" t="str" cm="1">
        <f t="array" ref="AA1620">IF(OR(AND(J1620="Not accepted",N1620:O1620&lt;&gt;"",$S1620=""),AND(J1620="Accepted",S1620="")),"ERROR","OK")</f>
        <v>OK</v>
      </c>
      <c r="AB1620" s="240" t="str">
        <f t="shared" si="205"/>
        <v>OK</v>
      </c>
      <c r="AC1620" s="240" t="str" cm="1">
        <f t="array" ref="AC1620">IF(AND(F1620:H1620&lt;&gt;"",I1620=""),"ERROR","OK")</f>
        <v>OK</v>
      </c>
      <c r="AD1620" s="240" t="str">
        <f t="shared" si="206"/>
        <v>OK</v>
      </c>
      <c r="AE1620" s="240" t="str">
        <f t="shared" si="207"/>
        <v>OK</v>
      </c>
      <c r="AF1620" s="240" t="str" cm="1">
        <f t="array" aca="1" ref="AF1620" ca="1" xml:space="preserve">
IF(AND($G1620&lt;&gt;"",$F1620=""),"ERROR",
IF(OR($F1620:$G1620="",AND($G1620="",$F1620&lt;&gt;"")),"OK",
IF(COUNTIF(INDIRECT(IFERROR(LEFT($F1620,FIND(" ",$F1620)-1),$F1620)), $G1620)&gt;0, "OK", "ERROR")))</f>
        <v>OK</v>
      </c>
    </row>
    <row r="1621" spans="1:32" s="240" customFormat="1">
      <c r="A1621" s="48"/>
      <c r="B1621" s="31"/>
      <c r="C1621" s="48"/>
      <c r="D1621" s="47"/>
      <c r="E1621" s="47"/>
      <c r="F1621" s="31"/>
      <c r="G1621" s="31"/>
      <c r="H1621" s="31"/>
      <c r="I1621" s="47"/>
      <c r="J1621" s="31"/>
      <c r="K1621" s="47"/>
      <c r="L1621" s="47"/>
      <c r="M1621" s="47"/>
      <c r="N1621" s="31"/>
      <c r="O1621" s="47"/>
      <c r="P1621" s="31"/>
      <c r="Q1621" s="31"/>
      <c r="R1621" s="31"/>
      <c r="S1621" s="31"/>
      <c r="T1621" s="270">
        <f t="shared" si="200"/>
        <v>0</v>
      </c>
      <c r="U1621" s="270">
        <f t="shared" si="201"/>
        <v>0</v>
      </c>
      <c r="V1621" s="31"/>
      <c r="X1621" s="240" t="str">
        <f t="shared" si="202"/>
        <v>OK</v>
      </c>
      <c r="Y1621" s="240" t="str">
        <f t="shared" si="203"/>
        <v>OK</v>
      </c>
      <c r="Z1621" s="240" t="str">
        <f t="shared" si="204"/>
        <v>OK</v>
      </c>
      <c r="AA1621" s="240" t="str" cm="1">
        <f t="array" ref="AA1621">IF(OR(AND(J1621="Not accepted",N1621:O1621&lt;&gt;"",$S1621=""),AND(J1621="Accepted",S1621="")),"ERROR","OK")</f>
        <v>OK</v>
      </c>
      <c r="AB1621" s="240" t="str">
        <f t="shared" si="205"/>
        <v>OK</v>
      </c>
      <c r="AC1621" s="240" t="str" cm="1">
        <f t="array" ref="AC1621">IF(AND(F1621:H1621&lt;&gt;"",I1621=""),"ERROR","OK")</f>
        <v>OK</v>
      </c>
      <c r="AD1621" s="240" t="str">
        <f t="shared" si="206"/>
        <v>OK</v>
      </c>
      <c r="AE1621" s="240" t="str">
        <f t="shared" si="207"/>
        <v>OK</v>
      </c>
      <c r="AF1621" s="240" t="str" cm="1">
        <f t="array" aca="1" ref="AF1621" ca="1" xml:space="preserve">
IF(AND($G1621&lt;&gt;"",$F1621=""),"ERROR",
IF(OR($F1621:$G1621="",AND($G1621="",$F1621&lt;&gt;"")),"OK",
IF(COUNTIF(INDIRECT(IFERROR(LEFT($F1621,FIND(" ",$F1621)-1),$F1621)), $G1621)&gt;0, "OK", "ERROR")))</f>
        <v>OK</v>
      </c>
    </row>
    <row r="1622" spans="1:32" s="240" customFormat="1">
      <c r="A1622" s="48"/>
      <c r="B1622" s="31"/>
      <c r="C1622" s="48"/>
      <c r="D1622" s="47"/>
      <c r="E1622" s="47"/>
      <c r="F1622" s="31"/>
      <c r="G1622" s="31"/>
      <c r="H1622" s="31"/>
      <c r="I1622" s="47"/>
      <c r="J1622" s="31"/>
      <c r="K1622" s="47"/>
      <c r="L1622" s="47"/>
      <c r="M1622" s="47"/>
      <c r="N1622" s="31"/>
      <c r="O1622" s="47"/>
      <c r="P1622" s="31"/>
      <c r="Q1622" s="31"/>
      <c r="R1622" s="31"/>
      <c r="S1622" s="31"/>
      <c r="T1622" s="270">
        <f t="shared" si="200"/>
        <v>0</v>
      </c>
      <c r="U1622" s="270">
        <f t="shared" si="201"/>
        <v>0</v>
      </c>
      <c r="V1622" s="31"/>
      <c r="X1622" s="240" t="str">
        <f t="shared" si="202"/>
        <v>OK</v>
      </c>
      <c r="Y1622" s="240" t="str">
        <f t="shared" si="203"/>
        <v>OK</v>
      </c>
      <c r="Z1622" s="240" t="str">
        <f t="shared" si="204"/>
        <v>OK</v>
      </c>
      <c r="AA1622" s="240" t="str" cm="1">
        <f t="array" ref="AA1622">IF(OR(AND(J1622="Not accepted",N1622:O1622&lt;&gt;"",$S1622=""),AND(J1622="Accepted",S1622="")),"ERROR","OK")</f>
        <v>OK</v>
      </c>
      <c r="AB1622" s="240" t="str">
        <f t="shared" si="205"/>
        <v>OK</v>
      </c>
      <c r="AC1622" s="240" t="str" cm="1">
        <f t="array" ref="AC1622">IF(AND(F1622:H1622&lt;&gt;"",I1622=""),"ERROR","OK")</f>
        <v>OK</v>
      </c>
      <c r="AD1622" s="240" t="str">
        <f t="shared" si="206"/>
        <v>OK</v>
      </c>
      <c r="AE1622" s="240" t="str">
        <f t="shared" si="207"/>
        <v>OK</v>
      </c>
      <c r="AF1622" s="240" t="str" cm="1">
        <f t="array" aca="1" ref="AF1622" ca="1" xml:space="preserve">
IF(AND($G1622&lt;&gt;"",$F1622=""),"ERROR",
IF(OR($F1622:$G1622="",AND($G1622="",$F1622&lt;&gt;"")),"OK",
IF(COUNTIF(INDIRECT(IFERROR(LEFT($F1622,FIND(" ",$F1622)-1),$F1622)), $G1622)&gt;0, "OK", "ERROR")))</f>
        <v>OK</v>
      </c>
    </row>
    <row r="1623" spans="1:32" s="240" customFormat="1">
      <c r="A1623" s="48"/>
      <c r="B1623" s="31"/>
      <c r="C1623" s="48"/>
      <c r="D1623" s="47"/>
      <c r="E1623" s="47"/>
      <c r="F1623" s="31"/>
      <c r="G1623" s="31"/>
      <c r="H1623" s="31"/>
      <c r="I1623" s="47"/>
      <c r="J1623" s="31"/>
      <c r="K1623" s="47"/>
      <c r="L1623" s="47"/>
      <c r="M1623" s="47"/>
      <c r="N1623" s="31"/>
      <c r="O1623" s="47"/>
      <c r="P1623" s="31"/>
      <c r="Q1623" s="31"/>
      <c r="R1623" s="31"/>
      <c r="S1623" s="31"/>
      <c r="T1623" s="270">
        <f t="shared" si="200"/>
        <v>0</v>
      </c>
      <c r="U1623" s="270">
        <f t="shared" si="201"/>
        <v>0</v>
      </c>
      <c r="V1623" s="31"/>
      <c r="X1623" s="240" t="str">
        <f t="shared" si="202"/>
        <v>OK</v>
      </c>
      <c r="Y1623" s="240" t="str">
        <f t="shared" si="203"/>
        <v>OK</v>
      </c>
      <c r="Z1623" s="240" t="str">
        <f t="shared" si="204"/>
        <v>OK</v>
      </c>
      <c r="AA1623" s="240" t="str" cm="1">
        <f t="array" ref="AA1623">IF(OR(AND(J1623="Not accepted",N1623:O1623&lt;&gt;"",$S1623=""),AND(J1623="Accepted",S1623="")),"ERROR","OK")</f>
        <v>OK</v>
      </c>
      <c r="AB1623" s="240" t="str">
        <f t="shared" si="205"/>
        <v>OK</v>
      </c>
      <c r="AC1623" s="240" t="str" cm="1">
        <f t="array" ref="AC1623">IF(AND(F1623:H1623&lt;&gt;"",I1623=""),"ERROR","OK")</f>
        <v>OK</v>
      </c>
      <c r="AD1623" s="240" t="str">
        <f t="shared" si="206"/>
        <v>OK</v>
      </c>
      <c r="AE1623" s="240" t="str">
        <f t="shared" si="207"/>
        <v>OK</v>
      </c>
      <c r="AF1623" s="240" t="str" cm="1">
        <f t="array" aca="1" ref="AF1623" ca="1" xml:space="preserve">
IF(AND($G1623&lt;&gt;"",$F1623=""),"ERROR",
IF(OR($F1623:$G1623="",AND($G1623="",$F1623&lt;&gt;"")),"OK",
IF(COUNTIF(INDIRECT(IFERROR(LEFT($F1623,FIND(" ",$F1623)-1),$F1623)), $G1623)&gt;0, "OK", "ERROR")))</f>
        <v>OK</v>
      </c>
    </row>
    <row r="1624" spans="1:32" s="240" customFormat="1">
      <c r="A1624" s="48"/>
      <c r="B1624" s="31"/>
      <c r="C1624" s="48"/>
      <c r="D1624" s="47"/>
      <c r="E1624" s="47"/>
      <c r="F1624" s="31"/>
      <c r="G1624" s="31"/>
      <c r="H1624" s="31"/>
      <c r="I1624" s="47"/>
      <c r="J1624" s="31"/>
      <c r="K1624" s="47"/>
      <c r="L1624" s="47"/>
      <c r="M1624" s="47"/>
      <c r="N1624" s="31"/>
      <c r="O1624" s="47"/>
      <c r="P1624" s="31"/>
      <c r="Q1624" s="31"/>
      <c r="R1624" s="31"/>
      <c r="S1624" s="31"/>
      <c r="T1624" s="270">
        <f t="shared" si="200"/>
        <v>0</v>
      </c>
      <c r="U1624" s="270">
        <f t="shared" si="201"/>
        <v>0</v>
      </c>
      <c r="V1624" s="31"/>
      <c r="X1624" s="240" t="str">
        <f t="shared" si="202"/>
        <v>OK</v>
      </c>
      <c r="Y1624" s="240" t="str">
        <f t="shared" si="203"/>
        <v>OK</v>
      </c>
      <c r="Z1624" s="240" t="str">
        <f t="shared" si="204"/>
        <v>OK</v>
      </c>
      <c r="AA1624" s="240" t="str" cm="1">
        <f t="array" ref="AA1624">IF(OR(AND(J1624="Not accepted",N1624:O1624&lt;&gt;"",$S1624=""),AND(J1624="Accepted",S1624="")),"ERROR","OK")</f>
        <v>OK</v>
      </c>
      <c r="AB1624" s="240" t="str">
        <f t="shared" si="205"/>
        <v>OK</v>
      </c>
      <c r="AC1624" s="240" t="str" cm="1">
        <f t="array" ref="AC1624">IF(AND(F1624:H1624&lt;&gt;"",I1624=""),"ERROR","OK")</f>
        <v>OK</v>
      </c>
      <c r="AD1624" s="240" t="str">
        <f t="shared" si="206"/>
        <v>OK</v>
      </c>
      <c r="AE1624" s="240" t="str">
        <f t="shared" si="207"/>
        <v>OK</v>
      </c>
      <c r="AF1624" s="240" t="str" cm="1">
        <f t="array" aca="1" ref="AF1624" ca="1" xml:space="preserve">
IF(AND($G1624&lt;&gt;"",$F1624=""),"ERROR",
IF(OR($F1624:$G1624="",AND($G1624="",$F1624&lt;&gt;"")),"OK",
IF(COUNTIF(INDIRECT(IFERROR(LEFT($F1624,FIND(" ",$F1624)-1),$F1624)), $G1624)&gt;0, "OK", "ERROR")))</f>
        <v>OK</v>
      </c>
    </row>
    <row r="1625" spans="1:32" s="240" customFormat="1">
      <c r="A1625" s="48"/>
      <c r="B1625" s="31"/>
      <c r="C1625" s="48"/>
      <c r="D1625" s="47"/>
      <c r="E1625" s="47"/>
      <c r="F1625" s="31"/>
      <c r="G1625" s="31"/>
      <c r="H1625" s="31"/>
      <c r="I1625" s="47"/>
      <c r="J1625" s="31"/>
      <c r="K1625" s="47"/>
      <c r="L1625" s="47"/>
      <c r="M1625" s="47"/>
      <c r="N1625" s="31"/>
      <c r="O1625" s="47"/>
      <c r="P1625" s="31"/>
      <c r="Q1625" s="31"/>
      <c r="R1625" s="31"/>
      <c r="S1625" s="31"/>
      <c r="T1625" s="270">
        <f t="shared" si="200"/>
        <v>0</v>
      </c>
      <c r="U1625" s="270">
        <f t="shared" si="201"/>
        <v>0</v>
      </c>
      <c r="V1625" s="31"/>
      <c r="X1625" s="240" t="str">
        <f t="shared" si="202"/>
        <v>OK</v>
      </c>
      <c r="Y1625" s="240" t="str">
        <f t="shared" si="203"/>
        <v>OK</v>
      </c>
      <c r="Z1625" s="240" t="str">
        <f t="shared" si="204"/>
        <v>OK</v>
      </c>
      <c r="AA1625" s="240" t="str" cm="1">
        <f t="array" ref="AA1625">IF(OR(AND(J1625="Not accepted",N1625:O1625&lt;&gt;"",$S1625=""),AND(J1625="Accepted",S1625="")),"ERROR","OK")</f>
        <v>OK</v>
      </c>
      <c r="AB1625" s="240" t="str">
        <f t="shared" si="205"/>
        <v>OK</v>
      </c>
      <c r="AC1625" s="240" t="str" cm="1">
        <f t="array" ref="AC1625">IF(AND(F1625:H1625&lt;&gt;"",I1625=""),"ERROR","OK")</f>
        <v>OK</v>
      </c>
      <c r="AD1625" s="240" t="str">
        <f t="shared" si="206"/>
        <v>OK</v>
      </c>
      <c r="AE1625" s="240" t="str">
        <f t="shared" si="207"/>
        <v>OK</v>
      </c>
      <c r="AF1625" s="240" t="str" cm="1">
        <f t="array" aca="1" ref="AF1625" ca="1" xml:space="preserve">
IF(AND($G1625&lt;&gt;"",$F1625=""),"ERROR",
IF(OR($F1625:$G1625="",AND($G1625="",$F1625&lt;&gt;"")),"OK",
IF(COUNTIF(INDIRECT(IFERROR(LEFT($F1625,FIND(" ",$F1625)-1),$F1625)), $G1625)&gt;0, "OK", "ERROR")))</f>
        <v>OK</v>
      </c>
    </row>
    <row r="1626" spans="1:32" s="240" customFormat="1">
      <c r="A1626" s="48"/>
      <c r="B1626" s="31"/>
      <c r="C1626" s="48"/>
      <c r="D1626" s="47"/>
      <c r="E1626" s="47"/>
      <c r="F1626" s="31"/>
      <c r="G1626" s="31"/>
      <c r="H1626" s="31"/>
      <c r="I1626" s="47"/>
      <c r="J1626" s="31"/>
      <c r="K1626" s="47"/>
      <c r="L1626" s="47"/>
      <c r="M1626" s="47"/>
      <c r="N1626" s="31"/>
      <c r="O1626" s="47"/>
      <c r="P1626" s="31"/>
      <c r="Q1626" s="31"/>
      <c r="R1626" s="31"/>
      <c r="S1626" s="31"/>
      <c r="T1626" s="270">
        <f t="shared" si="200"/>
        <v>0</v>
      </c>
      <c r="U1626" s="270">
        <f t="shared" si="201"/>
        <v>0</v>
      </c>
      <c r="V1626" s="31"/>
      <c r="X1626" s="240" t="str">
        <f t="shared" si="202"/>
        <v>OK</v>
      </c>
      <c r="Y1626" s="240" t="str">
        <f t="shared" si="203"/>
        <v>OK</v>
      </c>
      <c r="Z1626" s="240" t="str">
        <f t="shared" si="204"/>
        <v>OK</v>
      </c>
      <c r="AA1626" s="240" t="str" cm="1">
        <f t="array" ref="AA1626">IF(OR(AND(J1626="Not accepted",N1626:O1626&lt;&gt;"",$S1626=""),AND(J1626="Accepted",S1626="")),"ERROR","OK")</f>
        <v>OK</v>
      </c>
      <c r="AB1626" s="240" t="str">
        <f t="shared" si="205"/>
        <v>OK</v>
      </c>
      <c r="AC1626" s="240" t="str" cm="1">
        <f t="array" ref="AC1626">IF(AND(F1626:H1626&lt;&gt;"",I1626=""),"ERROR","OK")</f>
        <v>OK</v>
      </c>
      <c r="AD1626" s="240" t="str">
        <f t="shared" si="206"/>
        <v>OK</v>
      </c>
      <c r="AE1626" s="240" t="str">
        <f t="shared" si="207"/>
        <v>OK</v>
      </c>
      <c r="AF1626" s="240" t="str" cm="1">
        <f t="array" aca="1" ref="AF1626" ca="1" xml:space="preserve">
IF(AND($G1626&lt;&gt;"",$F1626=""),"ERROR",
IF(OR($F1626:$G1626="",AND($G1626="",$F1626&lt;&gt;"")),"OK",
IF(COUNTIF(INDIRECT(IFERROR(LEFT($F1626,FIND(" ",$F1626)-1),$F1626)), $G1626)&gt;0, "OK", "ERROR")))</f>
        <v>OK</v>
      </c>
    </row>
    <row r="1627" spans="1:32" s="240" customFormat="1">
      <c r="A1627" s="48"/>
      <c r="B1627" s="31"/>
      <c r="C1627" s="48"/>
      <c r="D1627" s="47"/>
      <c r="E1627" s="47"/>
      <c r="F1627" s="31"/>
      <c r="G1627" s="31"/>
      <c r="H1627" s="31"/>
      <c r="I1627" s="47"/>
      <c r="J1627" s="31"/>
      <c r="K1627" s="47"/>
      <c r="L1627" s="47"/>
      <c r="M1627" s="47"/>
      <c r="N1627" s="31"/>
      <c r="O1627" s="47"/>
      <c r="P1627" s="31"/>
      <c r="Q1627" s="31"/>
      <c r="R1627" s="31"/>
      <c r="S1627" s="31"/>
      <c r="T1627" s="270">
        <f t="shared" si="200"/>
        <v>0</v>
      </c>
      <c r="U1627" s="270">
        <f t="shared" si="201"/>
        <v>0</v>
      </c>
      <c r="V1627" s="31"/>
      <c r="X1627" s="240" t="str">
        <f t="shared" si="202"/>
        <v>OK</v>
      </c>
      <c r="Y1627" s="240" t="str">
        <f t="shared" si="203"/>
        <v>OK</v>
      </c>
      <c r="Z1627" s="240" t="str">
        <f t="shared" si="204"/>
        <v>OK</v>
      </c>
      <c r="AA1627" s="240" t="str" cm="1">
        <f t="array" ref="AA1627">IF(OR(AND(J1627="Not accepted",N1627:O1627&lt;&gt;"",$S1627=""),AND(J1627="Accepted",S1627="")),"ERROR","OK")</f>
        <v>OK</v>
      </c>
      <c r="AB1627" s="240" t="str">
        <f t="shared" si="205"/>
        <v>OK</v>
      </c>
      <c r="AC1627" s="240" t="str" cm="1">
        <f t="array" ref="AC1627">IF(AND(F1627:H1627&lt;&gt;"",I1627=""),"ERROR","OK")</f>
        <v>OK</v>
      </c>
      <c r="AD1627" s="240" t="str">
        <f t="shared" si="206"/>
        <v>OK</v>
      </c>
      <c r="AE1627" s="240" t="str">
        <f t="shared" si="207"/>
        <v>OK</v>
      </c>
      <c r="AF1627" s="240" t="str" cm="1">
        <f t="array" aca="1" ref="AF1627" ca="1" xml:space="preserve">
IF(AND($G1627&lt;&gt;"",$F1627=""),"ERROR",
IF(OR($F1627:$G1627="",AND($G1627="",$F1627&lt;&gt;"")),"OK",
IF(COUNTIF(INDIRECT(IFERROR(LEFT($F1627,FIND(" ",$F1627)-1),$F1627)), $G1627)&gt;0, "OK", "ERROR")))</f>
        <v>OK</v>
      </c>
    </row>
    <row r="1628" spans="1:32" s="240" customFormat="1">
      <c r="A1628" s="48"/>
      <c r="B1628" s="31"/>
      <c r="C1628" s="48"/>
      <c r="D1628" s="47"/>
      <c r="E1628" s="47"/>
      <c r="F1628" s="31"/>
      <c r="G1628" s="31"/>
      <c r="H1628" s="31"/>
      <c r="I1628" s="47"/>
      <c r="J1628" s="31"/>
      <c r="K1628" s="47"/>
      <c r="L1628" s="47"/>
      <c r="M1628" s="47"/>
      <c r="N1628" s="31"/>
      <c r="O1628" s="47"/>
      <c r="P1628" s="31"/>
      <c r="Q1628" s="31"/>
      <c r="R1628" s="31"/>
      <c r="S1628" s="31"/>
      <c r="T1628" s="270">
        <f t="shared" si="200"/>
        <v>0</v>
      </c>
      <c r="U1628" s="270">
        <f t="shared" si="201"/>
        <v>0</v>
      </c>
      <c r="V1628" s="31"/>
      <c r="X1628" s="240" t="str">
        <f t="shared" si="202"/>
        <v>OK</v>
      </c>
      <c r="Y1628" s="240" t="str">
        <f t="shared" si="203"/>
        <v>OK</v>
      </c>
      <c r="Z1628" s="240" t="str">
        <f t="shared" si="204"/>
        <v>OK</v>
      </c>
      <c r="AA1628" s="240" t="str" cm="1">
        <f t="array" ref="AA1628">IF(OR(AND(J1628="Not accepted",N1628:O1628&lt;&gt;"",$S1628=""),AND(J1628="Accepted",S1628="")),"ERROR","OK")</f>
        <v>OK</v>
      </c>
      <c r="AB1628" s="240" t="str">
        <f t="shared" si="205"/>
        <v>OK</v>
      </c>
      <c r="AC1628" s="240" t="str" cm="1">
        <f t="array" ref="AC1628">IF(AND(F1628:H1628&lt;&gt;"",I1628=""),"ERROR","OK")</f>
        <v>OK</v>
      </c>
      <c r="AD1628" s="240" t="str">
        <f t="shared" si="206"/>
        <v>OK</v>
      </c>
      <c r="AE1628" s="240" t="str">
        <f t="shared" si="207"/>
        <v>OK</v>
      </c>
      <c r="AF1628" s="240" t="str" cm="1">
        <f t="array" aca="1" ref="AF1628" ca="1" xml:space="preserve">
IF(AND($G1628&lt;&gt;"",$F1628=""),"ERROR",
IF(OR($F1628:$G1628="",AND($G1628="",$F1628&lt;&gt;"")),"OK",
IF(COUNTIF(INDIRECT(IFERROR(LEFT($F1628,FIND(" ",$F1628)-1),$F1628)), $G1628)&gt;0, "OK", "ERROR")))</f>
        <v>OK</v>
      </c>
    </row>
    <row r="1629" spans="1:32" s="240" customFormat="1">
      <c r="A1629" s="48"/>
      <c r="B1629" s="31"/>
      <c r="C1629" s="48"/>
      <c r="D1629" s="47"/>
      <c r="E1629" s="47"/>
      <c r="F1629" s="31"/>
      <c r="G1629" s="31"/>
      <c r="H1629" s="31"/>
      <c r="I1629" s="47"/>
      <c r="J1629" s="31"/>
      <c r="K1629" s="47"/>
      <c r="L1629" s="47"/>
      <c r="M1629" s="47"/>
      <c r="N1629" s="31"/>
      <c r="O1629" s="47"/>
      <c r="P1629" s="31"/>
      <c r="Q1629" s="31"/>
      <c r="R1629" s="31"/>
      <c r="S1629" s="31"/>
      <c r="T1629" s="270">
        <f t="shared" si="200"/>
        <v>0</v>
      </c>
      <c r="U1629" s="270">
        <f t="shared" si="201"/>
        <v>0</v>
      </c>
      <c r="V1629" s="31"/>
      <c r="X1629" s="240" t="str">
        <f t="shared" si="202"/>
        <v>OK</v>
      </c>
      <c r="Y1629" s="240" t="str">
        <f t="shared" si="203"/>
        <v>OK</v>
      </c>
      <c r="Z1629" s="240" t="str">
        <f t="shared" si="204"/>
        <v>OK</v>
      </c>
      <c r="AA1629" s="240" t="str" cm="1">
        <f t="array" ref="AA1629">IF(OR(AND(J1629="Not accepted",N1629:O1629&lt;&gt;"",$S1629=""),AND(J1629="Accepted",S1629="")),"ERROR","OK")</f>
        <v>OK</v>
      </c>
      <c r="AB1629" s="240" t="str">
        <f t="shared" si="205"/>
        <v>OK</v>
      </c>
      <c r="AC1629" s="240" t="str" cm="1">
        <f t="array" ref="AC1629">IF(AND(F1629:H1629&lt;&gt;"",I1629=""),"ERROR","OK")</f>
        <v>OK</v>
      </c>
      <c r="AD1629" s="240" t="str">
        <f t="shared" si="206"/>
        <v>OK</v>
      </c>
      <c r="AE1629" s="240" t="str">
        <f t="shared" si="207"/>
        <v>OK</v>
      </c>
      <c r="AF1629" s="240" t="str" cm="1">
        <f t="array" aca="1" ref="AF1629" ca="1" xml:space="preserve">
IF(AND($G1629&lt;&gt;"",$F1629=""),"ERROR",
IF(OR($F1629:$G1629="",AND($G1629="",$F1629&lt;&gt;"")),"OK",
IF(COUNTIF(INDIRECT(IFERROR(LEFT($F1629,FIND(" ",$F1629)-1),$F1629)), $G1629)&gt;0, "OK", "ERROR")))</f>
        <v>OK</v>
      </c>
    </row>
    <row r="1630" spans="1:32" s="240" customFormat="1">
      <c r="A1630" s="48"/>
      <c r="B1630" s="31"/>
      <c r="C1630" s="48"/>
      <c r="D1630" s="47"/>
      <c r="E1630" s="47"/>
      <c r="F1630" s="31"/>
      <c r="G1630" s="31"/>
      <c r="H1630" s="31"/>
      <c r="I1630" s="47"/>
      <c r="J1630" s="31"/>
      <c r="K1630" s="47"/>
      <c r="L1630" s="47"/>
      <c r="M1630" s="47"/>
      <c r="N1630" s="31"/>
      <c r="O1630" s="47"/>
      <c r="P1630" s="31"/>
      <c r="Q1630" s="31"/>
      <c r="R1630" s="31"/>
      <c r="S1630" s="31"/>
      <c r="T1630" s="270">
        <f t="shared" si="200"/>
        <v>0</v>
      </c>
      <c r="U1630" s="270">
        <f t="shared" si="201"/>
        <v>0</v>
      </c>
      <c r="V1630" s="31"/>
      <c r="X1630" s="240" t="str">
        <f t="shared" si="202"/>
        <v>OK</v>
      </c>
      <c r="Y1630" s="240" t="str">
        <f t="shared" si="203"/>
        <v>OK</v>
      </c>
      <c r="Z1630" s="240" t="str">
        <f t="shared" si="204"/>
        <v>OK</v>
      </c>
      <c r="AA1630" s="240" t="str" cm="1">
        <f t="array" ref="AA1630">IF(OR(AND(J1630="Not accepted",N1630:O1630&lt;&gt;"",$S1630=""),AND(J1630="Accepted",S1630="")),"ERROR","OK")</f>
        <v>OK</v>
      </c>
      <c r="AB1630" s="240" t="str">
        <f t="shared" si="205"/>
        <v>OK</v>
      </c>
      <c r="AC1630" s="240" t="str" cm="1">
        <f t="array" ref="AC1630">IF(AND(F1630:H1630&lt;&gt;"",I1630=""),"ERROR","OK")</f>
        <v>OK</v>
      </c>
      <c r="AD1630" s="240" t="str">
        <f t="shared" si="206"/>
        <v>OK</v>
      </c>
      <c r="AE1630" s="240" t="str">
        <f t="shared" si="207"/>
        <v>OK</v>
      </c>
      <c r="AF1630" s="240" t="str" cm="1">
        <f t="array" aca="1" ref="AF1630" ca="1" xml:space="preserve">
IF(AND($G1630&lt;&gt;"",$F1630=""),"ERROR",
IF(OR($F1630:$G1630="",AND($G1630="",$F1630&lt;&gt;"")),"OK",
IF(COUNTIF(INDIRECT(IFERROR(LEFT($F1630,FIND(" ",$F1630)-1),$F1630)), $G1630)&gt;0, "OK", "ERROR")))</f>
        <v>OK</v>
      </c>
    </row>
    <row r="1631" spans="1:32" s="240" customFormat="1">
      <c r="A1631" s="48"/>
      <c r="B1631" s="31"/>
      <c r="C1631" s="48"/>
      <c r="D1631" s="47"/>
      <c r="E1631" s="47"/>
      <c r="F1631" s="31"/>
      <c r="G1631" s="31"/>
      <c r="H1631" s="31"/>
      <c r="I1631" s="47"/>
      <c r="J1631" s="31"/>
      <c r="K1631" s="47"/>
      <c r="L1631" s="47"/>
      <c r="M1631" s="47"/>
      <c r="N1631" s="31"/>
      <c r="O1631" s="47"/>
      <c r="P1631" s="31"/>
      <c r="Q1631" s="31"/>
      <c r="R1631" s="31"/>
      <c r="S1631" s="31"/>
      <c r="T1631" s="270">
        <f t="shared" si="200"/>
        <v>0</v>
      </c>
      <c r="U1631" s="270">
        <f t="shared" si="201"/>
        <v>0</v>
      </c>
      <c r="V1631" s="31"/>
      <c r="X1631" s="240" t="str">
        <f t="shared" si="202"/>
        <v>OK</v>
      </c>
      <c r="Y1631" s="240" t="str">
        <f t="shared" si="203"/>
        <v>OK</v>
      </c>
      <c r="Z1631" s="240" t="str">
        <f t="shared" si="204"/>
        <v>OK</v>
      </c>
      <c r="AA1631" s="240" t="str" cm="1">
        <f t="array" ref="AA1631">IF(OR(AND(J1631="Not accepted",N1631:O1631&lt;&gt;"",$S1631=""),AND(J1631="Accepted",S1631="")),"ERROR","OK")</f>
        <v>OK</v>
      </c>
      <c r="AB1631" s="240" t="str">
        <f t="shared" si="205"/>
        <v>OK</v>
      </c>
      <c r="AC1631" s="240" t="str" cm="1">
        <f t="array" ref="AC1631">IF(AND(F1631:H1631&lt;&gt;"",I1631=""),"ERROR","OK")</f>
        <v>OK</v>
      </c>
      <c r="AD1631" s="240" t="str">
        <f t="shared" si="206"/>
        <v>OK</v>
      </c>
      <c r="AE1631" s="240" t="str">
        <f t="shared" si="207"/>
        <v>OK</v>
      </c>
      <c r="AF1631" s="240" t="str" cm="1">
        <f t="array" aca="1" ref="AF1631" ca="1" xml:space="preserve">
IF(AND($G1631&lt;&gt;"",$F1631=""),"ERROR",
IF(OR($F1631:$G1631="",AND($G1631="",$F1631&lt;&gt;"")),"OK",
IF(COUNTIF(INDIRECT(IFERROR(LEFT($F1631,FIND(" ",$F1631)-1),$F1631)), $G1631)&gt;0, "OK", "ERROR")))</f>
        <v>OK</v>
      </c>
    </row>
    <row r="1632" spans="1:32" s="240" customFormat="1">
      <c r="A1632" s="48"/>
      <c r="B1632" s="31"/>
      <c r="C1632" s="48"/>
      <c r="D1632" s="47"/>
      <c r="E1632" s="47"/>
      <c r="F1632" s="31"/>
      <c r="G1632" s="31"/>
      <c r="H1632" s="31"/>
      <c r="I1632" s="47"/>
      <c r="J1632" s="31"/>
      <c r="K1632" s="47"/>
      <c r="L1632" s="47"/>
      <c r="M1632" s="47"/>
      <c r="N1632" s="31"/>
      <c r="O1632" s="47"/>
      <c r="P1632" s="31"/>
      <c r="Q1632" s="31"/>
      <c r="R1632" s="31"/>
      <c r="S1632" s="31"/>
      <c r="T1632" s="270">
        <f t="shared" si="200"/>
        <v>0</v>
      </c>
      <c r="U1632" s="270">
        <f t="shared" si="201"/>
        <v>0</v>
      </c>
      <c r="V1632" s="31"/>
      <c r="X1632" s="240" t="str">
        <f t="shared" si="202"/>
        <v>OK</v>
      </c>
      <c r="Y1632" s="240" t="str">
        <f t="shared" si="203"/>
        <v>OK</v>
      </c>
      <c r="Z1632" s="240" t="str">
        <f t="shared" si="204"/>
        <v>OK</v>
      </c>
      <c r="AA1632" s="240" t="str" cm="1">
        <f t="array" ref="AA1632">IF(OR(AND(J1632="Not accepted",N1632:O1632&lt;&gt;"",$S1632=""),AND(J1632="Accepted",S1632="")),"ERROR","OK")</f>
        <v>OK</v>
      </c>
      <c r="AB1632" s="240" t="str">
        <f t="shared" si="205"/>
        <v>OK</v>
      </c>
      <c r="AC1632" s="240" t="str" cm="1">
        <f t="array" ref="AC1632">IF(AND(F1632:H1632&lt;&gt;"",I1632=""),"ERROR","OK")</f>
        <v>OK</v>
      </c>
      <c r="AD1632" s="240" t="str">
        <f t="shared" si="206"/>
        <v>OK</v>
      </c>
      <c r="AE1632" s="240" t="str">
        <f t="shared" si="207"/>
        <v>OK</v>
      </c>
      <c r="AF1632" s="240" t="str" cm="1">
        <f t="array" aca="1" ref="AF1632" ca="1" xml:space="preserve">
IF(AND($G1632&lt;&gt;"",$F1632=""),"ERROR",
IF(OR($F1632:$G1632="",AND($G1632="",$F1632&lt;&gt;"")),"OK",
IF(COUNTIF(INDIRECT(IFERROR(LEFT($F1632,FIND(" ",$F1632)-1),$F1632)), $G1632)&gt;0, "OK", "ERROR")))</f>
        <v>OK</v>
      </c>
    </row>
    <row r="1633" spans="1:32" s="240" customFormat="1">
      <c r="A1633" s="48"/>
      <c r="B1633" s="31"/>
      <c r="C1633" s="48"/>
      <c r="D1633" s="47"/>
      <c r="E1633" s="47"/>
      <c r="F1633" s="31"/>
      <c r="G1633" s="31"/>
      <c r="H1633" s="31"/>
      <c r="I1633" s="47"/>
      <c r="J1633" s="31"/>
      <c r="K1633" s="47"/>
      <c r="L1633" s="47"/>
      <c r="M1633" s="47"/>
      <c r="N1633" s="31"/>
      <c r="O1633" s="47"/>
      <c r="P1633" s="31"/>
      <c r="Q1633" s="31"/>
      <c r="R1633" s="31"/>
      <c r="S1633" s="31"/>
      <c r="T1633" s="270">
        <f t="shared" si="200"/>
        <v>0</v>
      </c>
      <c r="U1633" s="270">
        <f t="shared" si="201"/>
        <v>0</v>
      </c>
      <c r="V1633" s="31"/>
      <c r="X1633" s="240" t="str">
        <f t="shared" si="202"/>
        <v>OK</v>
      </c>
      <c r="Y1633" s="240" t="str">
        <f t="shared" si="203"/>
        <v>OK</v>
      </c>
      <c r="Z1633" s="240" t="str">
        <f t="shared" si="204"/>
        <v>OK</v>
      </c>
      <c r="AA1633" s="240" t="str" cm="1">
        <f t="array" ref="AA1633">IF(OR(AND(J1633="Not accepted",N1633:O1633&lt;&gt;"",$S1633=""),AND(J1633="Accepted",S1633="")),"ERROR","OK")</f>
        <v>OK</v>
      </c>
      <c r="AB1633" s="240" t="str">
        <f t="shared" si="205"/>
        <v>OK</v>
      </c>
      <c r="AC1633" s="240" t="str" cm="1">
        <f t="array" ref="AC1633">IF(AND(F1633:H1633&lt;&gt;"",I1633=""),"ERROR","OK")</f>
        <v>OK</v>
      </c>
      <c r="AD1633" s="240" t="str">
        <f t="shared" si="206"/>
        <v>OK</v>
      </c>
      <c r="AE1633" s="240" t="str">
        <f t="shared" si="207"/>
        <v>OK</v>
      </c>
      <c r="AF1633" s="240" t="str" cm="1">
        <f t="array" aca="1" ref="AF1633" ca="1" xml:space="preserve">
IF(AND($G1633&lt;&gt;"",$F1633=""),"ERROR",
IF(OR($F1633:$G1633="",AND($G1633="",$F1633&lt;&gt;"")),"OK",
IF(COUNTIF(INDIRECT(IFERROR(LEFT($F1633,FIND(" ",$F1633)-1),$F1633)), $G1633)&gt;0, "OK", "ERROR")))</f>
        <v>OK</v>
      </c>
    </row>
    <row r="1634" spans="1:32" s="240" customFormat="1">
      <c r="A1634" s="48"/>
      <c r="B1634" s="31"/>
      <c r="C1634" s="48"/>
      <c r="D1634" s="47"/>
      <c r="E1634" s="47"/>
      <c r="F1634" s="31"/>
      <c r="G1634" s="31"/>
      <c r="H1634" s="31"/>
      <c r="I1634" s="47"/>
      <c r="J1634" s="31"/>
      <c r="K1634" s="47"/>
      <c r="L1634" s="47"/>
      <c r="M1634" s="47"/>
      <c r="N1634" s="31"/>
      <c r="O1634" s="47"/>
      <c r="P1634" s="31"/>
      <c r="Q1634" s="31"/>
      <c r="R1634" s="31"/>
      <c r="S1634" s="31"/>
      <c r="T1634" s="270">
        <f t="shared" si="200"/>
        <v>0</v>
      </c>
      <c r="U1634" s="270">
        <f t="shared" si="201"/>
        <v>0</v>
      </c>
      <c r="V1634" s="31"/>
      <c r="X1634" s="240" t="str">
        <f t="shared" si="202"/>
        <v>OK</v>
      </c>
      <c r="Y1634" s="240" t="str">
        <f t="shared" si="203"/>
        <v>OK</v>
      </c>
      <c r="Z1634" s="240" t="str">
        <f t="shared" si="204"/>
        <v>OK</v>
      </c>
      <c r="AA1634" s="240" t="str" cm="1">
        <f t="array" ref="AA1634">IF(OR(AND(J1634="Not accepted",N1634:O1634&lt;&gt;"",$S1634=""),AND(J1634="Accepted",S1634="")),"ERROR","OK")</f>
        <v>OK</v>
      </c>
      <c r="AB1634" s="240" t="str">
        <f t="shared" si="205"/>
        <v>OK</v>
      </c>
      <c r="AC1634" s="240" t="str" cm="1">
        <f t="array" ref="AC1634">IF(AND(F1634:H1634&lt;&gt;"",I1634=""),"ERROR","OK")</f>
        <v>OK</v>
      </c>
      <c r="AD1634" s="240" t="str">
        <f t="shared" si="206"/>
        <v>OK</v>
      </c>
      <c r="AE1634" s="240" t="str">
        <f t="shared" si="207"/>
        <v>OK</v>
      </c>
      <c r="AF1634" s="240" t="str" cm="1">
        <f t="array" aca="1" ref="AF1634" ca="1" xml:space="preserve">
IF(AND($G1634&lt;&gt;"",$F1634=""),"ERROR",
IF(OR($F1634:$G1634="",AND($G1634="",$F1634&lt;&gt;"")),"OK",
IF(COUNTIF(INDIRECT(IFERROR(LEFT($F1634,FIND(" ",$F1634)-1),$F1634)), $G1634)&gt;0, "OK", "ERROR")))</f>
        <v>OK</v>
      </c>
    </row>
    <row r="1635" spans="1:32" s="240" customFormat="1">
      <c r="A1635" s="48"/>
      <c r="B1635" s="31"/>
      <c r="C1635" s="48"/>
      <c r="D1635" s="47"/>
      <c r="E1635" s="47"/>
      <c r="F1635" s="31"/>
      <c r="G1635" s="31"/>
      <c r="H1635" s="31"/>
      <c r="I1635" s="47"/>
      <c r="J1635" s="31"/>
      <c r="K1635" s="47"/>
      <c r="L1635" s="47"/>
      <c r="M1635" s="47"/>
      <c r="N1635" s="31"/>
      <c r="O1635" s="47"/>
      <c r="P1635" s="31"/>
      <c r="Q1635" s="31"/>
      <c r="R1635" s="31"/>
      <c r="S1635" s="31"/>
      <c r="T1635" s="270">
        <f t="shared" si="200"/>
        <v>0</v>
      </c>
      <c r="U1635" s="270">
        <f t="shared" si="201"/>
        <v>0</v>
      </c>
      <c r="V1635" s="31"/>
      <c r="X1635" s="240" t="str">
        <f t="shared" si="202"/>
        <v>OK</v>
      </c>
      <c r="Y1635" s="240" t="str">
        <f t="shared" si="203"/>
        <v>OK</v>
      </c>
      <c r="Z1635" s="240" t="str">
        <f t="shared" si="204"/>
        <v>OK</v>
      </c>
      <c r="AA1635" s="240" t="str" cm="1">
        <f t="array" ref="AA1635">IF(OR(AND(J1635="Not accepted",N1635:O1635&lt;&gt;"",$S1635=""),AND(J1635="Accepted",S1635="")),"ERROR","OK")</f>
        <v>OK</v>
      </c>
      <c r="AB1635" s="240" t="str">
        <f t="shared" si="205"/>
        <v>OK</v>
      </c>
      <c r="AC1635" s="240" t="str" cm="1">
        <f t="array" ref="AC1635">IF(AND(F1635:H1635&lt;&gt;"",I1635=""),"ERROR","OK")</f>
        <v>OK</v>
      </c>
      <c r="AD1635" s="240" t="str">
        <f t="shared" si="206"/>
        <v>OK</v>
      </c>
      <c r="AE1635" s="240" t="str">
        <f t="shared" si="207"/>
        <v>OK</v>
      </c>
      <c r="AF1635" s="240" t="str" cm="1">
        <f t="array" aca="1" ref="AF1635" ca="1" xml:space="preserve">
IF(AND($G1635&lt;&gt;"",$F1635=""),"ERROR",
IF(OR($F1635:$G1635="",AND($G1635="",$F1635&lt;&gt;"")),"OK",
IF(COUNTIF(INDIRECT(IFERROR(LEFT($F1635,FIND(" ",$F1635)-1),$F1635)), $G1635)&gt;0, "OK", "ERROR")))</f>
        <v>OK</v>
      </c>
    </row>
    <row r="1636" spans="1:32" s="240" customFormat="1">
      <c r="A1636" s="48"/>
      <c r="B1636" s="31"/>
      <c r="C1636" s="48"/>
      <c r="D1636" s="47"/>
      <c r="E1636" s="47"/>
      <c r="F1636" s="31"/>
      <c r="G1636" s="31"/>
      <c r="H1636" s="31"/>
      <c r="I1636" s="47"/>
      <c r="J1636" s="31"/>
      <c r="K1636" s="47"/>
      <c r="L1636" s="47"/>
      <c r="M1636" s="47"/>
      <c r="N1636" s="31"/>
      <c r="O1636" s="47"/>
      <c r="P1636" s="31"/>
      <c r="Q1636" s="31"/>
      <c r="R1636" s="31"/>
      <c r="S1636" s="31"/>
      <c r="T1636" s="270">
        <f t="shared" si="200"/>
        <v>0</v>
      </c>
      <c r="U1636" s="270">
        <f t="shared" si="201"/>
        <v>0</v>
      </c>
      <c r="V1636" s="31"/>
      <c r="X1636" s="240" t="str">
        <f t="shared" si="202"/>
        <v>OK</v>
      </c>
      <c r="Y1636" s="240" t="str">
        <f t="shared" si="203"/>
        <v>OK</v>
      </c>
      <c r="Z1636" s="240" t="str">
        <f t="shared" si="204"/>
        <v>OK</v>
      </c>
      <c r="AA1636" s="240" t="str" cm="1">
        <f t="array" ref="AA1636">IF(OR(AND(J1636="Not accepted",N1636:O1636&lt;&gt;"",$S1636=""),AND(J1636="Accepted",S1636="")),"ERROR","OK")</f>
        <v>OK</v>
      </c>
      <c r="AB1636" s="240" t="str">
        <f t="shared" si="205"/>
        <v>OK</v>
      </c>
      <c r="AC1636" s="240" t="str" cm="1">
        <f t="array" ref="AC1636">IF(AND(F1636:H1636&lt;&gt;"",I1636=""),"ERROR","OK")</f>
        <v>OK</v>
      </c>
      <c r="AD1636" s="240" t="str">
        <f t="shared" si="206"/>
        <v>OK</v>
      </c>
      <c r="AE1636" s="240" t="str">
        <f t="shared" si="207"/>
        <v>OK</v>
      </c>
      <c r="AF1636" s="240" t="str" cm="1">
        <f t="array" aca="1" ref="AF1636" ca="1" xml:space="preserve">
IF(AND($G1636&lt;&gt;"",$F1636=""),"ERROR",
IF(OR($F1636:$G1636="",AND($G1636="",$F1636&lt;&gt;"")),"OK",
IF(COUNTIF(INDIRECT(IFERROR(LEFT($F1636,FIND(" ",$F1636)-1),$F1636)), $G1636)&gt;0, "OK", "ERROR")))</f>
        <v>OK</v>
      </c>
    </row>
    <row r="1637" spans="1:32" s="240" customFormat="1">
      <c r="A1637" s="48"/>
      <c r="B1637" s="31"/>
      <c r="C1637" s="48"/>
      <c r="D1637" s="47"/>
      <c r="E1637" s="47"/>
      <c r="F1637" s="31"/>
      <c r="G1637" s="31"/>
      <c r="H1637" s="31"/>
      <c r="I1637" s="47"/>
      <c r="J1637" s="31"/>
      <c r="K1637" s="47"/>
      <c r="L1637" s="47"/>
      <c r="M1637" s="47"/>
      <c r="N1637" s="31"/>
      <c r="O1637" s="47"/>
      <c r="P1637" s="31"/>
      <c r="Q1637" s="31"/>
      <c r="R1637" s="31"/>
      <c r="S1637" s="31"/>
      <c r="T1637" s="270">
        <f t="shared" si="200"/>
        <v>0</v>
      </c>
      <c r="U1637" s="270">
        <f t="shared" si="201"/>
        <v>0</v>
      </c>
      <c r="V1637" s="31"/>
      <c r="X1637" s="240" t="str">
        <f t="shared" si="202"/>
        <v>OK</v>
      </c>
      <c r="Y1637" s="240" t="str">
        <f t="shared" si="203"/>
        <v>OK</v>
      </c>
      <c r="Z1637" s="240" t="str">
        <f t="shared" si="204"/>
        <v>OK</v>
      </c>
      <c r="AA1637" s="240" t="str" cm="1">
        <f t="array" ref="AA1637">IF(OR(AND(J1637="Not accepted",N1637:O1637&lt;&gt;"",$S1637=""),AND(J1637="Accepted",S1637="")),"ERROR","OK")</f>
        <v>OK</v>
      </c>
      <c r="AB1637" s="240" t="str">
        <f t="shared" si="205"/>
        <v>OK</v>
      </c>
      <c r="AC1637" s="240" t="str" cm="1">
        <f t="array" ref="AC1637">IF(AND(F1637:H1637&lt;&gt;"",I1637=""),"ERROR","OK")</f>
        <v>OK</v>
      </c>
      <c r="AD1637" s="240" t="str">
        <f t="shared" si="206"/>
        <v>OK</v>
      </c>
      <c r="AE1637" s="240" t="str">
        <f t="shared" si="207"/>
        <v>OK</v>
      </c>
      <c r="AF1637" s="240" t="str" cm="1">
        <f t="array" aca="1" ref="AF1637" ca="1" xml:space="preserve">
IF(AND($G1637&lt;&gt;"",$F1637=""),"ERROR",
IF(OR($F1637:$G1637="",AND($G1637="",$F1637&lt;&gt;"")),"OK",
IF(COUNTIF(INDIRECT(IFERROR(LEFT($F1637,FIND(" ",$F1637)-1),$F1637)), $G1637)&gt;0, "OK", "ERROR")))</f>
        <v>OK</v>
      </c>
    </row>
    <row r="1638" spans="1:32" s="240" customFormat="1">
      <c r="A1638" s="48"/>
      <c r="B1638" s="31"/>
      <c r="C1638" s="48"/>
      <c r="D1638" s="47"/>
      <c r="E1638" s="47"/>
      <c r="F1638" s="31"/>
      <c r="G1638" s="31"/>
      <c r="H1638" s="31"/>
      <c r="I1638" s="47"/>
      <c r="J1638" s="31"/>
      <c r="K1638" s="47"/>
      <c r="L1638" s="47"/>
      <c r="M1638" s="47"/>
      <c r="N1638" s="31"/>
      <c r="O1638" s="47"/>
      <c r="P1638" s="31"/>
      <c r="Q1638" s="31"/>
      <c r="R1638" s="31"/>
      <c r="S1638" s="31"/>
      <c r="T1638" s="270">
        <f t="shared" si="200"/>
        <v>0</v>
      </c>
      <c r="U1638" s="270">
        <f t="shared" si="201"/>
        <v>0</v>
      </c>
      <c r="V1638" s="31"/>
      <c r="X1638" s="240" t="str">
        <f t="shared" si="202"/>
        <v>OK</v>
      </c>
      <c r="Y1638" s="240" t="str">
        <f t="shared" si="203"/>
        <v>OK</v>
      </c>
      <c r="Z1638" s="240" t="str">
        <f t="shared" si="204"/>
        <v>OK</v>
      </c>
      <c r="AA1638" s="240" t="str" cm="1">
        <f t="array" ref="AA1638">IF(OR(AND(J1638="Not accepted",N1638:O1638&lt;&gt;"",$S1638=""),AND(J1638="Accepted",S1638="")),"ERROR","OK")</f>
        <v>OK</v>
      </c>
      <c r="AB1638" s="240" t="str">
        <f t="shared" si="205"/>
        <v>OK</v>
      </c>
      <c r="AC1638" s="240" t="str" cm="1">
        <f t="array" ref="AC1638">IF(AND(F1638:H1638&lt;&gt;"",I1638=""),"ERROR","OK")</f>
        <v>OK</v>
      </c>
      <c r="AD1638" s="240" t="str">
        <f t="shared" si="206"/>
        <v>OK</v>
      </c>
      <c r="AE1638" s="240" t="str">
        <f t="shared" si="207"/>
        <v>OK</v>
      </c>
      <c r="AF1638" s="240" t="str" cm="1">
        <f t="array" aca="1" ref="AF1638" ca="1" xml:space="preserve">
IF(AND($G1638&lt;&gt;"",$F1638=""),"ERROR",
IF(OR($F1638:$G1638="",AND($G1638="",$F1638&lt;&gt;"")),"OK",
IF(COUNTIF(INDIRECT(IFERROR(LEFT($F1638,FIND(" ",$F1638)-1),$F1638)), $G1638)&gt;0, "OK", "ERROR")))</f>
        <v>OK</v>
      </c>
    </row>
    <row r="1639" spans="1:32" s="240" customFormat="1">
      <c r="A1639" s="48"/>
      <c r="B1639" s="31"/>
      <c r="C1639" s="48"/>
      <c r="D1639" s="47"/>
      <c r="E1639" s="47"/>
      <c r="F1639" s="31"/>
      <c r="G1639" s="31"/>
      <c r="H1639" s="31"/>
      <c r="I1639" s="47"/>
      <c r="J1639" s="31"/>
      <c r="K1639" s="47"/>
      <c r="L1639" s="47"/>
      <c r="M1639" s="47"/>
      <c r="N1639" s="31"/>
      <c r="O1639" s="47"/>
      <c r="P1639" s="31"/>
      <c r="Q1639" s="31"/>
      <c r="R1639" s="31"/>
      <c r="S1639" s="31"/>
      <c r="T1639" s="270">
        <f t="shared" si="200"/>
        <v>0</v>
      </c>
      <c r="U1639" s="270">
        <f t="shared" si="201"/>
        <v>0</v>
      </c>
      <c r="V1639" s="31"/>
      <c r="X1639" s="240" t="str">
        <f t="shared" si="202"/>
        <v>OK</v>
      </c>
      <c r="Y1639" s="240" t="str">
        <f t="shared" si="203"/>
        <v>OK</v>
      </c>
      <c r="Z1639" s="240" t="str">
        <f t="shared" si="204"/>
        <v>OK</v>
      </c>
      <c r="AA1639" s="240" t="str" cm="1">
        <f t="array" ref="AA1639">IF(OR(AND(J1639="Not accepted",N1639:O1639&lt;&gt;"",$S1639=""),AND(J1639="Accepted",S1639="")),"ERROR","OK")</f>
        <v>OK</v>
      </c>
      <c r="AB1639" s="240" t="str">
        <f t="shared" si="205"/>
        <v>OK</v>
      </c>
      <c r="AC1639" s="240" t="str" cm="1">
        <f t="array" ref="AC1639">IF(AND(F1639:H1639&lt;&gt;"",I1639=""),"ERROR","OK")</f>
        <v>OK</v>
      </c>
      <c r="AD1639" s="240" t="str">
        <f t="shared" si="206"/>
        <v>OK</v>
      </c>
      <c r="AE1639" s="240" t="str">
        <f t="shared" si="207"/>
        <v>OK</v>
      </c>
      <c r="AF1639" s="240" t="str" cm="1">
        <f t="array" aca="1" ref="AF1639" ca="1" xml:space="preserve">
IF(AND($G1639&lt;&gt;"",$F1639=""),"ERROR",
IF(OR($F1639:$G1639="",AND($G1639="",$F1639&lt;&gt;"")),"OK",
IF(COUNTIF(INDIRECT(IFERROR(LEFT($F1639,FIND(" ",$F1639)-1),$F1639)), $G1639)&gt;0, "OK", "ERROR")))</f>
        <v>OK</v>
      </c>
    </row>
    <row r="1640" spans="1:32" s="240" customFormat="1">
      <c r="A1640" s="48"/>
      <c r="B1640" s="31"/>
      <c r="C1640" s="48"/>
      <c r="D1640" s="47"/>
      <c r="E1640" s="47"/>
      <c r="F1640" s="31"/>
      <c r="G1640" s="31"/>
      <c r="H1640" s="31"/>
      <c r="I1640" s="47"/>
      <c r="J1640" s="31"/>
      <c r="K1640" s="47"/>
      <c r="L1640" s="47"/>
      <c r="M1640" s="47"/>
      <c r="N1640" s="31"/>
      <c r="O1640" s="47"/>
      <c r="P1640" s="31"/>
      <c r="Q1640" s="31"/>
      <c r="R1640" s="31"/>
      <c r="S1640" s="31"/>
      <c r="T1640" s="270">
        <f t="shared" si="200"/>
        <v>0</v>
      </c>
      <c r="U1640" s="270">
        <f t="shared" si="201"/>
        <v>0</v>
      </c>
      <c r="V1640" s="31"/>
      <c r="X1640" s="240" t="str">
        <f t="shared" si="202"/>
        <v>OK</v>
      </c>
      <c r="Y1640" s="240" t="str">
        <f t="shared" si="203"/>
        <v>OK</v>
      </c>
      <c r="Z1640" s="240" t="str">
        <f t="shared" si="204"/>
        <v>OK</v>
      </c>
      <c r="AA1640" s="240" t="str" cm="1">
        <f t="array" ref="AA1640">IF(OR(AND(J1640="Not accepted",N1640:O1640&lt;&gt;"",$S1640=""),AND(J1640="Accepted",S1640="")),"ERROR","OK")</f>
        <v>OK</v>
      </c>
      <c r="AB1640" s="240" t="str">
        <f t="shared" si="205"/>
        <v>OK</v>
      </c>
      <c r="AC1640" s="240" t="str" cm="1">
        <f t="array" ref="AC1640">IF(AND(F1640:H1640&lt;&gt;"",I1640=""),"ERROR","OK")</f>
        <v>OK</v>
      </c>
      <c r="AD1640" s="240" t="str">
        <f t="shared" si="206"/>
        <v>OK</v>
      </c>
      <c r="AE1640" s="240" t="str">
        <f t="shared" si="207"/>
        <v>OK</v>
      </c>
      <c r="AF1640" s="240" t="str" cm="1">
        <f t="array" aca="1" ref="AF1640" ca="1" xml:space="preserve">
IF(AND($G1640&lt;&gt;"",$F1640=""),"ERROR",
IF(OR($F1640:$G1640="",AND($G1640="",$F1640&lt;&gt;"")),"OK",
IF(COUNTIF(INDIRECT(IFERROR(LEFT($F1640,FIND(" ",$F1640)-1),$F1640)), $G1640)&gt;0, "OK", "ERROR")))</f>
        <v>OK</v>
      </c>
    </row>
    <row r="1641" spans="1:32" s="240" customFormat="1">
      <c r="A1641" s="48"/>
      <c r="B1641" s="31"/>
      <c r="C1641" s="48"/>
      <c r="D1641" s="47"/>
      <c r="E1641" s="47"/>
      <c r="F1641" s="31"/>
      <c r="G1641" s="31"/>
      <c r="H1641" s="31"/>
      <c r="I1641" s="47"/>
      <c r="J1641" s="31"/>
      <c r="K1641" s="47"/>
      <c r="L1641" s="47"/>
      <c r="M1641" s="47"/>
      <c r="N1641" s="31"/>
      <c r="O1641" s="47"/>
      <c r="P1641" s="31"/>
      <c r="Q1641" s="31"/>
      <c r="R1641" s="31"/>
      <c r="S1641" s="31"/>
      <c r="T1641" s="270">
        <f t="shared" si="200"/>
        <v>0</v>
      </c>
      <c r="U1641" s="270">
        <f t="shared" si="201"/>
        <v>0</v>
      </c>
      <c r="V1641" s="31"/>
      <c r="X1641" s="240" t="str">
        <f t="shared" si="202"/>
        <v>OK</v>
      </c>
      <c r="Y1641" s="240" t="str">
        <f t="shared" si="203"/>
        <v>OK</v>
      </c>
      <c r="Z1641" s="240" t="str">
        <f t="shared" si="204"/>
        <v>OK</v>
      </c>
      <c r="AA1641" s="240" t="str" cm="1">
        <f t="array" ref="AA1641">IF(OR(AND(J1641="Not accepted",N1641:O1641&lt;&gt;"",$S1641=""),AND(J1641="Accepted",S1641="")),"ERROR","OK")</f>
        <v>OK</v>
      </c>
      <c r="AB1641" s="240" t="str">
        <f t="shared" si="205"/>
        <v>OK</v>
      </c>
      <c r="AC1641" s="240" t="str" cm="1">
        <f t="array" ref="AC1641">IF(AND(F1641:H1641&lt;&gt;"",I1641=""),"ERROR","OK")</f>
        <v>OK</v>
      </c>
      <c r="AD1641" s="240" t="str">
        <f t="shared" si="206"/>
        <v>OK</v>
      </c>
      <c r="AE1641" s="240" t="str">
        <f t="shared" si="207"/>
        <v>OK</v>
      </c>
      <c r="AF1641" s="240" t="str" cm="1">
        <f t="array" aca="1" ref="AF1641" ca="1" xml:space="preserve">
IF(AND($G1641&lt;&gt;"",$F1641=""),"ERROR",
IF(OR($F1641:$G1641="",AND($G1641="",$F1641&lt;&gt;"")),"OK",
IF(COUNTIF(INDIRECT(IFERROR(LEFT($F1641,FIND(" ",$F1641)-1),$F1641)), $G1641)&gt;0, "OK", "ERROR")))</f>
        <v>OK</v>
      </c>
    </row>
    <row r="1642" spans="1:32" s="240" customFormat="1">
      <c r="A1642" s="48"/>
      <c r="B1642" s="31"/>
      <c r="C1642" s="48"/>
      <c r="D1642" s="47"/>
      <c r="E1642" s="47"/>
      <c r="F1642" s="31"/>
      <c r="G1642" s="31"/>
      <c r="H1642" s="31"/>
      <c r="I1642" s="47"/>
      <c r="J1642" s="31"/>
      <c r="K1642" s="47"/>
      <c r="L1642" s="47"/>
      <c r="M1642" s="47"/>
      <c r="N1642" s="31"/>
      <c r="O1642" s="47"/>
      <c r="P1642" s="31"/>
      <c r="Q1642" s="31"/>
      <c r="R1642" s="31"/>
      <c r="S1642" s="31"/>
      <c r="T1642" s="270">
        <f t="shared" si="200"/>
        <v>0</v>
      </c>
      <c r="U1642" s="270">
        <f t="shared" si="201"/>
        <v>0</v>
      </c>
      <c r="V1642" s="31"/>
      <c r="X1642" s="240" t="str">
        <f t="shared" si="202"/>
        <v>OK</v>
      </c>
      <c r="Y1642" s="240" t="str">
        <f t="shared" si="203"/>
        <v>OK</v>
      </c>
      <c r="Z1642" s="240" t="str">
        <f t="shared" si="204"/>
        <v>OK</v>
      </c>
      <c r="AA1642" s="240" t="str" cm="1">
        <f t="array" ref="AA1642">IF(OR(AND(J1642="Not accepted",N1642:O1642&lt;&gt;"",$S1642=""),AND(J1642="Accepted",S1642="")),"ERROR","OK")</f>
        <v>OK</v>
      </c>
      <c r="AB1642" s="240" t="str">
        <f t="shared" si="205"/>
        <v>OK</v>
      </c>
      <c r="AC1642" s="240" t="str" cm="1">
        <f t="array" ref="AC1642">IF(AND(F1642:H1642&lt;&gt;"",I1642=""),"ERROR","OK")</f>
        <v>OK</v>
      </c>
      <c r="AD1642" s="240" t="str">
        <f t="shared" si="206"/>
        <v>OK</v>
      </c>
      <c r="AE1642" s="240" t="str">
        <f t="shared" si="207"/>
        <v>OK</v>
      </c>
      <c r="AF1642" s="240" t="str" cm="1">
        <f t="array" aca="1" ref="AF1642" ca="1" xml:space="preserve">
IF(AND($G1642&lt;&gt;"",$F1642=""),"ERROR",
IF(OR($F1642:$G1642="",AND($G1642="",$F1642&lt;&gt;"")),"OK",
IF(COUNTIF(INDIRECT(IFERROR(LEFT($F1642,FIND(" ",$F1642)-1),$F1642)), $G1642)&gt;0, "OK", "ERROR")))</f>
        <v>OK</v>
      </c>
    </row>
    <row r="1643" spans="1:32" s="240" customFormat="1">
      <c r="A1643" s="48"/>
      <c r="B1643" s="31"/>
      <c r="C1643" s="48"/>
      <c r="D1643" s="47"/>
      <c r="E1643" s="47"/>
      <c r="F1643" s="31"/>
      <c r="G1643" s="31"/>
      <c r="H1643" s="31"/>
      <c r="I1643" s="47"/>
      <c r="J1643" s="31"/>
      <c r="K1643" s="47"/>
      <c r="L1643" s="47"/>
      <c r="M1643" s="47"/>
      <c r="N1643" s="31"/>
      <c r="O1643" s="47"/>
      <c r="P1643" s="31"/>
      <c r="Q1643" s="31"/>
      <c r="R1643" s="31"/>
      <c r="S1643" s="31"/>
      <c r="T1643" s="270">
        <f t="shared" si="200"/>
        <v>0</v>
      </c>
      <c r="U1643" s="270">
        <f t="shared" si="201"/>
        <v>0</v>
      </c>
      <c r="V1643" s="31"/>
      <c r="X1643" s="240" t="str">
        <f t="shared" si="202"/>
        <v>OK</v>
      </c>
      <c r="Y1643" s="240" t="str">
        <f t="shared" si="203"/>
        <v>OK</v>
      </c>
      <c r="Z1643" s="240" t="str">
        <f t="shared" si="204"/>
        <v>OK</v>
      </c>
      <c r="AA1643" s="240" t="str" cm="1">
        <f t="array" ref="AA1643">IF(OR(AND(J1643="Not accepted",N1643:O1643&lt;&gt;"",$S1643=""),AND(J1643="Accepted",S1643="")),"ERROR","OK")</f>
        <v>OK</v>
      </c>
      <c r="AB1643" s="240" t="str">
        <f t="shared" si="205"/>
        <v>OK</v>
      </c>
      <c r="AC1643" s="240" t="str" cm="1">
        <f t="array" ref="AC1643">IF(AND(F1643:H1643&lt;&gt;"",I1643=""),"ERROR","OK")</f>
        <v>OK</v>
      </c>
      <c r="AD1643" s="240" t="str">
        <f t="shared" si="206"/>
        <v>OK</v>
      </c>
      <c r="AE1643" s="240" t="str">
        <f t="shared" si="207"/>
        <v>OK</v>
      </c>
      <c r="AF1643" s="240" t="str" cm="1">
        <f t="array" aca="1" ref="AF1643" ca="1" xml:space="preserve">
IF(AND($G1643&lt;&gt;"",$F1643=""),"ERROR",
IF(OR($F1643:$G1643="",AND($G1643="",$F1643&lt;&gt;"")),"OK",
IF(COUNTIF(INDIRECT(IFERROR(LEFT($F1643,FIND(" ",$F1643)-1),$F1643)), $G1643)&gt;0, "OK", "ERROR")))</f>
        <v>OK</v>
      </c>
    </row>
    <row r="1644" spans="1:32" s="240" customFormat="1">
      <c r="A1644" s="48"/>
      <c r="B1644" s="31"/>
      <c r="C1644" s="48"/>
      <c r="D1644" s="47"/>
      <c r="E1644" s="47"/>
      <c r="F1644" s="31"/>
      <c r="G1644" s="31"/>
      <c r="H1644" s="31"/>
      <c r="I1644" s="47"/>
      <c r="J1644" s="31"/>
      <c r="K1644" s="47"/>
      <c r="L1644" s="47"/>
      <c r="M1644" s="47"/>
      <c r="N1644" s="31"/>
      <c r="O1644" s="47"/>
      <c r="P1644" s="31"/>
      <c r="Q1644" s="31"/>
      <c r="R1644" s="31"/>
      <c r="S1644" s="31"/>
      <c r="T1644" s="270">
        <f t="shared" si="200"/>
        <v>0</v>
      </c>
      <c r="U1644" s="270">
        <f t="shared" si="201"/>
        <v>0</v>
      </c>
      <c r="V1644" s="31"/>
      <c r="X1644" s="240" t="str">
        <f t="shared" si="202"/>
        <v>OK</v>
      </c>
      <c r="Y1644" s="240" t="str">
        <f t="shared" si="203"/>
        <v>OK</v>
      </c>
      <c r="Z1644" s="240" t="str">
        <f t="shared" si="204"/>
        <v>OK</v>
      </c>
      <c r="AA1644" s="240" t="str" cm="1">
        <f t="array" ref="AA1644">IF(OR(AND(J1644="Not accepted",N1644:O1644&lt;&gt;"",$S1644=""),AND(J1644="Accepted",S1644="")),"ERROR","OK")</f>
        <v>OK</v>
      </c>
      <c r="AB1644" s="240" t="str">
        <f t="shared" si="205"/>
        <v>OK</v>
      </c>
      <c r="AC1644" s="240" t="str" cm="1">
        <f t="array" ref="AC1644">IF(AND(F1644:H1644&lt;&gt;"",I1644=""),"ERROR","OK")</f>
        <v>OK</v>
      </c>
      <c r="AD1644" s="240" t="str">
        <f t="shared" si="206"/>
        <v>OK</v>
      </c>
      <c r="AE1644" s="240" t="str">
        <f t="shared" si="207"/>
        <v>OK</v>
      </c>
      <c r="AF1644" s="240" t="str" cm="1">
        <f t="array" aca="1" ref="AF1644" ca="1" xml:space="preserve">
IF(AND($G1644&lt;&gt;"",$F1644=""),"ERROR",
IF(OR($F1644:$G1644="",AND($G1644="",$F1644&lt;&gt;"")),"OK",
IF(COUNTIF(INDIRECT(IFERROR(LEFT($F1644,FIND(" ",$F1644)-1),$F1644)), $G1644)&gt;0, "OK", "ERROR")))</f>
        <v>OK</v>
      </c>
    </row>
    <row r="1645" spans="1:32" s="240" customFormat="1">
      <c r="A1645" s="48"/>
      <c r="B1645" s="31"/>
      <c r="C1645" s="48"/>
      <c r="D1645" s="47"/>
      <c r="E1645" s="47"/>
      <c r="F1645" s="31"/>
      <c r="G1645" s="31"/>
      <c r="H1645" s="31"/>
      <c r="I1645" s="47"/>
      <c r="J1645" s="31"/>
      <c r="K1645" s="47"/>
      <c r="L1645" s="47"/>
      <c r="M1645" s="47"/>
      <c r="N1645" s="31"/>
      <c r="O1645" s="47"/>
      <c r="P1645" s="31"/>
      <c r="Q1645" s="31"/>
      <c r="R1645" s="31"/>
      <c r="S1645" s="31"/>
      <c r="T1645" s="270">
        <f t="shared" si="200"/>
        <v>0</v>
      </c>
      <c r="U1645" s="270">
        <f t="shared" si="201"/>
        <v>0</v>
      </c>
      <c r="V1645" s="31"/>
      <c r="X1645" s="240" t="str">
        <f t="shared" si="202"/>
        <v>OK</v>
      </c>
      <c r="Y1645" s="240" t="str">
        <f t="shared" si="203"/>
        <v>OK</v>
      </c>
      <c r="Z1645" s="240" t="str">
        <f t="shared" si="204"/>
        <v>OK</v>
      </c>
      <c r="AA1645" s="240" t="str" cm="1">
        <f t="array" ref="AA1645">IF(OR(AND(J1645="Not accepted",N1645:O1645&lt;&gt;"",$S1645=""),AND(J1645="Accepted",S1645="")),"ERROR","OK")</f>
        <v>OK</v>
      </c>
      <c r="AB1645" s="240" t="str">
        <f t="shared" si="205"/>
        <v>OK</v>
      </c>
      <c r="AC1645" s="240" t="str" cm="1">
        <f t="array" ref="AC1645">IF(AND(F1645:H1645&lt;&gt;"",I1645=""),"ERROR","OK")</f>
        <v>OK</v>
      </c>
      <c r="AD1645" s="240" t="str">
        <f t="shared" si="206"/>
        <v>OK</v>
      </c>
      <c r="AE1645" s="240" t="str">
        <f t="shared" si="207"/>
        <v>OK</v>
      </c>
      <c r="AF1645" s="240" t="str" cm="1">
        <f t="array" aca="1" ref="AF1645" ca="1" xml:space="preserve">
IF(AND($G1645&lt;&gt;"",$F1645=""),"ERROR",
IF(OR($F1645:$G1645="",AND($G1645="",$F1645&lt;&gt;"")),"OK",
IF(COUNTIF(INDIRECT(IFERROR(LEFT($F1645,FIND(" ",$F1645)-1),$F1645)), $G1645)&gt;0, "OK", "ERROR")))</f>
        <v>OK</v>
      </c>
    </row>
    <row r="1646" spans="1:32" s="240" customFormat="1">
      <c r="A1646" s="48"/>
      <c r="B1646" s="31"/>
      <c r="C1646" s="48"/>
      <c r="D1646" s="47"/>
      <c r="E1646" s="47"/>
      <c r="F1646" s="31"/>
      <c r="G1646" s="31"/>
      <c r="H1646" s="31"/>
      <c r="I1646" s="47"/>
      <c r="J1646" s="31"/>
      <c r="K1646" s="47"/>
      <c r="L1646" s="47"/>
      <c r="M1646" s="47"/>
      <c r="N1646" s="31"/>
      <c r="O1646" s="47"/>
      <c r="P1646" s="31"/>
      <c r="Q1646" s="31"/>
      <c r="R1646" s="31"/>
      <c r="S1646" s="31"/>
      <c r="T1646" s="270">
        <f t="shared" si="200"/>
        <v>0</v>
      </c>
      <c r="U1646" s="270">
        <f t="shared" si="201"/>
        <v>0</v>
      </c>
      <c r="V1646" s="31"/>
      <c r="X1646" s="240" t="str">
        <f t="shared" si="202"/>
        <v>OK</v>
      </c>
      <c r="Y1646" s="240" t="str">
        <f t="shared" si="203"/>
        <v>OK</v>
      </c>
      <c r="Z1646" s="240" t="str">
        <f t="shared" si="204"/>
        <v>OK</v>
      </c>
      <c r="AA1646" s="240" t="str" cm="1">
        <f t="array" ref="AA1646">IF(OR(AND(J1646="Not accepted",N1646:O1646&lt;&gt;"",$S1646=""),AND(J1646="Accepted",S1646="")),"ERROR","OK")</f>
        <v>OK</v>
      </c>
      <c r="AB1646" s="240" t="str">
        <f t="shared" si="205"/>
        <v>OK</v>
      </c>
      <c r="AC1646" s="240" t="str" cm="1">
        <f t="array" ref="AC1646">IF(AND(F1646:H1646&lt;&gt;"",I1646=""),"ERROR","OK")</f>
        <v>OK</v>
      </c>
      <c r="AD1646" s="240" t="str">
        <f t="shared" si="206"/>
        <v>OK</v>
      </c>
      <c r="AE1646" s="240" t="str">
        <f t="shared" si="207"/>
        <v>OK</v>
      </c>
      <c r="AF1646" s="240" t="str" cm="1">
        <f t="array" aca="1" ref="AF1646" ca="1" xml:space="preserve">
IF(AND($G1646&lt;&gt;"",$F1646=""),"ERROR",
IF(OR($F1646:$G1646="",AND($G1646="",$F1646&lt;&gt;"")),"OK",
IF(COUNTIF(INDIRECT(IFERROR(LEFT($F1646,FIND(" ",$F1646)-1),$F1646)), $G1646)&gt;0, "OK", "ERROR")))</f>
        <v>OK</v>
      </c>
    </row>
    <row r="1647" spans="1:32" s="240" customFormat="1">
      <c r="A1647" s="48"/>
      <c r="B1647" s="31"/>
      <c r="C1647" s="48"/>
      <c r="D1647" s="47"/>
      <c r="E1647" s="47"/>
      <c r="F1647" s="31"/>
      <c r="G1647" s="31"/>
      <c r="H1647" s="31"/>
      <c r="I1647" s="47"/>
      <c r="J1647" s="31"/>
      <c r="K1647" s="47"/>
      <c r="L1647" s="47"/>
      <c r="M1647" s="47"/>
      <c r="N1647" s="31"/>
      <c r="O1647" s="47"/>
      <c r="P1647" s="31"/>
      <c r="Q1647" s="31"/>
      <c r="R1647" s="31"/>
      <c r="S1647" s="31"/>
      <c r="T1647" s="270">
        <f t="shared" si="200"/>
        <v>0</v>
      </c>
      <c r="U1647" s="270">
        <f t="shared" si="201"/>
        <v>0</v>
      </c>
      <c r="V1647" s="31"/>
      <c r="X1647" s="240" t="str">
        <f t="shared" si="202"/>
        <v>OK</v>
      </c>
      <c r="Y1647" s="240" t="str">
        <f t="shared" si="203"/>
        <v>OK</v>
      </c>
      <c r="Z1647" s="240" t="str">
        <f t="shared" si="204"/>
        <v>OK</v>
      </c>
      <c r="AA1647" s="240" t="str" cm="1">
        <f t="array" ref="AA1647">IF(OR(AND(J1647="Not accepted",N1647:O1647&lt;&gt;"",$S1647=""),AND(J1647="Accepted",S1647="")),"ERROR","OK")</f>
        <v>OK</v>
      </c>
      <c r="AB1647" s="240" t="str">
        <f t="shared" si="205"/>
        <v>OK</v>
      </c>
      <c r="AC1647" s="240" t="str" cm="1">
        <f t="array" ref="AC1647">IF(AND(F1647:H1647&lt;&gt;"",I1647=""),"ERROR","OK")</f>
        <v>OK</v>
      </c>
      <c r="AD1647" s="240" t="str">
        <f t="shared" si="206"/>
        <v>OK</v>
      </c>
      <c r="AE1647" s="240" t="str">
        <f t="shared" si="207"/>
        <v>OK</v>
      </c>
      <c r="AF1647" s="240" t="str" cm="1">
        <f t="array" aca="1" ref="AF1647" ca="1" xml:space="preserve">
IF(AND($G1647&lt;&gt;"",$F1647=""),"ERROR",
IF(OR($F1647:$G1647="",AND($G1647="",$F1647&lt;&gt;"")),"OK",
IF(COUNTIF(INDIRECT(IFERROR(LEFT($F1647,FIND(" ",$F1647)-1),$F1647)), $G1647)&gt;0, "OK", "ERROR")))</f>
        <v>OK</v>
      </c>
    </row>
    <row r="1648" spans="1:32" s="240" customFormat="1">
      <c r="A1648" s="48"/>
      <c r="B1648" s="31"/>
      <c r="C1648" s="48"/>
      <c r="D1648" s="47"/>
      <c r="E1648" s="47"/>
      <c r="F1648" s="31"/>
      <c r="G1648" s="31"/>
      <c r="H1648" s="31"/>
      <c r="I1648" s="47"/>
      <c r="J1648" s="31"/>
      <c r="K1648" s="47"/>
      <c r="L1648" s="47"/>
      <c r="M1648" s="47"/>
      <c r="N1648" s="31"/>
      <c r="O1648" s="47"/>
      <c r="P1648" s="31"/>
      <c r="Q1648" s="31"/>
      <c r="R1648" s="31"/>
      <c r="S1648" s="31"/>
      <c r="T1648" s="270">
        <f t="shared" si="200"/>
        <v>0</v>
      </c>
      <c r="U1648" s="270">
        <f t="shared" si="201"/>
        <v>0</v>
      </c>
      <c r="V1648" s="31"/>
      <c r="X1648" s="240" t="str">
        <f t="shared" si="202"/>
        <v>OK</v>
      </c>
      <c r="Y1648" s="240" t="str">
        <f t="shared" si="203"/>
        <v>OK</v>
      </c>
      <c r="Z1648" s="240" t="str">
        <f t="shared" si="204"/>
        <v>OK</v>
      </c>
      <c r="AA1648" s="240" t="str" cm="1">
        <f t="array" ref="AA1648">IF(OR(AND(J1648="Not accepted",N1648:O1648&lt;&gt;"",$S1648=""),AND(J1648="Accepted",S1648="")),"ERROR","OK")</f>
        <v>OK</v>
      </c>
      <c r="AB1648" s="240" t="str">
        <f t="shared" si="205"/>
        <v>OK</v>
      </c>
      <c r="AC1648" s="240" t="str" cm="1">
        <f t="array" ref="AC1648">IF(AND(F1648:H1648&lt;&gt;"",I1648=""),"ERROR","OK")</f>
        <v>OK</v>
      </c>
      <c r="AD1648" s="240" t="str">
        <f t="shared" si="206"/>
        <v>OK</v>
      </c>
      <c r="AE1648" s="240" t="str">
        <f t="shared" si="207"/>
        <v>OK</v>
      </c>
      <c r="AF1648" s="240" t="str" cm="1">
        <f t="array" aca="1" ref="AF1648" ca="1" xml:space="preserve">
IF(AND($G1648&lt;&gt;"",$F1648=""),"ERROR",
IF(OR($F1648:$G1648="",AND($G1648="",$F1648&lt;&gt;"")),"OK",
IF(COUNTIF(INDIRECT(IFERROR(LEFT($F1648,FIND(" ",$F1648)-1),$F1648)), $G1648)&gt;0, "OK", "ERROR")))</f>
        <v>OK</v>
      </c>
    </row>
    <row r="1649" spans="1:32" s="240" customFormat="1">
      <c r="A1649" s="48"/>
      <c r="B1649" s="31"/>
      <c r="C1649" s="48"/>
      <c r="D1649" s="47"/>
      <c r="E1649" s="47"/>
      <c r="F1649" s="31"/>
      <c r="G1649" s="31"/>
      <c r="H1649" s="31"/>
      <c r="I1649" s="47"/>
      <c r="J1649" s="31"/>
      <c r="K1649" s="47"/>
      <c r="L1649" s="47"/>
      <c r="M1649" s="47"/>
      <c r="N1649" s="31"/>
      <c r="O1649" s="47"/>
      <c r="P1649" s="31"/>
      <c r="Q1649" s="31"/>
      <c r="R1649" s="31"/>
      <c r="S1649" s="31"/>
      <c r="T1649" s="270">
        <f t="shared" si="200"/>
        <v>0</v>
      </c>
      <c r="U1649" s="270">
        <f t="shared" si="201"/>
        <v>0</v>
      </c>
      <c r="V1649" s="31"/>
      <c r="X1649" s="240" t="str">
        <f t="shared" si="202"/>
        <v>OK</v>
      </c>
      <c r="Y1649" s="240" t="str">
        <f t="shared" si="203"/>
        <v>OK</v>
      </c>
      <c r="Z1649" s="240" t="str">
        <f t="shared" si="204"/>
        <v>OK</v>
      </c>
      <c r="AA1649" s="240" t="str" cm="1">
        <f t="array" ref="AA1649">IF(OR(AND(J1649="Not accepted",N1649:O1649&lt;&gt;"",$S1649=""),AND(J1649="Accepted",S1649="")),"ERROR","OK")</f>
        <v>OK</v>
      </c>
      <c r="AB1649" s="240" t="str">
        <f t="shared" si="205"/>
        <v>OK</v>
      </c>
      <c r="AC1649" s="240" t="str" cm="1">
        <f t="array" ref="AC1649">IF(AND(F1649:H1649&lt;&gt;"",I1649=""),"ERROR","OK")</f>
        <v>OK</v>
      </c>
      <c r="AD1649" s="240" t="str">
        <f t="shared" si="206"/>
        <v>OK</v>
      </c>
      <c r="AE1649" s="240" t="str">
        <f t="shared" si="207"/>
        <v>OK</v>
      </c>
      <c r="AF1649" s="240" t="str" cm="1">
        <f t="array" aca="1" ref="AF1649" ca="1" xml:space="preserve">
IF(AND($G1649&lt;&gt;"",$F1649=""),"ERROR",
IF(OR($F1649:$G1649="",AND($G1649="",$F1649&lt;&gt;"")),"OK",
IF(COUNTIF(INDIRECT(IFERROR(LEFT($F1649,FIND(" ",$F1649)-1),$F1649)), $G1649)&gt;0, "OK", "ERROR")))</f>
        <v>OK</v>
      </c>
    </row>
    <row r="1650" spans="1:32" s="240" customFormat="1">
      <c r="A1650" s="48"/>
      <c r="B1650" s="31"/>
      <c r="C1650" s="48"/>
      <c r="D1650" s="47"/>
      <c r="E1650" s="47"/>
      <c r="F1650" s="31"/>
      <c r="G1650" s="31"/>
      <c r="H1650" s="31"/>
      <c r="I1650" s="47"/>
      <c r="J1650" s="31"/>
      <c r="K1650" s="47"/>
      <c r="L1650" s="47"/>
      <c r="M1650" s="47"/>
      <c r="N1650" s="31"/>
      <c r="O1650" s="47"/>
      <c r="P1650" s="31"/>
      <c r="Q1650" s="31"/>
      <c r="R1650" s="31"/>
      <c r="S1650" s="31"/>
      <c r="T1650" s="270">
        <f t="shared" si="200"/>
        <v>0</v>
      </c>
      <c r="U1650" s="270">
        <f t="shared" si="201"/>
        <v>0</v>
      </c>
      <c r="V1650" s="31"/>
      <c r="X1650" s="240" t="str">
        <f t="shared" si="202"/>
        <v>OK</v>
      </c>
      <c r="Y1650" s="240" t="str">
        <f t="shared" si="203"/>
        <v>OK</v>
      </c>
      <c r="Z1650" s="240" t="str">
        <f t="shared" si="204"/>
        <v>OK</v>
      </c>
      <c r="AA1650" s="240" t="str" cm="1">
        <f t="array" ref="AA1650">IF(OR(AND(J1650="Not accepted",N1650:O1650&lt;&gt;"",$S1650=""),AND(J1650="Accepted",S1650="")),"ERROR","OK")</f>
        <v>OK</v>
      </c>
      <c r="AB1650" s="240" t="str">
        <f t="shared" si="205"/>
        <v>OK</v>
      </c>
      <c r="AC1650" s="240" t="str" cm="1">
        <f t="array" ref="AC1650">IF(AND(F1650:H1650&lt;&gt;"",I1650=""),"ERROR","OK")</f>
        <v>OK</v>
      </c>
      <c r="AD1650" s="240" t="str">
        <f t="shared" si="206"/>
        <v>OK</v>
      </c>
      <c r="AE1650" s="240" t="str">
        <f t="shared" si="207"/>
        <v>OK</v>
      </c>
      <c r="AF1650" s="240" t="str" cm="1">
        <f t="array" aca="1" ref="AF1650" ca="1" xml:space="preserve">
IF(AND($G1650&lt;&gt;"",$F1650=""),"ERROR",
IF(OR($F1650:$G1650="",AND($G1650="",$F1650&lt;&gt;"")),"OK",
IF(COUNTIF(INDIRECT(IFERROR(LEFT($F1650,FIND(" ",$F1650)-1),$F1650)), $G1650)&gt;0, "OK", "ERROR")))</f>
        <v>OK</v>
      </c>
    </row>
    <row r="1651" spans="1:32" s="240" customFormat="1">
      <c r="A1651" s="48"/>
      <c r="B1651" s="31"/>
      <c r="C1651" s="48"/>
      <c r="D1651" s="47"/>
      <c r="E1651" s="47"/>
      <c r="F1651" s="31"/>
      <c r="G1651" s="31"/>
      <c r="H1651" s="31"/>
      <c r="I1651" s="47"/>
      <c r="J1651" s="31"/>
      <c r="K1651" s="47"/>
      <c r="L1651" s="47"/>
      <c r="M1651" s="47"/>
      <c r="N1651" s="31"/>
      <c r="O1651" s="47"/>
      <c r="P1651" s="31"/>
      <c r="Q1651" s="31"/>
      <c r="R1651" s="31"/>
      <c r="S1651" s="31"/>
      <c r="T1651" s="270">
        <f t="shared" si="200"/>
        <v>0</v>
      </c>
      <c r="U1651" s="270">
        <f t="shared" si="201"/>
        <v>0</v>
      </c>
      <c r="V1651" s="31"/>
      <c r="X1651" s="240" t="str">
        <f t="shared" si="202"/>
        <v>OK</v>
      </c>
      <c r="Y1651" s="240" t="str">
        <f t="shared" si="203"/>
        <v>OK</v>
      </c>
      <c r="Z1651" s="240" t="str">
        <f t="shared" si="204"/>
        <v>OK</v>
      </c>
      <c r="AA1651" s="240" t="str" cm="1">
        <f t="array" ref="AA1651">IF(OR(AND(J1651="Not accepted",N1651:O1651&lt;&gt;"",$S1651=""),AND(J1651="Accepted",S1651="")),"ERROR","OK")</f>
        <v>OK</v>
      </c>
      <c r="AB1651" s="240" t="str">
        <f t="shared" si="205"/>
        <v>OK</v>
      </c>
      <c r="AC1651" s="240" t="str" cm="1">
        <f t="array" ref="AC1651">IF(AND(F1651:H1651&lt;&gt;"",I1651=""),"ERROR","OK")</f>
        <v>OK</v>
      </c>
      <c r="AD1651" s="240" t="str">
        <f t="shared" si="206"/>
        <v>OK</v>
      </c>
      <c r="AE1651" s="240" t="str">
        <f t="shared" si="207"/>
        <v>OK</v>
      </c>
      <c r="AF1651" s="240" t="str" cm="1">
        <f t="array" aca="1" ref="AF1651" ca="1" xml:space="preserve">
IF(AND($G1651&lt;&gt;"",$F1651=""),"ERROR",
IF(OR($F1651:$G1651="",AND($G1651="",$F1651&lt;&gt;"")),"OK",
IF(COUNTIF(INDIRECT(IFERROR(LEFT($F1651,FIND(" ",$F1651)-1),$F1651)), $G1651)&gt;0, "OK", "ERROR")))</f>
        <v>OK</v>
      </c>
    </row>
    <row r="1652" spans="1:32" s="240" customFormat="1">
      <c r="A1652" s="48"/>
      <c r="B1652" s="31"/>
      <c r="C1652" s="48"/>
      <c r="D1652" s="47"/>
      <c r="E1652" s="47"/>
      <c r="F1652" s="31"/>
      <c r="G1652" s="31"/>
      <c r="H1652" s="31"/>
      <c r="I1652" s="47"/>
      <c r="J1652" s="31"/>
      <c r="K1652" s="47"/>
      <c r="L1652" s="47"/>
      <c r="M1652" s="47"/>
      <c r="N1652" s="31"/>
      <c r="O1652" s="47"/>
      <c r="P1652" s="31"/>
      <c r="Q1652" s="31"/>
      <c r="R1652" s="31"/>
      <c r="S1652" s="31"/>
      <c r="T1652" s="270">
        <f t="shared" si="200"/>
        <v>0</v>
      </c>
      <c r="U1652" s="270">
        <f t="shared" si="201"/>
        <v>0</v>
      </c>
      <c r="V1652" s="31"/>
      <c r="X1652" s="240" t="str">
        <f t="shared" si="202"/>
        <v>OK</v>
      </c>
      <c r="Y1652" s="240" t="str">
        <f t="shared" si="203"/>
        <v>OK</v>
      </c>
      <c r="Z1652" s="240" t="str">
        <f t="shared" si="204"/>
        <v>OK</v>
      </c>
      <c r="AA1652" s="240" t="str" cm="1">
        <f t="array" ref="AA1652">IF(OR(AND(J1652="Not accepted",N1652:O1652&lt;&gt;"",$S1652=""),AND(J1652="Accepted",S1652="")),"ERROR","OK")</f>
        <v>OK</v>
      </c>
      <c r="AB1652" s="240" t="str">
        <f t="shared" si="205"/>
        <v>OK</v>
      </c>
      <c r="AC1652" s="240" t="str" cm="1">
        <f t="array" ref="AC1652">IF(AND(F1652:H1652&lt;&gt;"",I1652=""),"ERROR","OK")</f>
        <v>OK</v>
      </c>
      <c r="AD1652" s="240" t="str">
        <f t="shared" si="206"/>
        <v>OK</v>
      </c>
      <c r="AE1652" s="240" t="str">
        <f t="shared" si="207"/>
        <v>OK</v>
      </c>
      <c r="AF1652" s="240" t="str" cm="1">
        <f t="array" aca="1" ref="AF1652" ca="1" xml:space="preserve">
IF(AND($G1652&lt;&gt;"",$F1652=""),"ERROR",
IF(OR($F1652:$G1652="",AND($G1652="",$F1652&lt;&gt;"")),"OK",
IF(COUNTIF(INDIRECT(IFERROR(LEFT($F1652,FIND(" ",$F1652)-1),$F1652)), $G1652)&gt;0, "OK", "ERROR")))</f>
        <v>OK</v>
      </c>
    </row>
    <row r="1653" spans="1:32" s="240" customFormat="1">
      <c r="A1653" s="48"/>
      <c r="B1653" s="31"/>
      <c r="C1653" s="48"/>
      <c r="D1653" s="47"/>
      <c r="E1653" s="47"/>
      <c r="F1653" s="31"/>
      <c r="G1653" s="31"/>
      <c r="H1653" s="31"/>
      <c r="I1653" s="47"/>
      <c r="J1653" s="31"/>
      <c r="K1653" s="47"/>
      <c r="L1653" s="47"/>
      <c r="M1653" s="47"/>
      <c r="N1653" s="31"/>
      <c r="O1653" s="47"/>
      <c r="P1653" s="31"/>
      <c r="Q1653" s="31"/>
      <c r="R1653" s="31"/>
      <c r="S1653" s="31"/>
      <c r="T1653" s="270">
        <f t="shared" si="200"/>
        <v>0</v>
      </c>
      <c r="U1653" s="270">
        <f t="shared" si="201"/>
        <v>0</v>
      </c>
      <c r="V1653" s="31"/>
      <c r="X1653" s="240" t="str">
        <f t="shared" si="202"/>
        <v>OK</v>
      </c>
      <c r="Y1653" s="240" t="str">
        <f t="shared" si="203"/>
        <v>OK</v>
      </c>
      <c r="Z1653" s="240" t="str">
        <f t="shared" si="204"/>
        <v>OK</v>
      </c>
      <c r="AA1653" s="240" t="str" cm="1">
        <f t="array" ref="AA1653">IF(OR(AND(J1653="Not accepted",N1653:O1653&lt;&gt;"",$S1653=""),AND(J1653="Accepted",S1653="")),"ERROR","OK")</f>
        <v>OK</v>
      </c>
      <c r="AB1653" s="240" t="str">
        <f t="shared" si="205"/>
        <v>OK</v>
      </c>
      <c r="AC1653" s="240" t="str" cm="1">
        <f t="array" ref="AC1653">IF(AND(F1653:H1653&lt;&gt;"",I1653=""),"ERROR","OK")</f>
        <v>OK</v>
      </c>
      <c r="AD1653" s="240" t="str">
        <f t="shared" si="206"/>
        <v>OK</v>
      </c>
      <c r="AE1653" s="240" t="str">
        <f t="shared" si="207"/>
        <v>OK</v>
      </c>
      <c r="AF1653" s="240" t="str" cm="1">
        <f t="array" aca="1" ref="AF1653" ca="1" xml:space="preserve">
IF(AND($G1653&lt;&gt;"",$F1653=""),"ERROR",
IF(OR($F1653:$G1653="",AND($G1653="",$F1653&lt;&gt;"")),"OK",
IF(COUNTIF(INDIRECT(IFERROR(LEFT($F1653,FIND(" ",$F1653)-1),$F1653)), $G1653)&gt;0, "OK", "ERROR")))</f>
        <v>OK</v>
      </c>
    </row>
    <row r="1654" spans="1:32" s="240" customFormat="1">
      <c r="A1654" s="48"/>
      <c r="B1654" s="31"/>
      <c r="C1654" s="48"/>
      <c r="D1654" s="47"/>
      <c r="E1654" s="47"/>
      <c r="F1654" s="31"/>
      <c r="G1654" s="31"/>
      <c r="H1654" s="31"/>
      <c r="I1654" s="47"/>
      <c r="J1654" s="31"/>
      <c r="K1654" s="47"/>
      <c r="L1654" s="47"/>
      <c r="M1654" s="47"/>
      <c r="N1654" s="31"/>
      <c r="O1654" s="47"/>
      <c r="P1654" s="31"/>
      <c r="Q1654" s="31"/>
      <c r="R1654" s="31"/>
      <c r="S1654" s="31"/>
      <c r="T1654" s="270">
        <f t="shared" si="200"/>
        <v>0</v>
      </c>
      <c r="U1654" s="270">
        <f t="shared" si="201"/>
        <v>0</v>
      </c>
      <c r="V1654" s="31"/>
      <c r="X1654" s="240" t="str">
        <f t="shared" si="202"/>
        <v>OK</v>
      </c>
      <c r="Y1654" s="240" t="str">
        <f t="shared" si="203"/>
        <v>OK</v>
      </c>
      <c r="Z1654" s="240" t="str">
        <f t="shared" si="204"/>
        <v>OK</v>
      </c>
      <c r="AA1654" s="240" t="str" cm="1">
        <f t="array" ref="AA1654">IF(OR(AND(J1654="Not accepted",N1654:O1654&lt;&gt;"",$S1654=""),AND(J1654="Accepted",S1654="")),"ERROR","OK")</f>
        <v>OK</v>
      </c>
      <c r="AB1654" s="240" t="str">
        <f t="shared" si="205"/>
        <v>OK</v>
      </c>
      <c r="AC1654" s="240" t="str" cm="1">
        <f t="array" ref="AC1654">IF(AND(F1654:H1654&lt;&gt;"",I1654=""),"ERROR","OK")</f>
        <v>OK</v>
      </c>
      <c r="AD1654" s="240" t="str">
        <f t="shared" si="206"/>
        <v>OK</v>
      </c>
      <c r="AE1654" s="240" t="str">
        <f t="shared" si="207"/>
        <v>OK</v>
      </c>
      <c r="AF1654" s="240" t="str" cm="1">
        <f t="array" aca="1" ref="AF1654" ca="1" xml:space="preserve">
IF(AND($G1654&lt;&gt;"",$F1654=""),"ERROR",
IF(OR($F1654:$G1654="",AND($G1654="",$F1654&lt;&gt;"")),"OK",
IF(COUNTIF(INDIRECT(IFERROR(LEFT($F1654,FIND(" ",$F1654)-1),$F1654)), $G1654)&gt;0, "OK", "ERROR")))</f>
        <v>OK</v>
      </c>
    </row>
    <row r="1655" spans="1:32" s="240" customFormat="1">
      <c r="A1655" s="48"/>
      <c r="B1655" s="31"/>
      <c r="C1655" s="48"/>
      <c r="D1655" s="47"/>
      <c r="E1655" s="47"/>
      <c r="F1655" s="31"/>
      <c r="G1655" s="31"/>
      <c r="H1655" s="31"/>
      <c r="I1655" s="47"/>
      <c r="J1655" s="31"/>
      <c r="K1655" s="47"/>
      <c r="L1655" s="47"/>
      <c r="M1655" s="47"/>
      <c r="N1655" s="31"/>
      <c r="O1655" s="47"/>
      <c r="P1655" s="31"/>
      <c r="Q1655" s="31"/>
      <c r="R1655" s="31"/>
      <c r="S1655" s="31"/>
      <c r="T1655" s="270">
        <f t="shared" si="200"/>
        <v>0</v>
      </c>
      <c r="U1655" s="270">
        <f t="shared" si="201"/>
        <v>0</v>
      </c>
      <c r="V1655" s="31"/>
      <c r="X1655" s="240" t="str">
        <f t="shared" si="202"/>
        <v>OK</v>
      </c>
      <c r="Y1655" s="240" t="str">
        <f t="shared" si="203"/>
        <v>OK</v>
      </c>
      <c r="Z1655" s="240" t="str">
        <f t="shared" si="204"/>
        <v>OK</v>
      </c>
      <c r="AA1655" s="240" t="str" cm="1">
        <f t="array" ref="AA1655">IF(OR(AND(J1655="Not accepted",N1655:O1655&lt;&gt;"",$S1655=""),AND(J1655="Accepted",S1655="")),"ERROR","OK")</f>
        <v>OK</v>
      </c>
      <c r="AB1655" s="240" t="str">
        <f t="shared" si="205"/>
        <v>OK</v>
      </c>
      <c r="AC1655" s="240" t="str" cm="1">
        <f t="array" ref="AC1655">IF(AND(F1655:H1655&lt;&gt;"",I1655=""),"ERROR","OK")</f>
        <v>OK</v>
      </c>
      <c r="AD1655" s="240" t="str">
        <f t="shared" si="206"/>
        <v>OK</v>
      </c>
      <c r="AE1655" s="240" t="str">
        <f t="shared" si="207"/>
        <v>OK</v>
      </c>
      <c r="AF1655" s="240" t="str" cm="1">
        <f t="array" aca="1" ref="AF1655" ca="1" xml:space="preserve">
IF(AND($G1655&lt;&gt;"",$F1655=""),"ERROR",
IF(OR($F1655:$G1655="",AND($G1655="",$F1655&lt;&gt;"")),"OK",
IF(COUNTIF(INDIRECT(IFERROR(LEFT($F1655,FIND(" ",$F1655)-1),$F1655)), $G1655)&gt;0, "OK", "ERROR")))</f>
        <v>OK</v>
      </c>
    </row>
    <row r="1656" spans="1:32" s="240" customFormat="1">
      <c r="A1656" s="48"/>
      <c r="B1656" s="31"/>
      <c r="C1656" s="48"/>
      <c r="D1656" s="47"/>
      <c r="E1656" s="47"/>
      <c r="F1656" s="31"/>
      <c r="G1656" s="31"/>
      <c r="H1656" s="31"/>
      <c r="I1656" s="47"/>
      <c r="J1656" s="31"/>
      <c r="K1656" s="47"/>
      <c r="L1656" s="47"/>
      <c r="M1656" s="47"/>
      <c r="N1656" s="31"/>
      <c r="O1656" s="47"/>
      <c r="P1656" s="31"/>
      <c r="Q1656" s="31"/>
      <c r="R1656" s="31"/>
      <c r="S1656" s="31"/>
      <c r="T1656" s="270">
        <f t="shared" si="200"/>
        <v>0</v>
      </c>
      <c r="U1656" s="270">
        <f t="shared" si="201"/>
        <v>0</v>
      </c>
      <c r="V1656" s="31"/>
      <c r="X1656" s="240" t="str">
        <f t="shared" si="202"/>
        <v>OK</v>
      </c>
      <c r="Y1656" s="240" t="str">
        <f t="shared" si="203"/>
        <v>OK</v>
      </c>
      <c r="Z1656" s="240" t="str">
        <f t="shared" si="204"/>
        <v>OK</v>
      </c>
      <c r="AA1656" s="240" t="str" cm="1">
        <f t="array" ref="AA1656">IF(OR(AND(J1656="Not accepted",N1656:O1656&lt;&gt;"",$S1656=""),AND(J1656="Accepted",S1656="")),"ERROR","OK")</f>
        <v>OK</v>
      </c>
      <c r="AB1656" s="240" t="str">
        <f t="shared" si="205"/>
        <v>OK</v>
      </c>
      <c r="AC1656" s="240" t="str" cm="1">
        <f t="array" ref="AC1656">IF(AND(F1656:H1656&lt;&gt;"",I1656=""),"ERROR","OK")</f>
        <v>OK</v>
      </c>
      <c r="AD1656" s="240" t="str">
        <f t="shared" si="206"/>
        <v>OK</v>
      </c>
      <c r="AE1656" s="240" t="str">
        <f t="shared" si="207"/>
        <v>OK</v>
      </c>
      <c r="AF1656" s="240" t="str" cm="1">
        <f t="array" aca="1" ref="AF1656" ca="1" xml:space="preserve">
IF(AND($G1656&lt;&gt;"",$F1656=""),"ERROR",
IF(OR($F1656:$G1656="",AND($G1656="",$F1656&lt;&gt;"")),"OK",
IF(COUNTIF(INDIRECT(IFERROR(LEFT($F1656,FIND(" ",$F1656)-1),$F1656)), $G1656)&gt;0, "OK", "ERROR")))</f>
        <v>OK</v>
      </c>
    </row>
    <row r="1657" spans="1:32" s="240" customFormat="1">
      <c r="A1657" s="48"/>
      <c r="B1657" s="31"/>
      <c r="C1657" s="48"/>
      <c r="D1657" s="47"/>
      <c r="E1657" s="47"/>
      <c r="F1657" s="31"/>
      <c r="G1657" s="31"/>
      <c r="H1657" s="31"/>
      <c r="I1657" s="47"/>
      <c r="J1657" s="31"/>
      <c r="K1657" s="47"/>
      <c r="L1657" s="47"/>
      <c r="M1657" s="47"/>
      <c r="N1657" s="31"/>
      <c r="O1657" s="47"/>
      <c r="P1657" s="31"/>
      <c r="Q1657" s="31"/>
      <c r="R1657" s="31"/>
      <c r="S1657" s="31"/>
      <c r="T1657" s="270">
        <f t="shared" si="200"/>
        <v>0</v>
      </c>
      <c r="U1657" s="270">
        <f t="shared" si="201"/>
        <v>0</v>
      </c>
      <c r="V1657" s="31"/>
      <c r="X1657" s="240" t="str">
        <f t="shared" si="202"/>
        <v>OK</v>
      </c>
      <c r="Y1657" s="240" t="str">
        <f t="shared" si="203"/>
        <v>OK</v>
      </c>
      <c r="Z1657" s="240" t="str">
        <f t="shared" si="204"/>
        <v>OK</v>
      </c>
      <c r="AA1657" s="240" t="str" cm="1">
        <f t="array" ref="AA1657">IF(OR(AND(J1657="Not accepted",N1657:O1657&lt;&gt;"",$S1657=""),AND(J1657="Accepted",S1657="")),"ERROR","OK")</f>
        <v>OK</v>
      </c>
      <c r="AB1657" s="240" t="str">
        <f t="shared" si="205"/>
        <v>OK</v>
      </c>
      <c r="AC1657" s="240" t="str" cm="1">
        <f t="array" ref="AC1657">IF(AND(F1657:H1657&lt;&gt;"",I1657=""),"ERROR","OK")</f>
        <v>OK</v>
      </c>
      <c r="AD1657" s="240" t="str">
        <f t="shared" si="206"/>
        <v>OK</v>
      </c>
      <c r="AE1657" s="240" t="str">
        <f t="shared" si="207"/>
        <v>OK</v>
      </c>
      <c r="AF1657" s="240" t="str" cm="1">
        <f t="array" aca="1" ref="AF1657" ca="1" xml:space="preserve">
IF(AND($G1657&lt;&gt;"",$F1657=""),"ERROR",
IF(OR($F1657:$G1657="",AND($G1657="",$F1657&lt;&gt;"")),"OK",
IF(COUNTIF(INDIRECT(IFERROR(LEFT($F1657,FIND(" ",$F1657)-1),$F1657)), $G1657)&gt;0, "OK", "ERROR")))</f>
        <v>OK</v>
      </c>
    </row>
    <row r="1658" spans="1:32" s="240" customFormat="1">
      <c r="A1658" s="48"/>
      <c r="B1658" s="31"/>
      <c r="C1658" s="48"/>
      <c r="D1658" s="47"/>
      <c r="E1658" s="47"/>
      <c r="F1658" s="31"/>
      <c r="G1658" s="31"/>
      <c r="H1658" s="31"/>
      <c r="I1658" s="47"/>
      <c r="J1658" s="31"/>
      <c r="K1658" s="47"/>
      <c r="L1658" s="47"/>
      <c r="M1658" s="47"/>
      <c r="N1658" s="31"/>
      <c r="O1658" s="47"/>
      <c r="P1658" s="31"/>
      <c r="Q1658" s="31"/>
      <c r="R1658" s="31"/>
      <c r="S1658" s="31"/>
      <c r="T1658" s="270">
        <f t="shared" si="200"/>
        <v>0</v>
      </c>
      <c r="U1658" s="270">
        <f t="shared" si="201"/>
        <v>0</v>
      </c>
      <c r="V1658" s="31"/>
      <c r="X1658" s="240" t="str">
        <f t="shared" si="202"/>
        <v>OK</v>
      </c>
      <c r="Y1658" s="240" t="str">
        <f t="shared" si="203"/>
        <v>OK</v>
      </c>
      <c r="Z1658" s="240" t="str">
        <f t="shared" si="204"/>
        <v>OK</v>
      </c>
      <c r="AA1658" s="240" t="str" cm="1">
        <f t="array" ref="AA1658">IF(OR(AND(J1658="Not accepted",N1658:O1658&lt;&gt;"",$S1658=""),AND(J1658="Accepted",S1658="")),"ERROR","OK")</f>
        <v>OK</v>
      </c>
      <c r="AB1658" s="240" t="str">
        <f t="shared" si="205"/>
        <v>OK</v>
      </c>
      <c r="AC1658" s="240" t="str" cm="1">
        <f t="array" ref="AC1658">IF(AND(F1658:H1658&lt;&gt;"",I1658=""),"ERROR","OK")</f>
        <v>OK</v>
      </c>
      <c r="AD1658" s="240" t="str">
        <f t="shared" si="206"/>
        <v>OK</v>
      </c>
      <c r="AE1658" s="240" t="str">
        <f t="shared" si="207"/>
        <v>OK</v>
      </c>
      <c r="AF1658" s="240" t="str" cm="1">
        <f t="array" aca="1" ref="AF1658" ca="1" xml:space="preserve">
IF(AND($G1658&lt;&gt;"",$F1658=""),"ERROR",
IF(OR($F1658:$G1658="",AND($G1658="",$F1658&lt;&gt;"")),"OK",
IF(COUNTIF(INDIRECT(IFERROR(LEFT($F1658,FIND(" ",$F1658)-1),$F1658)), $G1658)&gt;0, "OK", "ERROR")))</f>
        <v>OK</v>
      </c>
    </row>
    <row r="1659" spans="1:32" s="240" customFormat="1">
      <c r="A1659" s="48"/>
      <c r="B1659" s="31"/>
      <c r="C1659" s="48"/>
      <c r="D1659" s="47"/>
      <c r="E1659" s="47"/>
      <c r="F1659" s="31"/>
      <c r="G1659" s="31"/>
      <c r="H1659" s="31"/>
      <c r="I1659" s="47"/>
      <c r="J1659" s="31"/>
      <c r="K1659" s="47"/>
      <c r="L1659" s="47"/>
      <c r="M1659" s="47"/>
      <c r="N1659" s="31"/>
      <c r="O1659" s="47"/>
      <c r="P1659" s="31"/>
      <c r="Q1659" s="31"/>
      <c r="R1659" s="31"/>
      <c r="S1659" s="31"/>
      <c r="T1659" s="270">
        <f t="shared" si="200"/>
        <v>0</v>
      </c>
      <c r="U1659" s="270">
        <f t="shared" si="201"/>
        <v>0</v>
      </c>
      <c r="V1659" s="31"/>
      <c r="X1659" s="240" t="str">
        <f t="shared" si="202"/>
        <v>OK</v>
      </c>
      <c r="Y1659" s="240" t="str">
        <f t="shared" si="203"/>
        <v>OK</v>
      </c>
      <c r="Z1659" s="240" t="str">
        <f t="shared" si="204"/>
        <v>OK</v>
      </c>
      <c r="AA1659" s="240" t="str" cm="1">
        <f t="array" ref="AA1659">IF(OR(AND(J1659="Not accepted",N1659:O1659&lt;&gt;"",$S1659=""),AND(J1659="Accepted",S1659="")),"ERROR","OK")</f>
        <v>OK</v>
      </c>
      <c r="AB1659" s="240" t="str">
        <f t="shared" si="205"/>
        <v>OK</v>
      </c>
      <c r="AC1659" s="240" t="str" cm="1">
        <f t="array" ref="AC1659">IF(AND(F1659:H1659&lt;&gt;"",I1659=""),"ERROR","OK")</f>
        <v>OK</v>
      </c>
      <c r="AD1659" s="240" t="str">
        <f t="shared" si="206"/>
        <v>OK</v>
      </c>
      <c r="AE1659" s="240" t="str">
        <f t="shared" si="207"/>
        <v>OK</v>
      </c>
      <c r="AF1659" s="240" t="str" cm="1">
        <f t="array" aca="1" ref="AF1659" ca="1" xml:space="preserve">
IF(AND($G1659&lt;&gt;"",$F1659=""),"ERROR",
IF(OR($F1659:$G1659="",AND($G1659="",$F1659&lt;&gt;"")),"OK",
IF(COUNTIF(INDIRECT(IFERROR(LEFT($F1659,FIND(" ",$F1659)-1),$F1659)), $G1659)&gt;0, "OK", "ERROR")))</f>
        <v>OK</v>
      </c>
    </row>
    <row r="1660" spans="1:32" s="240" customFormat="1">
      <c r="A1660" s="48"/>
      <c r="B1660" s="31"/>
      <c r="C1660" s="48"/>
      <c r="D1660" s="47"/>
      <c r="E1660" s="47"/>
      <c r="F1660" s="31"/>
      <c r="G1660" s="31"/>
      <c r="H1660" s="31"/>
      <c r="I1660" s="47"/>
      <c r="J1660" s="31"/>
      <c r="K1660" s="47"/>
      <c r="L1660" s="47"/>
      <c r="M1660" s="47"/>
      <c r="N1660" s="31"/>
      <c r="O1660" s="47"/>
      <c r="P1660" s="31"/>
      <c r="Q1660" s="31"/>
      <c r="R1660" s="31"/>
      <c r="S1660" s="31"/>
      <c r="T1660" s="270">
        <f t="shared" si="200"/>
        <v>0</v>
      </c>
      <c r="U1660" s="270">
        <f t="shared" si="201"/>
        <v>0</v>
      </c>
      <c r="V1660" s="31"/>
      <c r="X1660" s="240" t="str">
        <f t="shared" si="202"/>
        <v>OK</v>
      </c>
      <c r="Y1660" s="240" t="str">
        <f t="shared" si="203"/>
        <v>OK</v>
      </c>
      <c r="Z1660" s="240" t="str">
        <f t="shared" si="204"/>
        <v>OK</v>
      </c>
      <c r="AA1660" s="240" t="str" cm="1">
        <f t="array" ref="AA1660">IF(OR(AND(J1660="Not accepted",N1660:O1660&lt;&gt;"",$S1660=""),AND(J1660="Accepted",S1660="")),"ERROR","OK")</f>
        <v>OK</v>
      </c>
      <c r="AB1660" s="240" t="str">
        <f t="shared" si="205"/>
        <v>OK</v>
      </c>
      <c r="AC1660" s="240" t="str" cm="1">
        <f t="array" ref="AC1660">IF(AND(F1660:H1660&lt;&gt;"",I1660=""),"ERROR","OK")</f>
        <v>OK</v>
      </c>
      <c r="AD1660" s="240" t="str">
        <f t="shared" si="206"/>
        <v>OK</v>
      </c>
      <c r="AE1660" s="240" t="str">
        <f t="shared" si="207"/>
        <v>OK</v>
      </c>
      <c r="AF1660" s="240" t="str" cm="1">
        <f t="array" aca="1" ref="AF1660" ca="1" xml:space="preserve">
IF(AND($G1660&lt;&gt;"",$F1660=""),"ERROR",
IF(OR($F1660:$G1660="",AND($G1660="",$F1660&lt;&gt;"")),"OK",
IF(COUNTIF(INDIRECT(IFERROR(LEFT($F1660,FIND(" ",$F1660)-1),$F1660)), $G1660)&gt;0, "OK", "ERROR")))</f>
        <v>OK</v>
      </c>
    </row>
    <row r="1661" spans="1:32" s="240" customFormat="1">
      <c r="A1661" s="48"/>
      <c r="B1661" s="31"/>
      <c r="C1661" s="48"/>
      <c r="D1661" s="47"/>
      <c r="E1661" s="47"/>
      <c r="F1661" s="31"/>
      <c r="G1661" s="31"/>
      <c r="H1661" s="31"/>
      <c r="I1661" s="47"/>
      <c r="J1661" s="31"/>
      <c r="K1661" s="47"/>
      <c r="L1661" s="47"/>
      <c r="M1661" s="47"/>
      <c r="N1661" s="31"/>
      <c r="O1661" s="47"/>
      <c r="P1661" s="31"/>
      <c r="Q1661" s="31"/>
      <c r="R1661" s="31"/>
      <c r="S1661" s="31"/>
      <c r="T1661" s="270">
        <f t="shared" si="200"/>
        <v>0</v>
      </c>
      <c r="U1661" s="270">
        <f t="shared" si="201"/>
        <v>0</v>
      </c>
      <c r="V1661" s="31"/>
      <c r="X1661" s="240" t="str">
        <f t="shared" si="202"/>
        <v>OK</v>
      </c>
      <c r="Y1661" s="240" t="str">
        <f t="shared" si="203"/>
        <v>OK</v>
      </c>
      <c r="Z1661" s="240" t="str">
        <f t="shared" si="204"/>
        <v>OK</v>
      </c>
      <c r="AA1661" s="240" t="str" cm="1">
        <f t="array" ref="AA1661">IF(OR(AND(J1661="Not accepted",N1661:O1661&lt;&gt;"",$S1661=""),AND(J1661="Accepted",S1661="")),"ERROR","OK")</f>
        <v>OK</v>
      </c>
      <c r="AB1661" s="240" t="str">
        <f t="shared" si="205"/>
        <v>OK</v>
      </c>
      <c r="AC1661" s="240" t="str" cm="1">
        <f t="array" ref="AC1661">IF(AND(F1661:H1661&lt;&gt;"",I1661=""),"ERROR","OK")</f>
        <v>OK</v>
      </c>
      <c r="AD1661" s="240" t="str">
        <f t="shared" si="206"/>
        <v>OK</v>
      </c>
      <c r="AE1661" s="240" t="str">
        <f t="shared" si="207"/>
        <v>OK</v>
      </c>
      <c r="AF1661" s="240" t="str" cm="1">
        <f t="array" aca="1" ref="AF1661" ca="1" xml:space="preserve">
IF(AND($G1661&lt;&gt;"",$F1661=""),"ERROR",
IF(OR($F1661:$G1661="",AND($G1661="",$F1661&lt;&gt;"")),"OK",
IF(COUNTIF(INDIRECT(IFERROR(LEFT($F1661,FIND(" ",$F1661)-1),$F1661)), $G1661)&gt;0, "OK", "ERROR")))</f>
        <v>OK</v>
      </c>
    </row>
    <row r="1662" spans="1:32" s="240" customFormat="1">
      <c r="A1662" s="48"/>
      <c r="B1662" s="31"/>
      <c r="C1662" s="48"/>
      <c r="D1662" s="47"/>
      <c r="E1662" s="47"/>
      <c r="F1662" s="31"/>
      <c r="G1662" s="31"/>
      <c r="H1662" s="31"/>
      <c r="I1662" s="47"/>
      <c r="J1662" s="31"/>
      <c r="K1662" s="47"/>
      <c r="L1662" s="47"/>
      <c r="M1662" s="47"/>
      <c r="N1662" s="31"/>
      <c r="O1662" s="47"/>
      <c r="P1662" s="31"/>
      <c r="Q1662" s="31"/>
      <c r="R1662" s="31"/>
      <c r="S1662" s="31"/>
      <c r="T1662" s="270">
        <f t="shared" si="200"/>
        <v>0</v>
      </c>
      <c r="U1662" s="270">
        <f t="shared" si="201"/>
        <v>0</v>
      </c>
      <c r="V1662" s="31"/>
      <c r="X1662" s="240" t="str">
        <f t="shared" si="202"/>
        <v>OK</v>
      </c>
      <c r="Y1662" s="240" t="str">
        <f t="shared" si="203"/>
        <v>OK</v>
      </c>
      <c r="Z1662" s="240" t="str">
        <f t="shared" si="204"/>
        <v>OK</v>
      </c>
      <c r="AA1662" s="240" t="str" cm="1">
        <f t="array" ref="AA1662">IF(OR(AND(J1662="Not accepted",N1662:O1662&lt;&gt;"",$S1662=""),AND(J1662="Accepted",S1662="")),"ERROR","OK")</f>
        <v>OK</v>
      </c>
      <c r="AB1662" s="240" t="str">
        <f t="shared" si="205"/>
        <v>OK</v>
      </c>
      <c r="AC1662" s="240" t="str" cm="1">
        <f t="array" ref="AC1662">IF(AND(F1662:H1662&lt;&gt;"",I1662=""),"ERROR","OK")</f>
        <v>OK</v>
      </c>
      <c r="AD1662" s="240" t="str">
        <f t="shared" si="206"/>
        <v>OK</v>
      </c>
      <c r="AE1662" s="240" t="str">
        <f t="shared" si="207"/>
        <v>OK</v>
      </c>
      <c r="AF1662" s="240" t="str" cm="1">
        <f t="array" aca="1" ref="AF1662" ca="1" xml:space="preserve">
IF(AND($G1662&lt;&gt;"",$F1662=""),"ERROR",
IF(OR($F1662:$G1662="",AND($G1662="",$F1662&lt;&gt;"")),"OK",
IF(COUNTIF(INDIRECT(IFERROR(LEFT($F1662,FIND(" ",$F1662)-1),$F1662)), $G1662)&gt;0, "OK", "ERROR")))</f>
        <v>OK</v>
      </c>
    </row>
    <row r="1663" spans="1:32" s="240" customFormat="1">
      <c r="A1663" s="48"/>
      <c r="B1663" s="31"/>
      <c r="C1663" s="48"/>
      <c r="D1663" s="47"/>
      <c r="E1663" s="47"/>
      <c r="F1663" s="31"/>
      <c r="G1663" s="31"/>
      <c r="H1663" s="31"/>
      <c r="I1663" s="47"/>
      <c r="J1663" s="31"/>
      <c r="K1663" s="47"/>
      <c r="L1663" s="47"/>
      <c r="M1663" s="47"/>
      <c r="N1663" s="31"/>
      <c r="O1663" s="47"/>
      <c r="P1663" s="31"/>
      <c r="Q1663" s="31"/>
      <c r="R1663" s="31"/>
      <c r="S1663" s="31"/>
      <c r="T1663" s="270">
        <f t="shared" si="200"/>
        <v>0</v>
      </c>
      <c r="U1663" s="270">
        <f t="shared" si="201"/>
        <v>0</v>
      </c>
      <c r="V1663" s="31"/>
      <c r="X1663" s="240" t="str">
        <f t="shared" si="202"/>
        <v>OK</v>
      </c>
      <c r="Y1663" s="240" t="str">
        <f t="shared" si="203"/>
        <v>OK</v>
      </c>
      <c r="Z1663" s="240" t="str">
        <f t="shared" si="204"/>
        <v>OK</v>
      </c>
      <c r="AA1663" s="240" t="str" cm="1">
        <f t="array" ref="AA1663">IF(OR(AND(J1663="Not accepted",N1663:O1663&lt;&gt;"",$S1663=""),AND(J1663="Accepted",S1663="")),"ERROR","OK")</f>
        <v>OK</v>
      </c>
      <c r="AB1663" s="240" t="str">
        <f t="shared" si="205"/>
        <v>OK</v>
      </c>
      <c r="AC1663" s="240" t="str" cm="1">
        <f t="array" ref="AC1663">IF(AND(F1663:H1663&lt;&gt;"",I1663=""),"ERROR","OK")</f>
        <v>OK</v>
      </c>
      <c r="AD1663" s="240" t="str">
        <f t="shared" si="206"/>
        <v>OK</v>
      </c>
      <c r="AE1663" s="240" t="str">
        <f t="shared" si="207"/>
        <v>OK</v>
      </c>
      <c r="AF1663" s="240" t="str" cm="1">
        <f t="array" aca="1" ref="AF1663" ca="1" xml:space="preserve">
IF(AND($G1663&lt;&gt;"",$F1663=""),"ERROR",
IF(OR($F1663:$G1663="",AND($G1663="",$F1663&lt;&gt;"")),"OK",
IF(COUNTIF(INDIRECT(IFERROR(LEFT($F1663,FIND(" ",$F1663)-1),$F1663)), $G1663)&gt;0, "OK", "ERROR")))</f>
        <v>OK</v>
      </c>
    </row>
    <row r="1664" spans="1:32" s="240" customFormat="1">
      <c r="A1664" s="48"/>
      <c r="B1664" s="31"/>
      <c r="C1664" s="48"/>
      <c r="D1664" s="47"/>
      <c r="E1664" s="47"/>
      <c r="F1664" s="31"/>
      <c r="G1664" s="31"/>
      <c r="H1664" s="31"/>
      <c r="I1664" s="47"/>
      <c r="J1664" s="31"/>
      <c r="K1664" s="47"/>
      <c r="L1664" s="47"/>
      <c r="M1664" s="47"/>
      <c r="N1664" s="31"/>
      <c r="O1664" s="47"/>
      <c r="P1664" s="31"/>
      <c r="Q1664" s="31"/>
      <c r="R1664" s="31"/>
      <c r="S1664" s="31"/>
      <c r="T1664" s="270">
        <f t="shared" si="200"/>
        <v>0</v>
      </c>
      <c r="U1664" s="270">
        <f t="shared" si="201"/>
        <v>0</v>
      </c>
      <c r="V1664" s="31"/>
      <c r="X1664" s="240" t="str">
        <f t="shared" si="202"/>
        <v>OK</v>
      </c>
      <c r="Y1664" s="240" t="str">
        <f t="shared" si="203"/>
        <v>OK</v>
      </c>
      <c r="Z1664" s="240" t="str">
        <f t="shared" si="204"/>
        <v>OK</v>
      </c>
      <c r="AA1664" s="240" t="str" cm="1">
        <f t="array" ref="AA1664">IF(OR(AND(J1664="Not accepted",N1664:O1664&lt;&gt;"",$S1664=""),AND(J1664="Accepted",S1664="")),"ERROR","OK")</f>
        <v>OK</v>
      </c>
      <c r="AB1664" s="240" t="str">
        <f t="shared" si="205"/>
        <v>OK</v>
      </c>
      <c r="AC1664" s="240" t="str" cm="1">
        <f t="array" ref="AC1664">IF(AND(F1664:H1664&lt;&gt;"",I1664=""),"ERROR","OK")</f>
        <v>OK</v>
      </c>
      <c r="AD1664" s="240" t="str">
        <f t="shared" si="206"/>
        <v>OK</v>
      </c>
      <c r="AE1664" s="240" t="str">
        <f t="shared" si="207"/>
        <v>OK</v>
      </c>
      <c r="AF1664" s="240" t="str" cm="1">
        <f t="array" aca="1" ref="AF1664" ca="1" xml:space="preserve">
IF(AND($G1664&lt;&gt;"",$F1664=""),"ERROR",
IF(OR($F1664:$G1664="",AND($G1664="",$F1664&lt;&gt;"")),"OK",
IF(COUNTIF(INDIRECT(IFERROR(LEFT($F1664,FIND(" ",$F1664)-1),$F1664)), $G1664)&gt;0, "OK", "ERROR")))</f>
        <v>OK</v>
      </c>
    </row>
    <row r="1665" spans="1:32" s="240" customFormat="1">
      <c r="A1665" s="48"/>
      <c r="B1665" s="31"/>
      <c r="C1665" s="48"/>
      <c r="D1665" s="47"/>
      <c r="E1665" s="47"/>
      <c r="F1665" s="31"/>
      <c r="G1665" s="31"/>
      <c r="H1665" s="31"/>
      <c r="I1665" s="47"/>
      <c r="J1665" s="31"/>
      <c r="K1665" s="47"/>
      <c r="L1665" s="47"/>
      <c r="M1665" s="47"/>
      <c r="N1665" s="31"/>
      <c r="O1665" s="47"/>
      <c r="P1665" s="31"/>
      <c r="Q1665" s="31"/>
      <c r="R1665" s="31"/>
      <c r="S1665" s="31"/>
      <c r="T1665" s="270">
        <f t="shared" si="200"/>
        <v>0</v>
      </c>
      <c r="U1665" s="270">
        <f t="shared" si="201"/>
        <v>0</v>
      </c>
      <c r="V1665" s="31"/>
      <c r="X1665" s="240" t="str">
        <f t="shared" si="202"/>
        <v>OK</v>
      </c>
      <c r="Y1665" s="240" t="str">
        <f t="shared" si="203"/>
        <v>OK</v>
      </c>
      <c r="Z1665" s="240" t="str">
        <f t="shared" si="204"/>
        <v>OK</v>
      </c>
      <c r="AA1665" s="240" t="str" cm="1">
        <f t="array" ref="AA1665">IF(OR(AND(J1665="Not accepted",N1665:O1665&lt;&gt;"",$S1665=""),AND(J1665="Accepted",S1665="")),"ERROR","OK")</f>
        <v>OK</v>
      </c>
      <c r="AB1665" s="240" t="str">
        <f t="shared" si="205"/>
        <v>OK</v>
      </c>
      <c r="AC1665" s="240" t="str" cm="1">
        <f t="array" ref="AC1665">IF(AND(F1665:H1665&lt;&gt;"",I1665=""),"ERROR","OK")</f>
        <v>OK</v>
      </c>
      <c r="AD1665" s="240" t="str">
        <f t="shared" si="206"/>
        <v>OK</v>
      </c>
      <c r="AE1665" s="240" t="str">
        <f t="shared" si="207"/>
        <v>OK</v>
      </c>
      <c r="AF1665" s="240" t="str" cm="1">
        <f t="array" aca="1" ref="AF1665" ca="1" xml:space="preserve">
IF(AND($G1665&lt;&gt;"",$F1665=""),"ERROR",
IF(OR($F1665:$G1665="",AND($G1665="",$F1665&lt;&gt;"")),"OK",
IF(COUNTIF(INDIRECT(IFERROR(LEFT($F1665,FIND(" ",$F1665)-1),$F1665)), $G1665)&gt;0, "OK", "ERROR")))</f>
        <v>OK</v>
      </c>
    </row>
    <row r="1666" spans="1:32" s="240" customFormat="1">
      <c r="A1666" s="48"/>
      <c r="B1666" s="31"/>
      <c r="C1666" s="48"/>
      <c r="D1666" s="47"/>
      <c r="E1666" s="47"/>
      <c r="F1666" s="31"/>
      <c r="G1666" s="31"/>
      <c r="H1666" s="31"/>
      <c r="I1666" s="47"/>
      <c r="J1666" s="31"/>
      <c r="K1666" s="47"/>
      <c r="L1666" s="47"/>
      <c r="M1666" s="47"/>
      <c r="N1666" s="31"/>
      <c r="O1666" s="47"/>
      <c r="P1666" s="31"/>
      <c r="Q1666" s="31"/>
      <c r="R1666" s="31"/>
      <c r="S1666" s="31"/>
      <c r="T1666" s="270">
        <f t="shared" si="200"/>
        <v>0</v>
      </c>
      <c r="U1666" s="270">
        <f t="shared" si="201"/>
        <v>0</v>
      </c>
      <c r="V1666" s="31"/>
      <c r="X1666" s="240" t="str">
        <f t="shared" si="202"/>
        <v>OK</v>
      </c>
      <c r="Y1666" s="240" t="str">
        <f t="shared" si="203"/>
        <v>OK</v>
      </c>
      <c r="Z1666" s="240" t="str">
        <f t="shared" si="204"/>
        <v>OK</v>
      </c>
      <c r="AA1666" s="240" t="str" cm="1">
        <f t="array" ref="AA1666">IF(OR(AND(J1666="Not accepted",N1666:O1666&lt;&gt;"",$S1666=""),AND(J1666="Accepted",S1666="")),"ERROR","OK")</f>
        <v>OK</v>
      </c>
      <c r="AB1666" s="240" t="str">
        <f t="shared" si="205"/>
        <v>OK</v>
      </c>
      <c r="AC1666" s="240" t="str" cm="1">
        <f t="array" ref="AC1666">IF(AND(F1666:H1666&lt;&gt;"",I1666=""),"ERROR","OK")</f>
        <v>OK</v>
      </c>
      <c r="AD1666" s="240" t="str">
        <f t="shared" si="206"/>
        <v>OK</v>
      </c>
      <c r="AE1666" s="240" t="str">
        <f t="shared" si="207"/>
        <v>OK</v>
      </c>
      <c r="AF1666" s="240" t="str" cm="1">
        <f t="array" aca="1" ref="AF1666" ca="1" xml:space="preserve">
IF(AND($G1666&lt;&gt;"",$F1666=""),"ERROR",
IF(OR($F1666:$G1666="",AND($G1666="",$F1666&lt;&gt;"")),"OK",
IF(COUNTIF(INDIRECT(IFERROR(LEFT($F1666,FIND(" ",$F1666)-1),$F1666)), $G1666)&gt;0, "OK", "ERROR")))</f>
        <v>OK</v>
      </c>
    </row>
    <row r="1667" spans="1:32" s="240" customFormat="1">
      <c r="A1667" s="48"/>
      <c r="B1667" s="31"/>
      <c r="C1667" s="48"/>
      <c r="D1667" s="47"/>
      <c r="E1667" s="47"/>
      <c r="F1667" s="31"/>
      <c r="G1667" s="31"/>
      <c r="H1667" s="31"/>
      <c r="I1667" s="47"/>
      <c r="J1667" s="31"/>
      <c r="K1667" s="47"/>
      <c r="L1667" s="47"/>
      <c r="M1667" s="47"/>
      <c r="N1667" s="31"/>
      <c r="O1667" s="47"/>
      <c r="P1667" s="31"/>
      <c r="Q1667" s="31"/>
      <c r="R1667" s="31"/>
      <c r="S1667" s="31"/>
      <c r="T1667" s="270">
        <f t="shared" si="200"/>
        <v>0</v>
      </c>
      <c r="U1667" s="270">
        <f t="shared" si="201"/>
        <v>0</v>
      </c>
      <c r="V1667" s="31"/>
      <c r="X1667" s="240" t="str">
        <f t="shared" si="202"/>
        <v>OK</v>
      </c>
      <c r="Y1667" s="240" t="str">
        <f t="shared" si="203"/>
        <v>OK</v>
      </c>
      <c r="Z1667" s="240" t="str">
        <f t="shared" si="204"/>
        <v>OK</v>
      </c>
      <c r="AA1667" s="240" t="str" cm="1">
        <f t="array" ref="AA1667">IF(OR(AND(J1667="Not accepted",N1667:O1667&lt;&gt;"",$S1667=""),AND(J1667="Accepted",S1667="")),"ERROR","OK")</f>
        <v>OK</v>
      </c>
      <c r="AB1667" s="240" t="str">
        <f t="shared" si="205"/>
        <v>OK</v>
      </c>
      <c r="AC1667" s="240" t="str" cm="1">
        <f t="array" ref="AC1667">IF(AND(F1667:H1667&lt;&gt;"",I1667=""),"ERROR","OK")</f>
        <v>OK</v>
      </c>
      <c r="AD1667" s="240" t="str">
        <f t="shared" si="206"/>
        <v>OK</v>
      </c>
      <c r="AE1667" s="240" t="str">
        <f t="shared" si="207"/>
        <v>OK</v>
      </c>
      <c r="AF1667" s="240" t="str" cm="1">
        <f t="array" aca="1" ref="AF1667" ca="1" xml:space="preserve">
IF(AND($G1667&lt;&gt;"",$F1667=""),"ERROR",
IF(OR($F1667:$G1667="",AND($G1667="",$F1667&lt;&gt;"")),"OK",
IF(COUNTIF(INDIRECT(IFERROR(LEFT($F1667,FIND(" ",$F1667)-1),$F1667)), $G1667)&gt;0, "OK", "ERROR")))</f>
        <v>OK</v>
      </c>
    </row>
    <row r="1668" spans="1:32" s="240" customFormat="1">
      <c r="A1668" s="48"/>
      <c r="B1668" s="31"/>
      <c r="C1668" s="48"/>
      <c r="D1668" s="47"/>
      <c r="E1668" s="47"/>
      <c r="F1668" s="31"/>
      <c r="G1668" s="31"/>
      <c r="H1668" s="31"/>
      <c r="I1668" s="47"/>
      <c r="J1668" s="31"/>
      <c r="K1668" s="47"/>
      <c r="L1668" s="47"/>
      <c r="M1668" s="47"/>
      <c r="N1668" s="31"/>
      <c r="O1668" s="47"/>
      <c r="P1668" s="31"/>
      <c r="Q1668" s="31"/>
      <c r="R1668" s="31"/>
      <c r="S1668" s="31"/>
      <c r="T1668" s="270">
        <f t="shared" si="200"/>
        <v>0</v>
      </c>
      <c r="U1668" s="270">
        <f t="shared" si="201"/>
        <v>0</v>
      </c>
      <c r="V1668" s="31"/>
      <c r="X1668" s="240" t="str">
        <f t="shared" si="202"/>
        <v>OK</v>
      </c>
      <c r="Y1668" s="240" t="str">
        <f t="shared" si="203"/>
        <v>OK</v>
      </c>
      <c r="Z1668" s="240" t="str">
        <f t="shared" si="204"/>
        <v>OK</v>
      </c>
      <c r="AA1668" s="240" t="str" cm="1">
        <f t="array" ref="AA1668">IF(OR(AND(J1668="Not accepted",N1668:O1668&lt;&gt;"",$S1668=""),AND(J1668="Accepted",S1668="")),"ERROR","OK")</f>
        <v>OK</v>
      </c>
      <c r="AB1668" s="240" t="str">
        <f t="shared" si="205"/>
        <v>OK</v>
      </c>
      <c r="AC1668" s="240" t="str" cm="1">
        <f t="array" ref="AC1668">IF(AND(F1668:H1668&lt;&gt;"",I1668=""),"ERROR","OK")</f>
        <v>OK</v>
      </c>
      <c r="AD1668" s="240" t="str">
        <f t="shared" si="206"/>
        <v>OK</v>
      </c>
      <c r="AE1668" s="240" t="str">
        <f t="shared" si="207"/>
        <v>OK</v>
      </c>
      <c r="AF1668" s="240" t="str" cm="1">
        <f t="array" aca="1" ref="AF1668" ca="1" xml:space="preserve">
IF(AND($G1668&lt;&gt;"",$F1668=""),"ERROR",
IF(OR($F1668:$G1668="",AND($G1668="",$F1668&lt;&gt;"")),"OK",
IF(COUNTIF(INDIRECT(IFERROR(LEFT($F1668,FIND(" ",$F1668)-1),$F1668)), $G1668)&gt;0, "OK", "ERROR")))</f>
        <v>OK</v>
      </c>
    </row>
    <row r="1669" spans="1:32" s="240" customFormat="1">
      <c r="A1669" s="48"/>
      <c r="B1669" s="31"/>
      <c r="C1669" s="48"/>
      <c r="D1669" s="47"/>
      <c r="E1669" s="47"/>
      <c r="F1669" s="31"/>
      <c r="G1669" s="31"/>
      <c r="H1669" s="31"/>
      <c r="I1669" s="47"/>
      <c r="J1669" s="31"/>
      <c r="K1669" s="47"/>
      <c r="L1669" s="47"/>
      <c r="M1669" s="47"/>
      <c r="N1669" s="31"/>
      <c r="O1669" s="47"/>
      <c r="P1669" s="31"/>
      <c r="Q1669" s="31"/>
      <c r="R1669" s="31"/>
      <c r="S1669" s="31"/>
      <c r="T1669" s="270">
        <f t="shared" ref="T1669:T1732" si="208">IF(OR($J1669="Accepted",ISBLANK($J1669)),IF(AND($G1669="Legacy Data",$Q1669="Legacy Data"),1,IF(OR($G1669="Legacy Data",$Q1669="Legacy Data"),1,0)),IF(OR($N1669="Agree with original translator",ISBLANK($N1669)),IF(AND($G1669="Source Text Data",$Q1669="Legacy Data"),1,IF(AND($G1669="Legacy Data",$Q1669="Legacy Data"),1,IF($Q1669="Legacy Data",1,0))),IF(AND($G1669="Legacy Data",$Q1669="Legacy Data"),1,IF(OR($Q1669="Legacy Data",ISBLANK($Q1669)),IF($G1669&lt;&gt;"Legacy Data",IF(AND($G1669="Source Text Data",$Q1669="Legacy Data"),1,0),1),0))))</f>
        <v>0</v>
      </c>
      <c r="U1669" s="270">
        <f t="shared" ref="U1669:U1732" si="209">IF(OR($J1669="Accepted",ISBLANK($J1669)),IF(AND($G1669="Source Text Data",$Q1669="Source Text Data"),1,IF(OR($G1669="Source Text Data",$Q1669="Source Text Data"),1,0)),IF(OR($N1669="Agree with original translator",ISBLANK($N1669)),IF(AND($G1669="Legacy Data",$Q1669="Source Text Data"),1,IF(AND($G1669="Source Text Data",$Q1669="Source Text Data"),1,IF($Q1669="Source Text Data",1,0))),IF(AND($G1669="Source Text Data",$Q1669="Source Text Data"),1,IF(OR($Q1669="Source Text Data",ISBLANK($Q1669)),IF($G1669&lt;&gt;"Source Text Data",IF(AND($G1669="Legacy Data",$Q1669="Source Text Data"),1,0),1),0))))</f>
        <v>0</v>
      </c>
      <c r="V1669" s="31"/>
      <c r="X1669" s="240" t="str">
        <f t="shared" ref="X1669:X1732" si="210">IF(AND(COUNTBLANK($F1669:$H1669)&lt;&gt;COLUMNS($F1669:$H1669),COUNTA($F1669:$H1669)&lt;&gt;COLUMNS($F1669:$H1669)),"ERROR","OK")</f>
        <v>OK</v>
      </c>
      <c r="Y1669" s="240" t="str">
        <f t="shared" ref="Y1669:Y1732" si="211">IF(AND($J1669="Not accepted",$K1669=""),"ERROR","OK")</f>
        <v>OK</v>
      </c>
      <c r="Z1669" s="240" t="str">
        <f t="shared" ref="Z1669:Z1732" si="212">IF(AND($F1669&lt;&gt;"",$J1669=""),"ERROR","OK")</f>
        <v>OK</v>
      </c>
      <c r="AA1669" s="240" t="str" cm="1">
        <f t="array" ref="AA1669">IF(OR(AND(J1669="Not accepted",N1669:O1669&lt;&gt;"",$S1669=""),AND(J1669="Accepted",S1669="")),"ERROR","OK")</f>
        <v>OK</v>
      </c>
      <c r="AB1669" s="240" t="str">
        <f t="shared" ref="AB1669:AB1732" si="213">IF(AND($S1669="Not Implemented",$V1669=""),"ERROR","OK")</f>
        <v>OK</v>
      </c>
      <c r="AC1669" s="240" t="str" cm="1">
        <f t="array" ref="AC1669">IF(AND(F1669:H1669&lt;&gt;"",I1669=""),"ERROR","OK")</f>
        <v>OK</v>
      </c>
      <c r="AD1669" s="240" t="str">
        <f t="shared" ref="AD1669:AD1732" si="214">IF(AND($N1669="",$J1669="Not accepted",$K1669&lt;&gt;""),"ERROR","OK")</f>
        <v>OK</v>
      </c>
      <c r="AE1669" s="240" t="str">
        <f t="shared" ref="AE1669:AE1732" si="215">IF(AND($O1669="",$N1669&lt;&gt;""),"ERROR","OK")</f>
        <v>OK</v>
      </c>
      <c r="AF1669" s="240" t="str" cm="1">
        <f t="array" aca="1" ref="AF1669" ca="1" xml:space="preserve">
IF(AND($G1669&lt;&gt;"",$F1669=""),"ERROR",
IF(OR($F1669:$G1669="",AND($G1669="",$F1669&lt;&gt;"")),"OK",
IF(COUNTIF(INDIRECT(IFERROR(LEFT($F1669,FIND(" ",$F1669)-1),$F1669)), $G1669)&gt;0, "OK", "ERROR")))</f>
        <v>OK</v>
      </c>
    </row>
    <row r="1670" spans="1:32" s="240" customFormat="1">
      <c r="A1670" s="48"/>
      <c r="B1670" s="31"/>
      <c r="C1670" s="48"/>
      <c r="D1670" s="47"/>
      <c r="E1670" s="47"/>
      <c r="F1670" s="31"/>
      <c r="G1670" s="31"/>
      <c r="H1670" s="31"/>
      <c r="I1670" s="47"/>
      <c r="J1670" s="31"/>
      <c r="K1670" s="47"/>
      <c r="L1670" s="47"/>
      <c r="M1670" s="47"/>
      <c r="N1670" s="31"/>
      <c r="O1670" s="47"/>
      <c r="P1670" s="31"/>
      <c r="Q1670" s="31"/>
      <c r="R1670" s="31"/>
      <c r="S1670" s="31"/>
      <c r="T1670" s="270">
        <f t="shared" si="208"/>
        <v>0</v>
      </c>
      <c r="U1670" s="270">
        <f t="shared" si="209"/>
        <v>0</v>
      </c>
      <c r="V1670" s="31"/>
      <c r="X1670" s="240" t="str">
        <f t="shared" si="210"/>
        <v>OK</v>
      </c>
      <c r="Y1670" s="240" t="str">
        <f t="shared" si="211"/>
        <v>OK</v>
      </c>
      <c r="Z1670" s="240" t="str">
        <f t="shared" si="212"/>
        <v>OK</v>
      </c>
      <c r="AA1670" s="240" t="str" cm="1">
        <f t="array" ref="AA1670">IF(OR(AND(J1670="Not accepted",N1670:O1670&lt;&gt;"",$S1670=""),AND(J1670="Accepted",S1670="")),"ERROR","OK")</f>
        <v>OK</v>
      </c>
      <c r="AB1670" s="240" t="str">
        <f t="shared" si="213"/>
        <v>OK</v>
      </c>
      <c r="AC1670" s="240" t="str" cm="1">
        <f t="array" ref="AC1670">IF(AND(F1670:H1670&lt;&gt;"",I1670=""),"ERROR","OK")</f>
        <v>OK</v>
      </c>
      <c r="AD1670" s="240" t="str">
        <f t="shared" si="214"/>
        <v>OK</v>
      </c>
      <c r="AE1670" s="240" t="str">
        <f t="shared" si="215"/>
        <v>OK</v>
      </c>
      <c r="AF1670" s="240" t="str" cm="1">
        <f t="array" aca="1" ref="AF1670" ca="1" xml:space="preserve">
IF(AND($G1670&lt;&gt;"",$F1670=""),"ERROR",
IF(OR($F1670:$G1670="",AND($G1670="",$F1670&lt;&gt;"")),"OK",
IF(COUNTIF(INDIRECT(IFERROR(LEFT($F1670,FIND(" ",$F1670)-1),$F1670)), $G1670)&gt;0, "OK", "ERROR")))</f>
        <v>OK</v>
      </c>
    </row>
    <row r="1671" spans="1:32" s="240" customFormat="1">
      <c r="A1671" s="48"/>
      <c r="B1671" s="31"/>
      <c r="C1671" s="48"/>
      <c r="D1671" s="47"/>
      <c r="E1671" s="47"/>
      <c r="F1671" s="31"/>
      <c r="G1671" s="31"/>
      <c r="H1671" s="31"/>
      <c r="I1671" s="47"/>
      <c r="J1671" s="31"/>
      <c r="K1671" s="47"/>
      <c r="L1671" s="47"/>
      <c r="M1671" s="47"/>
      <c r="N1671" s="31"/>
      <c r="O1671" s="47"/>
      <c r="P1671" s="31"/>
      <c r="Q1671" s="31"/>
      <c r="R1671" s="31"/>
      <c r="S1671" s="31"/>
      <c r="T1671" s="270">
        <f t="shared" si="208"/>
        <v>0</v>
      </c>
      <c r="U1671" s="270">
        <f t="shared" si="209"/>
        <v>0</v>
      </c>
      <c r="V1671" s="31"/>
      <c r="X1671" s="240" t="str">
        <f t="shared" si="210"/>
        <v>OK</v>
      </c>
      <c r="Y1671" s="240" t="str">
        <f t="shared" si="211"/>
        <v>OK</v>
      </c>
      <c r="Z1671" s="240" t="str">
        <f t="shared" si="212"/>
        <v>OK</v>
      </c>
      <c r="AA1671" s="240" t="str" cm="1">
        <f t="array" ref="AA1671">IF(OR(AND(J1671="Not accepted",N1671:O1671&lt;&gt;"",$S1671=""),AND(J1671="Accepted",S1671="")),"ERROR","OK")</f>
        <v>OK</v>
      </c>
      <c r="AB1671" s="240" t="str">
        <f t="shared" si="213"/>
        <v>OK</v>
      </c>
      <c r="AC1671" s="240" t="str" cm="1">
        <f t="array" ref="AC1671">IF(AND(F1671:H1671&lt;&gt;"",I1671=""),"ERROR","OK")</f>
        <v>OK</v>
      </c>
      <c r="AD1671" s="240" t="str">
        <f t="shared" si="214"/>
        <v>OK</v>
      </c>
      <c r="AE1671" s="240" t="str">
        <f t="shared" si="215"/>
        <v>OK</v>
      </c>
      <c r="AF1671" s="240" t="str" cm="1">
        <f t="array" aca="1" ref="AF1671" ca="1" xml:space="preserve">
IF(AND($G1671&lt;&gt;"",$F1671=""),"ERROR",
IF(OR($F1671:$G1671="",AND($G1671="",$F1671&lt;&gt;"")),"OK",
IF(COUNTIF(INDIRECT(IFERROR(LEFT($F1671,FIND(" ",$F1671)-1),$F1671)), $G1671)&gt;0, "OK", "ERROR")))</f>
        <v>OK</v>
      </c>
    </row>
    <row r="1672" spans="1:32" s="240" customFormat="1">
      <c r="A1672" s="48"/>
      <c r="B1672" s="31"/>
      <c r="C1672" s="48"/>
      <c r="D1672" s="47"/>
      <c r="E1672" s="47"/>
      <c r="F1672" s="31"/>
      <c r="G1672" s="31"/>
      <c r="H1672" s="31"/>
      <c r="I1672" s="47"/>
      <c r="J1672" s="31"/>
      <c r="K1672" s="47"/>
      <c r="L1672" s="47"/>
      <c r="M1672" s="47"/>
      <c r="N1672" s="31"/>
      <c r="O1672" s="47"/>
      <c r="P1672" s="31"/>
      <c r="Q1672" s="31"/>
      <c r="R1672" s="31"/>
      <c r="S1672" s="31"/>
      <c r="T1672" s="270">
        <f t="shared" si="208"/>
        <v>0</v>
      </c>
      <c r="U1672" s="270">
        <f t="shared" si="209"/>
        <v>0</v>
      </c>
      <c r="V1672" s="31"/>
      <c r="X1672" s="240" t="str">
        <f t="shared" si="210"/>
        <v>OK</v>
      </c>
      <c r="Y1672" s="240" t="str">
        <f t="shared" si="211"/>
        <v>OK</v>
      </c>
      <c r="Z1672" s="240" t="str">
        <f t="shared" si="212"/>
        <v>OK</v>
      </c>
      <c r="AA1672" s="240" t="str" cm="1">
        <f t="array" ref="AA1672">IF(OR(AND(J1672="Not accepted",N1672:O1672&lt;&gt;"",$S1672=""),AND(J1672="Accepted",S1672="")),"ERROR","OK")</f>
        <v>OK</v>
      </c>
      <c r="AB1672" s="240" t="str">
        <f t="shared" si="213"/>
        <v>OK</v>
      </c>
      <c r="AC1672" s="240" t="str" cm="1">
        <f t="array" ref="AC1672">IF(AND(F1672:H1672&lt;&gt;"",I1672=""),"ERROR","OK")</f>
        <v>OK</v>
      </c>
      <c r="AD1672" s="240" t="str">
        <f t="shared" si="214"/>
        <v>OK</v>
      </c>
      <c r="AE1672" s="240" t="str">
        <f t="shared" si="215"/>
        <v>OK</v>
      </c>
      <c r="AF1672" s="240" t="str" cm="1">
        <f t="array" aca="1" ref="AF1672" ca="1" xml:space="preserve">
IF(AND($G1672&lt;&gt;"",$F1672=""),"ERROR",
IF(OR($F1672:$G1672="",AND($G1672="",$F1672&lt;&gt;"")),"OK",
IF(COUNTIF(INDIRECT(IFERROR(LEFT($F1672,FIND(" ",$F1672)-1),$F1672)), $G1672)&gt;0, "OK", "ERROR")))</f>
        <v>OK</v>
      </c>
    </row>
    <row r="1673" spans="1:32" s="240" customFormat="1">
      <c r="A1673" s="48"/>
      <c r="B1673" s="31"/>
      <c r="C1673" s="48"/>
      <c r="D1673" s="47"/>
      <c r="E1673" s="47"/>
      <c r="F1673" s="31"/>
      <c r="G1673" s="31"/>
      <c r="H1673" s="31"/>
      <c r="I1673" s="47"/>
      <c r="J1673" s="31"/>
      <c r="K1673" s="47"/>
      <c r="L1673" s="47"/>
      <c r="M1673" s="47"/>
      <c r="N1673" s="31"/>
      <c r="O1673" s="47"/>
      <c r="P1673" s="31"/>
      <c r="Q1673" s="31"/>
      <c r="R1673" s="31"/>
      <c r="S1673" s="31"/>
      <c r="T1673" s="270">
        <f t="shared" si="208"/>
        <v>0</v>
      </c>
      <c r="U1673" s="270">
        <f t="shared" si="209"/>
        <v>0</v>
      </c>
      <c r="V1673" s="31"/>
      <c r="X1673" s="240" t="str">
        <f t="shared" si="210"/>
        <v>OK</v>
      </c>
      <c r="Y1673" s="240" t="str">
        <f t="shared" si="211"/>
        <v>OK</v>
      </c>
      <c r="Z1673" s="240" t="str">
        <f t="shared" si="212"/>
        <v>OK</v>
      </c>
      <c r="AA1673" s="240" t="str" cm="1">
        <f t="array" ref="AA1673">IF(OR(AND(J1673="Not accepted",N1673:O1673&lt;&gt;"",$S1673=""),AND(J1673="Accepted",S1673="")),"ERROR","OK")</f>
        <v>OK</v>
      </c>
      <c r="AB1673" s="240" t="str">
        <f t="shared" si="213"/>
        <v>OK</v>
      </c>
      <c r="AC1673" s="240" t="str" cm="1">
        <f t="array" ref="AC1673">IF(AND(F1673:H1673&lt;&gt;"",I1673=""),"ERROR","OK")</f>
        <v>OK</v>
      </c>
      <c r="AD1673" s="240" t="str">
        <f t="shared" si="214"/>
        <v>OK</v>
      </c>
      <c r="AE1673" s="240" t="str">
        <f t="shared" si="215"/>
        <v>OK</v>
      </c>
      <c r="AF1673" s="240" t="str" cm="1">
        <f t="array" aca="1" ref="AF1673" ca="1" xml:space="preserve">
IF(AND($G1673&lt;&gt;"",$F1673=""),"ERROR",
IF(OR($F1673:$G1673="",AND($G1673="",$F1673&lt;&gt;"")),"OK",
IF(COUNTIF(INDIRECT(IFERROR(LEFT($F1673,FIND(" ",$F1673)-1),$F1673)), $G1673)&gt;0, "OK", "ERROR")))</f>
        <v>OK</v>
      </c>
    </row>
    <row r="1674" spans="1:32" s="240" customFormat="1">
      <c r="A1674" s="48"/>
      <c r="B1674" s="31"/>
      <c r="C1674" s="48"/>
      <c r="D1674" s="47"/>
      <c r="E1674" s="47"/>
      <c r="F1674" s="31"/>
      <c r="G1674" s="31"/>
      <c r="H1674" s="31"/>
      <c r="I1674" s="47"/>
      <c r="J1674" s="31"/>
      <c r="K1674" s="47"/>
      <c r="L1674" s="47"/>
      <c r="M1674" s="47"/>
      <c r="N1674" s="31"/>
      <c r="O1674" s="47"/>
      <c r="P1674" s="31"/>
      <c r="Q1674" s="31"/>
      <c r="R1674" s="31"/>
      <c r="S1674" s="31"/>
      <c r="T1674" s="270">
        <f t="shared" si="208"/>
        <v>0</v>
      </c>
      <c r="U1674" s="270">
        <f t="shared" si="209"/>
        <v>0</v>
      </c>
      <c r="V1674" s="31"/>
      <c r="X1674" s="240" t="str">
        <f t="shared" si="210"/>
        <v>OK</v>
      </c>
      <c r="Y1674" s="240" t="str">
        <f t="shared" si="211"/>
        <v>OK</v>
      </c>
      <c r="Z1674" s="240" t="str">
        <f t="shared" si="212"/>
        <v>OK</v>
      </c>
      <c r="AA1674" s="240" t="str" cm="1">
        <f t="array" ref="AA1674">IF(OR(AND(J1674="Not accepted",N1674:O1674&lt;&gt;"",$S1674=""),AND(J1674="Accepted",S1674="")),"ERROR","OK")</f>
        <v>OK</v>
      </c>
      <c r="AB1674" s="240" t="str">
        <f t="shared" si="213"/>
        <v>OK</v>
      </c>
      <c r="AC1674" s="240" t="str" cm="1">
        <f t="array" ref="AC1674">IF(AND(F1674:H1674&lt;&gt;"",I1674=""),"ERROR","OK")</f>
        <v>OK</v>
      </c>
      <c r="AD1674" s="240" t="str">
        <f t="shared" si="214"/>
        <v>OK</v>
      </c>
      <c r="AE1674" s="240" t="str">
        <f t="shared" si="215"/>
        <v>OK</v>
      </c>
      <c r="AF1674" s="240" t="str" cm="1">
        <f t="array" aca="1" ref="AF1674" ca="1" xml:space="preserve">
IF(AND($G1674&lt;&gt;"",$F1674=""),"ERROR",
IF(OR($F1674:$G1674="",AND($G1674="",$F1674&lt;&gt;"")),"OK",
IF(COUNTIF(INDIRECT(IFERROR(LEFT($F1674,FIND(" ",$F1674)-1),$F1674)), $G1674)&gt;0, "OK", "ERROR")))</f>
        <v>OK</v>
      </c>
    </row>
    <row r="1675" spans="1:32" s="240" customFormat="1">
      <c r="A1675" s="48"/>
      <c r="B1675" s="31"/>
      <c r="C1675" s="48"/>
      <c r="D1675" s="47"/>
      <c r="E1675" s="47"/>
      <c r="F1675" s="31"/>
      <c r="G1675" s="31"/>
      <c r="H1675" s="31"/>
      <c r="I1675" s="47"/>
      <c r="J1675" s="31"/>
      <c r="K1675" s="47"/>
      <c r="L1675" s="47"/>
      <c r="M1675" s="47"/>
      <c r="N1675" s="31"/>
      <c r="O1675" s="47"/>
      <c r="P1675" s="31"/>
      <c r="Q1675" s="31"/>
      <c r="R1675" s="31"/>
      <c r="S1675" s="31"/>
      <c r="T1675" s="270">
        <f t="shared" si="208"/>
        <v>0</v>
      </c>
      <c r="U1675" s="270">
        <f t="shared" si="209"/>
        <v>0</v>
      </c>
      <c r="V1675" s="31"/>
      <c r="X1675" s="240" t="str">
        <f t="shared" si="210"/>
        <v>OK</v>
      </c>
      <c r="Y1675" s="240" t="str">
        <f t="shared" si="211"/>
        <v>OK</v>
      </c>
      <c r="Z1675" s="240" t="str">
        <f t="shared" si="212"/>
        <v>OK</v>
      </c>
      <c r="AA1675" s="240" t="str" cm="1">
        <f t="array" ref="AA1675">IF(OR(AND(J1675="Not accepted",N1675:O1675&lt;&gt;"",$S1675=""),AND(J1675="Accepted",S1675="")),"ERROR","OK")</f>
        <v>OK</v>
      </c>
      <c r="AB1675" s="240" t="str">
        <f t="shared" si="213"/>
        <v>OK</v>
      </c>
      <c r="AC1675" s="240" t="str" cm="1">
        <f t="array" ref="AC1675">IF(AND(F1675:H1675&lt;&gt;"",I1675=""),"ERROR","OK")</f>
        <v>OK</v>
      </c>
      <c r="AD1675" s="240" t="str">
        <f t="shared" si="214"/>
        <v>OK</v>
      </c>
      <c r="AE1675" s="240" t="str">
        <f t="shared" si="215"/>
        <v>OK</v>
      </c>
      <c r="AF1675" s="240" t="str" cm="1">
        <f t="array" aca="1" ref="AF1675" ca="1" xml:space="preserve">
IF(AND($G1675&lt;&gt;"",$F1675=""),"ERROR",
IF(OR($F1675:$G1675="",AND($G1675="",$F1675&lt;&gt;"")),"OK",
IF(COUNTIF(INDIRECT(IFERROR(LEFT($F1675,FIND(" ",$F1675)-1),$F1675)), $G1675)&gt;0, "OK", "ERROR")))</f>
        <v>OK</v>
      </c>
    </row>
    <row r="1676" spans="1:32" s="240" customFormat="1">
      <c r="A1676" s="48"/>
      <c r="B1676" s="31"/>
      <c r="C1676" s="48"/>
      <c r="D1676" s="47"/>
      <c r="E1676" s="47"/>
      <c r="F1676" s="31"/>
      <c r="G1676" s="31"/>
      <c r="H1676" s="31"/>
      <c r="I1676" s="47"/>
      <c r="J1676" s="31"/>
      <c r="K1676" s="47"/>
      <c r="L1676" s="47"/>
      <c r="M1676" s="47"/>
      <c r="N1676" s="31"/>
      <c r="O1676" s="47"/>
      <c r="P1676" s="31"/>
      <c r="Q1676" s="31"/>
      <c r="R1676" s="31"/>
      <c r="S1676" s="31"/>
      <c r="T1676" s="270">
        <f t="shared" si="208"/>
        <v>0</v>
      </c>
      <c r="U1676" s="270">
        <f t="shared" si="209"/>
        <v>0</v>
      </c>
      <c r="V1676" s="31"/>
      <c r="X1676" s="240" t="str">
        <f t="shared" si="210"/>
        <v>OK</v>
      </c>
      <c r="Y1676" s="240" t="str">
        <f t="shared" si="211"/>
        <v>OK</v>
      </c>
      <c r="Z1676" s="240" t="str">
        <f t="shared" si="212"/>
        <v>OK</v>
      </c>
      <c r="AA1676" s="240" t="str" cm="1">
        <f t="array" ref="AA1676">IF(OR(AND(J1676="Not accepted",N1676:O1676&lt;&gt;"",$S1676=""),AND(J1676="Accepted",S1676="")),"ERROR","OK")</f>
        <v>OK</v>
      </c>
      <c r="AB1676" s="240" t="str">
        <f t="shared" si="213"/>
        <v>OK</v>
      </c>
      <c r="AC1676" s="240" t="str" cm="1">
        <f t="array" ref="AC1676">IF(AND(F1676:H1676&lt;&gt;"",I1676=""),"ERROR","OK")</f>
        <v>OK</v>
      </c>
      <c r="AD1676" s="240" t="str">
        <f t="shared" si="214"/>
        <v>OK</v>
      </c>
      <c r="AE1676" s="240" t="str">
        <f t="shared" si="215"/>
        <v>OK</v>
      </c>
      <c r="AF1676" s="240" t="str" cm="1">
        <f t="array" aca="1" ref="AF1676" ca="1" xml:space="preserve">
IF(AND($G1676&lt;&gt;"",$F1676=""),"ERROR",
IF(OR($F1676:$G1676="",AND($G1676="",$F1676&lt;&gt;"")),"OK",
IF(COUNTIF(INDIRECT(IFERROR(LEFT($F1676,FIND(" ",$F1676)-1),$F1676)), $G1676)&gt;0, "OK", "ERROR")))</f>
        <v>OK</v>
      </c>
    </row>
    <row r="1677" spans="1:32" s="240" customFormat="1">
      <c r="A1677" s="48"/>
      <c r="B1677" s="31"/>
      <c r="C1677" s="48"/>
      <c r="D1677" s="47"/>
      <c r="E1677" s="47"/>
      <c r="F1677" s="31"/>
      <c r="G1677" s="31"/>
      <c r="H1677" s="31"/>
      <c r="I1677" s="47"/>
      <c r="J1677" s="31"/>
      <c r="K1677" s="47"/>
      <c r="L1677" s="47"/>
      <c r="M1677" s="47"/>
      <c r="N1677" s="31"/>
      <c r="O1677" s="47"/>
      <c r="P1677" s="31"/>
      <c r="Q1677" s="31"/>
      <c r="R1677" s="31"/>
      <c r="S1677" s="31"/>
      <c r="T1677" s="270">
        <f t="shared" si="208"/>
        <v>0</v>
      </c>
      <c r="U1677" s="270">
        <f t="shared" si="209"/>
        <v>0</v>
      </c>
      <c r="V1677" s="31"/>
      <c r="X1677" s="240" t="str">
        <f t="shared" si="210"/>
        <v>OK</v>
      </c>
      <c r="Y1677" s="240" t="str">
        <f t="shared" si="211"/>
        <v>OK</v>
      </c>
      <c r="Z1677" s="240" t="str">
        <f t="shared" si="212"/>
        <v>OK</v>
      </c>
      <c r="AA1677" s="240" t="str" cm="1">
        <f t="array" ref="AA1677">IF(OR(AND(J1677="Not accepted",N1677:O1677&lt;&gt;"",$S1677=""),AND(J1677="Accepted",S1677="")),"ERROR","OK")</f>
        <v>OK</v>
      </c>
      <c r="AB1677" s="240" t="str">
        <f t="shared" si="213"/>
        <v>OK</v>
      </c>
      <c r="AC1677" s="240" t="str" cm="1">
        <f t="array" ref="AC1677">IF(AND(F1677:H1677&lt;&gt;"",I1677=""),"ERROR","OK")</f>
        <v>OK</v>
      </c>
      <c r="AD1677" s="240" t="str">
        <f t="shared" si="214"/>
        <v>OK</v>
      </c>
      <c r="AE1677" s="240" t="str">
        <f t="shared" si="215"/>
        <v>OK</v>
      </c>
      <c r="AF1677" s="240" t="str" cm="1">
        <f t="array" aca="1" ref="AF1677" ca="1" xml:space="preserve">
IF(AND($G1677&lt;&gt;"",$F1677=""),"ERROR",
IF(OR($F1677:$G1677="",AND($G1677="",$F1677&lt;&gt;"")),"OK",
IF(COUNTIF(INDIRECT(IFERROR(LEFT($F1677,FIND(" ",$F1677)-1),$F1677)), $G1677)&gt;0, "OK", "ERROR")))</f>
        <v>OK</v>
      </c>
    </row>
    <row r="1678" spans="1:32" s="240" customFormat="1">
      <c r="A1678" s="48"/>
      <c r="B1678" s="31"/>
      <c r="C1678" s="48"/>
      <c r="D1678" s="47"/>
      <c r="E1678" s="47"/>
      <c r="F1678" s="31"/>
      <c r="G1678" s="31"/>
      <c r="H1678" s="31"/>
      <c r="I1678" s="47"/>
      <c r="J1678" s="31"/>
      <c r="K1678" s="47"/>
      <c r="L1678" s="47"/>
      <c r="M1678" s="47"/>
      <c r="N1678" s="31"/>
      <c r="O1678" s="47"/>
      <c r="P1678" s="31"/>
      <c r="Q1678" s="31"/>
      <c r="R1678" s="31"/>
      <c r="S1678" s="31"/>
      <c r="T1678" s="270">
        <f t="shared" si="208"/>
        <v>0</v>
      </c>
      <c r="U1678" s="270">
        <f t="shared" si="209"/>
        <v>0</v>
      </c>
      <c r="V1678" s="31"/>
      <c r="X1678" s="240" t="str">
        <f t="shared" si="210"/>
        <v>OK</v>
      </c>
      <c r="Y1678" s="240" t="str">
        <f t="shared" si="211"/>
        <v>OK</v>
      </c>
      <c r="Z1678" s="240" t="str">
        <f t="shared" si="212"/>
        <v>OK</v>
      </c>
      <c r="AA1678" s="240" t="str" cm="1">
        <f t="array" ref="AA1678">IF(OR(AND(J1678="Not accepted",N1678:O1678&lt;&gt;"",$S1678=""),AND(J1678="Accepted",S1678="")),"ERROR","OK")</f>
        <v>OK</v>
      </c>
      <c r="AB1678" s="240" t="str">
        <f t="shared" si="213"/>
        <v>OK</v>
      </c>
      <c r="AC1678" s="240" t="str" cm="1">
        <f t="array" ref="AC1678">IF(AND(F1678:H1678&lt;&gt;"",I1678=""),"ERROR","OK")</f>
        <v>OK</v>
      </c>
      <c r="AD1678" s="240" t="str">
        <f t="shared" si="214"/>
        <v>OK</v>
      </c>
      <c r="AE1678" s="240" t="str">
        <f t="shared" si="215"/>
        <v>OK</v>
      </c>
      <c r="AF1678" s="240" t="str" cm="1">
        <f t="array" aca="1" ref="AF1678" ca="1" xml:space="preserve">
IF(AND($G1678&lt;&gt;"",$F1678=""),"ERROR",
IF(OR($F1678:$G1678="",AND($G1678="",$F1678&lt;&gt;"")),"OK",
IF(COUNTIF(INDIRECT(IFERROR(LEFT($F1678,FIND(" ",$F1678)-1),$F1678)), $G1678)&gt;0, "OK", "ERROR")))</f>
        <v>OK</v>
      </c>
    </row>
    <row r="1679" spans="1:32" s="240" customFormat="1">
      <c r="A1679" s="48"/>
      <c r="B1679" s="31"/>
      <c r="C1679" s="48"/>
      <c r="D1679" s="47"/>
      <c r="E1679" s="47"/>
      <c r="F1679" s="31"/>
      <c r="G1679" s="31"/>
      <c r="H1679" s="31"/>
      <c r="I1679" s="47"/>
      <c r="J1679" s="31"/>
      <c r="K1679" s="47"/>
      <c r="L1679" s="47"/>
      <c r="M1679" s="47"/>
      <c r="N1679" s="31"/>
      <c r="O1679" s="47"/>
      <c r="P1679" s="31"/>
      <c r="Q1679" s="31"/>
      <c r="R1679" s="31"/>
      <c r="S1679" s="31"/>
      <c r="T1679" s="270">
        <f t="shared" si="208"/>
        <v>0</v>
      </c>
      <c r="U1679" s="270">
        <f t="shared" si="209"/>
        <v>0</v>
      </c>
      <c r="V1679" s="31"/>
      <c r="X1679" s="240" t="str">
        <f t="shared" si="210"/>
        <v>OK</v>
      </c>
      <c r="Y1679" s="240" t="str">
        <f t="shared" si="211"/>
        <v>OK</v>
      </c>
      <c r="Z1679" s="240" t="str">
        <f t="shared" si="212"/>
        <v>OK</v>
      </c>
      <c r="AA1679" s="240" t="str" cm="1">
        <f t="array" ref="AA1679">IF(OR(AND(J1679="Not accepted",N1679:O1679&lt;&gt;"",$S1679=""),AND(J1679="Accepted",S1679="")),"ERROR","OK")</f>
        <v>OK</v>
      </c>
      <c r="AB1679" s="240" t="str">
        <f t="shared" si="213"/>
        <v>OK</v>
      </c>
      <c r="AC1679" s="240" t="str" cm="1">
        <f t="array" ref="AC1679">IF(AND(F1679:H1679&lt;&gt;"",I1679=""),"ERROR","OK")</f>
        <v>OK</v>
      </c>
      <c r="AD1679" s="240" t="str">
        <f t="shared" si="214"/>
        <v>OK</v>
      </c>
      <c r="AE1679" s="240" t="str">
        <f t="shared" si="215"/>
        <v>OK</v>
      </c>
      <c r="AF1679" s="240" t="str" cm="1">
        <f t="array" aca="1" ref="AF1679" ca="1" xml:space="preserve">
IF(AND($G1679&lt;&gt;"",$F1679=""),"ERROR",
IF(OR($F1679:$G1679="",AND($G1679="",$F1679&lt;&gt;"")),"OK",
IF(COUNTIF(INDIRECT(IFERROR(LEFT($F1679,FIND(" ",$F1679)-1),$F1679)), $G1679)&gt;0, "OK", "ERROR")))</f>
        <v>OK</v>
      </c>
    </row>
    <row r="1680" spans="1:32" s="240" customFormat="1">
      <c r="A1680" s="48"/>
      <c r="B1680" s="31"/>
      <c r="C1680" s="48"/>
      <c r="D1680" s="47"/>
      <c r="E1680" s="47"/>
      <c r="F1680" s="31"/>
      <c r="G1680" s="31"/>
      <c r="H1680" s="31"/>
      <c r="I1680" s="47"/>
      <c r="J1680" s="31"/>
      <c r="K1680" s="47"/>
      <c r="L1680" s="47"/>
      <c r="M1680" s="47"/>
      <c r="N1680" s="31"/>
      <c r="O1680" s="47"/>
      <c r="P1680" s="31"/>
      <c r="Q1680" s="31"/>
      <c r="R1680" s="31"/>
      <c r="S1680" s="31"/>
      <c r="T1680" s="270">
        <f t="shared" si="208"/>
        <v>0</v>
      </c>
      <c r="U1680" s="270">
        <f t="shared" si="209"/>
        <v>0</v>
      </c>
      <c r="V1680" s="31"/>
      <c r="X1680" s="240" t="str">
        <f t="shared" si="210"/>
        <v>OK</v>
      </c>
      <c r="Y1680" s="240" t="str">
        <f t="shared" si="211"/>
        <v>OK</v>
      </c>
      <c r="Z1680" s="240" t="str">
        <f t="shared" si="212"/>
        <v>OK</v>
      </c>
      <c r="AA1680" s="240" t="str" cm="1">
        <f t="array" ref="AA1680">IF(OR(AND(J1680="Not accepted",N1680:O1680&lt;&gt;"",$S1680=""),AND(J1680="Accepted",S1680="")),"ERROR","OK")</f>
        <v>OK</v>
      </c>
      <c r="AB1680" s="240" t="str">
        <f t="shared" si="213"/>
        <v>OK</v>
      </c>
      <c r="AC1680" s="240" t="str" cm="1">
        <f t="array" ref="AC1680">IF(AND(F1680:H1680&lt;&gt;"",I1680=""),"ERROR","OK")</f>
        <v>OK</v>
      </c>
      <c r="AD1680" s="240" t="str">
        <f t="shared" si="214"/>
        <v>OK</v>
      </c>
      <c r="AE1680" s="240" t="str">
        <f t="shared" si="215"/>
        <v>OK</v>
      </c>
      <c r="AF1680" s="240" t="str" cm="1">
        <f t="array" aca="1" ref="AF1680" ca="1" xml:space="preserve">
IF(AND($G1680&lt;&gt;"",$F1680=""),"ERROR",
IF(OR($F1680:$G1680="",AND($G1680="",$F1680&lt;&gt;"")),"OK",
IF(COUNTIF(INDIRECT(IFERROR(LEFT($F1680,FIND(" ",$F1680)-1),$F1680)), $G1680)&gt;0, "OK", "ERROR")))</f>
        <v>OK</v>
      </c>
    </row>
    <row r="1681" spans="1:32" s="240" customFormat="1">
      <c r="A1681" s="48"/>
      <c r="B1681" s="31"/>
      <c r="C1681" s="48"/>
      <c r="D1681" s="47"/>
      <c r="E1681" s="47"/>
      <c r="F1681" s="31"/>
      <c r="G1681" s="31"/>
      <c r="H1681" s="31"/>
      <c r="I1681" s="47"/>
      <c r="J1681" s="31"/>
      <c r="K1681" s="47"/>
      <c r="L1681" s="47"/>
      <c r="M1681" s="47"/>
      <c r="N1681" s="31"/>
      <c r="O1681" s="47"/>
      <c r="P1681" s="31"/>
      <c r="Q1681" s="31"/>
      <c r="R1681" s="31"/>
      <c r="S1681" s="31"/>
      <c r="T1681" s="270">
        <f t="shared" si="208"/>
        <v>0</v>
      </c>
      <c r="U1681" s="270">
        <f t="shared" si="209"/>
        <v>0</v>
      </c>
      <c r="V1681" s="31"/>
      <c r="X1681" s="240" t="str">
        <f t="shared" si="210"/>
        <v>OK</v>
      </c>
      <c r="Y1681" s="240" t="str">
        <f t="shared" si="211"/>
        <v>OK</v>
      </c>
      <c r="Z1681" s="240" t="str">
        <f t="shared" si="212"/>
        <v>OK</v>
      </c>
      <c r="AA1681" s="240" t="str" cm="1">
        <f t="array" ref="AA1681">IF(OR(AND(J1681="Not accepted",N1681:O1681&lt;&gt;"",$S1681=""),AND(J1681="Accepted",S1681="")),"ERROR","OK")</f>
        <v>OK</v>
      </c>
      <c r="AB1681" s="240" t="str">
        <f t="shared" si="213"/>
        <v>OK</v>
      </c>
      <c r="AC1681" s="240" t="str" cm="1">
        <f t="array" ref="AC1681">IF(AND(F1681:H1681&lt;&gt;"",I1681=""),"ERROR","OK")</f>
        <v>OK</v>
      </c>
      <c r="AD1681" s="240" t="str">
        <f t="shared" si="214"/>
        <v>OK</v>
      </c>
      <c r="AE1681" s="240" t="str">
        <f t="shared" si="215"/>
        <v>OK</v>
      </c>
      <c r="AF1681" s="240" t="str" cm="1">
        <f t="array" aca="1" ref="AF1681" ca="1" xml:space="preserve">
IF(AND($G1681&lt;&gt;"",$F1681=""),"ERROR",
IF(OR($F1681:$G1681="",AND($G1681="",$F1681&lt;&gt;"")),"OK",
IF(COUNTIF(INDIRECT(IFERROR(LEFT($F1681,FIND(" ",$F1681)-1),$F1681)), $G1681)&gt;0, "OK", "ERROR")))</f>
        <v>OK</v>
      </c>
    </row>
    <row r="1682" spans="1:32" s="240" customFormat="1">
      <c r="A1682" s="48"/>
      <c r="B1682" s="31"/>
      <c r="C1682" s="48"/>
      <c r="D1682" s="47"/>
      <c r="E1682" s="47"/>
      <c r="F1682" s="31"/>
      <c r="G1682" s="31"/>
      <c r="H1682" s="31"/>
      <c r="I1682" s="47"/>
      <c r="J1682" s="31"/>
      <c r="K1682" s="47"/>
      <c r="L1682" s="47"/>
      <c r="M1682" s="47"/>
      <c r="N1682" s="31"/>
      <c r="O1682" s="47"/>
      <c r="P1682" s="31"/>
      <c r="Q1682" s="31"/>
      <c r="R1682" s="31"/>
      <c r="S1682" s="31"/>
      <c r="T1682" s="270">
        <f t="shared" si="208"/>
        <v>0</v>
      </c>
      <c r="U1682" s="270">
        <f t="shared" si="209"/>
        <v>0</v>
      </c>
      <c r="V1682" s="31"/>
      <c r="X1682" s="240" t="str">
        <f t="shared" si="210"/>
        <v>OK</v>
      </c>
      <c r="Y1682" s="240" t="str">
        <f t="shared" si="211"/>
        <v>OK</v>
      </c>
      <c r="Z1682" s="240" t="str">
        <f t="shared" si="212"/>
        <v>OK</v>
      </c>
      <c r="AA1682" s="240" t="str" cm="1">
        <f t="array" ref="AA1682">IF(OR(AND(J1682="Not accepted",N1682:O1682&lt;&gt;"",$S1682=""),AND(J1682="Accepted",S1682="")),"ERROR","OK")</f>
        <v>OK</v>
      </c>
      <c r="AB1682" s="240" t="str">
        <f t="shared" si="213"/>
        <v>OK</v>
      </c>
      <c r="AC1682" s="240" t="str" cm="1">
        <f t="array" ref="AC1682">IF(AND(F1682:H1682&lt;&gt;"",I1682=""),"ERROR","OK")</f>
        <v>OK</v>
      </c>
      <c r="AD1682" s="240" t="str">
        <f t="shared" si="214"/>
        <v>OK</v>
      </c>
      <c r="AE1682" s="240" t="str">
        <f t="shared" si="215"/>
        <v>OK</v>
      </c>
      <c r="AF1682" s="240" t="str" cm="1">
        <f t="array" aca="1" ref="AF1682" ca="1" xml:space="preserve">
IF(AND($G1682&lt;&gt;"",$F1682=""),"ERROR",
IF(OR($F1682:$G1682="",AND($G1682="",$F1682&lt;&gt;"")),"OK",
IF(COUNTIF(INDIRECT(IFERROR(LEFT($F1682,FIND(" ",$F1682)-1),$F1682)), $G1682)&gt;0, "OK", "ERROR")))</f>
        <v>OK</v>
      </c>
    </row>
    <row r="1683" spans="1:32" s="240" customFormat="1">
      <c r="A1683" s="48"/>
      <c r="B1683" s="31"/>
      <c r="C1683" s="48"/>
      <c r="D1683" s="47"/>
      <c r="E1683" s="47"/>
      <c r="F1683" s="31"/>
      <c r="G1683" s="31"/>
      <c r="H1683" s="31"/>
      <c r="I1683" s="47"/>
      <c r="J1683" s="31"/>
      <c r="K1683" s="47"/>
      <c r="L1683" s="47"/>
      <c r="M1683" s="47"/>
      <c r="N1683" s="31"/>
      <c r="O1683" s="47"/>
      <c r="P1683" s="31"/>
      <c r="Q1683" s="31"/>
      <c r="R1683" s="31"/>
      <c r="S1683" s="31"/>
      <c r="T1683" s="270">
        <f t="shared" si="208"/>
        <v>0</v>
      </c>
      <c r="U1683" s="270">
        <f t="shared" si="209"/>
        <v>0</v>
      </c>
      <c r="V1683" s="31"/>
      <c r="X1683" s="240" t="str">
        <f t="shared" si="210"/>
        <v>OK</v>
      </c>
      <c r="Y1683" s="240" t="str">
        <f t="shared" si="211"/>
        <v>OK</v>
      </c>
      <c r="Z1683" s="240" t="str">
        <f t="shared" si="212"/>
        <v>OK</v>
      </c>
      <c r="AA1683" s="240" t="str" cm="1">
        <f t="array" ref="AA1683">IF(OR(AND(J1683="Not accepted",N1683:O1683&lt;&gt;"",$S1683=""),AND(J1683="Accepted",S1683="")),"ERROR","OK")</f>
        <v>OK</v>
      </c>
      <c r="AB1683" s="240" t="str">
        <f t="shared" si="213"/>
        <v>OK</v>
      </c>
      <c r="AC1683" s="240" t="str" cm="1">
        <f t="array" ref="AC1683">IF(AND(F1683:H1683&lt;&gt;"",I1683=""),"ERROR","OK")</f>
        <v>OK</v>
      </c>
      <c r="AD1683" s="240" t="str">
        <f t="shared" si="214"/>
        <v>OK</v>
      </c>
      <c r="AE1683" s="240" t="str">
        <f t="shared" si="215"/>
        <v>OK</v>
      </c>
      <c r="AF1683" s="240" t="str" cm="1">
        <f t="array" aca="1" ref="AF1683" ca="1" xml:space="preserve">
IF(AND($G1683&lt;&gt;"",$F1683=""),"ERROR",
IF(OR($F1683:$G1683="",AND($G1683="",$F1683&lt;&gt;"")),"OK",
IF(COUNTIF(INDIRECT(IFERROR(LEFT($F1683,FIND(" ",$F1683)-1),$F1683)), $G1683)&gt;0, "OK", "ERROR")))</f>
        <v>OK</v>
      </c>
    </row>
    <row r="1684" spans="1:32" s="240" customFormat="1">
      <c r="A1684" s="48"/>
      <c r="B1684" s="31"/>
      <c r="C1684" s="48"/>
      <c r="D1684" s="47"/>
      <c r="E1684" s="47"/>
      <c r="F1684" s="31"/>
      <c r="G1684" s="31"/>
      <c r="H1684" s="31"/>
      <c r="I1684" s="47"/>
      <c r="J1684" s="31"/>
      <c r="K1684" s="47"/>
      <c r="L1684" s="47"/>
      <c r="M1684" s="47"/>
      <c r="N1684" s="31"/>
      <c r="O1684" s="47"/>
      <c r="P1684" s="31"/>
      <c r="Q1684" s="31"/>
      <c r="R1684" s="31"/>
      <c r="S1684" s="31"/>
      <c r="T1684" s="270">
        <f t="shared" si="208"/>
        <v>0</v>
      </c>
      <c r="U1684" s="270">
        <f t="shared" si="209"/>
        <v>0</v>
      </c>
      <c r="V1684" s="31"/>
      <c r="X1684" s="240" t="str">
        <f t="shared" si="210"/>
        <v>OK</v>
      </c>
      <c r="Y1684" s="240" t="str">
        <f t="shared" si="211"/>
        <v>OK</v>
      </c>
      <c r="Z1684" s="240" t="str">
        <f t="shared" si="212"/>
        <v>OK</v>
      </c>
      <c r="AA1684" s="240" t="str" cm="1">
        <f t="array" ref="AA1684">IF(OR(AND(J1684="Not accepted",N1684:O1684&lt;&gt;"",$S1684=""),AND(J1684="Accepted",S1684="")),"ERROR","OK")</f>
        <v>OK</v>
      </c>
      <c r="AB1684" s="240" t="str">
        <f t="shared" si="213"/>
        <v>OK</v>
      </c>
      <c r="AC1684" s="240" t="str" cm="1">
        <f t="array" ref="AC1684">IF(AND(F1684:H1684&lt;&gt;"",I1684=""),"ERROR","OK")</f>
        <v>OK</v>
      </c>
      <c r="AD1684" s="240" t="str">
        <f t="shared" si="214"/>
        <v>OK</v>
      </c>
      <c r="AE1684" s="240" t="str">
        <f t="shared" si="215"/>
        <v>OK</v>
      </c>
      <c r="AF1684" s="240" t="str" cm="1">
        <f t="array" aca="1" ref="AF1684" ca="1" xml:space="preserve">
IF(AND($G1684&lt;&gt;"",$F1684=""),"ERROR",
IF(OR($F1684:$G1684="",AND($G1684="",$F1684&lt;&gt;"")),"OK",
IF(COUNTIF(INDIRECT(IFERROR(LEFT($F1684,FIND(" ",$F1684)-1),$F1684)), $G1684)&gt;0, "OK", "ERROR")))</f>
        <v>OK</v>
      </c>
    </row>
    <row r="1685" spans="1:32" s="240" customFormat="1">
      <c r="A1685" s="48"/>
      <c r="B1685" s="31"/>
      <c r="C1685" s="48"/>
      <c r="D1685" s="47"/>
      <c r="E1685" s="47"/>
      <c r="F1685" s="31"/>
      <c r="G1685" s="31"/>
      <c r="H1685" s="31"/>
      <c r="I1685" s="47"/>
      <c r="J1685" s="31"/>
      <c r="K1685" s="47"/>
      <c r="L1685" s="47"/>
      <c r="M1685" s="47"/>
      <c r="N1685" s="31"/>
      <c r="O1685" s="47"/>
      <c r="P1685" s="31"/>
      <c r="Q1685" s="31"/>
      <c r="R1685" s="31"/>
      <c r="S1685" s="31"/>
      <c r="T1685" s="270">
        <f t="shared" si="208"/>
        <v>0</v>
      </c>
      <c r="U1685" s="270">
        <f t="shared" si="209"/>
        <v>0</v>
      </c>
      <c r="V1685" s="31"/>
      <c r="X1685" s="240" t="str">
        <f t="shared" si="210"/>
        <v>OK</v>
      </c>
      <c r="Y1685" s="240" t="str">
        <f t="shared" si="211"/>
        <v>OK</v>
      </c>
      <c r="Z1685" s="240" t="str">
        <f t="shared" si="212"/>
        <v>OK</v>
      </c>
      <c r="AA1685" s="240" t="str" cm="1">
        <f t="array" ref="AA1685">IF(OR(AND(J1685="Not accepted",N1685:O1685&lt;&gt;"",$S1685=""),AND(J1685="Accepted",S1685="")),"ERROR","OK")</f>
        <v>OK</v>
      </c>
      <c r="AB1685" s="240" t="str">
        <f t="shared" si="213"/>
        <v>OK</v>
      </c>
      <c r="AC1685" s="240" t="str" cm="1">
        <f t="array" ref="AC1685">IF(AND(F1685:H1685&lt;&gt;"",I1685=""),"ERROR","OK")</f>
        <v>OK</v>
      </c>
      <c r="AD1685" s="240" t="str">
        <f t="shared" si="214"/>
        <v>OK</v>
      </c>
      <c r="AE1685" s="240" t="str">
        <f t="shared" si="215"/>
        <v>OK</v>
      </c>
      <c r="AF1685" s="240" t="str" cm="1">
        <f t="array" aca="1" ref="AF1685" ca="1" xml:space="preserve">
IF(AND($G1685&lt;&gt;"",$F1685=""),"ERROR",
IF(OR($F1685:$G1685="",AND($G1685="",$F1685&lt;&gt;"")),"OK",
IF(COUNTIF(INDIRECT(IFERROR(LEFT($F1685,FIND(" ",$F1685)-1),$F1685)), $G1685)&gt;0, "OK", "ERROR")))</f>
        <v>OK</v>
      </c>
    </row>
    <row r="1686" spans="1:32" s="240" customFormat="1">
      <c r="A1686" s="48"/>
      <c r="B1686" s="31"/>
      <c r="C1686" s="48"/>
      <c r="D1686" s="47"/>
      <c r="E1686" s="47"/>
      <c r="F1686" s="31"/>
      <c r="G1686" s="31"/>
      <c r="H1686" s="31"/>
      <c r="I1686" s="47"/>
      <c r="J1686" s="31"/>
      <c r="K1686" s="47"/>
      <c r="L1686" s="47"/>
      <c r="M1686" s="47"/>
      <c r="N1686" s="31"/>
      <c r="O1686" s="47"/>
      <c r="P1686" s="31"/>
      <c r="Q1686" s="31"/>
      <c r="R1686" s="31"/>
      <c r="S1686" s="31"/>
      <c r="T1686" s="270">
        <f t="shared" si="208"/>
        <v>0</v>
      </c>
      <c r="U1686" s="270">
        <f t="shared" si="209"/>
        <v>0</v>
      </c>
      <c r="V1686" s="31"/>
      <c r="X1686" s="240" t="str">
        <f t="shared" si="210"/>
        <v>OK</v>
      </c>
      <c r="Y1686" s="240" t="str">
        <f t="shared" si="211"/>
        <v>OK</v>
      </c>
      <c r="Z1686" s="240" t="str">
        <f t="shared" si="212"/>
        <v>OK</v>
      </c>
      <c r="AA1686" s="240" t="str" cm="1">
        <f t="array" ref="AA1686">IF(OR(AND(J1686="Not accepted",N1686:O1686&lt;&gt;"",$S1686=""),AND(J1686="Accepted",S1686="")),"ERROR","OK")</f>
        <v>OK</v>
      </c>
      <c r="AB1686" s="240" t="str">
        <f t="shared" si="213"/>
        <v>OK</v>
      </c>
      <c r="AC1686" s="240" t="str" cm="1">
        <f t="array" ref="AC1686">IF(AND(F1686:H1686&lt;&gt;"",I1686=""),"ERROR","OK")</f>
        <v>OK</v>
      </c>
      <c r="AD1686" s="240" t="str">
        <f t="shared" si="214"/>
        <v>OK</v>
      </c>
      <c r="AE1686" s="240" t="str">
        <f t="shared" si="215"/>
        <v>OK</v>
      </c>
      <c r="AF1686" s="240" t="str" cm="1">
        <f t="array" aca="1" ref="AF1686" ca="1" xml:space="preserve">
IF(AND($G1686&lt;&gt;"",$F1686=""),"ERROR",
IF(OR($F1686:$G1686="",AND($G1686="",$F1686&lt;&gt;"")),"OK",
IF(COUNTIF(INDIRECT(IFERROR(LEFT($F1686,FIND(" ",$F1686)-1),$F1686)), $G1686)&gt;0, "OK", "ERROR")))</f>
        <v>OK</v>
      </c>
    </row>
    <row r="1687" spans="1:32" s="240" customFormat="1">
      <c r="A1687" s="48"/>
      <c r="B1687" s="31"/>
      <c r="C1687" s="48"/>
      <c r="D1687" s="47"/>
      <c r="E1687" s="47"/>
      <c r="F1687" s="31"/>
      <c r="G1687" s="31"/>
      <c r="H1687" s="31"/>
      <c r="I1687" s="47"/>
      <c r="J1687" s="31"/>
      <c r="K1687" s="47"/>
      <c r="L1687" s="47"/>
      <c r="M1687" s="47"/>
      <c r="N1687" s="31"/>
      <c r="O1687" s="47"/>
      <c r="P1687" s="31"/>
      <c r="Q1687" s="31"/>
      <c r="R1687" s="31"/>
      <c r="S1687" s="31"/>
      <c r="T1687" s="270">
        <f t="shared" si="208"/>
        <v>0</v>
      </c>
      <c r="U1687" s="270">
        <f t="shared" si="209"/>
        <v>0</v>
      </c>
      <c r="V1687" s="31"/>
      <c r="X1687" s="240" t="str">
        <f t="shared" si="210"/>
        <v>OK</v>
      </c>
      <c r="Y1687" s="240" t="str">
        <f t="shared" si="211"/>
        <v>OK</v>
      </c>
      <c r="Z1687" s="240" t="str">
        <f t="shared" si="212"/>
        <v>OK</v>
      </c>
      <c r="AA1687" s="240" t="str" cm="1">
        <f t="array" ref="AA1687">IF(OR(AND(J1687="Not accepted",N1687:O1687&lt;&gt;"",$S1687=""),AND(J1687="Accepted",S1687="")),"ERROR","OK")</f>
        <v>OK</v>
      </c>
      <c r="AB1687" s="240" t="str">
        <f t="shared" si="213"/>
        <v>OK</v>
      </c>
      <c r="AC1687" s="240" t="str" cm="1">
        <f t="array" ref="AC1687">IF(AND(F1687:H1687&lt;&gt;"",I1687=""),"ERROR","OK")</f>
        <v>OK</v>
      </c>
      <c r="AD1687" s="240" t="str">
        <f t="shared" si="214"/>
        <v>OK</v>
      </c>
      <c r="AE1687" s="240" t="str">
        <f t="shared" si="215"/>
        <v>OK</v>
      </c>
      <c r="AF1687" s="240" t="str" cm="1">
        <f t="array" aca="1" ref="AF1687" ca="1" xml:space="preserve">
IF(AND($G1687&lt;&gt;"",$F1687=""),"ERROR",
IF(OR($F1687:$G1687="",AND($G1687="",$F1687&lt;&gt;"")),"OK",
IF(COUNTIF(INDIRECT(IFERROR(LEFT($F1687,FIND(" ",$F1687)-1),$F1687)), $G1687)&gt;0, "OK", "ERROR")))</f>
        <v>OK</v>
      </c>
    </row>
    <row r="1688" spans="1:32" s="240" customFormat="1">
      <c r="A1688" s="48"/>
      <c r="B1688" s="31"/>
      <c r="C1688" s="48"/>
      <c r="D1688" s="47"/>
      <c r="E1688" s="47"/>
      <c r="F1688" s="31"/>
      <c r="G1688" s="31"/>
      <c r="H1688" s="31"/>
      <c r="I1688" s="47"/>
      <c r="J1688" s="31"/>
      <c r="K1688" s="47"/>
      <c r="L1688" s="47"/>
      <c r="M1688" s="47"/>
      <c r="N1688" s="31"/>
      <c r="O1688" s="47"/>
      <c r="P1688" s="31"/>
      <c r="Q1688" s="31"/>
      <c r="R1688" s="31"/>
      <c r="S1688" s="31"/>
      <c r="T1688" s="270">
        <f t="shared" si="208"/>
        <v>0</v>
      </c>
      <c r="U1688" s="270">
        <f t="shared" si="209"/>
        <v>0</v>
      </c>
      <c r="V1688" s="31"/>
      <c r="X1688" s="240" t="str">
        <f t="shared" si="210"/>
        <v>OK</v>
      </c>
      <c r="Y1688" s="240" t="str">
        <f t="shared" si="211"/>
        <v>OK</v>
      </c>
      <c r="Z1688" s="240" t="str">
        <f t="shared" si="212"/>
        <v>OK</v>
      </c>
      <c r="AA1688" s="240" t="str" cm="1">
        <f t="array" ref="AA1688">IF(OR(AND(J1688="Not accepted",N1688:O1688&lt;&gt;"",$S1688=""),AND(J1688="Accepted",S1688="")),"ERROR","OK")</f>
        <v>OK</v>
      </c>
      <c r="AB1688" s="240" t="str">
        <f t="shared" si="213"/>
        <v>OK</v>
      </c>
      <c r="AC1688" s="240" t="str" cm="1">
        <f t="array" ref="AC1688">IF(AND(F1688:H1688&lt;&gt;"",I1688=""),"ERROR","OK")</f>
        <v>OK</v>
      </c>
      <c r="AD1688" s="240" t="str">
        <f t="shared" si="214"/>
        <v>OK</v>
      </c>
      <c r="AE1688" s="240" t="str">
        <f t="shared" si="215"/>
        <v>OK</v>
      </c>
      <c r="AF1688" s="240" t="str" cm="1">
        <f t="array" aca="1" ref="AF1688" ca="1" xml:space="preserve">
IF(AND($G1688&lt;&gt;"",$F1688=""),"ERROR",
IF(OR($F1688:$G1688="",AND($G1688="",$F1688&lt;&gt;"")),"OK",
IF(COUNTIF(INDIRECT(IFERROR(LEFT($F1688,FIND(" ",$F1688)-1),$F1688)), $G1688)&gt;0, "OK", "ERROR")))</f>
        <v>OK</v>
      </c>
    </row>
    <row r="1689" spans="1:32" s="240" customFormat="1">
      <c r="A1689" s="48"/>
      <c r="B1689" s="31"/>
      <c r="C1689" s="48"/>
      <c r="D1689" s="47"/>
      <c r="E1689" s="47"/>
      <c r="F1689" s="31"/>
      <c r="G1689" s="31"/>
      <c r="H1689" s="31"/>
      <c r="I1689" s="47"/>
      <c r="J1689" s="31"/>
      <c r="K1689" s="47"/>
      <c r="L1689" s="47"/>
      <c r="M1689" s="47"/>
      <c r="N1689" s="31"/>
      <c r="O1689" s="47"/>
      <c r="P1689" s="31"/>
      <c r="Q1689" s="31"/>
      <c r="R1689" s="31"/>
      <c r="S1689" s="31"/>
      <c r="T1689" s="270">
        <f t="shared" si="208"/>
        <v>0</v>
      </c>
      <c r="U1689" s="270">
        <f t="shared" si="209"/>
        <v>0</v>
      </c>
      <c r="V1689" s="31"/>
      <c r="X1689" s="240" t="str">
        <f t="shared" si="210"/>
        <v>OK</v>
      </c>
      <c r="Y1689" s="240" t="str">
        <f t="shared" si="211"/>
        <v>OK</v>
      </c>
      <c r="Z1689" s="240" t="str">
        <f t="shared" si="212"/>
        <v>OK</v>
      </c>
      <c r="AA1689" s="240" t="str" cm="1">
        <f t="array" ref="AA1689">IF(OR(AND(J1689="Not accepted",N1689:O1689&lt;&gt;"",$S1689=""),AND(J1689="Accepted",S1689="")),"ERROR","OK")</f>
        <v>OK</v>
      </c>
      <c r="AB1689" s="240" t="str">
        <f t="shared" si="213"/>
        <v>OK</v>
      </c>
      <c r="AC1689" s="240" t="str" cm="1">
        <f t="array" ref="AC1689">IF(AND(F1689:H1689&lt;&gt;"",I1689=""),"ERROR","OK")</f>
        <v>OK</v>
      </c>
      <c r="AD1689" s="240" t="str">
        <f t="shared" si="214"/>
        <v>OK</v>
      </c>
      <c r="AE1689" s="240" t="str">
        <f t="shared" si="215"/>
        <v>OK</v>
      </c>
      <c r="AF1689" s="240" t="str" cm="1">
        <f t="array" aca="1" ref="AF1689" ca="1" xml:space="preserve">
IF(AND($G1689&lt;&gt;"",$F1689=""),"ERROR",
IF(OR($F1689:$G1689="",AND($G1689="",$F1689&lt;&gt;"")),"OK",
IF(COUNTIF(INDIRECT(IFERROR(LEFT($F1689,FIND(" ",$F1689)-1),$F1689)), $G1689)&gt;0, "OK", "ERROR")))</f>
        <v>OK</v>
      </c>
    </row>
    <row r="1690" spans="1:32" s="240" customFormat="1">
      <c r="A1690" s="48"/>
      <c r="B1690" s="31"/>
      <c r="C1690" s="48"/>
      <c r="D1690" s="47"/>
      <c r="E1690" s="47"/>
      <c r="F1690" s="31"/>
      <c r="G1690" s="31"/>
      <c r="H1690" s="31"/>
      <c r="I1690" s="47"/>
      <c r="J1690" s="31"/>
      <c r="K1690" s="47"/>
      <c r="L1690" s="47"/>
      <c r="M1690" s="47"/>
      <c r="N1690" s="31"/>
      <c r="O1690" s="47"/>
      <c r="P1690" s="31"/>
      <c r="Q1690" s="31"/>
      <c r="R1690" s="31"/>
      <c r="S1690" s="31"/>
      <c r="T1690" s="270">
        <f t="shared" si="208"/>
        <v>0</v>
      </c>
      <c r="U1690" s="270">
        <f t="shared" si="209"/>
        <v>0</v>
      </c>
      <c r="V1690" s="31"/>
      <c r="X1690" s="240" t="str">
        <f t="shared" si="210"/>
        <v>OK</v>
      </c>
      <c r="Y1690" s="240" t="str">
        <f t="shared" si="211"/>
        <v>OK</v>
      </c>
      <c r="Z1690" s="240" t="str">
        <f t="shared" si="212"/>
        <v>OK</v>
      </c>
      <c r="AA1690" s="240" t="str" cm="1">
        <f t="array" ref="AA1690">IF(OR(AND(J1690="Not accepted",N1690:O1690&lt;&gt;"",$S1690=""),AND(J1690="Accepted",S1690="")),"ERROR","OK")</f>
        <v>OK</v>
      </c>
      <c r="AB1690" s="240" t="str">
        <f t="shared" si="213"/>
        <v>OK</v>
      </c>
      <c r="AC1690" s="240" t="str" cm="1">
        <f t="array" ref="AC1690">IF(AND(F1690:H1690&lt;&gt;"",I1690=""),"ERROR","OK")</f>
        <v>OK</v>
      </c>
      <c r="AD1690" s="240" t="str">
        <f t="shared" si="214"/>
        <v>OK</v>
      </c>
      <c r="AE1690" s="240" t="str">
        <f t="shared" si="215"/>
        <v>OK</v>
      </c>
      <c r="AF1690" s="240" t="str" cm="1">
        <f t="array" aca="1" ref="AF1690" ca="1" xml:space="preserve">
IF(AND($G1690&lt;&gt;"",$F1690=""),"ERROR",
IF(OR($F1690:$G1690="",AND($G1690="",$F1690&lt;&gt;"")),"OK",
IF(COUNTIF(INDIRECT(IFERROR(LEFT($F1690,FIND(" ",$F1690)-1),$F1690)), $G1690)&gt;0, "OK", "ERROR")))</f>
        <v>OK</v>
      </c>
    </row>
    <row r="1691" spans="1:32" s="240" customFormat="1">
      <c r="A1691" s="48"/>
      <c r="B1691" s="31"/>
      <c r="C1691" s="48"/>
      <c r="D1691" s="47"/>
      <c r="E1691" s="47"/>
      <c r="F1691" s="31"/>
      <c r="G1691" s="31"/>
      <c r="H1691" s="31"/>
      <c r="I1691" s="47"/>
      <c r="J1691" s="31"/>
      <c r="K1691" s="47"/>
      <c r="L1691" s="47"/>
      <c r="M1691" s="47"/>
      <c r="N1691" s="31"/>
      <c r="O1691" s="47"/>
      <c r="P1691" s="31"/>
      <c r="Q1691" s="31"/>
      <c r="R1691" s="31"/>
      <c r="S1691" s="31"/>
      <c r="T1691" s="270">
        <f t="shared" si="208"/>
        <v>0</v>
      </c>
      <c r="U1691" s="270">
        <f t="shared" si="209"/>
        <v>0</v>
      </c>
      <c r="V1691" s="31"/>
      <c r="X1691" s="240" t="str">
        <f t="shared" si="210"/>
        <v>OK</v>
      </c>
      <c r="Y1691" s="240" t="str">
        <f t="shared" si="211"/>
        <v>OK</v>
      </c>
      <c r="Z1691" s="240" t="str">
        <f t="shared" si="212"/>
        <v>OK</v>
      </c>
      <c r="AA1691" s="240" t="str" cm="1">
        <f t="array" ref="AA1691">IF(OR(AND(J1691="Not accepted",N1691:O1691&lt;&gt;"",$S1691=""),AND(J1691="Accepted",S1691="")),"ERROR","OK")</f>
        <v>OK</v>
      </c>
      <c r="AB1691" s="240" t="str">
        <f t="shared" si="213"/>
        <v>OK</v>
      </c>
      <c r="AC1691" s="240" t="str" cm="1">
        <f t="array" ref="AC1691">IF(AND(F1691:H1691&lt;&gt;"",I1691=""),"ERROR","OK")</f>
        <v>OK</v>
      </c>
      <c r="AD1691" s="240" t="str">
        <f t="shared" si="214"/>
        <v>OK</v>
      </c>
      <c r="AE1691" s="240" t="str">
        <f t="shared" si="215"/>
        <v>OK</v>
      </c>
      <c r="AF1691" s="240" t="str" cm="1">
        <f t="array" aca="1" ref="AF1691" ca="1" xml:space="preserve">
IF(AND($G1691&lt;&gt;"",$F1691=""),"ERROR",
IF(OR($F1691:$G1691="",AND($G1691="",$F1691&lt;&gt;"")),"OK",
IF(COUNTIF(INDIRECT(IFERROR(LEFT($F1691,FIND(" ",$F1691)-1),$F1691)), $G1691)&gt;0, "OK", "ERROR")))</f>
        <v>OK</v>
      </c>
    </row>
    <row r="1692" spans="1:32" s="240" customFormat="1">
      <c r="A1692" s="48"/>
      <c r="B1692" s="31"/>
      <c r="C1692" s="48"/>
      <c r="D1692" s="47"/>
      <c r="E1692" s="47"/>
      <c r="F1692" s="31"/>
      <c r="G1692" s="31"/>
      <c r="H1692" s="31"/>
      <c r="I1692" s="47"/>
      <c r="J1692" s="31"/>
      <c r="K1692" s="47"/>
      <c r="L1692" s="47"/>
      <c r="M1692" s="47"/>
      <c r="N1692" s="31"/>
      <c r="O1692" s="47"/>
      <c r="P1692" s="31"/>
      <c r="Q1692" s="31"/>
      <c r="R1692" s="31"/>
      <c r="S1692" s="31"/>
      <c r="T1692" s="270">
        <f t="shared" si="208"/>
        <v>0</v>
      </c>
      <c r="U1692" s="270">
        <f t="shared" si="209"/>
        <v>0</v>
      </c>
      <c r="V1692" s="31"/>
      <c r="X1692" s="240" t="str">
        <f t="shared" si="210"/>
        <v>OK</v>
      </c>
      <c r="Y1692" s="240" t="str">
        <f t="shared" si="211"/>
        <v>OK</v>
      </c>
      <c r="Z1692" s="240" t="str">
        <f t="shared" si="212"/>
        <v>OK</v>
      </c>
      <c r="AA1692" s="240" t="str" cm="1">
        <f t="array" ref="AA1692">IF(OR(AND(J1692="Not accepted",N1692:O1692&lt;&gt;"",$S1692=""),AND(J1692="Accepted",S1692="")),"ERROR","OK")</f>
        <v>OK</v>
      </c>
      <c r="AB1692" s="240" t="str">
        <f t="shared" si="213"/>
        <v>OK</v>
      </c>
      <c r="AC1692" s="240" t="str" cm="1">
        <f t="array" ref="AC1692">IF(AND(F1692:H1692&lt;&gt;"",I1692=""),"ERROR","OK")</f>
        <v>OK</v>
      </c>
      <c r="AD1692" s="240" t="str">
        <f t="shared" si="214"/>
        <v>OK</v>
      </c>
      <c r="AE1692" s="240" t="str">
        <f t="shared" si="215"/>
        <v>OK</v>
      </c>
      <c r="AF1692" s="240" t="str" cm="1">
        <f t="array" aca="1" ref="AF1692" ca="1" xml:space="preserve">
IF(AND($G1692&lt;&gt;"",$F1692=""),"ERROR",
IF(OR($F1692:$G1692="",AND($G1692="",$F1692&lt;&gt;"")),"OK",
IF(COUNTIF(INDIRECT(IFERROR(LEFT($F1692,FIND(" ",$F1692)-1),$F1692)), $G1692)&gt;0, "OK", "ERROR")))</f>
        <v>OK</v>
      </c>
    </row>
    <row r="1693" spans="1:32" s="240" customFormat="1">
      <c r="A1693" s="48"/>
      <c r="B1693" s="31"/>
      <c r="C1693" s="48"/>
      <c r="D1693" s="47"/>
      <c r="E1693" s="47"/>
      <c r="F1693" s="31"/>
      <c r="G1693" s="31"/>
      <c r="H1693" s="31"/>
      <c r="I1693" s="47"/>
      <c r="J1693" s="31"/>
      <c r="K1693" s="47"/>
      <c r="L1693" s="47"/>
      <c r="M1693" s="47"/>
      <c r="N1693" s="31"/>
      <c r="O1693" s="47"/>
      <c r="P1693" s="31"/>
      <c r="Q1693" s="31"/>
      <c r="R1693" s="31"/>
      <c r="S1693" s="31"/>
      <c r="T1693" s="270">
        <f t="shared" si="208"/>
        <v>0</v>
      </c>
      <c r="U1693" s="270">
        <f t="shared" si="209"/>
        <v>0</v>
      </c>
      <c r="V1693" s="31"/>
      <c r="X1693" s="240" t="str">
        <f t="shared" si="210"/>
        <v>OK</v>
      </c>
      <c r="Y1693" s="240" t="str">
        <f t="shared" si="211"/>
        <v>OK</v>
      </c>
      <c r="Z1693" s="240" t="str">
        <f t="shared" si="212"/>
        <v>OK</v>
      </c>
      <c r="AA1693" s="240" t="str" cm="1">
        <f t="array" ref="AA1693">IF(OR(AND(J1693="Not accepted",N1693:O1693&lt;&gt;"",$S1693=""),AND(J1693="Accepted",S1693="")),"ERROR","OK")</f>
        <v>OK</v>
      </c>
      <c r="AB1693" s="240" t="str">
        <f t="shared" si="213"/>
        <v>OK</v>
      </c>
      <c r="AC1693" s="240" t="str" cm="1">
        <f t="array" ref="AC1693">IF(AND(F1693:H1693&lt;&gt;"",I1693=""),"ERROR","OK")</f>
        <v>OK</v>
      </c>
      <c r="AD1693" s="240" t="str">
        <f t="shared" si="214"/>
        <v>OK</v>
      </c>
      <c r="AE1693" s="240" t="str">
        <f t="shared" si="215"/>
        <v>OK</v>
      </c>
      <c r="AF1693" s="240" t="str" cm="1">
        <f t="array" aca="1" ref="AF1693" ca="1" xml:space="preserve">
IF(AND($G1693&lt;&gt;"",$F1693=""),"ERROR",
IF(OR($F1693:$G1693="",AND($G1693="",$F1693&lt;&gt;"")),"OK",
IF(COUNTIF(INDIRECT(IFERROR(LEFT($F1693,FIND(" ",$F1693)-1),$F1693)), $G1693)&gt;0, "OK", "ERROR")))</f>
        <v>OK</v>
      </c>
    </row>
    <row r="1694" spans="1:32" s="240" customFormat="1">
      <c r="A1694" s="48"/>
      <c r="B1694" s="31"/>
      <c r="C1694" s="48"/>
      <c r="D1694" s="47"/>
      <c r="E1694" s="47"/>
      <c r="F1694" s="31"/>
      <c r="G1694" s="31"/>
      <c r="H1694" s="31"/>
      <c r="I1694" s="47"/>
      <c r="J1694" s="31"/>
      <c r="K1694" s="47"/>
      <c r="L1694" s="47"/>
      <c r="M1694" s="47"/>
      <c r="N1694" s="31"/>
      <c r="O1694" s="47"/>
      <c r="P1694" s="31"/>
      <c r="Q1694" s="31"/>
      <c r="R1694" s="31"/>
      <c r="S1694" s="31"/>
      <c r="T1694" s="270">
        <f t="shared" si="208"/>
        <v>0</v>
      </c>
      <c r="U1694" s="270">
        <f t="shared" si="209"/>
        <v>0</v>
      </c>
      <c r="V1694" s="31"/>
      <c r="X1694" s="240" t="str">
        <f t="shared" si="210"/>
        <v>OK</v>
      </c>
      <c r="Y1694" s="240" t="str">
        <f t="shared" si="211"/>
        <v>OK</v>
      </c>
      <c r="Z1694" s="240" t="str">
        <f t="shared" si="212"/>
        <v>OK</v>
      </c>
      <c r="AA1694" s="240" t="str" cm="1">
        <f t="array" ref="AA1694">IF(OR(AND(J1694="Not accepted",N1694:O1694&lt;&gt;"",$S1694=""),AND(J1694="Accepted",S1694="")),"ERROR","OK")</f>
        <v>OK</v>
      </c>
      <c r="AB1694" s="240" t="str">
        <f t="shared" si="213"/>
        <v>OK</v>
      </c>
      <c r="AC1694" s="240" t="str" cm="1">
        <f t="array" ref="AC1694">IF(AND(F1694:H1694&lt;&gt;"",I1694=""),"ERROR","OK")</f>
        <v>OK</v>
      </c>
      <c r="AD1694" s="240" t="str">
        <f t="shared" si="214"/>
        <v>OK</v>
      </c>
      <c r="AE1694" s="240" t="str">
        <f t="shared" si="215"/>
        <v>OK</v>
      </c>
      <c r="AF1694" s="240" t="str" cm="1">
        <f t="array" aca="1" ref="AF1694" ca="1" xml:space="preserve">
IF(AND($G1694&lt;&gt;"",$F1694=""),"ERROR",
IF(OR($F1694:$G1694="",AND($G1694="",$F1694&lt;&gt;"")),"OK",
IF(COUNTIF(INDIRECT(IFERROR(LEFT($F1694,FIND(" ",$F1694)-1),$F1694)), $G1694)&gt;0, "OK", "ERROR")))</f>
        <v>OK</v>
      </c>
    </row>
    <row r="1695" spans="1:32" s="240" customFormat="1">
      <c r="A1695" s="48"/>
      <c r="B1695" s="31"/>
      <c r="C1695" s="48"/>
      <c r="D1695" s="47"/>
      <c r="E1695" s="47"/>
      <c r="F1695" s="31"/>
      <c r="G1695" s="31"/>
      <c r="H1695" s="31"/>
      <c r="I1695" s="47"/>
      <c r="J1695" s="31"/>
      <c r="K1695" s="47"/>
      <c r="L1695" s="47"/>
      <c r="M1695" s="47"/>
      <c r="N1695" s="31"/>
      <c r="O1695" s="47"/>
      <c r="P1695" s="31"/>
      <c r="Q1695" s="31"/>
      <c r="R1695" s="31"/>
      <c r="S1695" s="31"/>
      <c r="T1695" s="270">
        <f t="shared" si="208"/>
        <v>0</v>
      </c>
      <c r="U1695" s="270">
        <f t="shared" si="209"/>
        <v>0</v>
      </c>
      <c r="V1695" s="31"/>
      <c r="X1695" s="240" t="str">
        <f t="shared" si="210"/>
        <v>OK</v>
      </c>
      <c r="Y1695" s="240" t="str">
        <f t="shared" si="211"/>
        <v>OK</v>
      </c>
      <c r="Z1695" s="240" t="str">
        <f t="shared" si="212"/>
        <v>OK</v>
      </c>
      <c r="AA1695" s="240" t="str" cm="1">
        <f t="array" ref="AA1695">IF(OR(AND(J1695="Not accepted",N1695:O1695&lt;&gt;"",$S1695=""),AND(J1695="Accepted",S1695="")),"ERROR","OK")</f>
        <v>OK</v>
      </c>
      <c r="AB1695" s="240" t="str">
        <f t="shared" si="213"/>
        <v>OK</v>
      </c>
      <c r="AC1695" s="240" t="str" cm="1">
        <f t="array" ref="AC1695">IF(AND(F1695:H1695&lt;&gt;"",I1695=""),"ERROR","OK")</f>
        <v>OK</v>
      </c>
      <c r="AD1695" s="240" t="str">
        <f t="shared" si="214"/>
        <v>OK</v>
      </c>
      <c r="AE1695" s="240" t="str">
        <f t="shared" si="215"/>
        <v>OK</v>
      </c>
      <c r="AF1695" s="240" t="str" cm="1">
        <f t="array" aca="1" ref="AF1695" ca="1" xml:space="preserve">
IF(AND($G1695&lt;&gt;"",$F1695=""),"ERROR",
IF(OR($F1695:$G1695="",AND($G1695="",$F1695&lt;&gt;"")),"OK",
IF(COUNTIF(INDIRECT(IFERROR(LEFT($F1695,FIND(" ",$F1695)-1),$F1695)), $G1695)&gt;0, "OK", "ERROR")))</f>
        <v>OK</v>
      </c>
    </row>
    <row r="1696" spans="1:32" s="240" customFormat="1">
      <c r="A1696" s="48"/>
      <c r="B1696" s="31"/>
      <c r="C1696" s="48"/>
      <c r="D1696" s="47"/>
      <c r="E1696" s="47"/>
      <c r="F1696" s="31"/>
      <c r="G1696" s="31"/>
      <c r="H1696" s="31"/>
      <c r="I1696" s="47"/>
      <c r="J1696" s="31"/>
      <c r="K1696" s="47"/>
      <c r="L1696" s="47"/>
      <c r="M1696" s="47"/>
      <c r="N1696" s="31"/>
      <c r="O1696" s="47"/>
      <c r="P1696" s="31"/>
      <c r="Q1696" s="31"/>
      <c r="R1696" s="31"/>
      <c r="S1696" s="31"/>
      <c r="T1696" s="270">
        <f t="shared" si="208"/>
        <v>0</v>
      </c>
      <c r="U1696" s="270">
        <f t="shared" si="209"/>
        <v>0</v>
      </c>
      <c r="V1696" s="31"/>
      <c r="X1696" s="240" t="str">
        <f t="shared" si="210"/>
        <v>OK</v>
      </c>
      <c r="Y1696" s="240" t="str">
        <f t="shared" si="211"/>
        <v>OK</v>
      </c>
      <c r="Z1696" s="240" t="str">
        <f t="shared" si="212"/>
        <v>OK</v>
      </c>
      <c r="AA1696" s="240" t="str" cm="1">
        <f t="array" ref="AA1696">IF(OR(AND(J1696="Not accepted",N1696:O1696&lt;&gt;"",$S1696=""),AND(J1696="Accepted",S1696="")),"ERROR","OK")</f>
        <v>OK</v>
      </c>
      <c r="AB1696" s="240" t="str">
        <f t="shared" si="213"/>
        <v>OK</v>
      </c>
      <c r="AC1696" s="240" t="str" cm="1">
        <f t="array" ref="AC1696">IF(AND(F1696:H1696&lt;&gt;"",I1696=""),"ERROR","OK")</f>
        <v>OK</v>
      </c>
      <c r="AD1696" s="240" t="str">
        <f t="shared" si="214"/>
        <v>OK</v>
      </c>
      <c r="AE1696" s="240" t="str">
        <f t="shared" si="215"/>
        <v>OK</v>
      </c>
      <c r="AF1696" s="240" t="str" cm="1">
        <f t="array" aca="1" ref="AF1696" ca="1" xml:space="preserve">
IF(AND($G1696&lt;&gt;"",$F1696=""),"ERROR",
IF(OR($F1696:$G1696="",AND($G1696="",$F1696&lt;&gt;"")),"OK",
IF(COUNTIF(INDIRECT(IFERROR(LEFT($F1696,FIND(" ",$F1696)-1),$F1696)), $G1696)&gt;0, "OK", "ERROR")))</f>
        <v>OK</v>
      </c>
    </row>
    <row r="1697" spans="1:32" s="240" customFormat="1">
      <c r="A1697" s="48"/>
      <c r="B1697" s="31"/>
      <c r="C1697" s="48"/>
      <c r="D1697" s="47"/>
      <c r="E1697" s="47"/>
      <c r="F1697" s="31"/>
      <c r="G1697" s="31"/>
      <c r="H1697" s="31"/>
      <c r="I1697" s="47"/>
      <c r="J1697" s="31"/>
      <c r="K1697" s="47"/>
      <c r="L1697" s="47"/>
      <c r="M1697" s="47"/>
      <c r="N1697" s="31"/>
      <c r="O1697" s="47"/>
      <c r="P1697" s="31"/>
      <c r="Q1697" s="31"/>
      <c r="R1697" s="31"/>
      <c r="S1697" s="31"/>
      <c r="T1697" s="270">
        <f t="shared" si="208"/>
        <v>0</v>
      </c>
      <c r="U1697" s="270">
        <f t="shared" si="209"/>
        <v>0</v>
      </c>
      <c r="V1697" s="31"/>
      <c r="X1697" s="240" t="str">
        <f t="shared" si="210"/>
        <v>OK</v>
      </c>
      <c r="Y1697" s="240" t="str">
        <f t="shared" si="211"/>
        <v>OK</v>
      </c>
      <c r="Z1697" s="240" t="str">
        <f t="shared" si="212"/>
        <v>OK</v>
      </c>
      <c r="AA1697" s="240" t="str" cm="1">
        <f t="array" ref="AA1697">IF(OR(AND(J1697="Not accepted",N1697:O1697&lt;&gt;"",$S1697=""),AND(J1697="Accepted",S1697="")),"ERROR","OK")</f>
        <v>OK</v>
      </c>
      <c r="AB1697" s="240" t="str">
        <f t="shared" si="213"/>
        <v>OK</v>
      </c>
      <c r="AC1697" s="240" t="str" cm="1">
        <f t="array" ref="AC1697">IF(AND(F1697:H1697&lt;&gt;"",I1697=""),"ERROR","OK")</f>
        <v>OK</v>
      </c>
      <c r="AD1697" s="240" t="str">
        <f t="shared" si="214"/>
        <v>OK</v>
      </c>
      <c r="AE1697" s="240" t="str">
        <f t="shared" si="215"/>
        <v>OK</v>
      </c>
      <c r="AF1697" s="240" t="str" cm="1">
        <f t="array" aca="1" ref="AF1697" ca="1" xml:space="preserve">
IF(AND($G1697&lt;&gt;"",$F1697=""),"ERROR",
IF(OR($F1697:$G1697="",AND($G1697="",$F1697&lt;&gt;"")),"OK",
IF(COUNTIF(INDIRECT(IFERROR(LEFT($F1697,FIND(" ",$F1697)-1),$F1697)), $G1697)&gt;0, "OK", "ERROR")))</f>
        <v>OK</v>
      </c>
    </row>
    <row r="1698" spans="1:32" s="240" customFormat="1">
      <c r="A1698" s="48"/>
      <c r="B1698" s="31"/>
      <c r="C1698" s="48"/>
      <c r="D1698" s="47"/>
      <c r="E1698" s="47"/>
      <c r="F1698" s="31"/>
      <c r="G1698" s="31"/>
      <c r="H1698" s="31"/>
      <c r="I1698" s="47"/>
      <c r="J1698" s="31"/>
      <c r="K1698" s="47"/>
      <c r="L1698" s="47"/>
      <c r="M1698" s="47"/>
      <c r="N1698" s="31"/>
      <c r="O1698" s="47"/>
      <c r="P1698" s="31"/>
      <c r="Q1698" s="31"/>
      <c r="R1698" s="31"/>
      <c r="S1698" s="31"/>
      <c r="T1698" s="270">
        <f t="shared" si="208"/>
        <v>0</v>
      </c>
      <c r="U1698" s="270">
        <f t="shared" si="209"/>
        <v>0</v>
      </c>
      <c r="V1698" s="31"/>
      <c r="X1698" s="240" t="str">
        <f t="shared" si="210"/>
        <v>OK</v>
      </c>
      <c r="Y1698" s="240" t="str">
        <f t="shared" si="211"/>
        <v>OK</v>
      </c>
      <c r="Z1698" s="240" t="str">
        <f t="shared" si="212"/>
        <v>OK</v>
      </c>
      <c r="AA1698" s="240" t="str" cm="1">
        <f t="array" ref="AA1698">IF(OR(AND(J1698="Not accepted",N1698:O1698&lt;&gt;"",$S1698=""),AND(J1698="Accepted",S1698="")),"ERROR","OK")</f>
        <v>OK</v>
      </c>
      <c r="AB1698" s="240" t="str">
        <f t="shared" si="213"/>
        <v>OK</v>
      </c>
      <c r="AC1698" s="240" t="str" cm="1">
        <f t="array" ref="AC1698">IF(AND(F1698:H1698&lt;&gt;"",I1698=""),"ERROR","OK")</f>
        <v>OK</v>
      </c>
      <c r="AD1698" s="240" t="str">
        <f t="shared" si="214"/>
        <v>OK</v>
      </c>
      <c r="AE1698" s="240" t="str">
        <f t="shared" si="215"/>
        <v>OK</v>
      </c>
      <c r="AF1698" s="240" t="str" cm="1">
        <f t="array" aca="1" ref="AF1698" ca="1" xml:space="preserve">
IF(AND($G1698&lt;&gt;"",$F1698=""),"ERROR",
IF(OR($F1698:$G1698="",AND($G1698="",$F1698&lt;&gt;"")),"OK",
IF(COUNTIF(INDIRECT(IFERROR(LEFT($F1698,FIND(" ",$F1698)-1),$F1698)), $G1698)&gt;0, "OK", "ERROR")))</f>
        <v>OK</v>
      </c>
    </row>
    <row r="1699" spans="1:32" s="240" customFormat="1">
      <c r="A1699" s="48"/>
      <c r="B1699" s="31"/>
      <c r="C1699" s="48"/>
      <c r="D1699" s="47"/>
      <c r="E1699" s="47"/>
      <c r="F1699" s="31"/>
      <c r="G1699" s="31"/>
      <c r="H1699" s="31"/>
      <c r="I1699" s="47"/>
      <c r="J1699" s="31"/>
      <c r="K1699" s="47"/>
      <c r="L1699" s="47"/>
      <c r="M1699" s="47"/>
      <c r="N1699" s="31"/>
      <c r="O1699" s="47"/>
      <c r="P1699" s="31"/>
      <c r="Q1699" s="31"/>
      <c r="R1699" s="31"/>
      <c r="S1699" s="31"/>
      <c r="T1699" s="270">
        <f t="shared" si="208"/>
        <v>0</v>
      </c>
      <c r="U1699" s="270">
        <f t="shared" si="209"/>
        <v>0</v>
      </c>
      <c r="V1699" s="31"/>
      <c r="X1699" s="240" t="str">
        <f t="shared" si="210"/>
        <v>OK</v>
      </c>
      <c r="Y1699" s="240" t="str">
        <f t="shared" si="211"/>
        <v>OK</v>
      </c>
      <c r="Z1699" s="240" t="str">
        <f t="shared" si="212"/>
        <v>OK</v>
      </c>
      <c r="AA1699" s="240" t="str" cm="1">
        <f t="array" ref="AA1699">IF(OR(AND(J1699="Not accepted",N1699:O1699&lt;&gt;"",$S1699=""),AND(J1699="Accepted",S1699="")),"ERROR","OK")</f>
        <v>OK</v>
      </c>
      <c r="AB1699" s="240" t="str">
        <f t="shared" si="213"/>
        <v>OK</v>
      </c>
      <c r="AC1699" s="240" t="str" cm="1">
        <f t="array" ref="AC1699">IF(AND(F1699:H1699&lt;&gt;"",I1699=""),"ERROR","OK")</f>
        <v>OK</v>
      </c>
      <c r="AD1699" s="240" t="str">
        <f t="shared" si="214"/>
        <v>OK</v>
      </c>
      <c r="AE1699" s="240" t="str">
        <f t="shared" si="215"/>
        <v>OK</v>
      </c>
      <c r="AF1699" s="240" t="str" cm="1">
        <f t="array" aca="1" ref="AF1699" ca="1" xml:space="preserve">
IF(AND($G1699&lt;&gt;"",$F1699=""),"ERROR",
IF(OR($F1699:$G1699="",AND($G1699="",$F1699&lt;&gt;"")),"OK",
IF(COUNTIF(INDIRECT(IFERROR(LEFT($F1699,FIND(" ",$F1699)-1),$F1699)), $G1699)&gt;0, "OK", "ERROR")))</f>
        <v>OK</v>
      </c>
    </row>
    <row r="1700" spans="1:32" s="240" customFormat="1">
      <c r="A1700" s="48"/>
      <c r="B1700" s="31"/>
      <c r="C1700" s="48"/>
      <c r="D1700" s="47"/>
      <c r="E1700" s="47"/>
      <c r="F1700" s="31"/>
      <c r="G1700" s="31"/>
      <c r="H1700" s="31"/>
      <c r="I1700" s="47"/>
      <c r="J1700" s="31"/>
      <c r="K1700" s="47"/>
      <c r="L1700" s="47"/>
      <c r="M1700" s="47"/>
      <c r="N1700" s="31"/>
      <c r="O1700" s="47"/>
      <c r="P1700" s="31"/>
      <c r="Q1700" s="31"/>
      <c r="R1700" s="31"/>
      <c r="S1700" s="31"/>
      <c r="T1700" s="270">
        <f t="shared" si="208"/>
        <v>0</v>
      </c>
      <c r="U1700" s="270">
        <f t="shared" si="209"/>
        <v>0</v>
      </c>
      <c r="V1700" s="31"/>
      <c r="X1700" s="240" t="str">
        <f t="shared" si="210"/>
        <v>OK</v>
      </c>
      <c r="Y1700" s="240" t="str">
        <f t="shared" si="211"/>
        <v>OK</v>
      </c>
      <c r="Z1700" s="240" t="str">
        <f t="shared" si="212"/>
        <v>OK</v>
      </c>
      <c r="AA1700" s="240" t="str" cm="1">
        <f t="array" ref="AA1700">IF(OR(AND(J1700="Not accepted",N1700:O1700&lt;&gt;"",$S1700=""),AND(J1700="Accepted",S1700="")),"ERROR","OK")</f>
        <v>OK</v>
      </c>
      <c r="AB1700" s="240" t="str">
        <f t="shared" si="213"/>
        <v>OK</v>
      </c>
      <c r="AC1700" s="240" t="str" cm="1">
        <f t="array" ref="AC1700">IF(AND(F1700:H1700&lt;&gt;"",I1700=""),"ERROR","OK")</f>
        <v>OK</v>
      </c>
      <c r="AD1700" s="240" t="str">
        <f t="shared" si="214"/>
        <v>OK</v>
      </c>
      <c r="AE1700" s="240" t="str">
        <f t="shared" si="215"/>
        <v>OK</v>
      </c>
      <c r="AF1700" s="240" t="str" cm="1">
        <f t="array" aca="1" ref="AF1700" ca="1" xml:space="preserve">
IF(AND($G1700&lt;&gt;"",$F1700=""),"ERROR",
IF(OR($F1700:$G1700="",AND($G1700="",$F1700&lt;&gt;"")),"OK",
IF(COUNTIF(INDIRECT(IFERROR(LEFT($F1700,FIND(" ",$F1700)-1),$F1700)), $G1700)&gt;0, "OK", "ERROR")))</f>
        <v>OK</v>
      </c>
    </row>
    <row r="1701" spans="1:32" s="240" customFormat="1">
      <c r="A1701" s="48"/>
      <c r="B1701" s="31"/>
      <c r="C1701" s="48"/>
      <c r="D1701" s="47"/>
      <c r="E1701" s="47"/>
      <c r="F1701" s="31"/>
      <c r="G1701" s="31"/>
      <c r="H1701" s="31"/>
      <c r="I1701" s="47"/>
      <c r="J1701" s="31"/>
      <c r="K1701" s="47"/>
      <c r="L1701" s="47"/>
      <c r="M1701" s="47"/>
      <c r="N1701" s="31"/>
      <c r="O1701" s="47"/>
      <c r="P1701" s="31"/>
      <c r="Q1701" s="31"/>
      <c r="R1701" s="31"/>
      <c r="S1701" s="31"/>
      <c r="T1701" s="270">
        <f t="shared" si="208"/>
        <v>0</v>
      </c>
      <c r="U1701" s="270">
        <f t="shared" si="209"/>
        <v>0</v>
      </c>
      <c r="V1701" s="31"/>
      <c r="X1701" s="240" t="str">
        <f t="shared" si="210"/>
        <v>OK</v>
      </c>
      <c r="Y1701" s="240" t="str">
        <f t="shared" si="211"/>
        <v>OK</v>
      </c>
      <c r="Z1701" s="240" t="str">
        <f t="shared" si="212"/>
        <v>OK</v>
      </c>
      <c r="AA1701" s="240" t="str" cm="1">
        <f t="array" ref="AA1701">IF(OR(AND(J1701="Not accepted",N1701:O1701&lt;&gt;"",$S1701=""),AND(J1701="Accepted",S1701="")),"ERROR","OK")</f>
        <v>OK</v>
      </c>
      <c r="AB1701" s="240" t="str">
        <f t="shared" si="213"/>
        <v>OK</v>
      </c>
      <c r="AC1701" s="240" t="str" cm="1">
        <f t="array" ref="AC1701">IF(AND(F1701:H1701&lt;&gt;"",I1701=""),"ERROR","OK")</f>
        <v>OK</v>
      </c>
      <c r="AD1701" s="240" t="str">
        <f t="shared" si="214"/>
        <v>OK</v>
      </c>
      <c r="AE1701" s="240" t="str">
        <f t="shared" si="215"/>
        <v>OK</v>
      </c>
      <c r="AF1701" s="240" t="str" cm="1">
        <f t="array" aca="1" ref="AF1701" ca="1" xml:space="preserve">
IF(AND($G1701&lt;&gt;"",$F1701=""),"ERROR",
IF(OR($F1701:$G1701="",AND($G1701="",$F1701&lt;&gt;"")),"OK",
IF(COUNTIF(INDIRECT(IFERROR(LEFT($F1701,FIND(" ",$F1701)-1),$F1701)), $G1701)&gt;0, "OK", "ERROR")))</f>
        <v>OK</v>
      </c>
    </row>
    <row r="1702" spans="1:32" s="240" customFormat="1">
      <c r="A1702" s="48"/>
      <c r="B1702" s="31"/>
      <c r="C1702" s="48"/>
      <c r="D1702" s="47"/>
      <c r="E1702" s="47"/>
      <c r="F1702" s="31"/>
      <c r="G1702" s="31"/>
      <c r="H1702" s="31"/>
      <c r="I1702" s="47"/>
      <c r="J1702" s="31"/>
      <c r="K1702" s="47"/>
      <c r="L1702" s="47"/>
      <c r="M1702" s="47"/>
      <c r="N1702" s="31"/>
      <c r="O1702" s="47"/>
      <c r="P1702" s="31"/>
      <c r="Q1702" s="31"/>
      <c r="R1702" s="31"/>
      <c r="S1702" s="31"/>
      <c r="T1702" s="270">
        <f t="shared" si="208"/>
        <v>0</v>
      </c>
      <c r="U1702" s="270">
        <f t="shared" si="209"/>
        <v>0</v>
      </c>
      <c r="V1702" s="31"/>
      <c r="X1702" s="240" t="str">
        <f t="shared" si="210"/>
        <v>OK</v>
      </c>
      <c r="Y1702" s="240" t="str">
        <f t="shared" si="211"/>
        <v>OK</v>
      </c>
      <c r="Z1702" s="240" t="str">
        <f t="shared" si="212"/>
        <v>OK</v>
      </c>
      <c r="AA1702" s="240" t="str" cm="1">
        <f t="array" ref="AA1702">IF(OR(AND(J1702="Not accepted",N1702:O1702&lt;&gt;"",$S1702=""),AND(J1702="Accepted",S1702="")),"ERROR","OK")</f>
        <v>OK</v>
      </c>
      <c r="AB1702" s="240" t="str">
        <f t="shared" si="213"/>
        <v>OK</v>
      </c>
      <c r="AC1702" s="240" t="str" cm="1">
        <f t="array" ref="AC1702">IF(AND(F1702:H1702&lt;&gt;"",I1702=""),"ERROR","OK")</f>
        <v>OK</v>
      </c>
      <c r="AD1702" s="240" t="str">
        <f t="shared" si="214"/>
        <v>OK</v>
      </c>
      <c r="AE1702" s="240" t="str">
        <f t="shared" si="215"/>
        <v>OK</v>
      </c>
      <c r="AF1702" s="240" t="str" cm="1">
        <f t="array" aca="1" ref="AF1702" ca="1" xml:space="preserve">
IF(AND($G1702&lt;&gt;"",$F1702=""),"ERROR",
IF(OR($F1702:$G1702="",AND($G1702="",$F1702&lt;&gt;"")),"OK",
IF(COUNTIF(INDIRECT(IFERROR(LEFT($F1702,FIND(" ",$F1702)-1),$F1702)), $G1702)&gt;0, "OK", "ERROR")))</f>
        <v>OK</v>
      </c>
    </row>
    <row r="1703" spans="1:32" s="240" customFormat="1">
      <c r="A1703" s="48"/>
      <c r="B1703" s="31"/>
      <c r="C1703" s="48"/>
      <c r="D1703" s="47"/>
      <c r="E1703" s="47"/>
      <c r="F1703" s="31"/>
      <c r="G1703" s="31"/>
      <c r="H1703" s="31"/>
      <c r="I1703" s="47"/>
      <c r="J1703" s="31"/>
      <c r="K1703" s="47"/>
      <c r="L1703" s="47"/>
      <c r="M1703" s="47"/>
      <c r="N1703" s="31"/>
      <c r="O1703" s="47"/>
      <c r="P1703" s="31"/>
      <c r="Q1703" s="31"/>
      <c r="R1703" s="31"/>
      <c r="S1703" s="31"/>
      <c r="T1703" s="270">
        <f t="shared" si="208"/>
        <v>0</v>
      </c>
      <c r="U1703" s="270">
        <f t="shared" si="209"/>
        <v>0</v>
      </c>
      <c r="V1703" s="31"/>
      <c r="X1703" s="240" t="str">
        <f t="shared" si="210"/>
        <v>OK</v>
      </c>
      <c r="Y1703" s="240" t="str">
        <f t="shared" si="211"/>
        <v>OK</v>
      </c>
      <c r="Z1703" s="240" t="str">
        <f t="shared" si="212"/>
        <v>OK</v>
      </c>
      <c r="AA1703" s="240" t="str" cm="1">
        <f t="array" ref="AA1703">IF(OR(AND(J1703="Not accepted",N1703:O1703&lt;&gt;"",$S1703=""),AND(J1703="Accepted",S1703="")),"ERROR","OK")</f>
        <v>OK</v>
      </c>
      <c r="AB1703" s="240" t="str">
        <f t="shared" si="213"/>
        <v>OK</v>
      </c>
      <c r="AC1703" s="240" t="str" cm="1">
        <f t="array" ref="AC1703">IF(AND(F1703:H1703&lt;&gt;"",I1703=""),"ERROR","OK")</f>
        <v>OK</v>
      </c>
      <c r="AD1703" s="240" t="str">
        <f t="shared" si="214"/>
        <v>OK</v>
      </c>
      <c r="AE1703" s="240" t="str">
        <f t="shared" si="215"/>
        <v>OK</v>
      </c>
      <c r="AF1703" s="240" t="str" cm="1">
        <f t="array" aca="1" ref="AF1703" ca="1" xml:space="preserve">
IF(AND($G1703&lt;&gt;"",$F1703=""),"ERROR",
IF(OR($F1703:$G1703="",AND($G1703="",$F1703&lt;&gt;"")),"OK",
IF(COUNTIF(INDIRECT(IFERROR(LEFT($F1703,FIND(" ",$F1703)-1),$F1703)), $G1703)&gt;0, "OK", "ERROR")))</f>
        <v>OK</v>
      </c>
    </row>
    <row r="1704" spans="1:32" s="240" customFormat="1">
      <c r="A1704" s="48"/>
      <c r="B1704" s="31"/>
      <c r="C1704" s="48"/>
      <c r="D1704" s="47"/>
      <c r="E1704" s="47"/>
      <c r="F1704" s="31"/>
      <c r="G1704" s="31"/>
      <c r="H1704" s="31"/>
      <c r="I1704" s="47"/>
      <c r="J1704" s="31"/>
      <c r="K1704" s="47"/>
      <c r="L1704" s="47"/>
      <c r="M1704" s="47"/>
      <c r="N1704" s="31"/>
      <c r="O1704" s="47"/>
      <c r="P1704" s="31"/>
      <c r="Q1704" s="31"/>
      <c r="R1704" s="31"/>
      <c r="S1704" s="31"/>
      <c r="T1704" s="270">
        <f t="shared" si="208"/>
        <v>0</v>
      </c>
      <c r="U1704" s="270">
        <f t="shared" si="209"/>
        <v>0</v>
      </c>
      <c r="V1704" s="31"/>
      <c r="X1704" s="240" t="str">
        <f t="shared" si="210"/>
        <v>OK</v>
      </c>
      <c r="Y1704" s="240" t="str">
        <f t="shared" si="211"/>
        <v>OK</v>
      </c>
      <c r="Z1704" s="240" t="str">
        <f t="shared" si="212"/>
        <v>OK</v>
      </c>
      <c r="AA1704" s="240" t="str" cm="1">
        <f t="array" ref="AA1704">IF(OR(AND(J1704="Not accepted",N1704:O1704&lt;&gt;"",$S1704=""),AND(J1704="Accepted",S1704="")),"ERROR","OK")</f>
        <v>OK</v>
      </c>
      <c r="AB1704" s="240" t="str">
        <f t="shared" si="213"/>
        <v>OK</v>
      </c>
      <c r="AC1704" s="240" t="str" cm="1">
        <f t="array" ref="AC1704">IF(AND(F1704:H1704&lt;&gt;"",I1704=""),"ERROR","OK")</f>
        <v>OK</v>
      </c>
      <c r="AD1704" s="240" t="str">
        <f t="shared" si="214"/>
        <v>OK</v>
      </c>
      <c r="AE1704" s="240" t="str">
        <f t="shared" si="215"/>
        <v>OK</v>
      </c>
      <c r="AF1704" s="240" t="str" cm="1">
        <f t="array" aca="1" ref="AF1704" ca="1" xml:space="preserve">
IF(AND($G1704&lt;&gt;"",$F1704=""),"ERROR",
IF(OR($F1704:$G1704="",AND($G1704="",$F1704&lt;&gt;"")),"OK",
IF(COUNTIF(INDIRECT(IFERROR(LEFT($F1704,FIND(" ",$F1704)-1),$F1704)), $G1704)&gt;0, "OK", "ERROR")))</f>
        <v>OK</v>
      </c>
    </row>
    <row r="1705" spans="1:32" s="240" customFormat="1">
      <c r="A1705" s="48"/>
      <c r="B1705" s="31"/>
      <c r="C1705" s="48"/>
      <c r="D1705" s="47"/>
      <c r="E1705" s="47"/>
      <c r="F1705" s="31"/>
      <c r="G1705" s="31"/>
      <c r="H1705" s="31"/>
      <c r="I1705" s="47"/>
      <c r="J1705" s="31"/>
      <c r="K1705" s="47"/>
      <c r="L1705" s="47"/>
      <c r="M1705" s="47"/>
      <c r="N1705" s="31"/>
      <c r="O1705" s="47"/>
      <c r="P1705" s="31"/>
      <c r="Q1705" s="31"/>
      <c r="R1705" s="31"/>
      <c r="S1705" s="31"/>
      <c r="T1705" s="270">
        <f t="shared" si="208"/>
        <v>0</v>
      </c>
      <c r="U1705" s="270">
        <f t="shared" si="209"/>
        <v>0</v>
      </c>
      <c r="V1705" s="31"/>
      <c r="X1705" s="240" t="str">
        <f t="shared" si="210"/>
        <v>OK</v>
      </c>
      <c r="Y1705" s="240" t="str">
        <f t="shared" si="211"/>
        <v>OK</v>
      </c>
      <c r="Z1705" s="240" t="str">
        <f t="shared" si="212"/>
        <v>OK</v>
      </c>
      <c r="AA1705" s="240" t="str" cm="1">
        <f t="array" ref="AA1705">IF(OR(AND(J1705="Not accepted",N1705:O1705&lt;&gt;"",$S1705=""),AND(J1705="Accepted",S1705="")),"ERROR","OK")</f>
        <v>OK</v>
      </c>
      <c r="AB1705" s="240" t="str">
        <f t="shared" si="213"/>
        <v>OK</v>
      </c>
      <c r="AC1705" s="240" t="str" cm="1">
        <f t="array" ref="AC1705">IF(AND(F1705:H1705&lt;&gt;"",I1705=""),"ERROR","OK")</f>
        <v>OK</v>
      </c>
      <c r="AD1705" s="240" t="str">
        <f t="shared" si="214"/>
        <v>OK</v>
      </c>
      <c r="AE1705" s="240" t="str">
        <f t="shared" si="215"/>
        <v>OK</v>
      </c>
      <c r="AF1705" s="240" t="str" cm="1">
        <f t="array" aca="1" ref="AF1705" ca="1" xml:space="preserve">
IF(AND($G1705&lt;&gt;"",$F1705=""),"ERROR",
IF(OR($F1705:$G1705="",AND($G1705="",$F1705&lt;&gt;"")),"OK",
IF(COUNTIF(INDIRECT(IFERROR(LEFT($F1705,FIND(" ",$F1705)-1),$F1705)), $G1705)&gt;0, "OK", "ERROR")))</f>
        <v>OK</v>
      </c>
    </row>
    <row r="1706" spans="1:32" s="240" customFormat="1">
      <c r="A1706" s="48"/>
      <c r="B1706" s="31"/>
      <c r="C1706" s="48"/>
      <c r="D1706" s="47"/>
      <c r="E1706" s="47"/>
      <c r="F1706" s="31"/>
      <c r="G1706" s="31"/>
      <c r="H1706" s="31"/>
      <c r="I1706" s="47"/>
      <c r="J1706" s="31"/>
      <c r="K1706" s="47"/>
      <c r="L1706" s="47"/>
      <c r="M1706" s="47"/>
      <c r="N1706" s="31"/>
      <c r="O1706" s="47"/>
      <c r="P1706" s="31"/>
      <c r="Q1706" s="31"/>
      <c r="R1706" s="31"/>
      <c r="S1706" s="31"/>
      <c r="T1706" s="270">
        <f t="shared" si="208"/>
        <v>0</v>
      </c>
      <c r="U1706" s="270">
        <f t="shared" si="209"/>
        <v>0</v>
      </c>
      <c r="V1706" s="31"/>
      <c r="X1706" s="240" t="str">
        <f t="shared" si="210"/>
        <v>OK</v>
      </c>
      <c r="Y1706" s="240" t="str">
        <f t="shared" si="211"/>
        <v>OK</v>
      </c>
      <c r="Z1706" s="240" t="str">
        <f t="shared" si="212"/>
        <v>OK</v>
      </c>
      <c r="AA1706" s="240" t="str" cm="1">
        <f t="array" ref="AA1706">IF(OR(AND(J1706="Not accepted",N1706:O1706&lt;&gt;"",$S1706=""),AND(J1706="Accepted",S1706="")),"ERROR","OK")</f>
        <v>OK</v>
      </c>
      <c r="AB1706" s="240" t="str">
        <f t="shared" si="213"/>
        <v>OK</v>
      </c>
      <c r="AC1706" s="240" t="str" cm="1">
        <f t="array" ref="AC1706">IF(AND(F1706:H1706&lt;&gt;"",I1706=""),"ERROR","OK")</f>
        <v>OK</v>
      </c>
      <c r="AD1706" s="240" t="str">
        <f t="shared" si="214"/>
        <v>OK</v>
      </c>
      <c r="AE1706" s="240" t="str">
        <f t="shared" si="215"/>
        <v>OK</v>
      </c>
      <c r="AF1706" s="240" t="str" cm="1">
        <f t="array" aca="1" ref="AF1706" ca="1" xml:space="preserve">
IF(AND($G1706&lt;&gt;"",$F1706=""),"ERROR",
IF(OR($F1706:$G1706="",AND($G1706="",$F1706&lt;&gt;"")),"OK",
IF(COUNTIF(INDIRECT(IFERROR(LEFT($F1706,FIND(" ",$F1706)-1),$F1706)), $G1706)&gt;0, "OK", "ERROR")))</f>
        <v>OK</v>
      </c>
    </row>
    <row r="1707" spans="1:32" s="240" customFormat="1">
      <c r="A1707" s="48"/>
      <c r="B1707" s="31"/>
      <c r="C1707" s="48"/>
      <c r="D1707" s="47"/>
      <c r="E1707" s="47"/>
      <c r="F1707" s="31"/>
      <c r="G1707" s="31"/>
      <c r="H1707" s="31"/>
      <c r="I1707" s="47"/>
      <c r="J1707" s="31"/>
      <c r="K1707" s="47"/>
      <c r="L1707" s="47"/>
      <c r="M1707" s="47"/>
      <c r="N1707" s="31"/>
      <c r="O1707" s="47"/>
      <c r="P1707" s="31"/>
      <c r="Q1707" s="31"/>
      <c r="R1707" s="31"/>
      <c r="S1707" s="31"/>
      <c r="T1707" s="270">
        <f t="shared" si="208"/>
        <v>0</v>
      </c>
      <c r="U1707" s="270">
        <f t="shared" si="209"/>
        <v>0</v>
      </c>
      <c r="V1707" s="31"/>
      <c r="X1707" s="240" t="str">
        <f t="shared" si="210"/>
        <v>OK</v>
      </c>
      <c r="Y1707" s="240" t="str">
        <f t="shared" si="211"/>
        <v>OK</v>
      </c>
      <c r="Z1707" s="240" t="str">
        <f t="shared" si="212"/>
        <v>OK</v>
      </c>
      <c r="AA1707" s="240" t="str" cm="1">
        <f t="array" ref="AA1707">IF(OR(AND(J1707="Not accepted",N1707:O1707&lt;&gt;"",$S1707=""),AND(J1707="Accepted",S1707="")),"ERROR","OK")</f>
        <v>OK</v>
      </c>
      <c r="AB1707" s="240" t="str">
        <f t="shared" si="213"/>
        <v>OK</v>
      </c>
      <c r="AC1707" s="240" t="str" cm="1">
        <f t="array" ref="AC1707">IF(AND(F1707:H1707&lt;&gt;"",I1707=""),"ERROR","OK")</f>
        <v>OK</v>
      </c>
      <c r="AD1707" s="240" t="str">
        <f t="shared" si="214"/>
        <v>OK</v>
      </c>
      <c r="AE1707" s="240" t="str">
        <f t="shared" si="215"/>
        <v>OK</v>
      </c>
      <c r="AF1707" s="240" t="str" cm="1">
        <f t="array" aca="1" ref="AF1707" ca="1" xml:space="preserve">
IF(AND($G1707&lt;&gt;"",$F1707=""),"ERROR",
IF(OR($F1707:$G1707="",AND($G1707="",$F1707&lt;&gt;"")),"OK",
IF(COUNTIF(INDIRECT(IFERROR(LEFT($F1707,FIND(" ",$F1707)-1),$F1707)), $G1707)&gt;0, "OK", "ERROR")))</f>
        <v>OK</v>
      </c>
    </row>
    <row r="1708" spans="1:32" s="240" customFormat="1">
      <c r="A1708" s="48"/>
      <c r="B1708" s="31"/>
      <c r="C1708" s="48"/>
      <c r="D1708" s="47"/>
      <c r="E1708" s="47"/>
      <c r="F1708" s="31"/>
      <c r="G1708" s="31"/>
      <c r="H1708" s="31"/>
      <c r="I1708" s="47"/>
      <c r="J1708" s="31"/>
      <c r="K1708" s="47"/>
      <c r="L1708" s="47"/>
      <c r="M1708" s="47"/>
      <c r="N1708" s="31"/>
      <c r="O1708" s="47"/>
      <c r="P1708" s="31"/>
      <c r="Q1708" s="31"/>
      <c r="R1708" s="31"/>
      <c r="S1708" s="31"/>
      <c r="T1708" s="270">
        <f t="shared" si="208"/>
        <v>0</v>
      </c>
      <c r="U1708" s="270">
        <f t="shared" si="209"/>
        <v>0</v>
      </c>
      <c r="V1708" s="31"/>
      <c r="X1708" s="240" t="str">
        <f t="shared" si="210"/>
        <v>OK</v>
      </c>
      <c r="Y1708" s="240" t="str">
        <f t="shared" si="211"/>
        <v>OK</v>
      </c>
      <c r="Z1708" s="240" t="str">
        <f t="shared" si="212"/>
        <v>OK</v>
      </c>
      <c r="AA1708" s="240" t="str" cm="1">
        <f t="array" ref="AA1708">IF(OR(AND(J1708="Not accepted",N1708:O1708&lt;&gt;"",$S1708=""),AND(J1708="Accepted",S1708="")),"ERROR","OK")</f>
        <v>OK</v>
      </c>
      <c r="AB1708" s="240" t="str">
        <f t="shared" si="213"/>
        <v>OK</v>
      </c>
      <c r="AC1708" s="240" t="str" cm="1">
        <f t="array" ref="AC1708">IF(AND(F1708:H1708&lt;&gt;"",I1708=""),"ERROR","OK")</f>
        <v>OK</v>
      </c>
      <c r="AD1708" s="240" t="str">
        <f t="shared" si="214"/>
        <v>OK</v>
      </c>
      <c r="AE1708" s="240" t="str">
        <f t="shared" si="215"/>
        <v>OK</v>
      </c>
      <c r="AF1708" s="240" t="str" cm="1">
        <f t="array" aca="1" ref="AF1708" ca="1" xml:space="preserve">
IF(AND($G1708&lt;&gt;"",$F1708=""),"ERROR",
IF(OR($F1708:$G1708="",AND($G1708="",$F1708&lt;&gt;"")),"OK",
IF(COUNTIF(INDIRECT(IFERROR(LEFT($F1708,FIND(" ",$F1708)-1),$F1708)), $G1708)&gt;0, "OK", "ERROR")))</f>
        <v>OK</v>
      </c>
    </row>
    <row r="1709" spans="1:32" s="240" customFormat="1">
      <c r="A1709" s="48"/>
      <c r="B1709" s="31"/>
      <c r="C1709" s="48"/>
      <c r="D1709" s="47"/>
      <c r="E1709" s="47"/>
      <c r="F1709" s="31"/>
      <c r="G1709" s="31"/>
      <c r="H1709" s="31"/>
      <c r="I1709" s="47"/>
      <c r="J1709" s="31"/>
      <c r="K1709" s="47"/>
      <c r="L1709" s="47"/>
      <c r="M1709" s="47"/>
      <c r="N1709" s="31"/>
      <c r="O1709" s="47"/>
      <c r="P1709" s="31"/>
      <c r="Q1709" s="31"/>
      <c r="R1709" s="31"/>
      <c r="S1709" s="31"/>
      <c r="T1709" s="270">
        <f t="shared" si="208"/>
        <v>0</v>
      </c>
      <c r="U1709" s="270">
        <f t="shared" si="209"/>
        <v>0</v>
      </c>
      <c r="V1709" s="31"/>
      <c r="X1709" s="240" t="str">
        <f t="shared" si="210"/>
        <v>OK</v>
      </c>
      <c r="Y1709" s="240" t="str">
        <f t="shared" si="211"/>
        <v>OK</v>
      </c>
      <c r="Z1709" s="240" t="str">
        <f t="shared" si="212"/>
        <v>OK</v>
      </c>
      <c r="AA1709" s="240" t="str" cm="1">
        <f t="array" ref="AA1709">IF(OR(AND(J1709="Not accepted",N1709:O1709&lt;&gt;"",$S1709=""),AND(J1709="Accepted",S1709="")),"ERROR","OK")</f>
        <v>OK</v>
      </c>
      <c r="AB1709" s="240" t="str">
        <f t="shared" si="213"/>
        <v>OK</v>
      </c>
      <c r="AC1709" s="240" t="str" cm="1">
        <f t="array" ref="AC1709">IF(AND(F1709:H1709&lt;&gt;"",I1709=""),"ERROR","OK")</f>
        <v>OK</v>
      </c>
      <c r="AD1709" s="240" t="str">
        <f t="shared" si="214"/>
        <v>OK</v>
      </c>
      <c r="AE1709" s="240" t="str">
        <f t="shared" si="215"/>
        <v>OK</v>
      </c>
      <c r="AF1709" s="240" t="str" cm="1">
        <f t="array" aca="1" ref="AF1709" ca="1" xml:space="preserve">
IF(AND($G1709&lt;&gt;"",$F1709=""),"ERROR",
IF(OR($F1709:$G1709="",AND($G1709="",$F1709&lt;&gt;"")),"OK",
IF(COUNTIF(INDIRECT(IFERROR(LEFT($F1709,FIND(" ",$F1709)-1),$F1709)), $G1709)&gt;0, "OK", "ERROR")))</f>
        <v>OK</v>
      </c>
    </row>
    <row r="1710" spans="1:32" s="240" customFormat="1">
      <c r="A1710" s="48"/>
      <c r="B1710" s="31"/>
      <c r="C1710" s="48"/>
      <c r="D1710" s="47"/>
      <c r="E1710" s="47"/>
      <c r="F1710" s="31"/>
      <c r="G1710" s="31"/>
      <c r="H1710" s="31"/>
      <c r="I1710" s="47"/>
      <c r="J1710" s="31"/>
      <c r="K1710" s="47"/>
      <c r="L1710" s="47"/>
      <c r="M1710" s="47"/>
      <c r="N1710" s="31"/>
      <c r="O1710" s="47"/>
      <c r="P1710" s="31"/>
      <c r="Q1710" s="31"/>
      <c r="R1710" s="31"/>
      <c r="S1710" s="31"/>
      <c r="T1710" s="270">
        <f t="shared" si="208"/>
        <v>0</v>
      </c>
      <c r="U1710" s="270">
        <f t="shared" si="209"/>
        <v>0</v>
      </c>
      <c r="V1710" s="31"/>
      <c r="X1710" s="240" t="str">
        <f t="shared" si="210"/>
        <v>OK</v>
      </c>
      <c r="Y1710" s="240" t="str">
        <f t="shared" si="211"/>
        <v>OK</v>
      </c>
      <c r="Z1710" s="240" t="str">
        <f t="shared" si="212"/>
        <v>OK</v>
      </c>
      <c r="AA1710" s="240" t="str" cm="1">
        <f t="array" ref="AA1710">IF(OR(AND(J1710="Not accepted",N1710:O1710&lt;&gt;"",$S1710=""),AND(J1710="Accepted",S1710="")),"ERROR","OK")</f>
        <v>OK</v>
      </c>
      <c r="AB1710" s="240" t="str">
        <f t="shared" si="213"/>
        <v>OK</v>
      </c>
      <c r="AC1710" s="240" t="str" cm="1">
        <f t="array" ref="AC1710">IF(AND(F1710:H1710&lt;&gt;"",I1710=""),"ERROR","OK")</f>
        <v>OK</v>
      </c>
      <c r="AD1710" s="240" t="str">
        <f t="shared" si="214"/>
        <v>OK</v>
      </c>
      <c r="AE1710" s="240" t="str">
        <f t="shared" si="215"/>
        <v>OK</v>
      </c>
      <c r="AF1710" s="240" t="str" cm="1">
        <f t="array" aca="1" ref="AF1710" ca="1" xml:space="preserve">
IF(AND($G1710&lt;&gt;"",$F1710=""),"ERROR",
IF(OR($F1710:$G1710="",AND($G1710="",$F1710&lt;&gt;"")),"OK",
IF(COUNTIF(INDIRECT(IFERROR(LEFT($F1710,FIND(" ",$F1710)-1),$F1710)), $G1710)&gt;0, "OK", "ERROR")))</f>
        <v>OK</v>
      </c>
    </row>
    <row r="1711" spans="1:32" s="240" customFormat="1">
      <c r="A1711" s="48"/>
      <c r="B1711" s="31"/>
      <c r="C1711" s="48"/>
      <c r="D1711" s="47"/>
      <c r="E1711" s="47"/>
      <c r="F1711" s="31"/>
      <c r="G1711" s="31"/>
      <c r="H1711" s="31"/>
      <c r="I1711" s="47"/>
      <c r="J1711" s="31"/>
      <c r="K1711" s="47"/>
      <c r="L1711" s="47"/>
      <c r="M1711" s="47"/>
      <c r="N1711" s="31"/>
      <c r="O1711" s="47"/>
      <c r="P1711" s="31"/>
      <c r="Q1711" s="31"/>
      <c r="R1711" s="31"/>
      <c r="S1711" s="31"/>
      <c r="T1711" s="270">
        <f t="shared" si="208"/>
        <v>0</v>
      </c>
      <c r="U1711" s="270">
        <f t="shared" si="209"/>
        <v>0</v>
      </c>
      <c r="V1711" s="31"/>
      <c r="X1711" s="240" t="str">
        <f t="shared" si="210"/>
        <v>OK</v>
      </c>
      <c r="Y1711" s="240" t="str">
        <f t="shared" si="211"/>
        <v>OK</v>
      </c>
      <c r="Z1711" s="240" t="str">
        <f t="shared" si="212"/>
        <v>OK</v>
      </c>
      <c r="AA1711" s="240" t="str" cm="1">
        <f t="array" ref="AA1711">IF(OR(AND(J1711="Not accepted",N1711:O1711&lt;&gt;"",$S1711=""),AND(J1711="Accepted",S1711="")),"ERROR","OK")</f>
        <v>OK</v>
      </c>
      <c r="AB1711" s="240" t="str">
        <f t="shared" si="213"/>
        <v>OK</v>
      </c>
      <c r="AC1711" s="240" t="str" cm="1">
        <f t="array" ref="AC1711">IF(AND(F1711:H1711&lt;&gt;"",I1711=""),"ERROR","OK")</f>
        <v>OK</v>
      </c>
      <c r="AD1711" s="240" t="str">
        <f t="shared" si="214"/>
        <v>OK</v>
      </c>
      <c r="AE1711" s="240" t="str">
        <f t="shared" si="215"/>
        <v>OK</v>
      </c>
      <c r="AF1711" s="240" t="str" cm="1">
        <f t="array" aca="1" ref="AF1711" ca="1" xml:space="preserve">
IF(AND($G1711&lt;&gt;"",$F1711=""),"ERROR",
IF(OR($F1711:$G1711="",AND($G1711="",$F1711&lt;&gt;"")),"OK",
IF(COUNTIF(INDIRECT(IFERROR(LEFT($F1711,FIND(" ",$F1711)-1),$F1711)), $G1711)&gt;0, "OK", "ERROR")))</f>
        <v>OK</v>
      </c>
    </row>
    <row r="1712" spans="1:32" s="240" customFormat="1">
      <c r="A1712" s="48"/>
      <c r="B1712" s="31"/>
      <c r="C1712" s="48"/>
      <c r="D1712" s="47"/>
      <c r="E1712" s="47"/>
      <c r="F1712" s="31"/>
      <c r="G1712" s="31"/>
      <c r="H1712" s="31"/>
      <c r="I1712" s="47"/>
      <c r="J1712" s="31"/>
      <c r="K1712" s="47"/>
      <c r="L1712" s="47"/>
      <c r="M1712" s="47"/>
      <c r="N1712" s="31"/>
      <c r="O1712" s="47"/>
      <c r="P1712" s="31"/>
      <c r="Q1712" s="31"/>
      <c r="R1712" s="31"/>
      <c r="S1712" s="31"/>
      <c r="T1712" s="270">
        <f t="shared" si="208"/>
        <v>0</v>
      </c>
      <c r="U1712" s="270">
        <f t="shared" si="209"/>
        <v>0</v>
      </c>
      <c r="V1712" s="31"/>
      <c r="X1712" s="240" t="str">
        <f t="shared" si="210"/>
        <v>OK</v>
      </c>
      <c r="Y1712" s="240" t="str">
        <f t="shared" si="211"/>
        <v>OK</v>
      </c>
      <c r="Z1712" s="240" t="str">
        <f t="shared" si="212"/>
        <v>OK</v>
      </c>
      <c r="AA1712" s="240" t="str" cm="1">
        <f t="array" ref="AA1712">IF(OR(AND(J1712="Not accepted",N1712:O1712&lt;&gt;"",$S1712=""),AND(J1712="Accepted",S1712="")),"ERROR","OK")</f>
        <v>OK</v>
      </c>
      <c r="AB1712" s="240" t="str">
        <f t="shared" si="213"/>
        <v>OK</v>
      </c>
      <c r="AC1712" s="240" t="str" cm="1">
        <f t="array" ref="AC1712">IF(AND(F1712:H1712&lt;&gt;"",I1712=""),"ERROR","OK")</f>
        <v>OK</v>
      </c>
      <c r="AD1712" s="240" t="str">
        <f t="shared" si="214"/>
        <v>OK</v>
      </c>
      <c r="AE1712" s="240" t="str">
        <f t="shared" si="215"/>
        <v>OK</v>
      </c>
      <c r="AF1712" s="240" t="str" cm="1">
        <f t="array" aca="1" ref="AF1712" ca="1" xml:space="preserve">
IF(AND($G1712&lt;&gt;"",$F1712=""),"ERROR",
IF(OR($F1712:$G1712="",AND($G1712="",$F1712&lt;&gt;"")),"OK",
IF(COUNTIF(INDIRECT(IFERROR(LEFT($F1712,FIND(" ",$F1712)-1),$F1712)), $G1712)&gt;0, "OK", "ERROR")))</f>
        <v>OK</v>
      </c>
    </row>
    <row r="1713" spans="1:32" s="240" customFormat="1">
      <c r="A1713" s="48"/>
      <c r="B1713" s="31"/>
      <c r="C1713" s="48"/>
      <c r="D1713" s="47"/>
      <c r="E1713" s="47"/>
      <c r="F1713" s="31"/>
      <c r="G1713" s="31"/>
      <c r="H1713" s="31"/>
      <c r="I1713" s="47"/>
      <c r="J1713" s="31"/>
      <c r="K1713" s="47"/>
      <c r="L1713" s="47"/>
      <c r="M1713" s="47"/>
      <c r="N1713" s="31"/>
      <c r="O1713" s="47"/>
      <c r="P1713" s="31"/>
      <c r="Q1713" s="31"/>
      <c r="R1713" s="31"/>
      <c r="S1713" s="31"/>
      <c r="T1713" s="270">
        <f t="shared" si="208"/>
        <v>0</v>
      </c>
      <c r="U1713" s="270">
        <f t="shared" si="209"/>
        <v>0</v>
      </c>
      <c r="V1713" s="31"/>
      <c r="X1713" s="240" t="str">
        <f t="shared" si="210"/>
        <v>OK</v>
      </c>
      <c r="Y1713" s="240" t="str">
        <f t="shared" si="211"/>
        <v>OK</v>
      </c>
      <c r="Z1713" s="240" t="str">
        <f t="shared" si="212"/>
        <v>OK</v>
      </c>
      <c r="AA1713" s="240" t="str" cm="1">
        <f t="array" ref="AA1713">IF(OR(AND(J1713="Not accepted",N1713:O1713&lt;&gt;"",$S1713=""),AND(J1713="Accepted",S1713="")),"ERROR","OK")</f>
        <v>OK</v>
      </c>
      <c r="AB1713" s="240" t="str">
        <f t="shared" si="213"/>
        <v>OK</v>
      </c>
      <c r="AC1713" s="240" t="str" cm="1">
        <f t="array" ref="AC1713">IF(AND(F1713:H1713&lt;&gt;"",I1713=""),"ERROR","OK")</f>
        <v>OK</v>
      </c>
      <c r="AD1713" s="240" t="str">
        <f t="shared" si="214"/>
        <v>OK</v>
      </c>
      <c r="AE1713" s="240" t="str">
        <f t="shared" si="215"/>
        <v>OK</v>
      </c>
      <c r="AF1713" s="240" t="str" cm="1">
        <f t="array" aca="1" ref="AF1713" ca="1" xml:space="preserve">
IF(AND($G1713&lt;&gt;"",$F1713=""),"ERROR",
IF(OR($F1713:$G1713="",AND($G1713="",$F1713&lt;&gt;"")),"OK",
IF(COUNTIF(INDIRECT(IFERROR(LEFT($F1713,FIND(" ",$F1713)-1),$F1713)), $G1713)&gt;0, "OK", "ERROR")))</f>
        <v>OK</v>
      </c>
    </row>
    <row r="1714" spans="1:32" s="240" customFormat="1">
      <c r="A1714" s="48"/>
      <c r="B1714" s="31"/>
      <c r="C1714" s="48"/>
      <c r="D1714" s="47"/>
      <c r="E1714" s="47"/>
      <c r="F1714" s="31"/>
      <c r="G1714" s="31"/>
      <c r="H1714" s="31"/>
      <c r="I1714" s="47"/>
      <c r="J1714" s="31"/>
      <c r="K1714" s="47"/>
      <c r="L1714" s="47"/>
      <c r="M1714" s="47"/>
      <c r="N1714" s="31"/>
      <c r="O1714" s="47"/>
      <c r="P1714" s="31"/>
      <c r="Q1714" s="31"/>
      <c r="R1714" s="31"/>
      <c r="S1714" s="31"/>
      <c r="T1714" s="270">
        <f t="shared" si="208"/>
        <v>0</v>
      </c>
      <c r="U1714" s="270">
        <f t="shared" si="209"/>
        <v>0</v>
      </c>
      <c r="V1714" s="31"/>
      <c r="X1714" s="240" t="str">
        <f t="shared" si="210"/>
        <v>OK</v>
      </c>
      <c r="Y1714" s="240" t="str">
        <f t="shared" si="211"/>
        <v>OK</v>
      </c>
      <c r="Z1714" s="240" t="str">
        <f t="shared" si="212"/>
        <v>OK</v>
      </c>
      <c r="AA1714" s="240" t="str" cm="1">
        <f t="array" ref="AA1714">IF(OR(AND(J1714="Not accepted",N1714:O1714&lt;&gt;"",$S1714=""),AND(J1714="Accepted",S1714="")),"ERROR","OK")</f>
        <v>OK</v>
      </c>
      <c r="AB1714" s="240" t="str">
        <f t="shared" si="213"/>
        <v>OK</v>
      </c>
      <c r="AC1714" s="240" t="str" cm="1">
        <f t="array" ref="AC1714">IF(AND(F1714:H1714&lt;&gt;"",I1714=""),"ERROR","OK")</f>
        <v>OK</v>
      </c>
      <c r="AD1714" s="240" t="str">
        <f t="shared" si="214"/>
        <v>OK</v>
      </c>
      <c r="AE1714" s="240" t="str">
        <f t="shared" si="215"/>
        <v>OK</v>
      </c>
      <c r="AF1714" s="240" t="str" cm="1">
        <f t="array" aca="1" ref="AF1714" ca="1" xml:space="preserve">
IF(AND($G1714&lt;&gt;"",$F1714=""),"ERROR",
IF(OR($F1714:$G1714="",AND($G1714="",$F1714&lt;&gt;"")),"OK",
IF(COUNTIF(INDIRECT(IFERROR(LEFT($F1714,FIND(" ",$F1714)-1),$F1714)), $G1714)&gt;0, "OK", "ERROR")))</f>
        <v>OK</v>
      </c>
    </row>
    <row r="1715" spans="1:32" s="240" customFormat="1">
      <c r="A1715" s="48"/>
      <c r="B1715" s="31"/>
      <c r="C1715" s="48"/>
      <c r="D1715" s="47"/>
      <c r="E1715" s="47"/>
      <c r="F1715" s="31"/>
      <c r="G1715" s="31"/>
      <c r="H1715" s="31"/>
      <c r="I1715" s="47"/>
      <c r="J1715" s="31"/>
      <c r="K1715" s="47"/>
      <c r="L1715" s="47"/>
      <c r="M1715" s="47"/>
      <c r="N1715" s="31"/>
      <c r="O1715" s="47"/>
      <c r="P1715" s="31"/>
      <c r="Q1715" s="31"/>
      <c r="R1715" s="31"/>
      <c r="S1715" s="31"/>
      <c r="T1715" s="270">
        <f t="shared" si="208"/>
        <v>0</v>
      </c>
      <c r="U1715" s="270">
        <f t="shared" si="209"/>
        <v>0</v>
      </c>
      <c r="V1715" s="31"/>
      <c r="X1715" s="240" t="str">
        <f t="shared" si="210"/>
        <v>OK</v>
      </c>
      <c r="Y1715" s="240" t="str">
        <f t="shared" si="211"/>
        <v>OK</v>
      </c>
      <c r="Z1715" s="240" t="str">
        <f t="shared" si="212"/>
        <v>OK</v>
      </c>
      <c r="AA1715" s="240" t="str" cm="1">
        <f t="array" ref="AA1715">IF(OR(AND(J1715="Not accepted",N1715:O1715&lt;&gt;"",$S1715=""),AND(J1715="Accepted",S1715="")),"ERROR","OK")</f>
        <v>OK</v>
      </c>
      <c r="AB1715" s="240" t="str">
        <f t="shared" si="213"/>
        <v>OK</v>
      </c>
      <c r="AC1715" s="240" t="str" cm="1">
        <f t="array" ref="AC1715">IF(AND(F1715:H1715&lt;&gt;"",I1715=""),"ERROR","OK")</f>
        <v>OK</v>
      </c>
      <c r="AD1715" s="240" t="str">
        <f t="shared" si="214"/>
        <v>OK</v>
      </c>
      <c r="AE1715" s="240" t="str">
        <f t="shared" si="215"/>
        <v>OK</v>
      </c>
      <c r="AF1715" s="240" t="str" cm="1">
        <f t="array" aca="1" ref="AF1715" ca="1" xml:space="preserve">
IF(AND($G1715&lt;&gt;"",$F1715=""),"ERROR",
IF(OR($F1715:$G1715="",AND($G1715="",$F1715&lt;&gt;"")),"OK",
IF(COUNTIF(INDIRECT(IFERROR(LEFT($F1715,FIND(" ",$F1715)-1),$F1715)), $G1715)&gt;0, "OK", "ERROR")))</f>
        <v>OK</v>
      </c>
    </row>
    <row r="1716" spans="1:32" s="240" customFormat="1">
      <c r="A1716" s="48"/>
      <c r="B1716" s="31"/>
      <c r="C1716" s="48"/>
      <c r="D1716" s="47"/>
      <c r="E1716" s="47"/>
      <c r="F1716" s="31"/>
      <c r="G1716" s="31"/>
      <c r="H1716" s="31"/>
      <c r="I1716" s="47"/>
      <c r="J1716" s="31"/>
      <c r="K1716" s="47"/>
      <c r="L1716" s="47"/>
      <c r="M1716" s="47"/>
      <c r="N1716" s="31"/>
      <c r="O1716" s="47"/>
      <c r="P1716" s="31"/>
      <c r="Q1716" s="31"/>
      <c r="R1716" s="31"/>
      <c r="S1716" s="31"/>
      <c r="T1716" s="270">
        <f t="shared" si="208"/>
        <v>0</v>
      </c>
      <c r="U1716" s="270">
        <f t="shared" si="209"/>
        <v>0</v>
      </c>
      <c r="V1716" s="31"/>
      <c r="X1716" s="240" t="str">
        <f t="shared" si="210"/>
        <v>OK</v>
      </c>
      <c r="Y1716" s="240" t="str">
        <f t="shared" si="211"/>
        <v>OK</v>
      </c>
      <c r="Z1716" s="240" t="str">
        <f t="shared" si="212"/>
        <v>OK</v>
      </c>
      <c r="AA1716" s="240" t="str" cm="1">
        <f t="array" ref="AA1716">IF(OR(AND(J1716="Not accepted",N1716:O1716&lt;&gt;"",$S1716=""),AND(J1716="Accepted",S1716="")),"ERROR","OK")</f>
        <v>OK</v>
      </c>
      <c r="AB1716" s="240" t="str">
        <f t="shared" si="213"/>
        <v>OK</v>
      </c>
      <c r="AC1716" s="240" t="str" cm="1">
        <f t="array" ref="AC1716">IF(AND(F1716:H1716&lt;&gt;"",I1716=""),"ERROR","OK")</f>
        <v>OK</v>
      </c>
      <c r="AD1716" s="240" t="str">
        <f t="shared" si="214"/>
        <v>OK</v>
      </c>
      <c r="AE1716" s="240" t="str">
        <f t="shared" si="215"/>
        <v>OK</v>
      </c>
      <c r="AF1716" s="240" t="str" cm="1">
        <f t="array" aca="1" ref="AF1716" ca="1" xml:space="preserve">
IF(AND($G1716&lt;&gt;"",$F1716=""),"ERROR",
IF(OR($F1716:$G1716="",AND($G1716="",$F1716&lt;&gt;"")),"OK",
IF(COUNTIF(INDIRECT(IFERROR(LEFT($F1716,FIND(" ",$F1716)-1),$F1716)), $G1716)&gt;0, "OK", "ERROR")))</f>
        <v>OK</v>
      </c>
    </row>
    <row r="1717" spans="1:32" s="240" customFormat="1">
      <c r="A1717" s="48"/>
      <c r="B1717" s="31"/>
      <c r="C1717" s="48"/>
      <c r="D1717" s="47"/>
      <c r="E1717" s="47"/>
      <c r="F1717" s="31"/>
      <c r="G1717" s="31"/>
      <c r="H1717" s="31"/>
      <c r="I1717" s="47"/>
      <c r="J1717" s="31"/>
      <c r="K1717" s="47"/>
      <c r="L1717" s="47"/>
      <c r="M1717" s="47"/>
      <c r="N1717" s="31"/>
      <c r="O1717" s="47"/>
      <c r="P1717" s="31"/>
      <c r="Q1717" s="31"/>
      <c r="R1717" s="31"/>
      <c r="S1717" s="31"/>
      <c r="T1717" s="270">
        <f t="shared" si="208"/>
        <v>0</v>
      </c>
      <c r="U1717" s="270">
        <f t="shared" si="209"/>
        <v>0</v>
      </c>
      <c r="V1717" s="31"/>
      <c r="X1717" s="240" t="str">
        <f t="shared" si="210"/>
        <v>OK</v>
      </c>
      <c r="Y1717" s="240" t="str">
        <f t="shared" si="211"/>
        <v>OK</v>
      </c>
      <c r="Z1717" s="240" t="str">
        <f t="shared" si="212"/>
        <v>OK</v>
      </c>
      <c r="AA1717" s="240" t="str" cm="1">
        <f t="array" ref="AA1717">IF(OR(AND(J1717="Not accepted",N1717:O1717&lt;&gt;"",$S1717=""),AND(J1717="Accepted",S1717="")),"ERROR","OK")</f>
        <v>OK</v>
      </c>
      <c r="AB1717" s="240" t="str">
        <f t="shared" si="213"/>
        <v>OK</v>
      </c>
      <c r="AC1717" s="240" t="str" cm="1">
        <f t="array" ref="AC1717">IF(AND(F1717:H1717&lt;&gt;"",I1717=""),"ERROR","OK")</f>
        <v>OK</v>
      </c>
      <c r="AD1717" s="240" t="str">
        <f t="shared" si="214"/>
        <v>OK</v>
      </c>
      <c r="AE1717" s="240" t="str">
        <f t="shared" si="215"/>
        <v>OK</v>
      </c>
      <c r="AF1717" s="240" t="str" cm="1">
        <f t="array" aca="1" ref="AF1717" ca="1" xml:space="preserve">
IF(AND($G1717&lt;&gt;"",$F1717=""),"ERROR",
IF(OR($F1717:$G1717="",AND($G1717="",$F1717&lt;&gt;"")),"OK",
IF(COUNTIF(INDIRECT(IFERROR(LEFT($F1717,FIND(" ",$F1717)-1),$F1717)), $G1717)&gt;0, "OK", "ERROR")))</f>
        <v>OK</v>
      </c>
    </row>
    <row r="1718" spans="1:32" s="240" customFormat="1">
      <c r="A1718" s="48"/>
      <c r="B1718" s="31"/>
      <c r="C1718" s="48"/>
      <c r="D1718" s="47"/>
      <c r="E1718" s="47"/>
      <c r="F1718" s="31"/>
      <c r="G1718" s="31"/>
      <c r="H1718" s="31"/>
      <c r="I1718" s="47"/>
      <c r="J1718" s="31"/>
      <c r="K1718" s="47"/>
      <c r="L1718" s="47"/>
      <c r="M1718" s="47"/>
      <c r="N1718" s="31"/>
      <c r="O1718" s="47"/>
      <c r="P1718" s="31"/>
      <c r="Q1718" s="31"/>
      <c r="R1718" s="31"/>
      <c r="S1718" s="31"/>
      <c r="T1718" s="270">
        <f t="shared" si="208"/>
        <v>0</v>
      </c>
      <c r="U1718" s="270">
        <f t="shared" si="209"/>
        <v>0</v>
      </c>
      <c r="V1718" s="31"/>
      <c r="X1718" s="240" t="str">
        <f t="shared" si="210"/>
        <v>OK</v>
      </c>
      <c r="Y1718" s="240" t="str">
        <f t="shared" si="211"/>
        <v>OK</v>
      </c>
      <c r="Z1718" s="240" t="str">
        <f t="shared" si="212"/>
        <v>OK</v>
      </c>
      <c r="AA1718" s="240" t="str" cm="1">
        <f t="array" ref="AA1718">IF(OR(AND(J1718="Not accepted",N1718:O1718&lt;&gt;"",$S1718=""),AND(J1718="Accepted",S1718="")),"ERROR","OK")</f>
        <v>OK</v>
      </c>
      <c r="AB1718" s="240" t="str">
        <f t="shared" si="213"/>
        <v>OK</v>
      </c>
      <c r="AC1718" s="240" t="str" cm="1">
        <f t="array" ref="AC1718">IF(AND(F1718:H1718&lt;&gt;"",I1718=""),"ERROR","OK")</f>
        <v>OK</v>
      </c>
      <c r="AD1718" s="240" t="str">
        <f t="shared" si="214"/>
        <v>OK</v>
      </c>
      <c r="AE1718" s="240" t="str">
        <f t="shared" si="215"/>
        <v>OK</v>
      </c>
      <c r="AF1718" s="240" t="str" cm="1">
        <f t="array" aca="1" ref="AF1718" ca="1" xml:space="preserve">
IF(AND($G1718&lt;&gt;"",$F1718=""),"ERROR",
IF(OR($F1718:$G1718="",AND($G1718="",$F1718&lt;&gt;"")),"OK",
IF(COUNTIF(INDIRECT(IFERROR(LEFT($F1718,FIND(" ",$F1718)-1),$F1718)), $G1718)&gt;0, "OK", "ERROR")))</f>
        <v>OK</v>
      </c>
    </row>
    <row r="1719" spans="1:32" s="240" customFormat="1">
      <c r="A1719" s="48"/>
      <c r="B1719" s="31"/>
      <c r="C1719" s="48"/>
      <c r="D1719" s="47"/>
      <c r="E1719" s="47"/>
      <c r="F1719" s="31"/>
      <c r="G1719" s="31"/>
      <c r="H1719" s="31"/>
      <c r="I1719" s="47"/>
      <c r="J1719" s="31"/>
      <c r="K1719" s="47"/>
      <c r="L1719" s="47"/>
      <c r="M1719" s="47"/>
      <c r="N1719" s="31"/>
      <c r="O1719" s="47"/>
      <c r="P1719" s="31"/>
      <c r="Q1719" s="31"/>
      <c r="R1719" s="31"/>
      <c r="S1719" s="31"/>
      <c r="T1719" s="270">
        <f t="shared" si="208"/>
        <v>0</v>
      </c>
      <c r="U1719" s="270">
        <f t="shared" si="209"/>
        <v>0</v>
      </c>
      <c r="V1719" s="31"/>
      <c r="X1719" s="240" t="str">
        <f t="shared" si="210"/>
        <v>OK</v>
      </c>
      <c r="Y1719" s="240" t="str">
        <f t="shared" si="211"/>
        <v>OK</v>
      </c>
      <c r="Z1719" s="240" t="str">
        <f t="shared" si="212"/>
        <v>OK</v>
      </c>
      <c r="AA1719" s="240" t="str" cm="1">
        <f t="array" ref="AA1719">IF(OR(AND(J1719="Not accepted",N1719:O1719&lt;&gt;"",$S1719=""),AND(J1719="Accepted",S1719="")),"ERROR","OK")</f>
        <v>OK</v>
      </c>
      <c r="AB1719" s="240" t="str">
        <f t="shared" si="213"/>
        <v>OK</v>
      </c>
      <c r="AC1719" s="240" t="str" cm="1">
        <f t="array" ref="AC1719">IF(AND(F1719:H1719&lt;&gt;"",I1719=""),"ERROR","OK")</f>
        <v>OK</v>
      </c>
      <c r="AD1719" s="240" t="str">
        <f t="shared" si="214"/>
        <v>OK</v>
      </c>
      <c r="AE1719" s="240" t="str">
        <f t="shared" si="215"/>
        <v>OK</v>
      </c>
      <c r="AF1719" s="240" t="str" cm="1">
        <f t="array" aca="1" ref="AF1719" ca="1" xml:space="preserve">
IF(AND($G1719&lt;&gt;"",$F1719=""),"ERROR",
IF(OR($F1719:$G1719="",AND($G1719="",$F1719&lt;&gt;"")),"OK",
IF(COUNTIF(INDIRECT(IFERROR(LEFT($F1719,FIND(" ",$F1719)-1),$F1719)), $G1719)&gt;0, "OK", "ERROR")))</f>
        <v>OK</v>
      </c>
    </row>
    <row r="1720" spans="1:32" s="240" customFormat="1">
      <c r="A1720" s="48"/>
      <c r="B1720" s="31"/>
      <c r="C1720" s="48"/>
      <c r="D1720" s="47"/>
      <c r="E1720" s="47"/>
      <c r="F1720" s="31"/>
      <c r="G1720" s="31"/>
      <c r="H1720" s="31"/>
      <c r="I1720" s="47"/>
      <c r="J1720" s="31"/>
      <c r="K1720" s="47"/>
      <c r="L1720" s="47"/>
      <c r="M1720" s="47"/>
      <c r="N1720" s="31"/>
      <c r="O1720" s="47"/>
      <c r="P1720" s="31"/>
      <c r="Q1720" s="31"/>
      <c r="R1720" s="31"/>
      <c r="S1720" s="31"/>
      <c r="T1720" s="270">
        <f t="shared" si="208"/>
        <v>0</v>
      </c>
      <c r="U1720" s="270">
        <f t="shared" si="209"/>
        <v>0</v>
      </c>
      <c r="V1720" s="31"/>
      <c r="X1720" s="240" t="str">
        <f t="shared" si="210"/>
        <v>OK</v>
      </c>
      <c r="Y1720" s="240" t="str">
        <f t="shared" si="211"/>
        <v>OK</v>
      </c>
      <c r="Z1720" s="240" t="str">
        <f t="shared" si="212"/>
        <v>OK</v>
      </c>
      <c r="AA1720" s="240" t="str" cm="1">
        <f t="array" ref="AA1720">IF(OR(AND(J1720="Not accepted",N1720:O1720&lt;&gt;"",$S1720=""),AND(J1720="Accepted",S1720="")),"ERROR","OK")</f>
        <v>OK</v>
      </c>
      <c r="AB1720" s="240" t="str">
        <f t="shared" si="213"/>
        <v>OK</v>
      </c>
      <c r="AC1720" s="240" t="str" cm="1">
        <f t="array" ref="AC1720">IF(AND(F1720:H1720&lt;&gt;"",I1720=""),"ERROR","OK")</f>
        <v>OK</v>
      </c>
      <c r="AD1720" s="240" t="str">
        <f t="shared" si="214"/>
        <v>OK</v>
      </c>
      <c r="AE1720" s="240" t="str">
        <f t="shared" si="215"/>
        <v>OK</v>
      </c>
      <c r="AF1720" s="240" t="str" cm="1">
        <f t="array" aca="1" ref="AF1720" ca="1" xml:space="preserve">
IF(AND($G1720&lt;&gt;"",$F1720=""),"ERROR",
IF(OR($F1720:$G1720="",AND($G1720="",$F1720&lt;&gt;"")),"OK",
IF(COUNTIF(INDIRECT(IFERROR(LEFT($F1720,FIND(" ",$F1720)-1),$F1720)), $G1720)&gt;0, "OK", "ERROR")))</f>
        <v>OK</v>
      </c>
    </row>
    <row r="1721" spans="1:32" s="240" customFormat="1">
      <c r="A1721" s="48"/>
      <c r="B1721" s="31"/>
      <c r="C1721" s="48"/>
      <c r="D1721" s="47"/>
      <c r="E1721" s="47"/>
      <c r="F1721" s="31"/>
      <c r="G1721" s="31"/>
      <c r="H1721" s="31"/>
      <c r="I1721" s="47"/>
      <c r="J1721" s="31"/>
      <c r="K1721" s="47"/>
      <c r="L1721" s="47"/>
      <c r="M1721" s="47"/>
      <c r="N1721" s="31"/>
      <c r="O1721" s="47"/>
      <c r="P1721" s="31"/>
      <c r="Q1721" s="31"/>
      <c r="R1721" s="31"/>
      <c r="S1721" s="31"/>
      <c r="T1721" s="270">
        <f t="shared" si="208"/>
        <v>0</v>
      </c>
      <c r="U1721" s="270">
        <f t="shared" si="209"/>
        <v>0</v>
      </c>
      <c r="V1721" s="31"/>
      <c r="X1721" s="240" t="str">
        <f t="shared" si="210"/>
        <v>OK</v>
      </c>
      <c r="Y1721" s="240" t="str">
        <f t="shared" si="211"/>
        <v>OK</v>
      </c>
      <c r="Z1721" s="240" t="str">
        <f t="shared" si="212"/>
        <v>OK</v>
      </c>
      <c r="AA1721" s="240" t="str" cm="1">
        <f t="array" ref="AA1721">IF(OR(AND(J1721="Not accepted",N1721:O1721&lt;&gt;"",$S1721=""),AND(J1721="Accepted",S1721="")),"ERROR","OK")</f>
        <v>OK</v>
      </c>
      <c r="AB1721" s="240" t="str">
        <f t="shared" si="213"/>
        <v>OK</v>
      </c>
      <c r="AC1721" s="240" t="str" cm="1">
        <f t="array" ref="AC1721">IF(AND(F1721:H1721&lt;&gt;"",I1721=""),"ERROR","OK")</f>
        <v>OK</v>
      </c>
      <c r="AD1721" s="240" t="str">
        <f t="shared" si="214"/>
        <v>OK</v>
      </c>
      <c r="AE1721" s="240" t="str">
        <f t="shared" si="215"/>
        <v>OK</v>
      </c>
      <c r="AF1721" s="240" t="str" cm="1">
        <f t="array" aca="1" ref="AF1721" ca="1" xml:space="preserve">
IF(AND($G1721&lt;&gt;"",$F1721=""),"ERROR",
IF(OR($F1721:$G1721="",AND($G1721="",$F1721&lt;&gt;"")),"OK",
IF(COUNTIF(INDIRECT(IFERROR(LEFT($F1721,FIND(" ",$F1721)-1),$F1721)), $G1721)&gt;0, "OK", "ERROR")))</f>
        <v>OK</v>
      </c>
    </row>
    <row r="1722" spans="1:32" s="240" customFormat="1">
      <c r="A1722" s="48"/>
      <c r="B1722" s="31"/>
      <c r="C1722" s="48"/>
      <c r="D1722" s="47"/>
      <c r="E1722" s="47"/>
      <c r="F1722" s="31"/>
      <c r="G1722" s="31"/>
      <c r="H1722" s="31"/>
      <c r="I1722" s="47"/>
      <c r="J1722" s="31"/>
      <c r="K1722" s="47"/>
      <c r="L1722" s="47"/>
      <c r="M1722" s="47"/>
      <c r="N1722" s="31"/>
      <c r="O1722" s="47"/>
      <c r="P1722" s="31"/>
      <c r="Q1722" s="31"/>
      <c r="R1722" s="31"/>
      <c r="S1722" s="31"/>
      <c r="T1722" s="270">
        <f t="shared" si="208"/>
        <v>0</v>
      </c>
      <c r="U1722" s="270">
        <f t="shared" si="209"/>
        <v>0</v>
      </c>
      <c r="V1722" s="31"/>
      <c r="X1722" s="240" t="str">
        <f t="shared" si="210"/>
        <v>OK</v>
      </c>
      <c r="Y1722" s="240" t="str">
        <f t="shared" si="211"/>
        <v>OK</v>
      </c>
      <c r="Z1722" s="240" t="str">
        <f t="shared" si="212"/>
        <v>OK</v>
      </c>
      <c r="AA1722" s="240" t="str" cm="1">
        <f t="array" ref="AA1722">IF(OR(AND(J1722="Not accepted",N1722:O1722&lt;&gt;"",$S1722=""),AND(J1722="Accepted",S1722="")),"ERROR","OK")</f>
        <v>OK</v>
      </c>
      <c r="AB1722" s="240" t="str">
        <f t="shared" si="213"/>
        <v>OK</v>
      </c>
      <c r="AC1722" s="240" t="str" cm="1">
        <f t="array" ref="AC1722">IF(AND(F1722:H1722&lt;&gt;"",I1722=""),"ERROR","OK")</f>
        <v>OK</v>
      </c>
      <c r="AD1722" s="240" t="str">
        <f t="shared" si="214"/>
        <v>OK</v>
      </c>
      <c r="AE1722" s="240" t="str">
        <f t="shared" si="215"/>
        <v>OK</v>
      </c>
      <c r="AF1722" s="240" t="str" cm="1">
        <f t="array" aca="1" ref="AF1722" ca="1" xml:space="preserve">
IF(AND($G1722&lt;&gt;"",$F1722=""),"ERROR",
IF(OR($F1722:$G1722="",AND($G1722="",$F1722&lt;&gt;"")),"OK",
IF(COUNTIF(INDIRECT(IFERROR(LEFT($F1722,FIND(" ",$F1722)-1),$F1722)), $G1722)&gt;0, "OK", "ERROR")))</f>
        <v>OK</v>
      </c>
    </row>
    <row r="1723" spans="1:32" s="240" customFormat="1">
      <c r="A1723" s="48"/>
      <c r="B1723" s="31"/>
      <c r="C1723" s="48"/>
      <c r="D1723" s="47"/>
      <c r="E1723" s="47"/>
      <c r="F1723" s="31"/>
      <c r="G1723" s="31"/>
      <c r="H1723" s="31"/>
      <c r="I1723" s="47"/>
      <c r="J1723" s="31"/>
      <c r="K1723" s="47"/>
      <c r="L1723" s="47"/>
      <c r="M1723" s="47"/>
      <c r="N1723" s="31"/>
      <c r="O1723" s="47"/>
      <c r="P1723" s="31"/>
      <c r="Q1723" s="31"/>
      <c r="R1723" s="31"/>
      <c r="S1723" s="31"/>
      <c r="T1723" s="270">
        <f t="shared" si="208"/>
        <v>0</v>
      </c>
      <c r="U1723" s="270">
        <f t="shared" si="209"/>
        <v>0</v>
      </c>
      <c r="V1723" s="31"/>
      <c r="X1723" s="240" t="str">
        <f t="shared" si="210"/>
        <v>OK</v>
      </c>
      <c r="Y1723" s="240" t="str">
        <f t="shared" si="211"/>
        <v>OK</v>
      </c>
      <c r="Z1723" s="240" t="str">
        <f t="shared" si="212"/>
        <v>OK</v>
      </c>
      <c r="AA1723" s="240" t="str" cm="1">
        <f t="array" ref="AA1723">IF(OR(AND(J1723="Not accepted",N1723:O1723&lt;&gt;"",$S1723=""),AND(J1723="Accepted",S1723="")),"ERROR","OK")</f>
        <v>OK</v>
      </c>
      <c r="AB1723" s="240" t="str">
        <f t="shared" si="213"/>
        <v>OK</v>
      </c>
      <c r="AC1723" s="240" t="str" cm="1">
        <f t="array" ref="AC1723">IF(AND(F1723:H1723&lt;&gt;"",I1723=""),"ERROR","OK")</f>
        <v>OK</v>
      </c>
      <c r="AD1723" s="240" t="str">
        <f t="shared" si="214"/>
        <v>OK</v>
      </c>
      <c r="AE1723" s="240" t="str">
        <f t="shared" si="215"/>
        <v>OK</v>
      </c>
      <c r="AF1723" s="240" t="str" cm="1">
        <f t="array" aca="1" ref="AF1723" ca="1" xml:space="preserve">
IF(AND($G1723&lt;&gt;"",$F1723=""),"ERROR",
IF(OR($F1723:$G1723="",AND($G1723="",$F1723&lt;&gt;"")),"OK",
IF(COUNTIF(INDIRECT(IFERROR(LEFT($F1723,FIND(" ",$F1723)-1),$F1723)), $G1723)&gt;0, "OK", "ERROR")))</f>
        <v>OK</v>
      </c>
    </row>
    <row r="1724" spans="1:32" s="240" customFormat="1">
      <c r="A1724" s="48"/>
      <c r="B1724" s="31"/>
      <c r="C1724" s="48"/>
      <c r="D1724" s="47"/>
      <c r="E1724" s="47"/>
      <c r="F1724" s="31"/>
      <c r="G1724" s="31"/>
      <c r="H1724" s="31"/>
      <c r="I1724" s="47"/>
      <c r="J1724" s="31"/>
      <c r="K1724" s="47"/>
      <c r="L1724" s="47"/>
      <c r="M1724" s="47"/>
      <c r="N1724" s="31"/>
      <c r="O1724" s="47"/>
      <c r="P1724" s="31"/>
      <c r="Q1724" s="31"/>
      <c r="R1724" s="31"/>
      <c r="S1724" s="31"/>
      <c r="T1724" s="270">
        <f t="shared" si="208"/>
        <v>0</v>
      </c>
      <c r="U1724" s="270">
        <f t="shared" si="209"/>
        <v>0</v>
      </c>
      <c r="V1724" s="31"/>
      <c r="X1724" s="240" t="str">
        <f t="shared" si="210"/>
        <v>OK</v>
      </c>
      <c r="Y1724" s="240" t="str">
        <f t="shared" si="211"/>
        <v>OK</v>
      </c>
      <c r="Z1724" s="240" t="str">
        <f t="shared" si="212"/>
        <v>OK</v>
      </c>
      <c r="AA1724" s="240" t="str" cm="1">
        <f t="array" ref="AA1724">IF(OR(AND(J1724="Not accepted",N1724:O1724&lt;&gt;"",$S1724=""),AND(J1724="Accepted",S1724="")),"ERROR","OK")</f>
        <v>OK</v>
      </c>
      <c r="AB1724" s="240" t="str">
        <f t="shared" si="213"/>
        <v>OK</v>
      </c>
      <c r="AC1724" s="240" t="str" cm="1">
        <f t="array" ref="AC1724">IF(AND(F1724:H1724&lt;&gt;"",I1724=""),"ERROR","OK")</f>
        <v>OK</v>
      </c>
      <c r="AD1724" s="240" t="str">
        <f t="shared" si="214"/>
        <v>OK</v>
      </c>
      <c r="AE1724" s="240" t="str">
        <f t="shared" si="215"/>
        <v>OK</v>
      </c>
      <c r="AF1724" s="240" t="str" cm="1">
        <f t="array" aca="1" ref="AF1724" ca="1" xml:space="preserve">
IF(AND($G1724&lt;&gt;"",$F1724=""),"ERROR",
IF(OR($F1724:$G1724="",AND($G1724="",$F1724&lt;&gt;"")),"OK",
IF(COUNTIF(INDIRECT(IFERROR(LEFT($F1724,FIND(" ",$F1724)-1),$F1724)), $G1724)&gt;0, "OK", "ERROR")))</f>
        <v>OK</v>
      </c>
    </row>
    <row r="1725" spans="1:32" s="240" customFormat="1">
      <c r="A1725" s="48"/>
      <c r="B1725" s="31"/>
      <c r="C1725" s="48"/>
      <c r="D1725" s="47"/>
      <c r="E1725" s="47"/>
      <c r="F1725" s="31"/>
      <c r="G1725" s="31"/>
      <c r="H1725" s="31"/>
      <c r="I1725" s="47"/>
      <c r="J1725" s="31"/>
      <c r="K1725" s="47"/>
      <c r="L1725" s="47"/>
      <c r="M1725" s="47"/>
      <c r="N1725" s="31"/>
      <c r="O1725" s="47"/>
      <c r="P1725" s="31"/>
      <c r="Q1725" s="31"/>
      <c r="R1725" s="31"/>
      <c r="S1725" s="31"/>
      <c r="T1725" s="270">
        <f t="shared" si="208"/>
        <v>0</v>
      </c>
      <c r="U1725" s="270">
        <f t="shared" si="209"/>
        <v>0</v>
      </c>
      <c r="V1725" s="31"/>
      <c r="X1725" s="240" t="str">
        <f t="shared" si="210"/>
        <v>OK</v>
      </c>
      <c r="Y1725" s="240" t="str">
        <f t="shared" si="211"/>
        <v>OK</v>
      </c>
      <c r="Z1725" s="240" t="str">
        <f t="shared" si="212"/>
        <v>OK</v>
      </c>
      <c r="AA1725" s="240" t="str" cm="1">
        <f t="array" ref="AA1725">IF(OR(AND(J1725="Not accepted",N1725:O1725&lt;&gt;"",$S1725=""),AND(J1725="Accepted",S1725="")),"ERROR","OK")</f>
        <v>OK</v>
      </c>
      <c r="AB1725" s="240" t="str">
        <f t="shared" si="213"/>
        <v>OK</v>
      </c>
      <c r="AC1725" s="240" t="str" cm="1">
        <f t="array" ref="AC1725">IF(AND(F1725:H1725&lt;&gt;"",I1725=""),"ERROR","OK")</f>
        <v>OK</v>
      </c>
      <c r="AD1725" s="240" t="str">
        <f t="shared" si="214"/>
        <v>OK</v>
      </c>
      <c r="AE1725" s="240" t="str">
        <f t="shared" si="215"/>
        <v>OK</v>
      </c>
      <c r="AF1725" s="240" t="str" cm="1">
        <f t="array" aca="1" ref="AF1725" ca="1" xml:space="preserve">
IF(AND($G1725&lt;&gt;"",$F1725=""),"ERROR",
IF(OR($F1725:$G1725="",AND($G1725="",$F1725&lt;&gt;"")),"OK",
IF(COUNTIF(INDIRECT(IFERROR(LEFT($F1725,FIND(" ",$F1725)-1),$F1725)), $G1725)&gt;0, "OK", "ERROR")))</f>
        <v>OK</v>
      </c>
    </row>
    <row r="1726" spans="1:32" s="240" customFormat="1">
      <c r="A1726" s="48"/>
      <c r="B1726" s="31"/>
      <c r="C1726" s="48"/>
      <c r="D1726" s="47"/>
      <c r="E1726" s="47"/>
      <c r="F1726" s="31"/>
      <c r="G1726" s="31"/>
      <c r="H1726" s="31"/>
      <c r="I1726" s="47"/>
      <c r="J1726" s="31"/>
      <c r="K1726" s="47"/>
      <c r="L1726" s="47"/>
      <c r="M1726" s="47"/>
      <c r="N1726" s="31"/>
      <c r="O1726" s="47"/>
      <c r="P1726" s="31"/>
      <c r="Q1726" s="31"/>
      <c r="R1726" s="31"/>
      <c r="S1726" s="31"/>
      <c r="T1726" s="270">
        <f t="shared" si="208"/>
        <v>0</v>
      </c>
      <c r="U1726" s="270">
        <f t="shared" si="209"/>
        <v>0</v>
      </c>
      <c r="V1726" s="31"/>
      <c r="X1726" s="240" t="str">
        <f t="shared" si="210"/>
        <v>OK</v>
      </c>
      <c r="Y1726" s="240" t="str">
        <f t="shared" si="211"/>
        <v>OK</v>
      </c>
      <c r="Z1726" s="240" t="str">
        <f t="shared" si="212"/>
        <v>OK</v>
      </c>
      <c r="AA1726" s="240" t="str" cm="1">
        <f t="array" ref="AA1726">IF(OR(AND(J1726="Not accepted",N1726:O1726&lt;&gt;"",$S1726=""),AND(J1726="Accepted",S1726="")),"ERROR","OK")</f>
        <v>OK</v>
      </c>
      <c r="AB1726" s="240" t="str">
        <f t="shared" si="213"/>
        <v>OK</v>
      </c>
      <c r="AC1726" s="240" t="str" cm="1">
        <f t="array" ref="AC1726">IF(AND(F1726:H1726&lt;&gt;"",I1726=""),"ERROR","OK")</f>
        <v>OK</v>
      </c>
      <c r="AD1726" s="240" t="str">
        <f t="shared" si="214"/>
        <v>OK</v>
      </c>
      <c r="AE1726" s="240" t="str">
        <f t="shared" si="215"/>
        <v>OK</v>
      </c>
      <c r="AF1726" s="240" t="str" cm="1">
        <f t="array" aca="1" ref="AF1726" ca="1" xml:space="preserve">
IF(AND($G1726&lt;&gt;"",$F1726=""),"ERROR",
IF(OR($F1726:$G1726="",AND($G1726="",$F1726&lt;&gt;"")),"OK",
IF(COUNTIF(INDIRECT(IFERROR(LEFT($F1726,FIND(" ",$F1726)-1),$F1726)), $G1726)&gt;0, "OK", "ERROR")))</f>
        <v>OK</v>
      </c>
    </row>
    <row r="1727" spans="1:32" s="240" customFormat="1">
      <c r="A1727" s="48"/>
      <c r="B1727" s="31"/>
      <c r="C1727" s="48"/>
      <c r="D1727" s="47"/>
      <c r="E1727" s="47"/>
      <c r="F1727" s="31"/>
      <c r="G1727" s="31"/>
      <c r="H1727" s="31"/>
      <c r="I1727" s="47"/>
      <c r="J1727" s="31"/>
      <c r="K1727" s="47"/>
      <c r="L1727" s="47"/>
      <c r="M1727" s="47"/>
      <c r="N1727" s="31"/>
      <c r="O1727" s="47"/>
      <c r="P1727" s="31"/>
      <c r="Q1727" s="31"/>
      <c r="R1727" s="31"/>
      <c r="S1727" s="31"/>
      <c r="T1727" s="270">
        <f t="shared" si="208"/>
        <v>0</v>
      </c>
      <c r="U1727" s="270">
        <f t="shared" si="209"/>
        <v>0</v>
      </c>
      <c r="V1727" s="31"/>
      <c r="X1727" s="240" t="str">
        <f t="shared" si="210"/>
        <v>OK</v>
      </c>
      <c r="Y1727" s="240" t="str">
        <f t="shared" si="211"/>
        <v>OK</v>
      </c>
      <c r="Z1727" s="240" t="str">
        <f t="shared" si="212"/>
        <v>OK</v>
      </c>
      <c r="AA1727" s="240" t="str" cm="1">
        <f t="array" ref="AA1727">IF(OR(AND(J1727="Not accepted",N1727:O1727&lt;&gt;"",$S1727=""),AND(J1727="Accepted",S1727="")),"ERROR","OK")</f>
        <v>OK</v>
      </c>
      <c r="AB1727" s="240" t="str">
        <f t="shared" si="213"/>
        <v>OK</v>
      </c>
      <c r="AC1727" s="240" t="str" cm="1">
        <f t="array" ref="AC1727">IF(AND(F1727:H1727&lt;&gt;"",I1727=""),"ERROR","OK")</f>
        <v>OK</v>
      </c>
      <c r="AD1727" s="240" t="str">
        <f t="shared" si="214"/>
        <v>OK</v>
      </c>
      <c r="AE1727" s="240" t="str">
        <f t="shared" si="215"/>
        <v>OK</v>
      </c>
      <c r="AF1727" s="240" t="str" cm="1">
        <f t="array" aca="1" ref="AF1727" ca="1" xml:space="preserve">
IF(AND($G1727&lt;&gt;"",$F1727=""),"ERROR",
IF(OR($F1727:$G1727="",AND($G1727="",$F1727&lt;&gt;"")),"OK",
IF(COUNTIF(INDIRECT(IFERROR(LEFT($F1727,FIND(" ",$F1727)-1),$F1727)), $G1727)&gt;0, "OK", "ERROR")))</f>
        <v>OK</v>
      </c>
    </row>
    <row r="1728" spans="1:32" s="240" customFormat="1">
      <c r="A1728" s="48"/>
      <c r="B1728" s="31"/>
      <c r="C1728" s="48"/>
      <c r="D1728" s="47"/>
      <c r="E1728" s="47"/>
      <c r="F1728" s="31"/>
      <c r="G1728" s="31"/>
      <c r="H1728" s="31"/>
      <c r="I1728" s="47"/>
      <c r="J1728" s="31"/>
      <c r="K1728" s="47"/>
      <c r="L1728" s="47"/>
      <c r="M1728" s="47"/>
      <c r="N1728" s="31"/>
      <c r="O1728" s="47"/>
      <c r="P1728" s="31"/>
      <c r="Q1728" s="31"/>
      <c r="R1728" s="31"/>
      <c r="S1728" s="31"/>
      <c r="T1728" s="270">
        <f t="shared" si="208"/>
        <v>0</v>
      </c>
      <c r="U1728" s="270">
        <f t="shared" si="209"/>
        <v>0</v>
      </c>
      <c r="V1728" s="31"/>
      <c r="X1728" s="240" t="str">
        <f t="shared" si="210"/>
        <v>OK</v>
      </c>
      <c r="Y1728" s="240" t="str">
        <f t="shared" si="211"/>
        <v>OK</v>
      </c>
      <c r="Z1728" s="240" t="str">
        <f t="shared" si="212"/>
        <v>OK</v>
      </c>
      <c r="AA1728" s="240" t="str" cm="1">
        <f t="array" ref="AA1728">IF(OR(AND(J1728="Not accepted",N1728:O1728&lt;&gt;"",$S1728=""),AND(J1728="Accepted",S1728="")),"ERROR","OK")</f>
        <v>OK</v>
      </c>
      <c r="AB1728" s="240" t="str">
        <f t="shared" si="213"/>
        <v>OK</v>
      </c>
      <c r="AC1728" s="240" t="str" cm="1">
        <f t="array" ref="AC1728">IF(AND(F1728:H1728&lt;&gt;"",I1728=""),"ERROR","OK")</f>
        <v>OK</v>
      </c>
      <c r="AD1728" s="240" t="str">
        <f t="shared" si="214"/>
        <v>OK</v>
      </c>
      <c r="AE1728" s="240" t="str">
        <f t="shared" si="215"/>
        <v>OK</v>
      </c>
      <c r="AF1728" s="240" t="str" cm="1">
        <f t="array" aca="1" ref="AF1728" ca="1" xml:space="preserve">
IF(AND($G1728&lt;&gt;"",$F1728=""),"ERROR",
IF(OR($F1728:$G1728="",AND($G1728="",$F1728&lt;&gt;"")),"OK",
IF(COUNTIF(INDIRECT(IFERROR(LEFT($F1728,FIND(" ",$F1728)-1),$F1728)), $G1728)&gt;0, "OK", "ERROR")))</f>
        <v>OK</v>
      </c>
    </row>
    <row r="1729" spans="1:32" s="240" customFormat="1">
      <c r="A1729" s="48"/>
      <c r="B1729" s="31"/>
      <c r="C1729" s="48"/>
      <c r="D1729" s="47"/>
      <c r="E1729" s="47"/>
      <c r="F1729" s="31"/>
      <c r="G1729" s="31"/>
      <c r="H1729" s="31"/>
      <c r="I1729" s="47"/>
      <c r="J1729" s="31"/>
      <c r="K1729" s="47"/>
      <c r="L1729" s="47"/>
      <c r="M1729" s="47"/>
      <c r="N1729" s="31"/>
      <c r="O1729" s="47"/>
      <c r="P1729" s="31"/>
      <c r="Q1729" s="31"/>
      <c r="R1729" s="31"/>
      <c r="S1729" s="31"/>
      <c r="T1729" s="270">
        <f t="shared" si="208"/>
        <v>0</v>
      </c>
      <c r="U1729" s="270">
        <f t="shared" si="209"/>
        <v>0</v>
      </c>
      <c r="V1729" s="31"/>
      <c r="X1729" s="240" t="str">
        <f t="shared" si="210"/>
        <v>OK</v>
      </c>
      <c r="Y1729" s="240" t="str">
        <f t="shared" si="211"/>
        <v>OK</v>
      </c>
      <c r="Z1729" s="240" t="str">
        <f t="shared" si="212"/>
        <v>OK</v>
      </c>
      <c r="AA1729" s="240" t="str" cm="1">
        <f t="array" ref="AA1729">IF(OR(AND(J1729="Not accepted",N1729:O1729&lt;&gt;"",$S1729=""),AND(J1729="Accepted",S1729="")),"ERROR","OK")</f>
        <v>OK</v>
      </c>
      <c r="AB1729" s="240" t="str">
        <f t="shared" si="213"/>
        <v>OK</v>
      </c>
      <c r="AC1729" s="240" t="str" cm="1">
        <f t="array" ref="AC1729">IF(AND(F1729:H1729&lt;&gt;"",I1729=""),"ERROR","OK")</f>
        <v>OK</v>
      </c>
      <c r="AD1729" s="240" t="str">
        <f t="shared" si="214"/>
        <v>OK</v>
      </c>
      <c r="AE1729" s="240" t="str">
        <f t="shared" si="215"/>
        <v>OK</v>
      </c>
      <c r="AF1729" s="240" t="str" cm="1">
        <f t="array" aca="1" ref="AF1729" ca="1" xml:space="preserve">
IF(AND($G1729&lt;&gt;"",$F1729=""),"ERROR",
IF(OR($F1729:$G1729="",AND($G1729="",$F1729&lt;&gt;"")),"OK",
IF(COUNTIF(INDIRECT(IFERROR(LEFT($F1729,FIND(" ",$F1729)-1),$F1729)), $G1729)&gt;0, "OK", "ERROR")))</f>
        <v>OK</v>
      </c>
    </row>
    <row r="1730" spans="1:32" s="240" customFormat="1">
      <c r="A1730" s="48"/>
      <c r="B1730" s="31"/>
      <c r="C1730" s="48"/>
      <c r="D1730" s="47"/>
      <c r="E1730" s="47"/>
      <c r="F1730" s="31"/>
      <c r="G1730" s="31"/>
      <c r="H1730" s="31"/>
      <c r="I1730" s="47"/>
      <c r="J1730" s="31"/>
      <c r="K1730" s="47"/>
      <c r="L1730" s="47"/>
      <c r="M1730" s="47"/>
      <c r="N1730" s="31"/>
      <c r="O1730" s="47"/>
      <c r="P1730" s="31"/>
      <c r="Q1730" s="31"/>
      <c r="R1730" s="31"/>
      <c r="S1730" s="31"/>
      <c r="T1730" s="270">
        <f t="shared" si="208"/>
        <v>0</v>
      </c>
      <c r="U1730" s="270">
        <f t="shared" si="209"/>
        <v>0</v>
      </c>
      <c r="V1730" s="31"/>
      <c r="X1730" s="240" t="str">
        <f t="shared" si="210"/>
        <v>OK</v>
      </c>
      <c r="Y1730" s="240" t="str">
        <f t="shared" si="211"/>
        <v>OK</v>
      </c>
      <c r="Z1730" s="240" t="str">
        <f t="shared" si="212"/>
        <v>OK</v>
      </c>
      <c r="AA1730" s="240" t="str" cm="1">
        <f t="array" ref="AA1730">IF(OR(AND(J1730="Not accepted",N1730:O1730&lt;&gt;"",$S1730=""),AND(J1730="Accepted",S1730="")),"ERROR","OK")</f>
        <v>OK</v>
      </c>
      <c r="AB1730" s="240" t="str">
        <f t="shared" si="213"/>
        <v>OK</v>
      </c>
      <c r="AC1730" s="240" t="str" cm="1">
        <f t="array" ref="AC1730">IF(AND(F1730:H1730&lt;&gt;"",I1730=""),"ERROR","OK")</f>
        <v>OK</v>
      </c>
      <c r="AD1730" s="240" t="str">
        <f t="shared" si="214"/>
        <v>OK</v>
      </c>
      <c r="AE1730" s="240" t="str">
        <f t="shared" si="215"/>
        <v>OK</v>
      </c>
      <c r="AF1730" s="240" t="str" cm="1">
        <f t="array" aca="1" ref="AF1730" ca="1" xml:space="preserve">
IF(AND($G1730&lt;&gt;"",$F1730=""),"ERROR",
IF(OR($F1730:$G1730="",AND($G1730="",$F1730&lt;&gt;"")),"OK",
IF(COUNTIF(INDIRECT(IFERROR(LEFT($F1730,FIND(" ",$F1730)-1),$F1730)), $G1730)&gt;0, "OK", "ERROR")))</f>
        <v>OK</v>
      </c>
    </row>
    <row r="1731" spans="1:32" s="240" customFormat="1">
      <c r="A1731" s="48"/>
      <c r="B1731" s="31"/>
      <c r="C1731" s="48"/>
      <c r="D1731" s="47"/>
      <c r="E1731" s="47"/>
      <c r="F1731" s="31"/>
      <c r="G1731" s="31"/>
      <c r="H1731" s="31"/>
      <c r="I1731" s="47"/>
      <c r="J1731" s="31"/>
      <c r="K1731" s="47"/>
      <c r="L1731" s="47"/>
      <c r="M1731" s="47"/>
      <c r="N1731" s="31"/>
      <c r="O1731" s="47"/>
      <c r="P1731" s="31"/>
      <c r="Q1731" s="31"/>
      <c r="R1731" s="31"/>
      <c r="S1731" s="31"/>
      <c r="T1731" s="270">
        <f t="shared" si="208"/>
        <v>0</v>
      </c>
      <c r="U1731" s="270">
        <f t="shared" si="209"/>
        <v>0</v>
      </c>
      <c r="V1731" s="31"/>
      <c r="X1731" s="240" t="str">
        <f t="shared" si="210"/>
        <v>OK</v>
      </c>
      <c r="Y1731" s="240" t="str">
        <f t="shared" si="211"/>
        <v>OK</v>
      </c>
      <c r="Z1731" s="240" t="str">
        <f t="shared" si="212"/>
        <v>OK</v>
      </c>
      <c r="AA1731" s="240" t="str" cm="1">
        <f t="array" ref="AA1731">IF(OR(AND(J1731="Not accepted",N1731:O1731&lt;&gt;"",$S1731=""),AND(J1731="Accepted",S1731="")),"ERROR","OK")</f>
        <v>OK</v>
      </c>
      <c r="AB1731" s="240" t="str">
        <f t="shared" si="213"/>
        <v>OK</v>
      </c>
      <c r="AC1731" s="240" t="str" cm="1">
        <f t="array" ref="AC1731">IF(AND(F1731:H1731&lt;&gt;"",I1731=""),"ERROR","OK")</f>
        <v>OK</v>
      </c>
      <c r="AD1731" s="240" t="str">
        <f t="shared" si="214"/>
        <v>OK</v>
      </c>
      <c r="AE1731" s="240" t="str">
        <f t="shared" si="215"/>
        <v>OK</v>
      </c>
      <c r="AF1731" s="240" t="str" cm="1">
        <f t="array" aca="1" ref="AF1731" ca="1" xml:space="preserve">
IF(AND($G1731&lt;&gt;"",$F1731=""),"ERROR",
IF(OR($F1731:$G1731="",AND($G1731="",$F1731&lt;&gt;"")),"OK",
IF(COUNTIF(INDIRECT(IFERROR(LEFT($F1731,FIND(" ",$F1731)-1),$F1731)), $G1731)&gt;0, "OK", "ERROR")))</f>
        <v>OK</v>
      </c>
    </row>
    <row r="1732" spans="1:32" s="240" customFormat="1">
      <c r="A1732" s="48"/>
      <c r="B1732" s="31"/>
      <c r="C1732" s="48"/>
      <c r="D1732" s="47"/>
      <c r="E1732" s="47"/>
      <c r="F1732" s="31"/>
      <c r="G1732" s="31"/>
      <c r="H1732" s="31"/>
      <c r="I1732" s="47"/>
      <c r="J1732" s="31"/>
      <c r="K1732" s="47"/>
      <c r="L1732" s="47"/>
      <c r="M1732" s="47"/>
      <c r="N1732" s="31"/>
      <c r="O1732" s="47"/>
      <c r="P1732" s="31"/>
      <c r="Q1732" s="31"/>
      <c r="R1732" s="31"/>
      <c r="S1732" s="31"/>
      <c r="T1732" s="270">
        <f t="shared" si="208"/>
        <v>0</v>
      </c>
      <c r="U1732" s="270">
        <f t="shared" si="209"/>
        <v>0</v>
      </c>
      <c r="V1732" s="31"/>
      <c r="X1732" s="240" t="str">
        <f t="shared" si="210"/>
        <v>OK</v>
      </c>
      <c r="Y1732" s="240" t="str">
        <f t="shared" si="211"/>
        <v>OK</v>
      </c>
      <c r="Z1732" s="240" t="str">
        <f t="shared" si="212"/>
        <v>OK</v>
      </c>
      <c r="AA1732" s="240" t="str" cm="1">
        <f t="array" ref="AA1732">IF(OR(AND(J1732="Not accepted",N1732:O1732&lt;&gt;"",$S1732=""),AND(J1732="Accepted",S1732="")),"ERROR","OK")</f>
        <v>OK</v>
      </c>
      <c r="AB1732" s="240" t="str">
        <f t="shared" si="213"/>
        <v>OK</v>
      </c>
      <c r="AC1732" s="240" t="str" cm="1">
        <f t="array" ref="AC1732">IF(AND(F1732:H1732&lt;&gt;"",I1732=""),"ERROR","OK")</f>
        <v>OK</v>
      </c>
      <c r="AD1732" s="240" t="str">
        <f t="shared" si="214"/>
        <v>OK</v>
      </c>
      <c r="AE1732" s="240" t="str">
        <f t="shared" si="215"/>
        <v>OK</v>
      </c>
      <c r="AF1732" s="240" t="str" cm="1">
        <f t="array" aca="1" ref="AF1732" ca="1" xml:space="preserve">
IF(AND($G1732&lt;&gt;"",$F1732=""),"ERROR",
IF(OR($F1732:$G1732="",AND($G1732="",$F1732&lt;&gt;"")),"OK",
IF(COUNTIF(INDIRECT(IFERROR(LEFT($F1732,FIND(" ",$F1732)-1),$F1732)), $G1732)&gt;0, "OK", "ERROR")))</f>
        <v>OK</v>
      </c>
    </row>
    <row r="1733" spans="1:32" s="240" customFormat="1">
      <c r="A1733" s="48"/>
      <c r="B1733" s="31"/>
      <c r="C1733" s="48"/>
      <c r="D1733" s="47"/>
      <c r="E1733" s="47"/>
      <c r="F1733" s="31"/>
      <c r="G1733" s="31"/>
      <c r="H1733" s="31"/>
      <c r="I1733" s="47"/>
      <c r="J1733" s="31"/>
      <c r="K1733" s="47"/>
      <c r="L1733" s="47"/>
      <c r="M1733" s="47"/>
      <c r="N1733" s="31"/>
      <c r="O1733" s="47"/>
      <c r="P1733" s="31"/>
      <c r="Q1733" s="31"/>
      <c r="R1733" s="31"/>
      <c r="S1733" s="31"/>
      <c r="T1733" s="270">
        <f t="shared" ref="T1733:T1796" si="216">IF(OR($J1733="Accepted",ISBLANK($J1733)),IF(AND($G1733="Legacy Data",$Q1733="Legacy Data"),1,IF(OR($G1733="Legacy Data",$Q1733="Legacy Data"),1,0)),IF(OR($N1733="Agree with original translator",ISBLANK($N1733)),IF(AND($G1733="Source Text Data",$Q1733="Legacy Data"),1,IF(AND($G1733="Legacy Data",$Q1733="Legacy Data"),1,IF($Q1733="Legacy Data",1,0))),IF(AND($G1733="Legacy Data",$Q1733="Legacy Data"),1,IF(OR($Q1733="Legacy Data",ISBLANK($Q1733)),IF($G1733&lt;&gt;"Legacy Data",IF(AND($G1733="Source Text Data",$Q1733="Legacy Data"),1,0),1),0))))</f>
        <v>0</v>
      </c>
      <c r="U1733" s="270">
        <f t="shared" ref="U1733:U1796" si="217">IF(OR($J1733="Accepted",ISBLANK($J1733)),IF(AND($G1733="Source Text Data",$Q1733="Source Text Data"),1,IF(OR($G1733="Source Text Data",$Q1733="Source Text Data"),1,0)),IF(OR($N1733="Agree with original translator",ISBLANK($N1733)),IF(AND($G1733="Legacy Data",$Q1733="Source Text Data"),1,IF(AND($G1733="Source Text Data",$Q1733="Source Text Data"),1,IF($Q1733="Source Text Data",1,0))),IF(AND($G1733="Source Text Data",$Q1733="Source Text Data"),1,IF(OR($Q1733="Source Text Data",ISBLANK($Q1733)),IF($G1733&lt;&gt;"Source Text Data",IF(AND($G1733="Legacy Data",$Q1733="Source Text Data"),1,0),1),0))))</f>
        <v>0</v>
      </c>
      <c r="V1733" s="31"/>
      <c r="X1733" s="240" t="str">
        <f t="shared" ref="X1733:X1796" si="218">IF(AND(COUNTBLANK($F1733:$H1733)&lt;&gt;COLUMNS($F1733:$H1733),COUNTA($F1733:$H1733)&lt;&gt;COLUMNS($F1733:$H1733)),"ERROR","OK")</f>
        <v>OK</v>
      </c>
      <c r="Y1733" s="240" t="str">
        <f t="shared" ref="Y1733:Y1796" si="219">IF(AND($J1733="Not accepted",$K1733=""),"ERROR","OK")</f>
        <v>OK</v>
      </c>
      <c r="Z1733" s="240" t="str">
        <f t="shared" ref="Z1733:Z1796" si="220">IF(AND($F1733&lt;&gt;"",$J1733=""),"ERROR","OK")</f>
        <v>OK</v>
      </c>
      <c r="AA1733" s="240" t="str" cm="1">
        <f t="array" ref="AA1733">IF(OR(AND(J1733="Not accepted",N1733:O1733&lt;&gt;"",$S1733=""),AND(J1733="Accepted",S1733="")),"ERROR","OK")</f>
        <v>OK</v>
      </c>
      <c r="AB1733" s="240" t="str">
        <f t="shared" ref="AB1733:AB1796" si="221">IF(AND($S1733="Not Implemented",$V1733=""),"ERROR","OK")</f>
        <v>OK</v>
      </c>
      <c r="AC1733" s="240" t="str" cm="1">
        <f t="array" ref="AC1733">IF(AND(F1733:H1733&lt;&gt;"",I1733=""),"ERROR","OK")</f>
        <v>OK</v>
      </c>
      <c r="AD1733" s="240" t="str">
        <f t="shared" ref="AD1733:AD1796" si="222">IF(AND($N1733="",$J1733="Not accepted",$K1733&lt;&gt;""),"ERROR","OK")</f>
        <v>OK</v>
      </c>
      <c r="AE1733" s="240" t="str">
        <f t="shared" ref="AE1733:AE1796" si="223">IF(AND($O1733="",$N1733&lt;&gt;""),"ERROR","OK")</f>
        <v>OK</v>
      </c>
      <c r="AF1733" s="240" t="str" cm="1">
        <f t="array" aca="1" ref="AF1733" ca="1" xml:space="preserve">
IF(AND($G1733&lt;&gt;"",$F1733=""),"ERROR",
IF(OR($F1733:$G1733="",AND($G1733="",$F1733&lt;&gt;"")),"OK",
IF(COUNTIF(INDIRECT(IFERROR(LEFT($F1733,FIND(" ",$F1733)-1),$F1733)), $G1733)&gt;0, "OK", "ERROR")))</f>
        <v>OK</v>
      </c>
    </row>
    <row r="1734" spans="1:32" s="240" customFormat="1">
      <c r="A1734" s="48"/>
      <c r="B1734" s="31"/>
      <c r="C1734" s="48"/>
      <c r="D1734" s="47"/>
      <c r="E1734" s="47"/>
      <c r="F1734" s="31"/>
      <c r="G1734" s="31"/>
      <c r="H1734" s="31"/>
      <c r="I1734" s="47"/>
      <c r="J1734" s="31"/>
      <c r="K1734" s="47"/>
      <c r="L1734" s="47"/>
      <c r="M1734" s="47"/>
      <c r="N1734" s="31"/>
      <c r="O1734" s="47"/>
      <c r="P1734" s="31"/>
      <c r="Q1734" s="31"/>
      <c r="R1734" s="31"/>
      <c r="S1734" s="31"/>
      <c r="T1734" s="270">
        <f t="shared" si="216"/>
        <v>0</v>
      </c>
      <c r="U1734" s="270">
        <f t="shared" si="217"/>
        <v>0</v>
      </c>
      <c r="V1734" s="31"/>
      <c r="X1734" s="240" t="str">
        <f t="shared" si="218"/>
        <v>OK</v>
      </c>
      <c r="Y1734" s="240" t="str">
        <f t="shared" si="219"/>
        <v>OK</v>
      </c>
      <c r="Z1734" s="240" t="str">
        <f t="shared" si="220"/>
        <v>OK</v>
      </c>
      <c r="AA1734" s="240" t="str" cm="1">
        <f t="array" ref="AA1734">IF(OR(AND(J1734="Not accepted",N1734:O1734&lt;&gt;"",$S1734=""),AND(J1734="Accepted",S1734="")),"ERROR","OK")</f>
        <v>OK</v>
      </c>
      <c r="AB1734" s="240" t="str">
        <f t="shared" si="221"/>
        <v>OK</v>
      </c>
      <c r="AC1734" s="240" t="str" cm="1">
        <f t="array" ref="AC1734">IF(AND(F1734:H1734&lt;&gt;"",I1734=""),"ERROR","OK")</f>
        <v>OK</v>
      </c>
      <c r="AD1734" s="240" t="str">
        <f t="shared" si="222"/>
        <v>OK</v>
      </c>
      <c r="AE1734" s="240" t="str">
        <f t="shared" si="223"/>
        <v>OK</v>
      </c>
      <c r="AF1734" s="240" t="str" cm="1">
        <f t="array" aca="1" ref="AF1734" ca="1" xml:space="preserve">
IF(AND($G1734&lt;&gt;"",$F1734=""),"ERROR",
IF(OR($F1734:$G1734="",AND($G1734="",$F1734&lt;&gt;"")),"OK",
IF(COUNTIF(INDIRECT(IFERROR(LEFT($F1734,FIND(" ",$F1734)-1),$F1734)), $G1734)&gt;0, "OK", "ERROR")))</f>
        <v>OK</v>
      </c>
    </row>
    <row r="1735" spans="1:32" s="240" customFormat="1">
      <c r="A1735" s="48"/>
      <c r="B1735" s="31"/>
      <c r="C1735" s="48"/>
      <c r="D1735" s="47"/>
      <c r="E1735" s="47"/>
      <c r="F1735" s="31"/>
      <c r="G1735" s="31"/>
      <c r="H1735" s="31"/>
      <c r="I1735" s="47"/>
      <c r="J1735" s="31"/>
      <c r="K1735" s="47"/>
      <c r="L1735" s="47"/>
      <c r="M1735" s="47"/>
      <c r="N1735" s="31"/>
      <c r="O1735" s="47"/>
      <c r="P1735" s="31"/>
      <c r="Q1735" s="31"/>
      <c r="R1735" s="31"/>
      <c r="S1735" s="31"/>
      <c r="T1735" s="270">
        <f t="shared" si="216"/>
        <v>0</v>
      </c>
      <c r="U1735" s="270">
        <f t="shared" si="217"/>
        <v>0</v>
      </c>
      <c r="V1735" s="31"/>
      <c r="X1735" s="240" t="str">
        <f t="shared" si="218"/>
        <v>OK</v>
      </c>
      <c r="Y1735" s="240" t="str">
        <f t="shared" si="219"/>
        <v>OK</v>
      </c>
      <c r="Z1735" s="240" t="str">
        <f t="shared" si="220"/>
        <v>OK</v>
      </c>
      <c r="AA1735" s="240" t="str" cm="1">
        <f t="array" ref="AA1735">IF(OR(AND(J1735="Not accepted",N1735:O1735&lt;&gt;"",$S1735=""),AND(J1735="Accepted",S1735="")),"ERROR","OK")</f>
        <v>OK</v>
      </c>
      <c r="AB1735" s="240" t="str">
        <f t="shared" si="221"/>
        <v>OK</v>
      </c>
      <c r="AC1735" s="240" t="str" cm="1">
        <f t="array" ref="AC1735">IF(AND(F1735:H1735&lt;&gt;"",I1735=""),"ERROR","OK")</f>
        <v>OK</v>
      </c>
      <c r="AD1735" s="240" t="str">
        <f t="shared" si="222"/>
        <v>OK</v>
      </c>
      <c r="AE1735" s="240" t="str">
        <f t="shared" si="223"/>
        <v>OK</v>
      </c>
      <c r="AF1735" s="240" t="str" cm="1">
        <f t="array" aca="1" ref="AF1735" ca="1" xml:space="preserve">
IF(AND($G1735&lt;&gt;"",$F1735=""),"ERROR",
IF(OR($F1735:$G1735="",AND($G1735="",$F1735&lt;&gt;"")),"OK",
IF(COUNTIF(INDIRECT(IFERROR(LEFT($F1735,FIND(" ",$F1735)-1),$F1735)), $G1735)&gt;0, "OK", "ERROR")))</f>
        <v>OK</v>
      </c>
    </row>
    <row r="1736" spans="1:32" s="240" customFormat="1">
      <c r="A1736" s="48"/>
      <c r="B1736" s="31"/>
      <c r="C1736" s="48"/>
      <c r="D1736" s="47"/>
      <c r="E1736" s="47"/>
      <c r="F1736" s="31"/>
      <c r="G1736" s="31"/>
      <c r="H1736" s="31"/>
      <c r="I1736" s="47"/>
      <c r="J1736" s="31"/>
      <c r="K1736" s="47"/>
      <c r="L1736" s="47"/>
      <c r="M1736" s="47"/>
      <c r="N1736" s="31"/>
      <c r="O1736" s="47"/>
      <c r="P1736" s="31"/>
      <c r="Q1736" s="31"/>
      <c r="R1736" s="31"/>
      <c r="S1736" s="31"/>
      <c r="T1736" s="270">
        <f t="shared" si="216"/>
        <v>0</v>
      </c>
      <c r="U1736" s="270">
        <f t="shared" si="217"/>
        <v>0</v>
      </c>
      <c r="V1736" s="31"/>
      <c r="X1736" s="240" t="str">
        <f t="shared" si="218"/>
        <v>OK</v>
      </c>
      <c r="Y1736" s="240" t="str">
        <f t="shared" si="219"/>
        <v>OK</v>
      </c>
      <c r="Z1736" s="240" t="str">
        <f t="shared" si="220"/>
        <v>OK</v>
      </c>
      <c r="AA1736" s="240" t="str" cm="1">
        <f t="array" ref="AA1736">IF(OR(AND(J1736="Not accepted",N1736:O1736&lt;&gt;"",$S1736=""),AND(J1736="Accepted",S1736="")),"ERROR","OK")</f>
        <v>OK</v>
      </c>
      <c r="AB1736" s="240" t="str">
        <f t="shared" si="221"/>
        <v>OK</v>
      </c>
      <c r="AC1736" s="240" t="str" cm="1">
        <f t="array" ref="AC1736">IF(AND(F1736:H1736&lt;&gt;"",I1736=""),"ERROR","OK")</f>
        <v>OK</v>
      </c>
      <c r="AD1736" s="240" t="str">
        <f t="shared" si="222"/>
        <v>OK</v>
      </c>
      <c r="AE1736" s="240" t="str">
        <f t="shared" si="223"/>
        <v>OK</v>
      </c>
      <c r="AF1736" s="240" t="str" cm="1">
        <f t="array" aca="1" ref="AF1736" ca="1" xml:space="preserve">
IF(AND($G1736&lt;&gt;"",$F1736=""),"ERROR",
IF(OR($F1736:$G1736="",AND($G1736="",$F1736&lt;&gt;"")),"OK",
IF(COUNTIF(INDIRECT(IFERROR(LEFT($F1736,FIND(" ",$F1736)-1),$F1736)), $G1736)&gt;0, "OK", "ERROR")))</f>
        <v>OK</v>
      </c>
    </row>
    <row r="1737" spans="1:32" s="240" customFormat="1">
      <c r="A1737" s="48"/>
      <c r="B1737" s="31"/>
      <c r="C1737" s="48"/>
      <c r="D1737" s="47"/>
      <c r="E1737" s="47"/>
      <c r="F1737" s="31"/>
      <c r="G1737" s="31"/>
      <c r="H1737" s="31"/>
      <c r="I1737" s="47"/>
      <c r="J1737" s="31"/>
      <c r="K1737" s="47"/>
      <c r="L1737" s="47"/>
      <c r="M1737" s="47"/>
      <c r="N1737" s="31"/>
      <c r="O1737" s="47"/>
      <c r="P1737" s="31"/>
      <c r="Q1737" s="31"/>
      <c r="R1737" s="31"/>
      <c r="S1737" s="31"/>
      <c r="T1737" s="270">
        <f t="shared" si="216"/>
        <v>0</v>
      </c>
      <c r="U1737" s="270">
        <f t="shared" si="217"/>
        <v>0</v>
      </c>
      <c r="V1737" s="31"/>
      <c r="X1737" s="240" t="str">
        <f t="shared" si="218"/>
        <v>OK</v>
      </c>
      <c r="Y1737" s="240" t="str">
        <f t="shared" si="219"/>
        <v>OK</v>
      </c>
      <c r="Z1737" s="240" t="str">
        <f t="shared" si="220"/>
        <v>OK</v>
      </c>
      <c r="AA1737" s="240" t="str" cm="1">
        <f t="array" ref="AA1737">IF(OR(AND(J1737="Not accepted",N1737:O1737&lt;&gt;"",$S1737=""),AND(J1737="Accepted",S1737="")),"ERROR","OK")</f>
        <v>OK</v>
      </c>
      <c r="AB1737" s="240" t="str">
        <f t="shared" si="221"/>
        <v>OK</v>
      </c>
      <c r="AC1737" s="240" t="str" cm="1">
        <f t="array" ref="AC1737">IF(AND(F1737:H1737&lt;&gt;"",I1737=""),"ERROR","OK")</f>
        <v>OK</v>
      </c>
      <c r="AD1737" s="240" t="str">
        <f t="shared" si="222"/>
        <v>OK</v>
      </c>
      <c r="AE1737" s="240" t="str">
        <f t="shared" si="223"/>
        <v>OK</v>
      </c>
      <c r="AF1737" s="240" t="str" cm="1">
        <f t="array" aca="1" ref="AF1737" ca="1" xml:space="preserve">
IF(AND($G1737&lt;&gt;"",$F1737=""),"ERROR",
IF(OR($F1737:$G1737="",AND($G1737="",$F1737&lt;&gt;"")),"OK",
IF(COUNTIF(INDIRECT(IFERROR(LEFT($F1737,FIND(" ",$F1737)-1),$F1737)), $G1737)&gt;0, "OK", "ERROR")))</f>
        <v>OK</v>
      </c>
    </row>
    <row r="1738" spans="1:32" s="240" customFormat="1">
      <c r="A1738" s="48"/>
      <c r="B1738" s="31"/>
      <c r="C1738" s="48"/>
      <c r="D1738" s="47"/>
      <c r="E1738" s="47"/>
      <c r="F1738" s="31"/>
      <c r="G1738" s="31"/>
      <c r="H1738" s="31"/>
      <c r="I1738" s="47"/>
      <c r="J1738" s="31"/>
      <c r="K1738" s="47"/>
      <c r="L1738" s="47"/>
      <c r="M1738" s="47"/>
      <c r="N1738" s="31"/>
      <c r="O1738" s="47"/>
      <c r="P1738" s="31"/>
      <c r="Q1738" s="31"/>
      <c r="R1738" s="31"/>
      <c r="S1738" s="31"/>
      <c r="T1738" s="270">
        <f t="shared" si="216"/>
        <v>0</v>
      </c>
      <c r="U1738" s="270">
        <f t="shared" si="217"/>
        <v>0</v>
      </c>
      <c r="V1738" s="31"/>
      <c r="X1738" s="240" t="str">
        <f t="shared" si="218"/>
        <v>OK</v>
      </c>
      <c r="Y1738" s="240" t="str">
        <f t="shared" si="219"/>
        <v>OK</v>
      </c>
      <c r="Z1738" s="240" t="str">
        <f t="shared" si="220"/>
        <v>OK</v>
      </c>
      <c r="AA1738" s="240" t="str" cm="1">
        <f t="array" ref="AA1738">IF(OR(AND(J1738="Not accepted",N1738:O1738&lt;&gt;"",$S1738=""),AND(J1738="Accepted",S1738="")),"ERROR","OK")</f>
        <v>OK</v>
      </c>
      <c r="AB1738" s="240" t="str">
        <f t="shared" si="221"/>
        <v>OK</v>
      </c>
      <c r="AC1738" s="240" t="str" cm="1">
        <f t="array" ref="AC1738">IF(AND(F1738:H1738&lt;&gt;"",I1738=""),"ERROR","OK")</f>
        <v>OK</v>
      </c>
      <c r="AD1738" s="240" t="str">
        <f t="shared" si="222"/>
        <v>OK</v>
      </c>
      <c r="AE1738" s="240" t="str">
        <f t="shared" si="223"/>
        <v>OK</v>
      </c>
      <c r="AF1738" s="240" t="str" cm="1">
        <f t="array" aca="1" ref="AF1738" ca="1" xml:space="preserve">
IF(AND($G1738&lt;&gt;"",$F1738=""),"ERROR",
IF(OR($F1738:$G1738="",AND($G1738="",$F1738&lt;&gt;"")),"OK",
IF(COUNTIF(INDIRECT(IFERROR(LEFT($F1738,FIND(" ",$F1738)-1),$F1738)), $G1738)&gt;0, "OK", "ERROR")))</f>
        <v>OK</v>
      </c>
    </row>
    <row r="1739" spans="1:32" s="240" customFormat="1">
      <c r="A1739" s="48"/>
      <c r="B1739" s="31"/>
      <c r="C1739" s="48"/>
      <c r="D1739" s="47"/>
      <c r="E1739" s="47"/>
      <c r="F1739" s="31"/>
      <c r="G1739" s="31"/>
      <c r="H1739" s="31"/>
      <c r="I1739" s="47"/>
      <c r="J1739" s="31"/>
      <c r="K1739" s="47"/>
      <c r="L1739" s="47"/>
      <c r="M1739" s="47"/>
      <c r="N1739" s="31"/>
      <c r="O1739" s="47"/>
      <c r="P1739" s="31"/>
      <c r="Q1739" s="31"/>
      <c r="R1739" s="31"/>
      <c r="S1739" s="31"/>
      <c r="T1739" s="270">
        <f t="shared" si="216"/>
        <v>0</v>
      </c>
      <c r="U1739" s="270">
        <f t="shared" si="217"/>
        <v>0</v>
      </c>
      <c r="V1739" s="31"/>
      <c r="X1739" s="240" t="str">
        <f t="shared" si="218"/>
        <v>OK</v>
      </c>
      <c r="Y1739" s="240" t="str">
        <f t="shared" si="219"/>
        <v>OK</v>
      </c>
      <c r="Z1739" s="240" t="str">
        <f t="shared" si="220"/>
        <v>OK</v>
      </c>
      <c r="AA1739" s="240" t="str" cm="1">
        <f t="array" ref="AA1739">IF(OR(AND(J1739="Not accepted",N1739:O1739&lt;&gt;"",$S1739=""),AND(J1739="Accepted",S1739="")),"ERROR","OK")</f>
        <v>OK</v>
      </c>
      <c r="AB1739" s="240" t="str">
        <f t="shared" si="221"/>
        <v>OK</v>
      </c>
      <c r="AC1739" s="240" t="str" cm="1">
        <f t="array" ref="AC1739">IF(AND(F1739:H1739&lt;&gt;"",I1739=""),"ERROR","OK")</f>
        <v>OK</v>
      </c>
      <c r="AD1739" s="240" t="str">
        <f t="shared" si="222"/>
        <v>OK</v>
      </c>
      <c r="AE1739" s="240" t="str">
        <f t="shared" si="223"/>
        <v>OK</v>
      </c>
      <c r="AF1739" s="240" t="str" cm="1">
        <f t="array" aca="1" ref="AF1739" ca="1" xml:space="preserve">
IF(AND($G1739&lt;&gt;"",$F1739=""),"ERROR",
IF(OR($F1739:$G1739="",AND($G1739="",$F1739&lt;&gt;"")),"OK",
IF(COUNTIF(INDIRECT(IFERROR(LEFT($F1739,FIND(" ",$F1739)-1),$F1739)), $G1739)&gt;0, "OK", "ERROR")))</f>
        <v>OK</v>
      </c>
    </row>
    <row r="1740" spans="1:32" s="240" customFormat="1">
      <c r="A1740" s="48"/>
      <c r="B1740" s="31"/>
      <c r="C1740" s="48"/>
      <c r="D1740" s="47"/>
      <c r="E1740" s="47"/>
      <c r="F1740" s="31"/>
      <c r="G1740" s="31"/>
      <c r="H1740" s="31"/>
      <c r="I1740" s="47"/>
      <c r="J1740" s="31"/>
      <c r="K1740" s="47"/>
      <c r="L1740" s="47"/>
      <c r="M1740" s="47"/>
      <c r="N1740" s="31"/>
      <c r="O1740" s="47"/>
      <c r="P1740" s="31"/>
      <c r="Q1740" s="31"/>
      <c r="R1740" s="31"/>
      <c r="S1740" s="31"/>
      <c r="T1740" s="270">
        <f t="shared" si="216"/>
        <v>0</v>
      </c>
      <c r="U1740" s="270">
        <f t="shared" si="217"/>
        <v>0</v>
      </c>
      <c r="V1740" s="31"/>
      <c r="X1740" s="240" t="str">
        <f t="shared" si="218"/>
        <v>OK</v>
      </c>
      <c r="Y1740" s="240" t="str">
        <f t="shared" si="219"/>
        <v>OK</v>
      </c>
      <c r="Z1740" s="240" t="str">
        <f t="shared" si="220"/>
        <v>OK</v>
      </c>
      <c r="AA1740" s="240" t="str" cm="1">
        <f t="array" ref="AA1740">IF(OR(AND(J1740="Not accepted",N1740:O1740&lt;&gt;"",$S1740=""),AND(J1740="Accepted",S1740="")),"ERROR","OK")</f>
        <v>OK</v>
      </c>
      <c r="AB1740" s="240" t="str">
        <f t="shared" si="221"/>
        <v>OK</v>
      </c>
      <c r="AC1740" s="240" t="str" cm="1">
        <f t="array" ref="AC1740">IF(AND(F1740:H1740&lt;&gt;"",I1740=""),"ERROR","OK")</f>
        <v>OK</v>
      </c>
      <c r="AD1740" s="240" t="str">
        <f t="shared" si="222"/>
        <v>OK</v>
      </c>
      <c r="AE1740" s="240" t="str">
        <f t="shared" si="223"/>
        <v>OK</v>
      </c>
      <c r="AF1740" s="240" t="str" cm="1">
        <f t="array" aca="1" ref="AF1740" ca="1" xml:space="preserve">
IF(AND($G1740&lt;&gt;"",$F1740=""),"ERROR",
IF(OR($F1740:$G1740="",AND($G1740="",$F1740&lt;&gt;"")),"OK",
IF(COUNTIF(INDIRECT(IFERROR(LEFT($F1740,FIND(" ",$F1740)-1),$F1740)), $G1740)&gt;0, "OK", "ERROR")))</f>
        <v>OK</v>
      </c>
    </row>
    <row r="1741" spans="1:32" s="240" customFormat="1">
      <c r="A1741" s="48"/>
      <c r="B1741" s="31"/>
      <c r="C1741" s="48"/>
      <c r="D1741" s="47"/>
      <c r="E1741" s="47"/>
      <c r="F1741" s="31"/>
      <c r="G1741" s="31"/>
      <c r="H1741" s="31"/>
      <c r="I1741" s="47"/>
      <c r="J1741" s="31"/>
      <c r="K1741" s="47"/>
      <c r="L1741" s="47"/>
      <c r="M1741" s="47"/>
      <c r="N1741" s="31"/>
      <c r="O1741" s="47"/>
      <c r="P1741" s="31"/>
      <c r="Q1741" s="31"/>
      <c r="R1741" s="31"/>
      <c r="S1741" s="31"/>
      <c r="T1741" s="270">
        <f t="shared" si="216"/>
        <v>0</v>
      </c>
      <c r="U1741" s="270">
        <f t="shared" si="217"/>
        <v>0</v>
      </c>
      <c r="V1741" s="31"/>
      <c r="X1741" s="240" t="str">
        <f t="shared" si="218"/>
        <v>OK</v>
      </c>
      <c r="Y1741" s="240" t="str">
        <f t="shared" si="219"/>
        <v>OK</v>
      </c>
      <c r="Z1741" s="240" t="str">
        <f t="shared" si="220"/>
        <v>OK</v>
      </c>
      <c r="AA1741" s="240" t="str" cm="1">
        <f t="array" ref="AA1741">IF(OR(AND(J1741="Not accepted",N1741:O1741&lt;&gt;"",$S1741=""),AND(J1741="Accepted",S1741="")),"ERROR","OK")</f>
        <v>OK</v>
      </c>
      <c r="AB1741" s="240" t="str">
        <f t="shared" si="221"/>
        <v>OK</v>
      </c>
      <c r="AC1741" s="240" t="str" cm="1">
        <f t="array" ref="AC1741">IF(AND(F1741:H1741&lt;&gt;"",I1741=""),"ERROR","OK")</f>
        <v>OK</v>
      </c>
      <c r="AD1741" s="240" t="str">
        <f t="shared" si="222"/>
        <v>OK</v>
      </c>
      <c r="AE1741" s="240" t="str">
        <f t="shared" si="223"/>
        <v>OK</v>
      </c>
      <c r="AF1741" s="240" t="str" cm="1">
        <f t="array" aca="1" ref="AF1741" ca="1" xml:space="preserve">
IF(AND($G1741&lt;&gt;"",$F1741=""),"ERROR",
IF(OR($F1741:$G1741="",AND($G1741="",$F1741&lt;&gt;"")),"OK",
IF(COUNTIF(INDIRECT(IFERROR(LEFT($F1741,FIND(" ",$F1741)-1),$F1741)), $G1741)&gt;0, "OK", "ERROR")))</f>
        <v>OK</v>
      </c>
    </row>
    <row r="1742" spans="1:32" s="240" customFormat="1">
      <c r="A1742" s="48"/>
      <c r="B1742" s="31"/>
      <c r="C1742" s="48"/>
      <c r="D1742" s="47"/>
      <c r="E1742" s="47"/>
      <c r="F1742" s="31"/>
      <c r="G1742" s="31"/>
      <c r="H1742" s="31"/>
      <c r="I1742" s="47"/>
      <c r="J1742" s="31"/>
      <c r="K1742" s="47"/>
      <c r="L1742" s="47"/>
      <c r="M1742" s="47"/>
      <c r="N1742" s="31"/>
      <c r="O1742" s="47"/>
      <c r="P1742" s="31"/>
      <c r="Q1742" s="31"/>
      <c r="R1742" s="31"/>
      <c r="S1742" s="31"/>
      <c r="T1742" s="270">
        <f t="shared" si="216"/>
        <v>0</v>
      </c>
      <c r="U1742" s="270">
        <f t="shared" si="217"/>
        <v>0</v>
      </c>
      <c r="V1742" s="31"/>
      <c r="X1742" s="240" t="str">
        <f t="shared" si="218"/>
        <v>OK</v>
      </c>
      <c r="Y1742" s="240" t="str">
        <f t="shared" si="219"/>
        <v>OK</v>
      </c>
      <c r="Z1742" s="240" t="str">
        <f t="shared" si="220"/>
        <v>OK</v>
      </c>
      <c r="AA1742" s="240" t="str" cm="1">
        <f t="array" ref="AA1742">IF(OR(AND(J1742="Not accepted",N1742:O1742&lt;&gt;"",$S1742=""),AND(J1742="Accepted",S1742="")),"ERROR","OK")</f>
        <v>OK</v>
      </c>
      <c r="AB1742" s="240" t="str">
        <f t="shared" si="221"/>
        <v>OK</v>
      </c>
      <c r="AC1742" s="240" t="str" cm="1">
        <f t="array" ref="AC1742">IF(AND(F1742:H1742&lt;&gt;"",I1742=""),"ERROR","OK")</f>
        <v>OK</v>
      </c>
      <c r="AD1742" s="240" t="str">
        <f t="shared" si="222"/>
        <v>OK</v>
      </c>
      <c r="AE1742" s="240" t="str">
        <f t="shared" si="223"/>
        <v>OK</v>
      </c>
      <c r="AF1742" s="240" t="str" cm="1">
        <f t="array" aca="1" ref="AF1742" ca="1" xml:space="preserve">
IF(AND($G1742&lt;&gt;"",$F1742=""),"ERROR",
IF(OR($F1742:$G1742="",AND($G1742="",$F1742&lt;&gt;"")),"OK",
IF(COUNTIF(INDIRECT(IFERROR(LEFT($F1742,FIND(" ",$F1742)-1),$F1742)), $G1742)&gt;0, "OK", "ERROR")))</f>
        <v>OK</v>
      </c>
    </row>
    <row r="1743" spans="1:32" s="240" customFormat="1">
      <c r="A1743" s="48"/>
      <c r="B1743" s="31"/>
      <c r="C1743" s="48"/>
      <c r="D1743" s="47"/>
      <c r="E1743" s="47"/>
      <c r="F1743" s="31"/>
      <c r="G1743" s="31"/>
      <c r="H1743" s="31"/>
      <c r="I1743" s="47"/>
      <c r="J1743" s="31"/>
      <c r="K1743" s="47"/>
      <c r="L1743" s="47"/>
      <c r="M1743" s="47"/>
      <c r="N1743" s="31"/>
      <c r="O1743" s="47"/>
      <c r="P1743" s="31"/>
      <c r="Q1743" s="31"/>
      <c r="R1743" s="31"/>
      <c r="S1743" s="31"/>
      <c r="T1743" s="270">
        <f t="shared" si="216"/>
        <v>0</v>
      </c>
      <c r="U1743" s="270">
        <f t="shared" si="217"/>
        <v>0</v>
      </c>
      <c r="V1743" s="31"/>
      <c r="X1743" s="240" t="str">
        <f t="shared" si="218"/>
        <v>OK</v>
      </c>
      <c r="Y1743" s="240" t="str">
        <f t="shared" si="219"/>
        <v>OK</v>
      </c>
      <c r="Z1743" s="240" t="str">
        <f t="shared" si="220"/>
        <v>OK</v>
      </c>
      <c r="AA1743" s="240" t="str" cm="1">
        <f t="array" ref="AA1743">IF(OR(AND(J1743="Not accepted",N1743:O1743&lt;&gt;"",$S1743=""),AND(J1743="Accepted",S1743="")),"ERROR","OK")</f>
        <v>OK</v>
      </c>
      <c r="AB1743" s="240" t="str">
        <f t="shared" si="221"/>
        <v>OK</v>
      </c>
      <c r="AC1743" s="240" t="str" cm="1">
        <f t="array" ref="AC1743">IF(AND(F1743:H1743&lt;&gt;"",I1743=""),"ERROR","OK")</f>
        <v>OK</v>
      </c>
      <c r="AD1743" s="240" t="str">
        <f t="shared" si="222"/>
        <v>OK</v>
      </c>
      <c r="AE1743" s="240" t="str">
        <f t="shared" si="223"/>
        <v>OK</v>
      </c>
      <c r="AF1743" s="240" t="str" cm="1">
        <f t="array" aca="1" ref="AF1743" ca="1" xml:space="preserve">
IF(AND($G1743&lt;&gt;"",$F1743=""),"ERROR",
IF(OR($F1743:$G1743="",AND($G1743="",$F1743&lt;&gt;"")),"OK",
IF(COUNTIF(INDIRECT(IFERROR(LEFT($F1743,FIND(" ",$F1743)-1),$F1743)), $G1743)&gt;0, "OK", "ERROR")))</f>
        <v>OK</v>
      </c>
    </row>
    <row r="1744" spans="1:32" s="240" customFormat="1">
      <c r="A1744" s="48"/>
      <c r="B1744" s="31"/>
      <c r="C1744" s="48"/>
      <c r="D1744" s="47"/>
      <c r="E1744" s="47"/>
      <c r="F1744" s="31"/>
      <c r="G1744" s="31"/>
      <c r="H1744" s="31"/>
      <c r="I1744" s="47"/>
      <c r="J1744" s="31"/>
      <c r="K1744" s="47"/>
      <c r="L1744" s="47"/>
      <c r="M1744" s="47"/>
      <c r="N1744" s="31"/>
      <c r="O1744" s="47"/>
      <c r="P1744" s="31"/>
      <c r="Q1744" s="31"/>
      <c r="R1744" s="31"/>
      <c r="S1744" s="31"/>
      <c r="T1744" s="270">
        <f t="shared" si="216"/>
        <v>0</v>
      </c>
      <c r="U1744" s="270">
        <f t="shared" si="217"/>
        <v>0</v>
      </c>
      <c r="V1744" s="31"/>
      <c r="X1744" s="240" t="str">
        <f t="shared" si="218"/>
        <v>OK</v>
      </c>
      <c r="Y1744" s="240" t="str">
        <f t="shared" si="219"/>
        <v>OK</v>
      </c>
      <c r="Z1744" s="240" t="str">
        <f t="shared" si="220"/>
        <v>OK</v>
      </c>
      <c r="AA1744" s="240" t="str" cm="1">
        <f t="array" ref="AA1744">IF(OR(AND(J1744="Not accepted",N1744:O1744&lt;&gt;"",$S1744=""),AND(J1744="Accepted",S1744="")),"ERROR","OK")</f>
        <v>OK</v>
      </c>
      <c r="AB1744" s="240" t="str">
        <f t="shared" si="221"/>
        <v>OK</v>
      </c>
      <c r="AC1744" s="240" t="str" cm="1">
        <f t="array" ref="AC1744">IF(AND(F1744:H1744&lt;&gt;"",I1744=""),"ERROR","OK")</f>
        <v>OK</v>
      </c>
      <c r="AD1744" s="240" t="str">
        <f t="shared" si="222"/>
        <v>OK</v>
      </c>
      <c r="AE1744" s="240" t="str">
        <f t="shared" si="223"/>
        <v>OK</v>
      </c>
      <c r="AF1744" s="240" t="str" cm="1">
        <f t="array" aca="1" ref="AF1744" ca="1" xml:space="preserve">
IF(AND($G1744&lt;&gt;"",$F1744=""),"ERROR",
IF(OR($F1744:$G1744="",AND($G1744="",$F1744&lt;&gt;"")),"OK",
IF(COUNTIF(INDIRECT(IFERROR(LEFT($F1744,FIND(" ",$F1744)-1),$F1744)), $G1744)&gt;0, "OK", "ERROR")))</f>
        <v>OK</v>
      </c>
    </row>
    <row r="1745" spans="1:32" s="240" customFormat="1">
      <c r="A1745" s="48"/>
      <c r="B1745" s="31"/>
      <c r="C1745" s="48"/>
      <c r="D1745" s="47"/>
      <c r="E1745" s="47"/>
      <c r="F1745" s="31"/>
      <c r="G1745" s="31"/>
      <c r="H1745" s="31"/>
      <c r="I1745" s="47"/>
      <c r="J1745" s="31"/>
      <c r="K1745" s="47"/>
      <c r="L1745" s="47"/>
      <c r="M1745" s="47"/>
      <c r="N1745" s="31"/>
      <c r="O1745" s="47"/>
      <c r="P1745" s="31"/>
      <c r="Q1745" s="31"/>
      <c r="R1745" s="31"/>
      <c r="S1745" s="31"/>
      <c r="T1745" s="270">
        <f t="shared" si="216"/>
        <v>0</v>
      </c>
      <c r="U1745" s="270">
        <f t="shared" si="217"/>
        <v>0</v>
      </c>
      <c r="V1745" s="31"/>
      <c r="X1745" s="240" t="str">
        <f t="shared" si="218"/>
        <v>OK</v>
      </c>
      <c r="Y1745" s="240" t="str">
        <f t="shared" si="219"/>
        <v>OK</v>
      </c>
      <c r="Z1745" s="240" t="str">
        <f t="shared" si="220"/>
        <v>OK</v>
      </c>
      <c r="AA1745" s="240" t="str" cm="1">
        <f t="array" ref="AA1745">IF(OR(AND(J1745="Not accepted",N1745:O1745&lt;&gt;"",$S1745=""),AND(J1745="Accepted",S1745="")),"ERROR","OK")</f>
        <v>OK</v>
      </c>
      <c r="AB1745" s="240" t="str">
        <f t="shared" si="221"/>
        <v>OK</v>
      </c>
      <c r="AC1745" s="240" t="str" cm="1">
        <f t="array" ref="AC1745">IF(AND(F1745:H1745&lt;&gt;"",I1745=""),"ERROR","OK")</f>
        <v>OK</v>
      </c>
      <c r="AD1745" s="240" t="str">
        <f t="shared" si="222"/>
        <v>OK</v>
      </c>
      <c r="AE1745" s="240" t="str">
        <f t="shared" si="223"/>
        <v>OK</v>
      </c>
      <c r="AF1745" s="240" t="str" cm="1">
        <f t="array" aca="1" ref="AF1745" ca="1" xml:space="preserve">
IF(AND($G1745&lt;&gt;"",$F1745=""),"ERROR",
IF(OR($F1745:$G1745="",AND($G1745="",$F1745&lt;&gt;"")),"OK",
IF(COUNTIF(INDIRECT(IFERROR(LEFT($F1745,FIND(" ",$F1745)-1),$F1745)), $G1745)&gt;0, "OK", "ERROR")))</f>
        <v>OK</v>
      </c>
    </row>
    <row r="1746" spans="1:32" s="240" customFormat="1">
      <c r="A1746" s="48"/>
      <c r="B1746" s="31"/>
      <c r="C1746" s="48"/>
      <c r="D1746" s="47"/>
      <c r="E1746" s="47"/>
      <c r="F1746" s="31"/>
      <c r="G1746" s="31"/>
      <c r="H1746" s="31"/>
      <c r="I1746" s="47"/>
      <c r="J1746" s="31"/>
      <c r="K1746" s="47"/>
      <c r="L1746" s="47"/>
      <c r="M1746" s="47"/>
      <c r="N1746" s="31"/>
      <c r="O1746" s="47"/>
      <c r="P1746" s="31"/>
      <c r="Q1746" s="31"/>
      <c r="R1746" s="31"/>
      <c r="S1746" s="31"/>
      <c r="T1746" s="270">
        <f t="shared" si="216"/>
        <v>0</v>
      </c>
      <c r="U1746" s="270">
        <f t="shared" si="217"/>
        <v>0</v>
      </c>
      <c r="V1746" s="31"/>
      <c r="X1746" s="240" t="str">
        <f t="shared" si="218"/>
        <v>OK</v>
      </c>
      <c r="Y1746" s="240" t="str">
        <f t="shared" si="219"/>
        <v>OK</v>
      </c>
      <c r="Z1746" s="240" t="str">
        <f t="shared" si="220"/>
        <v>OK</v>
      </c>
      <c r="AA1746" s="240" t="str" cm="1">
        <f t="array" ref="AA1746">IF(OR(AND(J1746="Not accepted",N1746:O1746&lt;&gt;"",$S1746=""),AND(J1746="Accepted",S1746="")),"ERROR","OK")</f>
        <v>OK</v>
      </c>
      <c r="AB1746" s="240" t="str">
        <f t="shared" si="221"/>
        <v>OK</v>
      </c>
      <c r="AC1746" s="240" t="str" cm="1">
        <f t="array" ref="AC1746">IF(AND(F1746:H1746&lt;&gt;"",I1746=""),"ERROR","OK")</f>
        <v>OK</v>
      </c>
      <c r="AD1746" s="240" t="str">
        <f t="shared" si="222"/>
        <v>OK</v>
      </c>
      <c r="AE1746" s="240" t="str">
        <f t="shared" si="223"/>
        <v>OK</v>
      </c>
      <c r="AF1746" s="240" t="str" cm="1">
        <f t="array" aca="1" ref="AF1746" ca="1" xml:space="preserve">
IF(AND($G1746&lt;&gt;"",$F1746=""),"ERROR",
IF(OR($F1746:$G1746="",AND($G1746="",$F1746&lt;&gt;"")),"OK",
IF(COUNTIF(INDIRECT(IFERROR(LEFT($F1746,FIND(" ",$F1746)-1),$F1746)), $G1746)&gt;0, "OK", "ERROR")))</f>
        <v>OK</v>
      </c>
    </row>
    <row r="1747" spans="1:32" s="240" customFormat="1">
      <c r="A1747" s="48"/>
      <c r="B1747" s="31"/>
      <c r="C1747" s="48"/>
      <c r="D1747" s="47"/>
      <c r="E1747" s="47"/>
      <c r="F1747" s="31"/>
      <c r="G1747" s="31"/>
      <c r="H1747" s="31"/>
      <c r="I1747" s="47"/>
      <c r="J1747" s="31"/>
      <c r="K1747" s="47"/>
      <c r="L1747" s="47"/>
      <c r="M1747" s="47"/>
      <c r="N1747" s="31"/>
      <c r="O1747" s="47"/>
      <c r="P1747" s="31"/>
      <c r="Q1747" s="31"/>
      <c r="R1747" s="31"/>
      <c r="S1747" s="31"/>
      <c r="T1747" s="270">
        <f t="shared" si="216"/>
        <v>0</v>
      </c>
      <c r="U1747" s="270">
        <f t="shared" si="217"/>
        <v>0</v>
      </c>
      <c r="V1747" s="31"/>
      <c r="X1747" s="240" t="str">
        <f t="shared" si="218"/>
        <v>OK</v>
      </c>
      <c r="Y1747" s="240" t="str">
        <f t="shared" si="219"/>
        <v>OK</v>
      </c>
      <c r="Z1747" s="240" t="str">
        <f t="shared" si="220"/>
        <v>OK</v>
      </c>
      <c r="AA1747" s="240" t="str" cm="1">
        <f t="array" ref="AA1747">IF(OR(AND(J1747="Not accepted",N1747:O1747&lt;&gt;"",$S1747=""),AND(J1747="Accepted",S1747="")),"ERROR","OK")</f>
        <v>OK</v>
      </c>
      <c r="AB1747" s="240" t="str">
        <f t="shared" si="221"/>
        <v>OK</v>
      </c>
      <c r="AC1747" s="240" t="str" cm="1">
        <f t="array" ref="AC1747">IF(AND(F1747:H1747&lt;&gt;"",I1747=""),"ERROR","OK")</f>
        <v>OK</v>
      </c>
      <c r="AD1747" s="240" t="str">
        <f t="shared" si="222"/>
        <v>OK</v>
      </c>
      <c r="AE1747" s="240" t="str">
        <f t="shared" si="223"/>
        <v>OK</v>
      </c>
      <c r="AF1747" s="240" t="str" cm="1">
        <f t="array" aca="1" ref="AF1747" ca="1" xml:space="preserve">
IF(AND($G1747&lt;&gt;"",$F1747=""),"ERROR",
IF(OR($F1747:$G1747="",AND($G1747="",$F1747&lt;&gt;"")),"OK",
IF(COUNTIF(INDIRECT(IFERROR(LEFT($F1747,FIND(" ",$F1747)-1),$F1747)), $G1747)&gt;0, "OK", "ERROR")))</f>
        <v>OK</v>
      </c>
    </row>
    <row r="1748" spans="1:32" s="240" customFormat="1">
      <c r="A1748" s="48"/>
      <c r="B1748" s="31"/>
      <c r="C1748" s="48"/>
      <c r="D1748" s="47"/>
      <c r="E1748" s="47"/>
      <c r="F1748" s="31"/>
      <c r="G1748" s="31"/>
      <c r="H1748" s="31"/>
      <c r="I1748" s="47"/>
      <c r="J1748" s="31"/>
      <c r="K1748" s="47"/>
      <c r="L1748" s="47"/>
      <c r="M1748" s="47"/>
      <c r="N1748" s="31"/>
      <c r="O1748" s="47"/>
      <c r="P1748" s="31"/>
      <c r="Q1748" s="31"/>
      <c r="R1748" s="31"/>
      <c r="S1748" s="31"/>
      <c r="T1748" s="270">
        <f t="shared" si="216"/>
        <v>0</v>
      </c>
      <c r="U1748" s="270">
        <f t="shared" si="217"/>
        <v>0</v>
      </c>
      <c r="V1748" s="31"/>
      <c r="X1748" s="240" t="str">
        <f t="shared" si="218"/>
        <v>OK</v>
      </c>
      <c r="Y1748" s="240" t="str">
        <f t="shared" si="219"/>
        <v>OK</v>
      </c>
      <c r="Z1748" s="240" t="str">
        <f t="shared" si="220"/>
        <v>OK</v>
      </c>
      <c r="AA1748" s="240" t="str" cm="1">
        <f t="array" ref="AA1748">IF(OR(AND(J1748="Not accepted",N1748:O1748&lt;&gt;"",$S1748=""),AND(J1748="Accepted",S1748="")),"ERROR","OK")</f>
        <v>OK</v>
      </c>
      <c r="AB1748" s="240" t="str">
        <f t="shared" si="221"/>
        <v>OK</v>
      </c>
      <c r="AC1748" s="240" t="str" cm="1">
        <f t="array" ref="AC1748">IF(AND(F1748:H1748&lt;&gt;"",I1748=""),"ERROR","OK")</f>
        <v>OK</v>
      </c>
      <c r="AD1748" s="240" t="str">
        <f t="shared" si="222"/>
        <v>OK</v>
      </c>
      <c r="AE1748" s="240" t="str">
        <f t="shared" si="223"/>
        <v>OK</v>
      </c>
      <c r="AF1748" s="240" t="str" cm="1">
        <f t="array" aca="1" ref="AF1748" ca="1" xml:space="preserve">
IF(AND($G1748&lt;&gt;"",$F1748=""),"ERROR",
IF(OR($F1748:$G1748="",AND($G1748="",$F1748&lt;&gt;"")),"OK",
IF(COUNTIF(INDIRECT(IFERROR(LEFT($F1748,FIND(" ",$F1748)-1),$F1748)), $G1748)&gt;0, "OK", "ERROR")))</f>
        <v>OK</v>
      </c>
    </row>
    <row r="1749" spans="1:32" s="240" customFormat="1">
      <c r="A1749" s="48"/>
      <c r="B1749" s="31"/>
      <c r="C1749" s="48"/>
      <c r="D1749" s="47"/>
      <c r="E1749" s="47"/>
      <c r="F1749" s="31"/>
      <c r="G1749" s="31"/>
      <c r="H1749" s="31"/>
      <c r="I1749" s="47"/>
      <c r="J1749" s="31"/>
      <c r="K1749" s="47"/>
      <c r="L1749" s="47"/>
      <c r="M1749" s="47"/>
      <c r="N1749" s="31"/>
      <c r="O1749" s="47"/>
      <c r="P1749" s="31"/>
      <c r="Q1749" s="31"/>
      <c r="R1749" s="31"/>
      <c r="S1749" s="31"/>
      <c r="T1749" s="270">
        <f t="shared" si="216"/>
        <v>0</v>
      </c>
      <c r="U1749" s="270">
        <f t="shared" si="217"/>
        <v>0</v>
      </c>
      <c r="V1749" s="31"/>
      <c r="X1749" s="240" t="str">
        <f t="shared" si="218"/>
        <v>OK</v>
      </c>
      <c r="Y1749" s="240" t="str">
        <f t="shared" si="219"/>
        <v>OK</v>
      </c>
      <c r="Z1749" s="240" t="str">
        <f t="shared" si="220"/>
        <v>OK</v>
      </c>
      <c r="AA1749" s="240" t="str" cm="1">
        <f t="array" ref="AA1749">IF(OR(AND(J1749="Not accepted",N1749:O1749&lt;&gt;"",$S1749=""),AND(J1749="Accepted",S1749="")),"ERROR","OK")</f>
        <v>OK</v>
      </c>
      <c r="AB1749" s="240" t="str">
        <f t="shared" si="221"/>
        <v>OK</v>
      </c>
      <c r="AC1749" s="240" t="str" cm="1">
        <f t="array" ref="AC1749">IF(AND(F1749:H1749&lt;&gt;"",I1749=""),"ERROR","OK")</f>
        <v>OK</v>
      </c>
      <c r="AD1749" s="240" t="str">
        <f t="shared" si="222"/>
        <v>OK</v>
      </c>
      <c r="AE1749" s="240" t="str">
        <f t="shared" si="223"/>
        <v>OK</v>
      </c>
      <c r="AF1749" s="240" t="str" cm="1">
        <f t="array" aca="1" ref="AF1749" ca="1" xml:space="preserve">
IF(AND($G1749&lt;&gt;"",$F1749=""),"ERROR",
IF(OR($F1749:$G1749="",AND($G1749="",$F1749&lt;&gt;"")),"OK",
IF(COUNTIF(INDIRECT(IFERROR(LEFT($F1749,FIND(" ",$F1749)-1),$F1749)), $G1749)&gt;0, "OK", "ERROR")))</f>
        <v>OK</v>
      </c>
    </row>
    <row r="1750" spans="1:32" s="240" customFormat="1">
      <c r="A1750" s="48"/>
      <c r="B1750" s="31"/>
      <c r="C1750" s="48"/>
      <c r="D1750" s="47"/>
      <c r="E1750" s="47"/>
      <c r="F1750" s="31"/>
      <c r="G1750" s="31"/>
      <c r="H1750" s="31"/>
      <c r="I1750" s="47"/>
      <c r="J1750" s="31"/>
      <c r="K1750" s="47"/>
      <c r="L1750" s="47"/>
      <c r="M1750" s="47"/>
      <c r="N1750" s="31"/>
      <c r="O1750" s="47"/>
      <c r="P1750" s="31"/>
      <c r="Q1750" s="31"/>
      <c r="R1750" s="31"/>
      <c r="S1750" s="31"/>
      <c r="T1750" s="270">
        <f t="shared" si="216"/>
        <v>0</v>
      </c>
      <c r="U1750" s="270">
        <f t="shared" si="217"/>
        <v>0</v>
      </c>
      <c r="V1750" s="31"/>
      <c r="X1750" s="240" t="str">
        <f t="shared" si="218"/>
        <v>OK</v>
      </c>
      <c r="Y1750" s="240" t="str">
        <f t="shared" si="219"/>
        <v>OK</v>
      </c>
      <c r="Z1750" s="240" t="str">
        <f t="shared" si="220"/>
        <v>OK</v>
      </c>
      <c r="AA1750" s="240" t="str" cm="1">
        <f t="array" ref="AA1750">IF(OR(AND(J1750="Not accepted",N1750:O1750&lt;&gt;"",$S1750=""),AND(J1750="Accepted",S1750="")),"ERROR","OK")</f>
        <v>OK</v>
      </c>
      <c r="AB1750" s="240" t="str">
        <f t="shared" si="221"/>
        <v>OK</v>
      </c>
      <c r="AC1750" s="240" t="str" cm="1">
        <f t="array" ref="AC1750">IF(AND(F1750:H1750&lt;&gt;"",I1750=""),"ERROR","OK")</f>
        <v>OK</v>
      </c>
      <c r="AD1750" s="240" t="str">
        <f t="shared" si="222"/>
        <v>OK</v>
      </c>
      <c r="AE1750" s="240" t="str">
        <f t="shared" si="223"/>
        <v>OK</v>
      </c>
      <c r="AF1750" s="240" t="str" cm="1">
        <f t="array" aca="1" ref="AF1750" ca="1" xml:space="preserve">
IF(AND($G1750&lt;&gt;"",$F1750=""),"ERROR",
IF(OR($F1750:$G1750="",AND($G1750="",$F1750&lt;&gt;"")),"OK",
IF(COUNTIF(INDIRECT(IFERROR(LEFT($F1750,FIND(" ",$F1750)-1),$F1750)), $G1750)&gt;0, "OK", "ERROR")))</f>
        <v>OK</v>
      </c>
    </row>
    <row r="1751" spans="1:32" s="240" customFormat="1">
      <c r="A1751" s="48"/>
      <c r="B1751" s="31"/>
      <c r="C1751" s="48"/>
      <c r="D1751" s="47"/>
      <c r="E1751" s="47"/>
      <c r="F1751" s="31"/>
      <c r="G1751" s="31"/>
      <c r="H1751" s="31"/>
      <c r="I1751" s="47"/>
      <c r="J1751" s="31"/>
      <c r="K1751" s="47"/>
      <c r="L1751" s="47"/>
      <c r="M1751" s="47"/>
      <c r="N1751" s="31"/>
      <c r="O1751" s="47"/>
      <c r="P1751" s="31"/>
      <c r="Q1751" s="31"/>
      <c r="R1751" s="31"/>
      <c r="S1751" s="31"/>
      <c r="T1751" s="270">
        <f t="shared" si="216"/>
        <v>0</v>
      </c>
      <c r="U1751" s="270">
        <f t="shared" si="217"/>
        <v>0</v>
      </c>
      <c r="V1751" s="31"/>
      <c r="X1751" s="240" t="str">
        <f t="shared" si="218"/>
        <v>OK</v>
      </c>
      <c r="Y1751" s="240" t="str">
        <f t="shared" si="219"/>
        <v>OK</v>
      </c>
      <c r="Z1751" s="240" t="str">
        <f t="shared" si="220"/>
        <v>OK</v>
      </c>
      <c r="AA1751" s="240" t="str" cm="1">
        <f t="array" ref="AA1751">IF(OR(AND(J1751="Not accepted",N1751:O1751&lt;&gt;"",$S1751=""),AND(J1751="Accepted",S1751="")),"ERROR","OK")</f>
        <v>OK</v>
      </c>
      <c r="AB1751" s="240" t="str">
        <f t="shared" si="221"/>
        <v>OK</v>
      </c>
      <c r="AC1751" s="240" t="str" cm="1">
        <f t="array" ref="AC1751">IF(AND(F1751:H1751&lt;&gt;"",I1751=""),"ERROR","OK")</f>
        <v>OK</v>
      </c>
      <c r="AD1751" s="240" t="str">
        <f t="shared" si="222"/>
        <v>OK</v>
      </c>
      <c r="AE1751" s="240" t="str">
        <f t="shared" si="223"/>
        <v>OK</v>
      </c>
      <c r="AF1751" s="240" t="str" cm="1">
        <f t="array" aca="1" ref="AF1751" ca="1" xml:space="preserve">
IF(AND($G1751&lt;&gt;"",$F1751=""),"ERROR",
IF(OR($F1751:$G1751="",AND($G1751="",$F1751&lt;&gt;"")),"OK",
IF(COUNTIF(INDIRECT(IFERROR(LEFT($F1751,FIND(" ",$F1751)-1),$F1751)), $G1751)&gt;0, "OK", "ERROR")))</f>
        <v>OK</v>
      </c>
    </row>
    <row r="1752" spans="1:32" s="240" customFormat="1">
      <c r="A1752" s="48"/>
      <c r="B1752" s="31"/>
      <c r="C1752" s="48"/>
      <c r="D1752" s="47"/>
      <c r="E1752" s="47"/>
      <c r="F1752" s="31"/>
      <c r="G1752" s="31"/>
      <c r="H1752" s="31"/>
      <c r="I1752" s="47"/>
      <c r="J1752" s="31"/>
      <c r="K1752" s="47"/>
      <c r="L1752" s="47"/>
      <c r="M1752" s="47"/>
      <c r="N1752" s="31"/>
      <c r="O1752" s="47"/>
      <c r="P1752" s="31"/>
      <c r="Q1752" s="31"/>
      <c r="R1752" s="31"/>
      <c r="S1752" s="31"/>
      <c r="T1752" s="270">
        <f t="shared" si="216"/>
        <v>0</v>
      </c>
      <c r="U1752" s="270">
        <f t="shared" si="217"/>
        <v>0</v>
      </c>
      <c r="V1752" s="31"/>
      <c r="X1752" s="240" t="str">
        <f t="shared" si="218"/>
        <v>OK</v>
      </c>
      <c r="Y1752" s="240" t="str">
        <f t="shared" si="219"/>
        <v>OK</v>
      </c>
      <c r="Z1752" s="240" t="str">
        <f t="shared" si="220"/>
        <v>OK</v>
      </c>
      <c r="AA1752" s="240" t="str" cm="1">
        <f t="array" ref="AA1752">IF(OR(AND(J1752="Not accepted",N1752:O1752&lt;&gt;"",$S1752=""),AND(J1752="Accepted",S1752="")),"ERROR","OK")</f>
        <v>OK</v>
      </c>
      <c r="AB1752" s="240" t="str">
        <f t="shared" si="221"/>
        <v>OK</v>
      </c>
      <c r="AC1752" s="240" t="str" cm="1">
        <f t="array" ref="AC1752">IF(AND(F1752:H1752&lt;&gt;"",I1752=""),"ERROR","OK")</f>
        <v>OK</v>
      </c>
      <c r="AD1752" s="240" t="str">
        <f t="shared" si="222"/>
        <v>OK</v>
      </c>
      <c r="AE1752" s="240" t="str">
        <f t="shared" si="223"/>
        <v>OK</v>
      </c>
      <c r="AF1752" s="240" t="str" cm="1">
        <f t="array" aca="1" ref="AF1752" ca="1" xml:space="preserve">
IF(AND($G1752&lt;&gt;"",$F1752=""),"ERROR",
IF(OR($F1752:$G1752="",AND($G1752="",$F1752&lt;&gt;"")),"OK",
IF(COUNTIF(INDIRECT(IFERROR(LEFT($F1752,FIND(" ",$F1752)-1),$F1752)), $G1752)&gt;0, "OK", "ERROR")))</f>
        <v>OK</v>
      </c>
    </row>
    <row r="1753" spans="1:32" s="240" customFormat="1">
      <c r="A1753" s="48"/>
      <c r="B1753" s="31"/>
      <c r="C1753" s="48"/>
      <c r="D1753" s="47"/>
      <c r="E1753" s="47"/>
      <c r="F1753" s="31"/>
      <c r="G1753" s="31"/>
      <c r="H1753" s="31"/>
      <c r="I1753" s="47"/>
      <c r="J1753" s="31"/>
      <c r="K1753" s="47"/>
      <c r="L1753" s="47"/>
      <c r="M1753" s="47"/>
      <c r="N1753" s="31"/>
      <c r="O1753" s="47"/>
      <c r="P1753" s="31"/>
      <c r="Q1753" s="31"/>
      <c r="R1753" s="31"/>
      <c r="S1753" s="31"/>
      <c r="T1753" s="270">
        <f t="shared" si="216"/>
        <v>0</v>
      </c>
      <c r="U1753" s="270">
        <f t="shared" si="217"/>
        <v>0</v>
      </c>
      <c r="V1753" s="31"/>
      <c r="X1753" s="240" t="str">
        <f t="shared" si="218"/>
        <v>OK</v>
      </c>
      <c r="Y1753" s="240" t="str">
        <f t="shared" si="219"/>
        <v>OK</v>
      </c>
      <c r="Z1753" s="240" t="str">
        <f t="shared" si="220"/>
        <v>OK</v>
      </c>
      <c r="AA1753" s="240" t="str" cm="1">
        <f t="array" ref="AA1753">IF(OR(AND(J1753="Not accepted",N1753:O1753&lt;&gt;"",$S1753=""),AND(J1753="Accepted",S1753="")),"ERROR","OK")</f>
        <v>OK</v>
      </c>
      <c r="AB1753" s="240" t="str">
        <f t="shared" si="221"/>
        <v>OK</v>
      </c>
      <c r="AC1753" s="240" t="str" cm="1">
        <f t="array" ref="AC1753">IF(AND(F1753:H1753&lt;&gt;"",I1753=""),"ERROR","OK")</f>
        <v>OK</v>
      </c>
      <c r="AD1753" s="240" t="str">
        <f t="shared" si="222"/>
        <v>OK</v>
      </c>
      <c r="AE1753" s="240" t="str">
        <f t="shared" si="223"/>
        <v>OK</v>
      </c>
      <c r="AF1753" s="240" t="str" cm="1">
        <f t="array" aca="1" ref="AF1753" ca="1" xml:space="preserve">
IF(AND($G1753&lt;&gt;"",$F1753=""),"ERROR",
IF(OR($F1753:$G1753="",AND($G1753="",$F1753&lt;&gt;"")),"OK",
IF(COUNTIF(INDIRECT(IFERROR(LEFT($F1753,FIND(" ",$F1753)-1),$F1753)), $G1753)&gt;0, "OK", "ERROR")))</f>
        <v>OK</v>
      </c>
    </row>
    <row r="1754" spans="1:32" s="240" customFormat="1">
      <c r="A1754" s="48"/>
      <c r="B1754" s="31"/>
      <c r="C1754" s="48"/>
      <c r="D1754" s="47"/>
      <c r="E1754" s="47"/>
      <c r="F1754" s="31"/>
      <c r="G1754" s="31"/>
      <c r="H1754" s="31"/>
      <c r="I1754" s="47"/>
      <c r="J1754" s="31"/>
      <c r="K1754" s="47"/>
      <c r="L1754" s="47"/>
      <c r="M1754" s="47"/>
      <c r="N1754" s="31"/>
      <c r="O1754" s="47"/>
      <c r="P1754" s="31"/>
      <c r="Q1754" s="31"/>
      <c r="R1754" s="31"/>
      <c r="S1754" s="31"/>
      <c r="T1754" s="270">
        <f t="shared" si="216"/>
        <v>0</v>
      </c>
      <c r="U1754" s="270">
        <f t="shared" si="217"/>
        <v>0</v>
      </c>
      <c r="V1754" s="31"/>
      <c r="X1754" s="240" t="str">
        <f t="shared" si="218"/>
        <v>OK</v>
      </c>
      <c r="Y1754" s="240" t="str">
        <f t="shared" si="219"/>
        <v>OK</v>
      </c>
      <c r="Z1754" s="240" t="str">
        <f t="shared" si="220"/>
        <v>OK</v>
      </c>
      <c r="AA1754" s="240" t="str" cm="1">
        <f t="array" ref="AA1754">IF(OR(AND(J1754="Not accepted",N1754:O1754&lt;&gt;"",$S1754=""),AND(J1754="Accepted",S1754="")),"ERROR","OK")</f>
        <v>OK</v>
      </c>
      <c r="AB1754" s="240" t="str">
        <f t="shared" si="221"/>
        <v>OK</v>
      </c>
      <c r="AC1754" s="240" t="str" cm="1">
        <f t="array" ref="AC1754">IF(AND(F1754:H1754&lt;&gt;"",I1754=""),"ERROR","OK")</f>
        <v>OK</v>
      </c>
      <c r="AD1754" s="240" t="str">
        <f t="shared" si="222"/>
        <v>OK</v>
      </c>
      <c r="AE1754" s="240" t="str">
        <f t="shared" si="223"/>
        <v>OK</v>
      </c>
      <c r="AF1754" s="240" t="str" cm="1">
        <f t="array" aca="1" ref="AF1754" ca="1" xml:space="preserve">
IF(AND($G1754&lt;&gt;"",$F1754=""),"ERROR",
IF(OR($F1754:$G1754="",AND($G1754="",$F1754&lt;&gt;"")),"OK",
IF(COUNTIF(INDIRECT(IFERROR(LEFT($F1754,FIND(" ",$F1754)-1),$F1754)), $G1754)&gt;0, "OK", "ERROR")))</f>
        <v>OK</v>
      </c>
    </row>
    <row r="1755" spans="1:32" s="240" customFormat="1">
      <c r="A1755" s="48"/>
      <c r="B1755" s="31"/>
      <c r="C1755" s="48"/>
      <c r="D1755" s="47"/>
      <c r="E1755" s="47"/>
      <c r="F1755" s="31"/>
      <c r="G1755" s="31"/>
      <c r="H1755" s="31"/>
      <c r="I1755" s="47"/>
      <c r="J1755" s="31"/>
      <c r="K1755" s="47"/>
      <c r="L1755" s="47"/>
      <c r="M1755" s="47"/>
      <c r="N1755" s="31"/>
      <c r="O1755" s="47"/>
      <c r="P1755" s="31"/>
      <c r="Q1755" s="31"/>
      <c r="R1755" s="31"/>
      <c r="S1755" s="31"/>
      <c r="T1755" s="270">
        <f t="shared" si="216"/>
        <v>0</v>
      </c>
      <c r="U1755" s="270">
        <f t="shared" si="217"/>
        <v>0</v>
      </c>
      <c r="V1755" s="31"/>
      <c r="X1755" s="240" t="str">
        <f t="shared" si="218"/>
        <v>OK</v>
      </c>
      <c r="Y1755" s="240" t="str">
        <f t="shared" si="219"/>
        <v>OK</v>
      </c>
      <c r="Z1755" s="240" t="str">
        <f t="shared" si="220"/>
        <v>OK</v>
      </c>
      <c r="AA1755" s="240" t="str" cm="1">
        <f t="array" ref="AA1755">IF(OR(AND(J1755="Not accepted",N1755:O1755&lt;&gt;"",$S1755=""),AND(J1755="Accepted",S1755="")),"ERROR","OK")</f>
        <v>OK</v>
      </c>
      <c r="AB1755" s="240" t="str">
        <f t="shared" si="221"/>
        <v>OK</v>
      </c>
      <c r="AC1755" s="240" t="str" cm="1">
        <f t="array" ref="AC1755">IF(AND(F1755:H1755&lt;&gt;"",I1755=""),"ERROR","OK")</f>
        <v>OK</v>
      </c>
      <c r="AD1755" s="240" t="str">
        <f t="shared" si="222"/>
        <v>OK</v>
      </c>
      <c r="AE1755" s="240" t="str">
        <f t="shared" si="223"/>
        <v>OK</v>
      </c>
      <c r="AF1755" s="240" t="str" cm="1">
        <f t="array" aca="1" ref="AF1755" ca="1" xml:space="preserve">
IF(AND($G1755&lt;&gt;"",$F1755=""),"ERROR",
IF(OR($F1755:$G1755="",AND($G1755="",$F1755&lt;&gt;"")),"OK",
IF(COUNTIF(INDIRECT(IFERROR(LEFT($F1755,FIND(" ",$F1755)-1),$F1755)), $G1755)&gt;0, "OK", "ERROR")))</f>
        <v>OK</v>
      </c>
    </row>
    <row r="1756" spans="1:32" s="240" customFormat="1">
      <c r="A1756" s="48"/>
      <c r="B1756" s="31"/>
      <c r="C1756" s="48"/>
      <c r="D1756" s="47"/>
      <c r="E1756" s="47"/>
      <c r="F1756" s="31"/>
      <c r="G1756" s="31"/>
      <c r="H1756" s="31"/>
      <c r="I1756" s="47"/>
      <c r="J1756" s="31"/>
      <c r="K1756" s="47"/>
      <c r="L1756" s="47"/>
      <c r="M1756" s="47"/>
      <c r="N1756" s="31"/>
      <c r="O1756" s="47"/>
      <c r="P1756" s="31"/>
      <c r="Q1756" s="31"/>
      <c r="R1756" s="31"/>
      <c r="S1756" s="31"/>
      <c r="T1756" s="270">
        <f t="shared" si="216"/>
        <v>0</v>
      </c>
      <c r="U1756" s="270">
        <f t="shared" si="217"/>
        <v>0</v>
      </c>
      <c r="V1756" s="31"/>
      <c r="X1756" s="240" t="str">
        <f t="shared" si="218"/>
        <v>OK</v>
      </c>
      <c r="Y1756" s="240" t="str">
        <f t="shared" si="219"/>
        <v>OK</v>
      </c>
      <c r="Z1756" s="240" t="str">
        <f t="shared" si="220"/>
        <v>OK</v>
      </c>
      <c r="AA1756" s="240" t="str" cm="1">
        <f t="array" ref="AA1756">IF(OR(AND(J1756="Not accepted",N1756:O1756&lt;&gt;"",$S1756=""),AND(J1756="Accepted",S1756="")),"ERROR","OK")</f>
        <v>OK</v>
      </c>
      <c r="AB1756" s="240" t="str">
        <f t="shared" si="221"/>
        <v>OK</v>
      </c>
      <c r="AC1756" s="240" t="str" cm="1">
        <f t="array" ref="AC1756">IF(AND(F1756:H1756&lt;&gt;"",I1756=""),"ERROR","OK")</f>
        <v>OK</v>
      </c>
      <c r="AD1756" s="240" t="str">
        <f t="shared" si="222"/>
        <v>OK</v>
      </c>
      <c r="AE1756" s="240" t="str">
        <f t="shared" si="223"/>
        <v>OK</v>
      </c>
      <c r="AF1756" s="240" t="str" cm="1">
        <f t="array" aca="1" ref="AF1756" ca="1" xml:space="preserve">
IF(AND($G1756&lt;&gt;"",$F1756=""),"ERROR",
IF(OR($F1756:$G1756="",AND($G1756="",$F1756&lt;&gt;"")),"OK",
IF(COUNTIF(INDIRECT(IFERROR(LEFT($F1756,FIND(" ",$F1756)-1),$F1756)), $G1756)&gt;0, "OK", "ERROR")))</f>
        <v>OK</v>
      </c>
    </row>
    <row r="1757" spans="1:32" s="240" customFormat="1">
      <c r="A1757" s="48"/>
      <c r="B1757" s="31"/>
      <c r="C1757" s="48"/>
      <c r="D1757" s="47"/>
      <c r="E1757" s="47"/>
      <c r="F1757" s="31"/>
      <c r="G1757" s="31"/>
      <c r="H1757" s="31"/>
      <c r="I1757" s="47"/>
      <c r="J1757" s="31"/>
      <c r="K1757" s="47"/>
      <c r="L1757" s="47"/>
      <c r="M1757" s="47"/>
      <c r="N1757" s="31"/>
      <c r="O1757" s="47"/>
      <c r="P1757" s="31"/>
      <c r="Q1757" s="31"/>
      <c r="R1757" s="31"/>
      <c r="S1757" s="31"/>
      <c r="T1757" s="270">
        <f t="shared" si="216"/>
        <v>0</v>
      </c>
      <c r="U1757" s="270">
        <f t="shared" si="217"/>
        <v>0</v>
      </c>
      <c r="V1757" s="31"/>
      <c r="X1757" s="240" t="str">
        <f t="shared" si="218"/>
        <v>OK</v>
      </c>
      <c r="Y1757" s="240" t="str">
        <f t="shared" si="219"/>
        <v>OK</v>
      </c>
      <c r="Z1757" s="240" t="str">
        <f t="shared" si="220"/>
        <v>OK</v>
      </c>
      <c r="AA1757" s="240" t="str" cm="1">
        <f t="array" ref="AA1757">IF(OR(AND(J1757="Not accepted",N1757:O1757&lt;&gt;"",$S1757=""),AND(J1757="Accepted",S1757="")),"ERROR","OK")</f>
        <v>OK</v>
      </c>
      <c r="AB1757" s="240" t="str">
        <f t="shared" si="221"/>
        <v>OK</v>
      </c>
      <c r="AC1757" s="240" t="str" cm="1">
        <f t="array" ref="AC1757">IF(AND(F1757:H1757&lt;&gt;"",I1757=""),"ERROR","OK")</f>
        <v>OK</v>
      </c>
      <c r="AD1757" s="240" t="str">
        <f t="shared" si="222"/>
        <v>OK</v>
      </c>
      <c r="AE1757" s="240" t="str">
        <f t="shared" si="223"/>
        <v>OK</v>
      </c>
      <c r="AF1757" s="240" t="str" cm="1">
        <f t="array" aca="1" ref="AF1757" ca="1" xml:space="preserve">
IF(AND($G1757&lt;&gt;"",$F1757=""),"ERROR",
IF(OR($F1757:$G1757="",AND($G1757="",$F1757&lt;&gt;"")),"OK",
IF(COUNTIF(INDIRECT(IFERROR(LEFT($F1757,FIND(" ",$F1757)-1),$F1757)), $G1757)&gt;0, "OK", "ERROR")))</f>
        <v>OK</v>
      </c>
    </row>
    <row r="1758" spans="1:32" s="240" customFormat="1">
      <c r="A1758" s="48"/>
      <c r="B1758" s="31"/>
      <c r="C1758" s="48"/>
      <c r="D1758" s="47"/>
      <c r="E1758" s="47"/>
      <c r="F1758" s="31"/>
      <c r="G1758" s="31"/>
      <c r="H1758" s="31"/>
      <c r="I1758" s="47"/>
      <c r="J1758" s="31"/>
      <c r="K1758" s="47"/>
      <c r="L1758" s="47"/>
      <c r="M1758" s="47"/>
      <c r="N1758" s="31"/>
      <c r="O1758" s="47"/>
      <c r="P1758" s="31"/>
      <c r="Q1758" s="31"/>
      <c r="R1758" s="31"/>
      <c r="S1758" s="31"/>
      <c r="T1758" s="270">
        <f t="shared" si="216"/>
        <v>0</v>
      </c>
      <c r="U1758" s="270">
        <f t="shared" si="217"/>
        <v>0</v>
      </c>
      <c r="V1758" s="31"/>
      <c r="X1758" s="240" t="str">
        <f t="shared" si="218"/>
        <v>OK</v>
      </c>
      <c r="Y1758" s="240" t="str">
        <f t="shared" si="219"/>
        <v>OK</v>
      </c>
      <c r="Z1758" s="240" t="str">
        <f t="shared" si="220"/>
        <v>OK</v>
      </c>
      <c r="AA1758" s="240" t="str" cm="1">
        <f t="array" ref="AA1758">IF(OR(AND(J1758="Not accepted",N1758:O1758&lt;&gt;"",$S1758=""),AND(J1758="Accepted",S1758="")),"ERROR","OK")</f>
        <v>OK</v>
      </c>
      <c r="AB1758" s="240" t="str">
        <f t="shared" si="221"/>
        <v>OK</v>
      </c>
      <c r="AC1758" s="240" t="str" cm="1">
        <f t="array" ref="AC1758">IF(AND(F1758:H1758&lt;&gt;"",I1758=""),"ERROR","OK")</f>
        <v>OK</v>
      </c>
      <c r="AD1758" s="240" t="str">
        <f t="shared" si="222"/>
        <v>OK</v>
      </c>
      <c r="AE1758" s="240" t="str">
        <f t="shared" si="223"/>
        <v>OK</v>
      </c>
      <c r="AF1758" s="240" t="str" cm="1">
        <f t="array" aca="1" ref="AF1758" ca="1" xml:space="preserve">
IF(AND($G1758&lt;&gt;"",$F1758=""),"ERROR",
IF(OR($F1758:$G1758="",AND($G1758="",$F1758&lt;&gt;"")),"OK",
IF(COUNTIF(INDIRECT(IFERROR(LEFT($F1758,FIND(" ",$F1758)-1),$F1758)), $G1758)&gt;0, "OK", "ERROR")))</f>
        <v>OK</v>
      </c>
    </row>
    <row r="1759" spans="1:32" s="240" customFormat="1">
      <c r="A1759" s="48"/>
      <c r="B1759" s="31"/>
      <c r="C1759" s="48"/>
      <c r="D1759" s="47"/>
      <c r="E1759" s="47"/>
      <c r="F1759" s="31"/>
      <c r="G1759" s="31"/>
      <c r="H1759" s="31"/>
      <c r="I1759" s="47"/>
      <c r="J1759" s="31"/>
      <c r="K1759" s="47"/>
      <c r="L1759" s="47"/>
      <c r="M1759" s="47"/>
      <c r="N1759" s="31"/>
      <c r="O1759" s="47"/>
      <c r="P1759" s="31"/>
      <c r="Q1759" s="31"/>
      <c r="R1759" s="31"/>
      <c r="S1759" s="31"/>
      <c r="T1759" s="270">
        <f t="shared" si="216"/>
        <v>0</v>
      </c>
      <c r="U1759" s="270">
        <f t="shared" si="217"/>
        <v>0</v>
      </c>
      <c r="V1759" s="31"/>
      <c r="X1759" s="240" t="str">
        <f t="shared" si="218"/>
        <v>OK</v>
      </c>
      <c r="Y1759" s="240" t="str">
        <f t="shared" si="219"/>
        <v>OK</v>
      </c>
      <c r="Z1759" s="240" t="str">
        <f t="shared" si="220"/>
        <v>OK</v>
      </c>
      <c r="AA1759" s="240" t="str" cm="1">
        <f t="array" ref="AA1759">IF(OR(AND(J1759="Not accepted",N1759:O1759&lt;&gt;"",$S1759=""),AND(J1759="Accepted",S1759="")),"ERROR","OK")</f>
        <v>OK</v>
      </c>
      <c r="AB1759" s="240" t="str">
        <f t="shared" si="221"/>
        <v>OK</v>
      </c>
      <c r="AC1759" s="240" t="str" cm="1">
        <f t="array" ref="AC1759">IF(AND(F1759:H1759&lt;&gt;"",I1759=""),"ERROR","OK")</f>
        <v>OK</v>
      </c>
      <c r="AD1759" s="240" t="str">
        <f t="shared" si="222"/>
        <v>OK</v>
      </c>
      <c r="AE1759" s="240" t="str">
        <f t="shared" si="223"/>
        <v>OK</v>
      </c>
      <c r="AF1759" s="240" t="str" cm="1">
        <f t="array" aca="1" ref="AF1759" ca="1" xml:space="preserve">
IF(AND($G1759&lt;&gt;"",$F1759=""),"ERROR",
IF(OR($F1759:$G1759="",AND($G1759="",$F1759&lt;&gt;"")),"OK",
IF(COUNTIF(INDIRECT(IFERROR(LEFT($F1759,FIND(" ",$F1759)-1),$F1759)), $G1759)&gt;0, "OK", "ERROR")))</f>
        <v>OK</v>
      </c>
    </row>
    <row r="1760" spans="1:32" s="240" customFormat="1">
      <c r="A1760" s="48"/>
      <c r="B1760" s="31"/>
      <c r="C1760" s="48"/>
      <c r="D1760" s="47"/>
      <c r="E1760" s="47"/>
      <c r="F1760" s="31"/>
      <c r="G1760" s="31"/>
      <c r="H1760" s="31"/>
      <c r="I1760" s="47"/>
      <c r="J1760" s="31"/>
      <c r="K1760" s="47"/>
      <c r="L1760" s="47"/>
      <c r="M1760" s="47"/>
      <c r="N1760" s="31"/>
      <c r="O1760" s="47"/>
      <c r="P1760" s="31"/>
      <c r="Q1760" s="31"/>
      <c r="R1760" s="31"/>
      <c r="S1760" s="31"/>
      <c r="T1760" s="270">
        <f t="shared" si="216"/>
        <v>0</v>
      </c>
      <c r="U1760" s="270">
        <f t="shared" si="217"/>
        <v>0</v>
      </c>
      <c r="V1760" s="31"/>
      <c r="X1760" s="240" t="str">
        <f t="shared" si="218"/>
        <v>OK</v>
      </c>
      <c r="Y1760" s="240" t="str">
        <f t="shared" si="219"/>
        <v>OK</v>
      </c>
      <c r="Z1760" s="240" t="str">
        <f t="shared" si="220"/>
        <v>OK</v>
      </c>
      <c r="AA1760" s="240" t="str" cm="1">
        <f t="array" ref="AA1760">IF(OR(AND(J1760="Not accepted",N1760:O1760&lt;&gt;"",$S1760=""),AND(J1760="Accepted",S1760="")),"ERROR","OK")</f>
        <v>OK</v>
      </c>
      <c r="AB1760" s="240" t="str">
        <f t="shared" si="221"/>
        <v>OK</v>
      </c>
      <c r="AC1760" s="240" t="str" cm="1">
        <f t="array" ref="AC1760">IF(AND(F1760:H1760&lt;&gt;"",I1760=""),"ERROR","OK")</f>
        <v>OK</v>
      </c>
      <c r="AD1760" s="240" t="str">
        <f t="shared" si="222"/>
        <v>OK</v>
      </c>
      <c r="AE1760" s="240" t="str">
        <f t="shared" si="223"/>
        <v>OK</v>
      </c>
      <c r="AF1760" s="240" t="str" cm="1">
        <f t="array" aca="1" ref="AF1760" ca="1" xml:space="preserve">
IF(AND($G1760&lt;&gt;"",$F1760=""),"ERROR",
IF(OR($F1760:$G1760="",AND($G1760="",$F1760&lt;&gt;"")),"OK",
IF(COUNTIF(INDIRECT(IFERROR(LEFT($F1760,FIND(" ",$F1760)-1),$F1760)), $G1760)&gt;0, "OK", "ERROR")))</f>
        <v>OK</v>
      </c>
    </row>
    <row r="1761" spans="1:32" s="240" customFormat="1">
      <c r="A1761" s="48"/>
      <c r="B1761" s="31"/>
      <c r="C1761" s="48"/>
      <c r="D1761" s="47"/>
      <c r="E1761" s="47"/>
      <c r="F1761" s="31"/>
      <c r="G1761" s="31"/>
      <c r="H1761" s="31"/>
      <c r="I1761" s="47"/>
      <c r="J1761" s="31"/>
      <c r="K1761" s="47"/>
      <c r="L1761" s="47"/>
      <c r="M1761" s="47"/>
      <c r="N1761" s="31"/>
      <c r="O1761" s="47"/>
      <c r="P1761" s="31"/>
      <c r="Q1761" s="31"/>
      <c r="R1761" s="31"/>
      <c r="S1761" s="31"/>
      <c r="T1761" s="270">
        <f t="shared" si="216"/>
        <v>0</v>
      </c>
      <c r="U1761" s="270">
        <f t="shared" si="217"/>
        <v>0</v>
      </c>
      <c r="V1761" s="31"/>
      <c r="X1761" s="240" t="str">
        <f t="shared" si="218"/>
        <v>OK</v>
      </c>
      <c r="Y1761" s="240" t="str">
        <f t="shared" si="219"/>
        <v>OK</v>
      </c>
      <c r="Z1761" s="240" t="str">
        <f t="shared" si="220"/>
        <v>OK</v>
      </c>
      <c r="AA1761" s="240" t="str" cm="1">
        <f t="array" ref="AA1761">IF(OR(AND(J1761="Not accepted",N1761:O1761&lt;&gt;"",$S1761=""),AND(J1761="Accepted",S1761="")),"ERROR","OK")</f>
        <v>OK</v>
      </c>
      <c r="AB1761" s="240" t="str">
        <f t="shared" si="221"/>
        <v>OK</v>
      </c>
      <c r="AC1761" s="240" t="str" cm="1">
        <f t="array" ref="AC1761">IF(AND(F1761:H1761&lt;&gt;"",I1761=""),"ERROR","OK")</f>
        <v>OK</v>
      </c>
      <c r="AD1761" s="240" t="str">
        <f t="shared" si="222"/>
        <v>OK</v>
      </c>
      <c r="AE1761" s="240" t="str">
        <f t="shared" si="223"/>
        <v>OK</v>
      </c>
      <c r="AF1761" s="240" t="str" cm="1">
        <f t="array" aca="1" ref="AF1761" ca="1" xml:space="preserve">
IF(AND($G1761&lt;&gt;"",$F1761=""),"ERROR",
IF(OR($F1761:$G1761="",AND($G1761="",$F1761&lt;&gt;"")),"OK",
IF(COUNTIF(INDIRECT(IFERROR(LEFT($F1761,FIND(" ",$F1761)-1),$F1761)), $G1761)&gt;0, "OK", "ERROR")))</f>
        <v>OK</v>
      </c>
    </row>
    <row r="1762" spans="1:32" s="240" customFormat="1">
      <c r="A1762" s="48"/>
      <c r="B1762" s="31"/>
      <c r="C1762" s="48"/>
      <c r="D1762" s="47"/>
      <c r="E1762" s="47"/>
      <c r="F1762" s="31"/>
      <c r="G1762" s="31"/>
      <c r="H1762" s="31"/>
      <c r="I1762" s="47"/>
      <c r="J1762" s="31"/>
      <c r="K1762" s="47"/>
      <c r="L1762" s="47"/>
      <c r="M1762" s="47"/>
      <c r="N1762" s="31"/>
      <c r="O1762" s="47"/>
      <c r="P1762" s="31"/>
      <c r="Q1762" s="31"/>
      <c r="R1762" s="31"/>
      <c r="S1762" s="31"/>
      <c r="T1762" s="270">
        <f t="shared" si="216"/>
        <v>0</v>
      </c>
      <c r="U1762" s="270">
        <f t="shared" si="217"/>
        <v>0</v>
      </c>
      <c r="V1762" s="31"/>
      <c r="X1762" s="240" t="str">
        <f t="shared" si="218"/>
        <v>OK</v>
      </c>
      <c r="Y1762" s="240" t="str">
        <f t="shared" si="219"/>
        <v>OK</v>
      </c>
      <c r="Z1762" s="240" t="str">
        <f t="shared" si="220"/>
        <v>OK</v>
      </c>
      <c r="AA1762" s="240" t="str" cm="1">
        <f t="array" ref="AA1762">IF(OR(AND(J1762="Not accepted",N1762:O1762&lt;&gt;"",$S1762=""),AND(J1762="Accepted",S1762="")),"ERROR","OK")</f>
        <v>OK</v>
      </c>
      <c r="AB1762" s="240" t="str">
        <f t="shared" si="221"/>
        <v>OK</v>
      </c>
      <c r="AC1762" s="240" t="str" cm="1">
        <f t="array" ref="AC1762">IF(AND(F1762:H1762&lt;&gt;"",I1762=""),"ERROR","OK")</f>
        <v>OK</v>
      </c>
      <c r="AD1762" s="240" t="str">
        <f t="shared" si="222"/>
        <v>OK</v>
      </c>
      <c r="AE1762" s="240" t="str">
        <f t="shared" si="223"/>
        <v>OK</v>
      </c>
      <c r="AF1762" s="240" t="str" cm="1">
        <f t="array" aca="1" ref="AF1762" ca="1" xml:space="preserve">
IF(AND($G1762&lt;&gt;"",$F1762=""),"ERROR",
IF(OR($F1762:$G1762="",AND($G1762="",$F1762&lt;&gt;"")),"OK",
IF(COUNTIF(INDIRECT(IFERROR(LEFT($F1762,FIND(" ",$F1762)-1),$F1762)), $G1762)&gt;0, "OK", "ERROR")))</f>
        <v>OK</v>
      </c>
    </row>
    <row r="1763" spans="1:32" s="240" customFormat="1">
      <c r="A1763" s="48"/>
      <c r="B1763" s="31"/>
      <c r="C1763" s="48"/>
      <c r="D1763" s="47"/>
      <c r="E1763" s="47"/>
      <c r="F1763" s="31"/>
      <c r="G1763" s="31"/>
      <c r="H1763" s="31"/>
      <c r="I1763" s="47"/>
      <c r="J1763" s="31"/>
      <c r="K1763" s="47"/>
      <c r="L1763" s="47"/>
      <c r="M1763" s="47"/>
      <c r="N1763" s="31"/>
      <c r="O1763" s="47"/>
      <c r="P1763" s="31"/>
      <c r="Q1763" s="31"/>
      <c r="R1763" s="31"/>
      <c r="S1763" s="31"/>
      <c r="T1763" s="270">
        <f t="shared" si="216"/>
        <v>0</v>
      </c>
      <c r="U1763" s="270">
        <f t="shared" si="217"/>
        <v>0</v>
      </c>
      <c r="V1763" s="31"/>
      <c r="X1763" s="240" t="str">
        <f t="shared" si="218"/>
        <v>OK</v>
      </c>
      <c r="Y1763" s="240" t="str">
        <f t="shared" si="219"/>
        <v>OK</v>
      </c>
      <c r="Z1763" s="240" t="str">
        <f t="shared" si="220"/>
        <v>OK</v>
      </c>
      <c r="AA1763" s="240" t="str" cm="1">
        <f t="array" ref="AA1763">IF(OR(AND(J1763="Not accepted",N1763:O1763&lt;&gt;"",$S1763=""),AND(J1763="Accepted",S1763="")),"ERROR","OK")</f>
        <v>OK</v>
      </c>
      <c r="AB1763" s="240" t="str">
        <f t="shared" si="221"/>
        <v>OK</v>
      </c>
      <c r="AC1763" s="240" t="str" cm="1">
        <f t="array" ref="AC1763">IF(AND(F1763:H1763&lt;&gt;"",I1763=""),"ERROR","OK")</f>
        <v>OK</v>
      </c>
      <c r="AD1763" s="240" t="str">
        <f t="shared" si="222"/>
        <v>OK</v>
      </c>
      <c r="AE1763" s="240" t="str">
        <f t="shared" si="223"/>
        <v>OK</v>
      </c>
      <c r="AF1763" s="240" t="str" cm="1">
        <f t="array" aca="1" ref="AF1763" ca="1" xml:space="preserve">
IF(AND($G1763&lt;&gt;"",$F1763=""),"ERROR",
IF(OR($F1763:$G1763="",AND($G1763="",$F1763&lt;&gt;"")),"OK",
IF(COUNTIF(INDIRECT(IFERROR(LEFT($F1763,FIND(" ",$F1763)-1),$F1763)), $G1763)&gt;0, "OK", "ERROR")))</f>
        <v>OK</v>
      </c>
    </row>
    <row r="1764" spans="1:32" s="240" customFormat="1">
      <c r="A1764" s="48"/>
      <c r="B1764" s="31"/>
      <c r="C1764" s="48"/>
      <c r="D1764" s="47"/>
      <c r="E1764" s="47"/>
      <c r="F1764" s="31"/>
      <c r="G1764" s="31"/>
      <c r="H1764" s="31"/>
      <c r="I1764" s="47"/>
      <c r="J1764" s="31"/>
      <c r="K1764" s="47"/>
      <c r="L1764" s="47"/>
      <c r="M1764" s="47"/>
      <c r="N1764" s="31"/>
      <c r="O1764" s="47"/>
      <c r="P1764" s="31"/>
      <c r="Q1764" s="31"/>
      <c r="R1764" s="31"/>
      <c r="S1764" s="31"/>
      <c r="T1764" s="270">
        <f t="shared" si="216"/>
        <v>0</v>
      </c>
      <c r="U1764" s="270">
        <f t="shared" si="217"/>
        <v>0</v>
      </c>
      <c r="V1764" s="31"/>
      <c r="X1764" s="240" t="str">
        <f t="shared" si="218"/>
        <v>OK</v>
      </c>
      <c r="Y1764" s="240" t="str">
        <f t="shared" si="219"/>
        <v>OK</v>
      </c>
      <c r="Z1764" s="240" t="str">
        <f t="shared" si="220"/>
        <v>OK</v>
      </c>
      <c r="AA1764" s="240" t="str" cm="1">
        <f t="array" ref="AA1764">IF(OR(AND(J1764="Not accepted",N1764:O1764&lt;&gt;"",$S1764=""),AND(J1764="Accepted",S1764="")),"ERROR","OK")</f>
        <v>OK</v>
      </c>
      <c r="AB1764" s="240" t="str">
        <f t="shared" si="221"/>
        <v>OK</v>
      </c>
      <c r="AC1764" s="240" t="str" cm="1">
        <f t="array" ref="AC1764">IF(AND(F1764:H1764&lt;&gt;"",I1764=""),"ERROR","OK")</f>
        <v>OK</v>
      </c>
      <c r="AD1764" s="240" t="str">
        <f t="shared" si="222"/>
        <v>OK</v>
      </c>
      <c r="AE1764" s="240" t="str">
        <f t="shared" si="223"/>
        <v>OK</v>
      </c>
      <c r="AF1764" s="240" t="str" cm="1">
        <f t="array" aca="1" ref="AF1764" ca="1" xml:space="preserve">
IF(AND($G1764&lt;&gt;"",$F1764=""),"ERROR",
IF(OR($F1764:$G1764="",AND($G1764="",$F1764&lt;&gt;"")),"OK",
IF(COUNTIF(INDIRECT(IFERROR(LEFT($F1764,FIND(" ",$F1764)-1),$F1764)), $G1764)&gt;0, "OK", "ERROR")))</f>
        <v>OK</v>
      </c>
    </row>
    <row r="1765" spans="1:32" s="240" customFormat="1">
      <c r="A1765" s="48"/>
      <c r="B1765" s="31"/>
      <c r="C1765" s="48"/>
      <c r="D1765" s="47"/>
      <c r="E1765" s="47"/>
      <c r="F1765" s="31"/>
      <c r="G1765" s="31"/>
      <c r="H1765" s="31"/>
      <c r="I1765" s="47"/>
      <c r="J1765" s="31"/>
      <c r="K1765" s="47"/>
      <c r="L1765" s="47"/>
      <c r="M1765" s="47"/>
      <c r="N1765" s="31"/>
      <c r="O1765" s="47"/>
      <c r="P1765" s="31"/>
      <c r="Q1765" s="31"/>
      <c r="R1765" s="31"/>
      <c r="S1765" s="31"/>
      <c r="T1765" s="270">
        <f t="shared" si="216"/>
        <v>0</v>
      </c>
      <c r="U1765" s="270">
        <f t="shared" si="217"/>
        <v>0</v>
      </c>
      <c r="V1765" s="31"/>
      <c r="X1765" s="240" t="str">
        <f t="shared" si="218"/>
        <v>OK</v>
      </c>
      <c r="Y1765" s="240" t="str">
        <f t="shared" si="219"/>
        <v>OK</v>
      </c>
      <c r="Z1765" s="240" t="str">
        <f t="shared" si="220"/>
        <v>OK</v>
      </c>
      <c r="AA1765" s="240" t="str" cm="1">
        <f t="array" ref="AA1765">IF(OR(AND(J1765="Not accepted",N1765:O1765&lt;&gt;"",$S1765=""),AND(J1765="Accepted",S1765="")),"ERROR","OK")</f>
        <v>OK</v>
      </c>
      <c r="AB1765" s="240" t="str">
        <f t="shared" si="221"/>
        <v>OK</v>
      </c>
      <c r="AC1765" s="240" t="str" cm="1">
        <f t="array" ref="AC1765">IF(AND(F1765:H1765&lt;&gt;"",I1765=""),"ERROR","OK")</f>
        <v>OK</v>
      </c>
      <c r="AD1765" s="240" t="str">
        <f t="shared" si="222"/>
        <v>OK</v>
      </c>
      <c r="AE1765" s="240" t="str">
        <f t="shared" si="223"/>
        <v>OK</v>
      </c>
      <c r="AF1765" s="240" t="str" cm="1">
        <f t="array" aca="1" ref="AF1765" ca="1" xml:space="preserve">
IF(AND($G1765&lt;&gt;"",$F1765=""),"ERROR",
IF(OR($F1765:$G1765="",AND($G1765="",$F1765&lt;&gt;"")),"OK",
IF(COUNTIF(INDIRECT(IFERROR(LEFT($F1765,FIND(" ",$F1765)-1),$F1765)), $G1765)&gt;0, "OK", "ERROR")))</f>
        <v>OK</v>
      </c>
    </row>
    <row r="1766" spans="1:32" s="240" customFormat="1">
      <c r="A1766" s="48"/>
      <c r="B1766" s="31"/>
      <c r="C1766" s="48"/>
      <c r="D1766" s="47"/>
      <c r="E1766" s="47"/>
      <c r="F1766" s="31"/>
      <c r="G1766" s="31"/>
      <c r="H1766" s="31"/>
      <c r="I1766" s="47"/>
      <c r="J1766" s="31"/>
      <c r="K1766" s="47"/>
      <c r="L1766" s="47"/>
      <c r="M1766" s="47"/>
      <c r="N1766" s="31"/>
      <c r="O1766" s="47"/>
      <c r="P1766" s="31"/>
      <c r="Q1766" s="31"/>
      <c r="R1766" s="31"/>
      <c r="S1766" s="31"/>
      <c r="T1766" s="270">
        <f t="shared" si="216"/>
        <v>0</v>
      </c>
      <c r="U1766" s="270">
        <f t="shared" si="217"/>
        <v>0</v>
      </c>
      <c r="V1766" s="31"/>
      <c r="X1766" s="240" t="str">
        <f t="shared" si="218"/>
        <v>OK</v>
      </c>
      <c r="Y1766" s="240" t="str">
        <f t="shared" si="219"/>
        <v>OK</v>
      </c>
      <c r="Z1766" s="240" t="str">
        <f t="shared" si="220"/>
        <v>OK</v>
      </c>
      <c r="AA1766" s="240" t="str" cm="1">
        <f t="array" ref="AA1766">IF(OR(AND(J1766="Not accepted",N1766:O1766&lt;&gt;"",$S1766=""),AND(J1766="Accepted",S1766="")),"ERROR","OK")</f>
        <v>OK</v>
      </c>
      <c r="AB1766" s="240" t="str">
        <f t="shared" si="221"/>
        <v>OK</v>
      </c>
      <c r="AC1766" s="240" t="str" cm="1">
        <f t="array" ref="AC1766">IF(AND(F1766:H1766&lt;&gt;"",I1766=""),"ERROR","OK")</f>
        <v>OK</v>
      </c>
      <c r="AD1766" s="240" t="str">
        <f t="shared" si="222"/>
        <v>OK</v>
      </c>
      <c r="AE1766" s="240" t="str">
        <f t="shared" si="223"/>
        <v>OK</v>
      </c>
      <c r="AF1766" s="240" t="str" cm="1">
        <f t="array" aca="1" ref="AF1766" ca="1" xml:space="preserve">
IF(AND($G1766&lt;&gt;"",$F1766=""),"ERROR",
IF(OR($F1766:$G1766="",AND($G1766="",$F1766&lt;&gt;"")),"OK",
IF(COUNTIF(INDIRECT(IFERROR(LEFT($F1766,FIND(" ",$F1766)-1),$F1766)), $G1766)&gt;0, "OK", "ERROR")))</f>
        <v>OK</v>
      </c>
    </row>
    <row r="1767" spans="1:32" s="240" customFormat="1">
      <c r="A1767" s="48"/>
      <c r="B1767" s="31"/>
      <c r="C1767" s="48"/>
      <c r="D1767" s="47"/>
      <c r="E1767" s="47"/>
      <c r="F1767" s="31"/>
      <c r="G1767" s="31"/>
      <c r="H1767" s="31"/>
      <c r="I1767" s="47"/>
      <c r="J1767" s="31"/>
      <c r="K1767" s="47"/>
      <c r="L1767" s="47"/>
      <c r="M1767" s="47"/>
      <c r="N1767" s="31"/>
      <c r="O1767" s="47"/>
      <c r="P1767" s="31"/>
      <c r="Q1767" s="31"/>
      <c r="R1767" s="31"/>
      <c r="S1767" s="31"/>
      <c r="T1767" s="270">
        <f t="shared" si="216"/>
        <v>0</v>
      </c>
      <c r="U1767" s="270">
        <f t="shared" si="217"/>
        <v>0</v>
      </c>
      <c r="V1767" s="31"/>
      <c r="X1767" s="240" t="str">
        <f t="shared" si="218"/>
        <v>OK</v>
      </c>
      <c r="Y1767" s="240" t="str">
        <f t="shared" si="219"/>
        <v>OK</v>
      </c>
      <c r="Z1767" s="240" t="str">
        <f t="shared" si="220"/>
        <v>OK</v>
      </c>
      <c r="AA1767" s="240" t="str" cm="1">
        <f t="array" ref="AA1767">IF(OR(AND(J1767="Not accepted",N1767:O1767&lt;&gt;"",$S1767=""),AND(J1767="Accepted",S1767="")),"ERROR","OK")</f>
        <v>OK</v>
      </c>
      <c r="AB1767" s="240" t="str">
        <f t="shared" si="221"/>
        <v>OK</v>
      </c>
      <c r="AC1767" s="240" t="str" cm="1">
        <f t="array" ref="AC1767">IF(AND(F1767:H1767&lt;&gt;"",I1767=""),"ERROR","OK")</f>
        <v>OK</v>
      </c>
      <c r="AD1767" s="240" t="str">
        <f t="shared" si="222"/>
        <v>OK</v>
      </c>
      <c r="AE1767" s="240" t="str">
        <f t="shared" si="223"/>
        <v>OK</v>
      </c>
      <c r="AF1767" s="240" t="str" cm="1">
        <f t="array" aca="1" ref="AF1767" ca="1" xml:space="preserve">
IF(AND($G1767&lt;&gt;"",$F1767=""),"ERROR",
IF(OR($F1767:$G1767="",AND($G1767="",$F1767&lt;&gt;"")),"OK",
IF(COUNTIF(INDIRECT(IFERROR(LEFT($F1767,FIND(" ",$F1767)-1),$F1767)), $G1767)&gt;0, "OK", "ERROR")))</f>
        <v>OK</v>
      </c>
    </row>
    <row r="1768" spans="1:32" s="240" customFormat="1">
      <c r="A1768" s="48"/>
      <c r="B1768" s="31"/>
      <c r="C1768" s="48"/>
      <c r="D1768" s="47"/>
      <c r="E1768" s="47"/>
      <c r="F1768" s="31"/>
      <c r="G1768" s="31"/>
      <c r="H1768" s="31"/>
      <c r="I1768" s="47"/>
      <c r="J1768" s="31"/>
      <c r="K1768" s="47"/>
      <c r="L1768" s="47"/>
      <c r="M1768" s="47"/>
      <c r="N1768" s="31"/>
      <c r="O1768" s="47"/>
      <c r="P1768" s="31"/>
      <c r="Q1768" s="31"/>
      <c r="R1768" s="31"/>
      <c r="S1768" s="31"/>
      <c r="T1768" s="270">
        <f t="shared" si="216"/>
        <v>0</v>
      </c>
      <c r="U1768" s="270">
        <f t="shared" si="217"/>
        <v>0</v>
      </c>
      <c r="V1768" s="31"/>
      <c r="X1768" s="240" t="str">
        <f t="shared" si="218"/>
        <v>OK</v>
      </c>
      <c r="Y1768" s="240" t="str">
        <f t="shared" si="219"/>
        <v>OK</v>
      </c>
      <c r="Z1768" s="240" t="str">
        <f t="shared" si="220"/>
        <v>OK</v>
      </c>
      <c r="AA1768" s="240" t="str" cm="1">
        <f t="array" ref="AA1768">IF(OR(AND(J1768="Not accepted",N1768:O1768&lt;&gt;"",$S1768=""),AND(J1768="Accepted",S1768="")),"ERROR","OK")</f>
        <v>OK</v>
      </c>
      <c r="AB1768" s="240" t="str">
        <f t="shared" si="221"/>
        <v>OK</v>
      </c>
      <c r="AC1768" s="240" t="str" cm="1">
        <f t="array" ref="AC1768">IF(AND(F1768:H1768&lt;&gt;"",I1768=""),"ERROR","OK")</f>
        <v>OK</v>
      </c>
      <c r="AD1768" s="240" t="str">
        <f t="shared" si="222"/>
        <v>OK</v>
      </c>
      <c r="AE1768" s="240" t="str">
        <f t="shared" si="223"/>
        <v>OK</v>
      </c>
      <c r="AF1768" s="240" t="str" cm="1">
        <f t="array" aca="1" ref="AF1768" ca="1" xml:space="preserve">
IF(AND($G1768&lt;&gt;"",$F1768=""),"ERROR",
IF(OR($F1768:$G1768="",AND($G1768="",$F1768&lt;&gt;"")),"OK",
IF(COUNTIF(INDIRECT(IFERROR(LEFT($F1768,FIND(" ",$F1768)-1),$F1768)), $G1768)&gt;0, "OK", "ERROR")))</f>
        <v>OK</v>
      </c>
    </row>
    <row r="1769" spans="1:32" s="240" customFormat="1">
      <c r="A1769" s="48"/>
      <c r="B1769" s="31"/>
      <c r="C1769" s="48"/>
      <c r="D1769" s="47"/>
      <c r="E1769" s="47"/>
      <c r="F1769" s="31"/>
      <c r="G1769" s="31"/>
      <c r="H1769" s="31"/>
      <c r="I1769" s="47"/>
      <c r="J1769" s="31"/>
      <c r="K1769" s="47"/>
      <c r="L1769" s="47"/>
      <c r="M1769" s="47"/>
      <c r="N1769" s="31"/>
      <c r="O1769" s="47"/>
      <c r="P1769" s="31"/>
      <c r="Q1769" s="31"/>
      <c r="R1769" s="31"/>
      <c r="S1769" s="31"/>
      <c r="T1769" s="270">
        <f t="shared" si="216"/>
        <v>0</v>
      </c>
      <c r="U1769" s="270">
        <f t="shared" si="217"/>
        <v>0</v>
      </c>
      <c r="V1769" s="31"/>
      <c r="X1769" s="240" t="str">
        <f t="shared" si="218"/>
        <v>OK</v>
      </c>
      <c r="Y1769" s="240" t="str">
        <f t="shared" si="219"/>
        <v>OK</v>
      </c>
      <c r="Z1769" s="240" t="str">
        <f t="shared" si="220"/>
        <v>OK</v>
      </c>
      <c r="AA1769" s="240" t="str" cm="1">
        <f t="array" ref="AA1769">IF(OR(AND(J1769="Not accepted",N1769:O1769&lt;&gt;"",$S1769=""),AND(J1769="Accepted",S1769="")),"ERROR","OK")</f>
        <v>OK</v>
      </c>
      <c r="AB1769" s="240" t="str">
        <f t="shared" si="221"/>
        <v>OK</v>
      </c>
      <c r="AC1769" s="240" t="str" cm="1">
        <f t="array" ref="AC1769">IF(AND(F1769:H1769&lt;&gt;"",I1769=""),"ERROR","OK")</f>
        <v>OK</v>
      </c>
      <c r="AD1769" s="240" t="str">
        <f t="shared" si="222"/>
        <v>OK</v>
      </c>
      <c r="AE1769" s="240" t="str">
        <f t="shared" si="223"/>
        <v>OK</v>
      </c>
      <c r="AF1769" s="240" t="str" cm="1">
        <f t="array" aca="1" ref="AF1769" ca="1" xml:space="preserve">
IF(AND($G1769&lt;&gt;"",$F1769=""),"ERROR",
IF(OR($F1769:$G1769="",AND($G1769="",$F1769&lt;&gt;"")),"OK",
IF(COUNTIF(INDIRECT(IFERROR(LEFT($F1769,FIND(" ",$F1769)-1),$F1769)), $G1769)&gt;0, "OK", "ERROR")))</f>
        <v>OK</v>
      </c>
    </row>
    <row r="1770" spans="1:32" s="240" customFormat="1">
      <c r="A1770" s="48"/>
      <c r="B1770" s="31"/>
      <c r="C1770" s="48"/>
      <c r="D1770" s="47"/>
      <c r="E1770" s="47"/>
      <c r="F1770" s="31"/>
      <c r="G1770" s="31"/>
      <c r="H1770" s="31"/>
      <c r="I1770" s="47"/>
      <c r="J1770" s="31"/>
      <c r="K1770" s="47"/>
      <c r="L1770" s="47"/>
      <c r="M1770" s="47"/>
      <c r="N1770" s="31"/>
      <c r="O1770" s="47"/>
      <c r="P1770" s="31"/>
      <c r="Q1770" s="31"/>
      <c r="R1770" s="31"/>
      <c r="S1770" s="31"/>
      <c r="T1770" s="270">
        <f t="shared" si="216"/>
        <v>0</v>
      </c>
      <c r="U1770" s="270">
        <f t="shared" si="217"/>
        <v>0</v>
      </c>
      <c r="V1770" s="31"/>
      <c r="X1770" s="240" t="str">
        <f t="shared" si="218"/>
        <v>OK</v>
      </c>
      <c r="Y1770" s="240" t="str">
        <f t="shared" si="219"/>
        <v>OK</v>
      </c>
      <c r="Z1770" s="240" t="str">
        <f t="shared" si="220"/>
        <v>OK</v>
      </c>
      <c r="AA1770" s="240" t="str" cm="1">
        <f t="array" ref="AA1770">IF(OR(AND(J1770="Not accepted",N1770:O1770&lt;&gt;"",$S1770=""),AND(J1770="Accepted",S1770="")),"ERROR","OK")</f>
        <v>OK</v>
      </c>
      <c r="AB1770" s="240" t="str">
        <f t="shared" si="221"/>
        <v>OK</v>
      </c>
      <c r="AC1770" s="240" t="str" cm="1">
        <f t="array" ref="AC1770">IF(AND(F1770:H1770&lt;&gt;"",I1770=""),"ERROR","OK")</f>
        <v>OK</v>
      </c>
      <c r="AD1770" s="240" t="str">
        <f t="shared" si="222"/>
        <v>OK</v>
      </c>
      <c r="AE1770" s="240" t="str">
        <f t="shared" si="223"/>
        <v>OK</v>
      </c>
      <c r="AF1770" s="240" t="str" cm="1">
        <f t="array" aca="1" ref="AF1770" ca="1" xml:space="preserve">
IF(AND($G1770&lt;&gt;"",$F1770=""),"ERROR",
IF(OR($F1770:$G1770="",AND($G1770="",$F1770&lt;&gt;"")),"OK",
IF(COUNTIF(INDIRECT(IFERROR(LEFT($F1770,FIND(" ",$F1770)-1),$F1770)), $G1770)&gt;0, "OK", "ERROR")))</f>
        <v>OK</v>
      </c>
    </row>
    <row r="1771" spans="1:32" s="240" customFormat="1">
      <c r="A1771" s="48"/>
      <c r="B1771" s="31"/>
      <c r="C1771" s="48"/>
      <c r="D1771" s="47"/>
      <c r="E1771" s="47"/>
      <c r="F1771" s="31"/>
      <c r="G1771" s="31"/>
      <c r="H1771" s="31"/>
      <c r="I1771" s="47"/>
      <c r="J1771" s="31"/>
      <c r="K1771" s="47"/>
      <c r="L1771" s="47"/>
      <c r="M1771" s="47"/>
      <c r="N1771" s="31"/>
      <c r="O1771" s="47"/>
      <c r="P1771" s="31"/>
      <c r="Q1771" s="31"/>
      <c r="R1771" s="31"/>
      <c r="S1771" s="31"/>
      <c r="T1771" s="270">
        <f t="shared" si="216"/>
        <v>0</v>
      </c>
      <c r="U1771" s="270">
        <f t="shared" si="217"/>
        <v>0</v>
      </c>
      <c r="V1771" s="31"/>
      <c r="X1771" s="240" t="str">
        <f t="shared" si="218"/>
        <v>OK</v>
      </c>
      <c r="Y1771" s="240" t="str">
        <f t="shared" si="219"/>
        <v>OK</v>
      </c>
      <c r="Z1771" s="240" t="str">
        <f t="shared" si="220"/>
        <v>OK</v>
      </c>
      <c r="AA1771" s="240" t="str" cm="1">
        <f t="array" ref="AA1771">IF(OR(AND(J1771="Not accepted",N1771:O1771&lt;&gt;"",$S1771=""),AND(J1771="Accepted",S1771="")),"ERROR","OK")</f>
        <v>OK</v>
      </c>
      <c r="AB1771" s="240" t="str">
        <f t="shared" si="221"/>
        <v>OK</v>
      </c>
      <c r="AC1771" s="240" t="str" cm="1">
        <f t="array" ref="AC1771">IF(AND(F1771:H1771&lt;&gt;"",I1771=""),"ERROR","OK")</f>
        <v>OK</v>
      </c>
      <c r="AD1771" s="240" t="str">
        <f t="shared" si="222"/>
        <v>OK</v>
      </c>
      <c r="AE1771" s="240" t="str">
        <f t="shared" si="223"/>
        <v>OK</v>
      </c>
      <c r="AF1771" s="240" t="str" cm="1">
        <f t="array" aca="1" ref="AF1771" ca="1" xml:space="preserve">
IF(AND($G1771&lt;&gt;"",$F1771=""),"ERROR",
IF(OR($F1771:$G1771="",AND($G1771="",$F1771&lt;&gt;"")),"OK",
IF(COUNTIF(INDIRECT(IFERROR(LEFT($F1771,FIND(" ",$F1771)-1),$F1771)), $G1771)&gt;0, "OK", "ERROR")))</f>
        <v>OK</v>
      </c>
    </row>
    <row r="1772" spans="1:32" s="240" customFormat="1">
      <c r="A1772" s="48"/>
      <c r="B1772" s="31"/>
      <c r="C1772" s="48"/>
      <c r="D1772" s="47"/>
      <c r="E1772" s="47"/>
      <c r="F1772" s="31"/>
      <c r="G1772" s="31"/>
      <c r="H1772" s="31"/>
      <c r="I1772" s="47"/>
      <c r="J1772" s="31"/>
      <c r="K1772" s="47"/>
      <c r="L1772" s="47"/>
      <c r="M1772" s="47"/>
      <c r="N1772" s="31"/>
      <c r="O1772" s="47"/>
      <c r="P1772" s="31"/>
      <c r="Q1772" s="31"/>
      <c r="R1772" s="31"/>
      <c r="S1772" s="31"/>
      <c r="T1772" s="270">
        <f t="shared" si="216"/>
        <v>0</v>
      </c>
      <c r="U1772" s="270">
        <f t="shared" si="217"/>
        <v>0</v>
      </c>
      <c r="V1772" s="31"/>
      <c r="X1772" s="240" t="str">
        <f t="shared" si="218"/>
        <v>OK</v>
      </c>
      <c r="Y1772" s="240" t="str">
        <f t="shared" si="219"/>
        <v>OK</v>
      </c>
      <c r="Z1772" s="240" t="str">
        <f t="shared" si="220"/>
        <v>OK</v>
      </c>
      <c r="AA1772" s="240" t="str" cm="1">
        <f t="array" ref="AA1772">IF(OR(AND(J1772="Not accepted",N1772:O1772&lt;&gt;"",$S1772=""),AND(J1772="Accepted",S1772="")),"ERROR","OK")</f>
        <v>OK</v>
      </c>
      <c r="AB1772" s="240" t="str">
        <f t="shared" si="221"/>
        <v>OK</v>
      </c>
      <c r="AC1772" s="240" t="str" cm="1">
        <f t="array" ref="AC1772">IF(AND(F1772:H1772&lt;&gt;"",I1772=""),"ERROR","OK")</f>
        <v>OK</v>
      </c>
      <c r="AD1772" s="240" t="str">
        <f t="shared" si="222"/>
        <v>OK</v>
      </c>
      <c r="AE1772" s="240" t="str">
        <f t="shared" si="223"/>
        <v>OK</v>
      </c>
      <c r="AF1772" s="240" t="str" cm="1">
        <f t="array" aca="1" ref="AF1772" ca="1" xml:space="preserve">
IF(AND($G1772&lt;&gt;"",$F1772=""),"ERROR",
IF(OR($F1772:$G1772="",AND($G1772="",$F1772&lt;&gt;"")),"OK",
IF(COUNTIF(INDIRECT(IFERROR(LEFT($F1772,FIND(" ",$F1772)-1),$F1772)), $G1772)&gt;0, "OK", "ERROR")))</f>
        <v>OK</v>
      </c>
    </row>
    <row r="1773" spans="1:32" s="240" customFormat="1">
      <c r="A1773" s="48"/>
      <c r="B1773" s="31"/>
      <c r="C1773" s="48"/>
      <c r="D1773" s="47"/>
      <c r="E1773" s="47"/>
      <c r="F1773" s="31"/>
      <c r="G1773" s="31"/>
      <c r="H1773" s="31"/>
      <c r="I1773" s="47"/>
      <c r="J1773" s="31"/>
      <c r="K1773" s="47"/>
      <c r="L1773" s="47"/>
      <c r="M1773" s="47"/>
      <c r="N1773" s="31"/>
      <c r="O1773" s="47"/>
      <c r="P1773" s="31"/>
      <c r="Q1773" s="31"/>
      <c r="R1773" s="31"/>
      <c r="S1773" s="31"/>
      <c r="T1773" s="270">
        <f t="shared" si="216"/>
        <v>0</v>
      </c>
      <c r="U1773" s="270">
        <f t="shared" si="217"/>
        <v>0</v>
      </c>
      <c r="V1773" s="31"/>
      <c r="X1773" s="240" t="str">
        <f t="shared" si="218"/>
        <v>OK</v>
      </c>
      <c r="Y1773" s="240" t="str">
        <f t="shared" si="219"/>
        <v>OK</v>
      </c>
      <c r="Z1773" s="240" t="str">
        <f t="shared" si="220"/>
        <v>OK</v>
      </c>
      <c r="AA1773" s="240" t="str" cm="1">
        <f t="array" ref="AA1773">IF(OR(AND(J1773="Not accepted",N1773:O1773&lt;&gt;"",$S1773=""),AND(J1773="Accepted",S1773="")),"ERROR","OK")</f>
        <v>OK</v>
      </c>
      <c r="AB1773" s="240" t="str">
        <f t="shared" si="221"/>
        <v>OK</v>
      </c>
      <c r="AC1773" s="240" t="str" cm="1">
        <f t="array" ref="AC1773">IF(AND(F1773:H1773&lt;&gt;"",I1773=""),"ERROR","OK")</f>
        <v>OK</v>
      </c>
      <c r="AD1773" s="240" t="str">
        <f t="shared" si="222"/>
        <v>OK</v>
      </c>
      <c r="AE1773" s="240" t="str">
        <f t="shared" si="223"/>
        <v>OK</v>
      </c>
      <c r="AF1773" s="240" t="str" cm="1">
        <f t="array" aca="1" ref="AF1773" ca="1" xml:space="preserve">
IF(AND($G1773&lt;&gt;"",$F1773=""),"ERROR",
IF(OR($F1773:$G1773="",AND($G1773="",$F1773&lt;&gt;"")),"OK",
IF(COUNTIF(INDIRECT(IFERROR(LEFT($F1773,FIND(" ",$F1773)-1),$F1773)), $G1773)&gt;0, "OK", "ERROR")))</f>
        <v>OK</v>
      </c>
    </row>
    <row r="1774" spans="1:32" s="240" customFormat="1">
      <c r="A1774" s="48"/>
      <c r="B1774" s="31"/>
      <c r="C1774" s="48"/>
      <c r="D1774" s="47"/>
      <c r="E1774" s="47"/>
      <c r="F1774" s="31"/>
      <c r="G1774" s="31"/>
      <c r="H1774" s="31"/>
      <c r="I1774" s="47"/>
      <c r="J1774" s="31"/>
      <c r="K1774" s="47"/>
      <c r="L1774" s="47"/>
      <c r="M1774" s="47"/>
      <c r="N1774" s="31"/>
      <c r="O1774" s="47"/>
      <c r="P1774" s="31"/>
      <c r="Q1774" s="31"/>
      <c r="R1774" s="31"/>
      <c r="S1774" s="31"/>
      <c r="T1774" s="270">
        <f t="shared" si="216"/>
        <v>0</v>
      </c>
      <c r="U1774" s="270">
        <f t="shared" si="217"/>
        <v>0</v>
      </c>
      <c r="V1774" s="31"/>
      <c r="X1774" s="240" t="str">
        <f t="shared" si="218"/>
        <v>OK</v>
      </c>
      <c r="Y1774" s="240" t="str">
        <f t="shared" si="219"/>
        <v>OK</v>
      </c>
      <c r="Z1774" s="240" t="str">
        <f t="shared" si="220"/>
        <v>OK</v>
      </c>
      <c r="AA1774" s="240" t="str" cm="1">
        <f t="array" ref="AA1774">IF(OR(AND(J1774="Not accepted",N1774:O1774&lt;&gt;"",$S1774=""),AND(J1774="Accepted",S1774="")),"ERROR","OK")</f>
        <v>OK</v>
      </c>
      <c r="AB1774" s="240" t="str">
        <f t="shared" si="221"/>
        <v>OK</v>
      </c>
      <c r="AC1774" s="240" t="str" cm="1">
        <f t="array" ref="AC1774">IF(AND(F1774:H1774&lt;&gt;"",I1774=""),"ERROR","OK")</f>
        <v>OK</v>
      </c>
      <c r="AD1774" s="240" t="str">
        <f t="shared" si="222"/>
        <v>OK</v>
      </c>
      <c r="AE1774" s="240" t="str">
        <f t="shared" si="223"/>
        <v>OK</v>
      </c>
      <c r="AF1774" s="240" t="str" cm="1">
        <f t="array" aca="1" ref="AF1774" ca="1" xml:space="preserve">
IF(AND($G1774&lt;&gt;"",$F1774=""),"ERROR",
IF(OR($F1774:$G1774="",AND($G1774="",$F1774&lt;&gt;"")),"OK",
IF(COUNTIF(INDIRECT(IFERROR(LEFT($F1774,FIND(" ",$F1774)-1),$F1774)), $G1774)&gt;0, "OK", "ERROR")))</f>
        <v>OK</v>
      </c>
    </row>
    <row r="1775" spans="1:32" s="240" customFormat="1">
      <c r="A1775" s="48"/>
      <c r="B1775" s="31"/>
      <c r="C1775" s="48"/>
      <c r="D1775" s="47"/>
      <c r="E1775" s="47"/>
      <c r="F1775" s="31"/>
      <c r="G1775" s="31"/>
      <c r="H1775" s="31"/>
      <c r="I1775" s="47"/>
      <c r="J1775" s="31"/>
      <c r="K1775" s="47"/>
      <c r="L1775" s="47"/>
      <c r="M1775" s="47"/>
      <c r="N1775" s="31"/>
      <c r="O1775" s="47"/>
      <c r="P1775" s="31"/>
      <c r="Q1775" s="31"/>
      <c r="R1775" s="31"/>
      <c r="S1775" s="31"/>
      <c r="T1775" s="270">
        <f t="shared" si="216"/>
        <v>0</v>
      </c>
      <c r="U1775" s="270">
        <f t="shared" si="217"/>
        <v>0</v>
      </c>
      <c r="V1775" s="31"/>
      <c r="X1775" s="240" t="str">
        <f t="shared" si="218"/>
        <v>OK</v>
      </c>
      <c r="Y1775" s="240" t="str">
        <f t="shared" si="219"/>
        <v>OK</v>
      </c>
      <c r="Z1775" s="240" t="str">
        <f t="shared" si="220"/>
        <v>OK</v>
      </c>
      <c r="AA1775" s="240" t="str" cm="1">
        <f t="array" ref="AA1775">IF(OR(AND(J1775="Not accepted",N1775:O1775&lt;&gt;"",$S1775=""),AND(J1775="Accepted",S1775="")),"ERROR","OK")</f>
        <v>OK</v>
      </c>
      <c r="AB1775" s="240" t="str">
        <f t="shared" si="221"/>
        <v>OK</v>
      </c>
      <c r="AC1775" s="240" t="str" cm="1">
        <f t="array" ref="AC1775">IF(AND(F1775:H1775&lt;&gt;"",I1775=""),"ERROR","OK")</f>
        <v>OK</v>
      </c>
      <c r="AD1775" s="240" t="str">
        <f t="shared" si="222"/>
        <v>OK</v>
      </c>
      <c r="AE1775" s="240" t="str">
        <f t="shared" si="223"/>
        <v>OK</v>
      </c>
      <c r="AF1775" s="240" t="str" cm="1">
        <f t="array" aca="1" ref="AF1775" ca="1" xml:space="preserve">
IF(AND($G1775&lt;&gt;"",$F1775=""),"ERROR",
IF(OR($F1775:$G1775="",AND($G1775="",$F1775&lt;&gt;"")),"OK",
IF(COUNTIF(INDIRECT(IFERROR(LEFT($F1775,FIND(" ",$F1775)-1),$F1775)), $G1775)&gt;0, "OK", "ERROR")))</f>
        <v>OK</v>
      </c>
    </row>
    <row r="1776" spans="1:32" s="240" customFormat="1">
      <c r="A1776" s="48"/>
      <c r="B1776" s="31"/>
      <c r="C1776" s="48"/>
      <c r="D1776" s="47"/>
      <c r="E1776" s="47"/>
      <c r="F1776" s="31"/>
      <c r="G1776" s="31"/>
      <c r="H1776" s="31"/>
      <c r="I1776" s="47"/>
      <c r="J1776" s="31"/>
      <c r="K1776" s="47"/>
      <c r="L1776" s="47"/>
      <c r="M1776" s="47"/>
      <c r="N1776" s="31"/>
      <c r="O1776" s="47"/>
      <c r="P1776" s="31"/>
      <c r="Q1776" s="31"/>
      <c r="R1776" s="31"/>
      <c r="S1776" s="31"/>
      <c r="T1776" s="270">
        <f t="shared" si="216"/>
        <v>0</v>
      </c>
      <c r="U1776" s="270">
        <f t="shared" si="217"/>
        <v>0</v>
      </c>
      <c r="V1776" s="31"/>
      <c r="X1776" s="240" t="str">
        <f t="shared" si="218"/>
        <v>OK</v>
      </c>
      <c r="Y1776" s="240" t="str">
        <f t="shared" si="219"/>
        <v>OK</v>
      </c>
      <c r="Z1776" s="240" t="str">
        <f t="shared" si="220"/>
        <v>OK</v>
      </c>
      <c r="AA1776" s="240" t="str" cm="1">
        <f t="array" ref="AA1776">IF(OR(AND(J1776="Not accepted",N1776:O1776&lt;&gt;"",$S1776=""),AND(J1776="Accepted",S1776="")),"ERROR","OK")</f>
        <v>OK</v>
      </c>
      <c r="AB1776" s="240" t="str">
        <f t="shared" si="221"/>
        <v>OK</v>
      </c>
      <c r="AC1776" s="240" t="str" cm="1">
        <f t="array" ref="AC1776">IF(AND(F1776:H1776&lt;&gt;"",I1776=""),"ERROR","OK")</f>
        <v>OK</v>
      </c>
      <c r="AD1776" s="240" t="str">
        <f t="shared" si="222"/>
        <v>OK</v>
      </c>
      <c r="AE1776" s="240" t="str">
        <f t="shared" si="223"/>
        <v>OK</v>
      </c>
      <c r="AF1776" s="240" t="str" cm="1">
        <f t="array" aca="1" ref="AF1776" ca="1" xml:space="preserve">
IF(AND($G1776&lt;&gt;"",$F1776=""),"ERROR",
IF(OR($F1776:$G1776="",AND($G1776="",$F1776&lt;&gt;"")),"OK",
IF(COUNTIF(INDIRECT(IFERROR(LEFT($F1776,FIND(" ",$F1776)-1),$F1776)), $G1776)&gt;0, "OK", "ERROR")))</f>
        <v>OK</v>
      </c>
    </row>
    <row r="1777" spans="1:32" s="240" customFormat="1">
      <c r="A1777" s="48"/>
      <c r="B1777" s="31"/>
      <c r="C1777" s="48"/>
      <c r="D1777" s="47"/>
      <c r="E1777" s="47"/>
      <c r="F1777" s="31"/>
      <c r="G1777" s="31"/>
      <c r="H1777" s="31"/>
      <c r="I1777" s="47"/>
      <c r="J1777" s="31"/>
      <c r="K1777" s="47"/>
      <c r="L1777" s="47"/>
      <c r="M1777" s="47"/>
      <c r="N1777" s="31"/>
      <c r="O1777" s="47"/>
      <c r="P1777" s="31"/>
      <c r="Q1777" s="31"/>
      <c r="R1777" s="31"/>
      <c r="S1777" s="31"/>
      <c r="T1777" s="270">
        <f t="shared" si="216"/>
        <v>0</v>
      </c>
      <c r="U1777" s="270">
        <f t="shared" si="217"/>
        <v>0</v>
      </c>
      <c r="V1777" s="31"/>
      <c r="X1777" s="240" t="str">
        <f t="shared" si="218"/>
        <v>OK</v>
      </c>
      <c r="Y1777" s="240" t="str">
        <f t="shared" si="219"/>
        <v>OK</v>
      </c>
      <c r="Z1777" s="240" t="str">
        <f t="shared" si="220"/>
        <v>OK</v>
      </c>
      <c r="AA1777" s="240" t="str" cm="1">
        <f t="array" ref="AA1777">IF(OR(AND(J1777="Not accepted",N1777:O1777&lt;&gt;"",$S1777=""),AND(J1777="Accepted",S1777="")),"ERROR","OK")</f>
        <v>OK</v>
      </c>
      <c r="AB1777" s="240" t="str">
        <f t="shared" si="221"/>
        <v>OK</v>
      </c>
      <c r="AC1777" s="240" t="str" cm="1">
        <f t="array" ref="AC1777">IF(AND(F1777:H1777&lt;&gt;"",I1777=""),"ERROR","OK")</f>
        <v>OK</v>
      </c>
      <c r="AD1777" s="240" t="str">
        <f t="shared" si="222"/>
        <v>OK</v>
      </c>
      <c r="AE1777" s="240" t="str">
        <f t="shared" si="223"/>
        <v>OK</v>
      </c>
      <c r="AF1777" s="240" t="str" cm="1">
        <f t="array" aca="1" ref="AF1777" ca="1" xml:space="preserve">
IF(AND($G1777&lt;&gt;"",$F1777=""),"ERROR",
IF(OR($F1777:$G1777="",AND($G1777="",$F1777&lt;&gt;"")),"OK",
IF(COUNTIF(INDIRECT(IFERROR(LEFT($F1777,FIND(" ",$F1777)-1),$F1777)), $G1777)&gt;0, "OK", "ERROR")))</f>
        <v>OK</v>
      </c>
    </row>
    <row r="1778" spans="1:32" s="240" customFormat="1">
      <c r="A1778" s="48"/>
      <c r="B1778" s="31"/>
      <c r="C1778" s="48"/>
      <c r="D1778" s="47"/>
      <c r="E1778" s="47"/>
      <c r="F1778" s="31"/>
      <c r="G1778" s="31"/>
      <c r="H1778" s="31"/>
      <c r="I1778" s="47"/>
      <c r="J1778" s="31"/>
      <c r="K1778" s="47"/>
      <c r="L1778" s="47"/>
      <c r="M1778" s="47"/>
      <c r="N1778" s="31"/>
      <c r="O1778" s="47"/>
      <c r="P1778" s="31"/>
      <c r="Q1778" s="31"/>
      <c r="R1778" s="31"/>
      <c r="S1778" s="31"/>
      <c r="T1778" s="270">
        <f t="shared" si="216"/>
        <v>0</v>
      </c>
      <c r="U1778" s="270">
        <f t="shared" si="217"/>
        <v>0</v>
      </c>
      <c r="V1778" s="31"/>
      <c r="X1778" s="240" t="str">
        <f t="shared" si="218"/>
        <v>OK</v>
      </c>
      <c r="Y1778" s="240" t="str">
        <f t="shared" si="219"/>
        <v>OK</v>
      </c>
      <c r="Z1778" s="240" t="str">
        <f t="shared" si="220"/>
        <v>OK</v>
      </c>
      <c r="AA1778" s="240" t="str" cm="1">
        <f t="array" ref="AA1778">IF(OR(AND(J1778="Not accepted",N1778:O1778&lt;&gt;"",$S1778=""),AND(J1778="Accepted",S1778="")),"ERROR","OK")</f>
        <v>OK</v>
      </c>
      <c r="AB1778" s="240" t="str">
        <f t="shared" si="221"/>
        <v>OK</v>
      </c>
      <c r="AC1778" s="240" t="str" cm="1">
        <f t="array" ref="AC1778">IF(AND(F1778:H1778&lt;&gt;"",I1778=""),"ERROR","OK")</f>
        <v>OK</v>
      </c>
      <c r="AD1778" s="240" t="str">
        <f t="shared" si="222"/>
        <v>OK</v>
      </c>
      <c r="AE1778" s="240" t="str">
        <f t="shared" si="223"/>
        <v>OK</v>
      </c>
      <c r="AF1778" s="240" t="str" cm="1">
        <f t="array" aca="1" ref="AF1778" ca="1" xml:space="preserve">
IF(AND($G1778&lt;&gt;"",$F1778=""),"ERROR",
IF(OR($F1778:$G1778="",AND($G1778="",$F1778&lt;&gt;"")),"OK",
IF(COUNTIF(INDIRECT(IFERROR(LEFT($F1778,FIND(" ",$F1778)-1),$F1778)), $G1778)&gt;0, "OK", "ERROR")))</f>
        <v>OK</v>
      </c>
    </row>
    <row r="1779" spans="1:32" s="240" customFormat="1">
      <c r="A1779" s="48"/>
      <c r="B1779" s="31"/>
      <c r="C1779" s="48"/>
      <c r="D1779" s="47"/>
      <c r="E1779" s="47"/>
      <c r="F1779" s="31"/>
      <c r="G1779" s="31"/>
      <c r="H1779" s="31"/>
      <c r="I1779" s="47"/>
      <c r="J1779" s="31"/>
      <c r="K1779" s="47"/>
      <c r="L1779" s="47"/>
      <c r="M1779" s="47"/>
      <c r="N1779" s="31"/>
      <c r="O1779" s="47"/>
      <c r="P1779" s="31"/>
      <c r="Q1779" s="31"/>
      <c r="R1779" s="31"/>
      <c r="S1779" s="31"/>
      <c r="T1779" s="270">
        <f t="shared" si="216"/>
        <v>0</v>
      </c>
      <c r="U1779" s="270">
        <f t="shared" si="217"/>
        <v>0</v>
      </c>
      <c r="V1779" s="31"/>
      <c r="X1779" s="240" t="str">
        <f t="shared" si="218"/>
        <v>OK</v>
      </c>
      <c r="Y1779" s="240" t="str">
        <f t="shared" si="219"/>
        <v>OK</v>
      </c>
      <c r="Z1779" s="240" t="str">
        <f t="shared" si="220"/>
        <v>OK</v>
      </c>
      <c r="AA1779" s="240" t="str" cm="1">
        <f t="array" ref="AA1779">IF(OR(AND(J1779="Not accepted",N1779:O1779&lt;&gt;"",$S1779=""),AND(J1779="Accepted",S1779="")),"ERROR","OK")</f>
        <v>OK</v>
      </c>
      <c r="AB1779" s="240" t="str">
        <f t="shared" si="221"/>
        <v>OK</v>
      </c>
      <c r="AC1779" s="240" t="str" cm="1">
        <f t="array" ref="AC1779">IF(AND(F1779:H1779&lt;&gt;"",I1779=""),"ERROR","OK")</f>
        <v>OK</v>
      </c>
      <c r="AD1779" s="240" t="str">
        <f t="shared" si="222"/>
        <v>OK</v>
      </c>
      <c r="AE1779" s="240" t="str">
        <f t="shared" si="223"/>
        <v>OK</v>
      </c>
      <c r="AF1779" s="240" t="str" cm="1">
        <f t="array" aca="1" ref="AF1779" ca="1" xml:space="preserve">
IF(AND($G1779&lt;&gt;"",$F1779=""),"ERROR",
IF(OR($F1779:$G1779="",AND($G1779="",$F1779&lt;&gt;"")),"OK",
IF(COUNTIF(INDIRECT(IFERROR(LEFT($F1779,FIND(" ",$F1779)-1),$F1779)), $G1779)&gt;0, "OK", "ERROR")))</f>
        <v>OK</v>
      </c>
    </row>
    <row r="1780" spans="1:32" s="240" customFormat="1">
      <c r="A1780" s="48"/>
      <c r="B1780" s="31"/>
      <c r="C1780" s="48"/>
      <c r="D1780" s="47"/>
      <c r="E1780" s="47"/>
      <c r="F1780" s="31"/>
      <c r="G1780" s="31"/>
      <c r="H1780" s="31"/>
      <c r="I1780" s="47"/>
      <c r="J1780" s="31"/>
      <c r="K1780" s="47"/>
      <c r="L1780" s="47"/>
      <c r="M1780" s="47"/>
      <c r="N1780" s="31"/>
      <c r="O1780" s="47"/>
      <c r="P1780" s="31"/>
      <c r="Q1780" s="31"/>
      <c r="R1780" s="31"/>
      <c r="S1780" s="31"/>
      <c r="T1780" s="270">
        <f t="shared" si="216"/>
        <v>0</v>
      </c>
      <c r="U1780" s="270">
        <f t="shared" si="217"/>
        <v>0</v>
      </c>
      <c r="V1780" s="31"/>
      <c r="X1780" s="240" t="str">
        <f t="shared" si="218"/>
        <v>OK</v>
      </c>
      <c r="Y1780" s="240" t="str">
        <f t="shared" si="219"/>
        <v>OK</v>
      </c>
      <c r="Z1780" s="240" t="str">
        <f t="shared" si="220"/>
        <v>OK</v>
      </c>
      <c r="AA1780" s="240" t="str" cm="1">
        <f t="array" ref="AA1780">IF(OR(AND(J1780="Not accepted",N1780:O1780&lt;&gt;"",$S1780=""),AND(J1780="Accepted",S1780="")),"ERROR","OK")</f>
        <v>OK</v>
      </c>
      <c r="AB1780" s="240" t="str">
        <f t="shared" si="221"/>
        <v>OK</v>
      </c>
      <c r="AC1780" s="240" t="str" cm="1">
        <f t="array" ref="AC1780">IF(AND(F1780:H1780&lt;&gt;"",I1780=""),"ERROR","OK")</f>
        <v>OK</v>
      </c>
      <c r="AD1780" s="240" t="str">
        <f t="shared" si="222"/>
        <v>OK</v>
      </c>
      <c r="AE1780" s="240" t="str">
        <f t="shared" si="223"/>
        <v>OK</v>
      </c>
      <c r="AF1780" s="240" t="str" cm="1">
        <f t="array" aca="1" ref="AF1780" ca="1" xml:space="preserve">
IF(AND($G1780&lt;&gt;"",$F1780=""),"ERROR",
IF(OR($F1780:$G1780="",AND($G1780="",$F1780&lt;&gt;"")),"OK",
IF(COUNTIF(INDIRECT(IFERROR(LEFT($F1780,FIND(" ",$F1780)-1),$F1780)), $G1780)&gt;0, "OK", "ERROR")))</f>
        <v>OK</v>
      </c>
    </row>
    <row r="1781" spans="1:32" s="240" customFormat="1">
      <c r="A1781" s="48"/>
      <c r="B1781" s="31"/>
      <c r="C1781" s="48"/>
      <c r="D1781" s="47"/>
      <c r="E1781" s="47"/>
      <c r="F1781" s="31"/>
      <c r="G1781" s="31"/>
      <c r="H1781" s="31"/>
      <c r="I1781" s="47"/>
      <c r="J1781" s="31"/>
      <c r="K1781" s="47"/>
      <c r="L1781" s="47"/>
      <c r="M1781" s="47"/>
      <c r="N1781" s="31"/>
      <c r="O1781" s="47"/>
      <c r="P1781" s="31"/>
      <c r="Q1781" s="31"/>
      <c r="R1781" s="31"/>
      <c r="S1781" s="31"/>
      <c r="T1781" s="270">
        <f t="shared" si="216"/>
        <v>0</v>
      </c>
      <c r="U1781" s="270">
        <f t="shared" si="217"/>
        <v>0</v>
      </c>
      <c r="V1781" s="31"/>
      <c r="X1781" s="240" t="str">
        <f t="shared" si="218"/>
        <v>OK</v>
      </c>
      <c r="Y1781" s="240" t="str">
        <f t="shared" si="219"/>
        <v>OK</v>
      </c>
      <c r="Z1781" s="240" t="str">
        <f t="shared" si="220"/>
        <v>OK</v>
      </c>
      <c r="AA1781" s="240" t="str" cm="1">
        <f t="array" ref="AA1781">IF(OR(AND(J1781="Not accepted",N1781:O1781&lt;&gt;"",$S1781=""),AND(J1781="Accepted",S1781="")),"ERROR","OK")</f>
        <v>OK</v>
      </c>
      <c r="AB1781" s="240" t="str">
        <f t="shared" si="221"/>
        <v>OK</v>
      </c>
      <c r="AC1781" s="240" t="str" cm="1">
        <f t="array" ref="AC1781">IF(AND(F1781:H1781&lt;&gt;"",I1781=""),"ERROR","OK")</f>
        <v>OK</v>
      </c>
      <c r="AD1781" s="240" t="str">
        <f t="shared" si="222"/>
        <v>OK</v>
      </c>
      <c r="AE1781" s="240" t="str">
        <f t="shared" si="223"/>
        <v>OK</v>
      </c>
      <c r="AF1781" s="240" t="str" cm="1">
        <f t="array" aca="1" ref="AF1781" ca="1" xml:space="preserve">
IF(AND($G1781&lt;&gt;"",$F1781=""),"ERROR",
IF(OR($F1781:$G1781="",AND($G1781="",$F1781&lt;&gt;"")),"OK",
IF(COUNTIF(INDIRECT(IFERROR(LEFT($F1781,FIND(" ",$F1781)-1),$F1781)), $G1781)&gt;0, "OK", "ERROR")))</f>
        <v>OK</v>
      </c>
    </row>
    <row r="1782" spans="1:32" s="240" customFormat="1">
      <c r="A1782" s="48"/>
      <c r="B1782" s="31"/>
      <c r="C1782" s="48"/>
      <c r="D1782" s="47"/>
      <c r="E1782" s="47"/>
      <c r="F1782" s="31"/>
      <c r="G1782" s="31"/>
      <c r="H1782" s="31"/>
      <c r="I1782" s="47"/>
      <c r="J1782" s="31"/>
      <c r="K1782" s="47"/>
      <c r="L1782" s="47"/>
      <c r="M1782" s="47"/>
      <c r="N1782" s="31"/>
      <c r="O1782" s="47"/>
      <c r="P1782" s="31"/>
      <c r="Q1782" s="31"/>
      <c r="R1782" s="31"/>
      <c r="S1782" s="31"/>
      <c r="T1782" s="270">
        <f t="shared" si="216"/>
        <v>0</v>
      </c>
      <c r="U1782" s="270">
        <f t="shared" si="217"/>
        <v>0</v>
      </c>
      <c r="V1782" s="31"/>
      <c r="X1782" s="240" t="str">
        <f t="shared" si="218"/>
        <v>OK</v>
      </c>
      <c r="Y1782" s="240" t="str">
        <f t="shared" si="219"/>
        <v>OK</v>
      </c>
      <c r="Z1782" s="240" t="str">
        <f t="shared" si="220"/>
        <v>OK</v>
      </c>
      <c r="AA1782" s="240" t="str" cm="1">
        <f t="array" ref="AA1782">IF(OR(AND(J1782="Not accepted",N1782:O1782&lt;&gt;"",$S1782=""),AND(J1782="Accepted",S1782="")),"ERROR","OK")</f>
        <v>OK</v>
      </c>
      <c r="AB1782" s="240" t="str">
        <f t="shared" si="221"/>
        <v>OK</v>
      </c>
      <c r="AC1782" s="240" t="str" cm="1">
        <f t="array" ref="AC1782">IF(AND(F1782:H1782&lt;&gt;"",I1782=""),"ERROR","OK")</f>
        <v>OK</v>
      </c>
      <c r="AD1782" s="240" t="str">
        <f t="shared" si="222"/>
        <v>OK</v>
      </c>
      <c r="AE1782" s="240" t="str">
        <f t="shared" si="223"/>
        <v>OK</v>
      </c>
      <c r="AF1782" s="240" t="str" cm="1">
        <f t="array" aca="1" ref="AF1782" ca="1" xml:space="preserve">
IF(AND($G1782&lt;&gt;"",$F1782=""),"ERROR",
IF(OR($F1782:$G1782="",AND($G1782="",$F1782&lt;&gt;"")),"OK",
IF(COUNTIF(INDIRECT(IFERROR(LEFT($F1782,FIND(" ",$F1782)-1),$F1782)), $G1782)&gt;0, "OK", "ERROR")))</f>
        <v>OK</v>
      </c>
    </row>
    <row r="1783" spans="1:32" s="240" customFormat="1">
      <c r="A1783" s="48"/>
      <c r="B1783" s="31"/>
      <c r="C1783" s="48"/>
      <c r="D1783" s="47"/>
      <c r="E1783" s="47"/>
      <c r="F1783" s="31"/>
      <c r="G1783" s="31"/>
      <c r="H1783" s="31"/>
      <c r="I1783" s="47"/>
      <c r="J1783" s="31"/>
      <c r="K1783" s="47"/>
      <c r="L1783" s="47"/>
      <c r="M1783" s="47"/>
      <c r="N1783" s="31"/>
      <c r="O1783" s="47"/>
      <c r="P1783" s="31"/>
      <c r="Q1783" s="31"/>
      <c r="R1783" s="31"/>
      <c r="S1783" s="31"/>
      <c r="T1783" s="270">
        <f t="shared" si="216"/>
        <v>0</v>
      </c>
      <c r="U1783" s="270">
        <f t="shared" si="217"/>
        <v>0</v>
      </c>
      <c r="V1783" s="31"/>
      <c r="X1783" s="240" t="str">
        <f t="shared" si="218"/>
        <v>OK</v>
      </c>
      <c r="Y1783" s="240" t="str">
        <f t="shared" si="219"/>
        <v>OK</v>
      </c>
      <c r="Z1783" s="240" t="str">
        <f t="shared" si="220"/>
        <v>OK</v>
      </c>
      <c r="AA1783" s="240" t="str" cm="1">
        <f t="array" ref="AA1783">IF(OR(AND(J1783="Not accepted",N1783:O1783&lt;&gt;"",$S1783=""),AND(J1783="Accepted",S1783="")),"ERROR","OK")</f>
        <v>OK</v>
      </c>
      <c r="AB1783" s="240" t="str">
        <f t="shared" si="221"/>
        <v>OK</v>
      </c>
      <c r="AC1783" s="240" t="str" cm="1">
        <f t="array" ref="AC1783">IF(AND(F1783:H1783&lt;&gt;"",I1783=""),"ERROR","OK")</f>
        <v>OK</v>
      </c>
      <c r="AD1783" s="240" t="str">
        <f t="shared" si="222"/>
        <v>OK</v>
      </c>
      <c r="AE1783" s="240" t="str">
        <f t="shared" si="223"/>
        <v>OK</v>
      </c>
      <c r="AF1783" s="240" t="str" cm="1">
        <f t="array" aca="1" ref="AF1783" ca="1" xml:space="preserve">
IF(AND($G1783&lt;&gt;"",$F1783=""),"ERROR",
IF(OR($F1783:$G1783="",AND($G1783="",$F1783&lt;&gt;"")),"OK",
IF(COUNTIF(INDIRECT(IFERROR(LEFT($F1783,FIND(" ",$F1783)-1),$F1783)), $G1783)&gt;0, "OK", "ERROR")))</f>
        <v>OK</v>
      </c>
    </row>
    <row r="1784" spans="1:32" s="240" customFormat="1">
      <c r="A1784" s="48"/>
      <c r="B1784" s="31"/>
      <c r="C1784" s="48"/>
      <c r="D1784" s="47"/>
      <c r="E1784" s="47"/>
      <c r="F1784" s="31"/>
      <c r="G1784" s="31"/>
      <c r="H1784" s="31"/>
      <c r="I1784" s="47"/>
      <c r="J1784" s="31"/>
      <c r="K1784" s="47"/>
      <c r="L1784" s="47"/>
      <c r="M1784" s="47"/>
      <c r="N1784" s="31"/>
      <c r="O1784" s="47"/>
      <c r="P1784" s="31"/>
      <c r="Q1784" s="31"/>
      <c r="R1784" s="31"/>
      <c r="S1784" s="31"/>
      <c r="T1784" s="270">
        <f t="shared" si="216"/>
        <v>0</v>
      </c>
      <c r="U1784" s="270">
        <f t="shared" si="217"/>
        <v>0</v>
      </c>
      <c r="V1784" s="31"/>
      <c r="X1784" s="240" t="str">
        <f t="shared" si="218"/>
        <v>OK</v>
      </c>
      <c r="Y1784" s="240" t="str">
        <f t="shared" si="219"/>
        <v>OK</v>
      </c>
      <c r="Z1784" s="240" t="str">
        <f t="shared" si="220"/>
        <v>OK</v>
      </c>
      <c r="AA1784" s="240" t="str" cm="1">
        <f t="array" ref="AA1784">IF(OR(AND(J1784="Not accepted",N1784:O1784&lt;&gt;"",$S1784=""),AND(J1784="Accepted",S1784="")),"ERROR","OK")</f>
        <v>OK</v>
      </c>
      <c r="AB1784" s="240" t="str">
        <f t="shared" si="221"/>
        <v>OK</v>
      </c>
      <c r="AC1784" s="240" t="str" cm="1">
        <f t="array" ref="AC1784">IF(AND(F1784:H1784&lt;&gt;"",I1784=""),"ERROR","OK")</f>
        <v>OK</v>
      </c>
      <c r="AD1784" s="240" t="str">
        <f t="shared" si="222"/>
        <v>OK</v>
      </c>
      <c r="AE1784" s="240" t="str">
        <f t="shared" si="223"/>
        <v>OK</v>
      </c>
      <c r="AF1784" s="240" t="str" cm="1">
        <f t="array" aca="1" ref="AF1784" ca="1" xml:space="preserve">
IF(AND($G1784&lt;&gt;"",$F1784=""),"ERROR",
IF(OR($F1784:$G1784="",AND($G1784="",$F1784&lt;&gt;"")),"OK",
IF(COUNTIF(INDIRECT(IFERROR(LEFT($F1784,FIND(" ",$F1784)-1),$F1784)), $G1784)&gt;0, "OK", "ERROR")))</f>
        <v>OK</v>
      </c>
    </row>
    <row r="1785" spans="1:32" s="240" customFormat="1">
      <c r="A1785" s="48"/>
      <c r="B1785" s="31"/>
      <c r="C1785" s="48"/>
      <c r="D1785" s="47"/>
      <c r="E1785" s="47"/>
      <c r="F1785" s="31"/>
      <c r="G1785" s="31"/>
      <c r="H1785" s="31"/>
      <c r="I1785" s="47"/>
      <c r="J1785" s="31"/>
      <c r="K1785" s="47"/>
      <c r="L1785" s="47"/>
      <c r="M1785" s="47"/>
      <c r="N1785" s="31"/>
      <c r="O1785" s="47"/>
      <c r="P1785" s="31"/>
      <c r="Q1785" s="31"/>
      <c r="R1785" s="31"/>
      <c r="S1785" s="31"/>
      <c r="T1785" s="270">
        <f t="shared" si="216"/>
        <v>0</v>
      </c>
      <c r="U1785" s="270">
        <f t="shared" si="217"/>
        <v>0</v>
      </c>
      <c r="V1785" s="31"/>
      <c r="X1785" s="240" t="str">
        <f t="shared" si="218"/>
        <v>OK</v>
      </c>
      <c r="Y1785" s="240" t="str">
        <f t="shared" si="219"/>
        <v>OK</v>
      </c>
      <c r="Z1785" s="240" t="str">
        <f t="shared" si="220"/>
        <v>OK</v>
      </c>
      <c r="AA1785" s="240" t="str" cm="1">
        <f t="array" ref="AA1785">IF(OR(AND(J1785="Not accepted",N1785:O1785&lt;&gt;"",$S1785=""),AND(J1785="Accepted",S1785="")),"ERROR","OK")</f>
        <v>OK</v>
      </c>
      <c r="AB1785" s="240" t="str">
        <f t="shared" si="221"/>
        <v>OK</v>
      </c>
      <c r="AC1785" s="240" t="str" cm="1">
        <f t="array" ref="AC1785">IF(AND(F1785:H1785&lt;&gt;"",I1785=""),"ERROR","OK")</f>
        <v>OK</v>
      </c>
      <c r="AD1785" s="240" t="str">
        <f t="shared" si="222"/>
        <v>OK</v>
      </c>
      <c r="AE1785" s="240" t="str">
        <f t="shared" si="223"/>
        <v>OK</v>
      </c>
      <c r="AF1785" s="240" t="str" cm="1">
        <f t="array" aca="1" ref="AF1785" ca="1" xml:space="preserve">
IF(AND($G1785&lt;&gt;"",$F1785=""),"ERROR",
IF(OR($F1785:$G1785="",AND($G1785="",$F1785&lt;&gt;"")),"OK",
IF(COUNTIF(INDIRECT(IFERROR(LEFT($F1785,FIND(" ",$F1785)-1),$F1785)), $G1785)&gt;0, "OK", "ERROR")))</f>
        <v>OK</v>
      </c>
    </row>
    <row r="1786" spans="1:32" s="240" customFormat="1">
      <c r="A1786" s="48"/>
      <c r="B1786" s="31"/>
      <c r="C1786" s="48"/>
      <c r="D1786" s="47"/>
      <c r="E1786" s="47"/>
      <c r="F1786" s="31"/>
      <c r="G1786" s="31"/>
      <c r="H1786" s="31"/>
      <c r="I1786" s="47"/>
      <c r="J1786" s="31"/>
      <c r="K1786" s="47"/>
      <c r="L1786" s="47"/>
      <c r="M1786" s="47"/>
      <c r="N1786" s="31"/>
      <c r="O1786" s="47"/>
      <c r="P1786" s="31"/>
      <c r="Q1786" s="31"/>
      <c r="R1786" s="31"/>
      <c r="S1786" s="31"/>
      <c r="T1786" s="270">
        <f t="shared" si="216"/>
        <v>0</v>
      </c>
      <c r="U1786" s="270">
        <f t="shared" si="217"/>
        <v>0</v>
      </c>
      <c r="V1786" s="31"/>
      <c r="X1786" s="240" t="str">
        <f t="shared" si="218"/>
        <v>OK</v>
      </c>
      <c r="Y1786" s="240" t="str">
        <f t="shared" si="219"/>
        <v>OK</v>
      </c>
      <c r="Z1786" s="240" t="str">
        <f t="shared" si="220"/>
        <v>OK</v>
      </c>
      <c r="AA1786" s="240" t="str" cm="1">
        <f t="array" ref="AA1786">IF(OR(AND(J1786="Not accepted",N1786:O1786&lt;&gt;"",$S1786=""),AND(J1786="Accepted",S1786="")),"ERROR","OK")</f>
        <v>OK</v>
      </c>
      <c r="AB1786" s="240" t="str">
        <f t="shared" si="221"/>
        <v>OK</v>
      </c>
      <c r="AC1786" s="240" t="str" cm="1">
        <f t="array" ref="AC1786">IF(AND(F1786:H1786&lt;&gt;"",I1786=""),"ERROR","OK")</f>
        <v>OK</v>
      </c>
      <c r="AD1786" s="240" t="str">
        <f t="shared" si="222"/>
        <v>OK</v>
      </c>
      <c r="AE1786" s="240" t="str">
        <f t="shared" si="223"/>
        <v>OK</v>
      </c>
      <c r="AF1786" s="240" t="str" cm="1">
        <f t="array" aca="1" ref="AF1786" ca="1" xml:space="preserve">
IF(AND($G1786&lt;&gt;"",$F1786=""),"ERROR",
IF(OR($F1786:$G1786="",AND($G1786="",$F1786&lt;&gt;"")),"OK",
IF(COUNTIF(INDIRECT(IFERROR(LEFT($F1786,FIND(" ",$F1786)-1),$F1786)), $G1786)&gt;0, "OK", "ERROR")))</f>
        <v>OK</v>
      </c>
    </row>
    <row r="1787" spans="1:32" s="240" customFormat="1">
      <c r="A1787" s="48"/>
      <c r="B1787" s="31"/>
      <c r="C1787" s="48"/>
      <c r="D1787" s="47"/>
      <c r="E1787" s="47"/>
      <c r="F1787" s="31"/>
      <c r="G1787" s="31"/>
      <c r="H1787" s="31"/>
      <c r="I1787" s="47"/>
      <c r="J1787" s="31"/>
      <c r="K1787" s="47"/>
      <c r="L1787" s="47"/>
      <c r="M1787" s="47"/>
      <c r="N1787" s="31"/>
      <c r="O1787" s="47"/>
      <c r="P1787" s="31"/>
      <c r="Q1787" s="31"/>
      <c r="R1787" s="31"/>
      <c r="S1787" s="31"/>
      <c r="T1787" s="270">
        <f t="shared" si="216"/>
        <v>0</v>
      </c>
      <c r="U1787" s="270">
        <f t="shared" si="217"/>
        <v>0</v>
      </c>
      <c r="V1787" s="31"/>
      <c r="X1787" s="240" t="str">
        <f t="shared" si="218"/>
        <v>OK</v>
      </c>
      <c r="Y1787" s="240" t="str">
        <f t="shared" si="219"/>
        <v>OK</v>
      </c>
      <c r="Z1787" s="240" t="str">
        <f t="shared" si="220"/>
        <v>OK</v>
      </c>
      <c r="AA1787" s="240" t="str" cm="1">
        <f t="array" ref="AA1787">IF(OR(AND(J1787="Not accepted",N1787:O1787&lt;&gt;"",$S1787=""),AND(J1787="Accepted",S1787="")),"ERROR","OK")</f>
        <v>OK</v>
      </c>
      <c r="AB1787" s="240" t="str">
        <f t="shared" si="221"/>
        <v>OK</v>
      </c>
      <c r="AC1787" s="240" t="str" cm="1">
        <f t="array" ref="AC1787">IF(AND(F1787:H1787&lt;&gt;"",I1787=""),"ERROR","OK")</f>
        <v>OK</v>
      </c>
      <c r="AD1787" s="240" t="str">
        <f t="shared" si="222"/>
        <v>OK</v>
      </c>
      <c r="AE1787" s="240" t="str">
        <f t="shared" si="223"/>
        <v>OK</v>
      </c>
      <c r="AF1787" s="240" t="str" cm="1">
        <f t="array" aca="1" ref="AF1787" ca="1" xml:space="preserve">
IF(AND($G1787&lt;&gt;"",$F1787=""),"ERROR",
IF(OR($F1787:$G1787="",AND($G1787="",$F1787&lt;&gt;"")),"OK",
IF(COUNTIF(INDIRECT(IFERROR(LEFT($F1787,FIND(" ",$F1787)-1),$F1787)), $G1787)&gt;0, "OK", "ERROR")))</f>
        <v>OK</v>
      </c>
    </row>
    <row r="1788" spans="1:32" s="240" customFormat="1">
      <c r="A1788" s="48"/>
      <c r="B1788" s="31"/>
      <c r="C1788" s="48"/>
      <c r="D1788" s="47"/>
      <c r="E1788" s="47"/>
      <c r="F1788" s="31"/>
      <c r="G1788" s="31"/>
      <c r="H1788" s="31"/>
      <c r="I1788" s="47"/>
      <c r="J1788" s="31"/>
      <c r="K1788" s="47"/>
      <c r="L1788" s="47"/>
      <c r="M1788" s="47"/>
      <c r="N1788" s="31"/>
      <c r="O1788" s="47"/>
      <c r="P1788" s="31"/>
      <c r="Q1788" s="31"/>
      <c r="R1788" s="31"/>
      <c r="S1788" s="31"/>
      <c r="T1788" s="270">
        <f t="shared" si="216"/>
        <v>0</v>
      </c>
      <c r="U1788" s="270">
        <f t="shared" si="217"/>
        <v>0</v>
      </c>
      <c r="V1788" s="31"/>
      <c r="X1788" s="240" t="str">
        <f t="shared" si="218"/>
        <v>OK</v>
      </c>
      <c r="Y1788" s="240" t="str">
        <f t="shared" si="219"/>
        <v>OK</v>
      </c>
      <c r="Z1788" s="240" t="str">
        <f t="shared" si="220"/>
        <v>OK</v>
      </c>
      <c r="AA1788" s="240" t="str" cm="1">
        <f t="array" ref="AA1788">IF(OR(AND(J1788="Not accepted",N1788:O1788&lt;&gt;"",$S1788=""),AND(J1788="Accepted",S1788="")),"ERROR","OK")</f>
        <v>OK</v>
      </c>
      <c r="AB1788" s="240" t="str">
        <f t="shared" si="221"/>
        <v>OK</v>
      </c>
      <c r="AC1788" s="240" t="str" cm="1">
        <f t="array" ref="AC1788">IF(AND(F1788:H1788&lt;&gt;"",I1788=""),"ERROR","OK")</f>
        <v>OK</v>
      </c>
      <c r="AD1788" s="240" t="str">
        <f t="shared" si="222"/>
        <v>OK</v>
      </c>
      <c r="AE1788" s="240" t="str">
        <f t="shared" si="223"/>
        <v>OK</v>
      </c>
      <c r="AF1788" s="240" t="str" cm="1">
        <f t="array" aca="1" ref="AF1788" ca="1" xml:space="preserve">
IF(AND($G1788&lt;&gt;"",$F1788=""),"ERROR",
IF(OR($F1788:$G1788="",AND($G1788="",$F1788&lt;&gt;"")),"OK",
IF(COUNTIF(INDIRECT(IFERROR(LEFT($F1788,FIND(" ",$F1788)-1),$F1788)), $G1788)&gt;0, "OK", "ERROR")))</f>
        <v>OK</v>
      </c>
    </row>
    <row r="1789" spans="1:32" s="240" customFormat="1">
      <c r="A1789" s="48"/>
      <c r="B1789" s="31"/>
      <c r="C1789" s="48"/>
      <c r="D1789" s="47"/>
      <c r="E1789" s="47"/>
      <c r="F1789" s="31"/>
      <c r="G1789" s="31"/>
      <c r="H1789" s="31"/>
      <c r="I1789" s="47"/>
      <c r="J1789" s="31"/>
      <c r="K1789" s="47"/>
      <c r="L1789" s="47"/>
      <c r="M1789" s="47"/>
      <c r="N1789" s="31"/>
      <c r="O1789" s="47"/>
      <c r="P1789" s="31"/>
      <c r="Q1789" s="31"/>
      <c r="R1789" s="31"/>
      <c r="S1789" s="31"/>
      <c r="T1789" s="270">
        <f t="shared" si="216"/>
        <v>0</v>
      </c>
      <c r="U1789" s="270">
        <f t="shared" si="217"/>
        <v>0</v>
      </c>
      <c r="V1789" s="31"/>
      <c r="X1789" s="240" t="str">
        <f t="shared" si="218"/>
        <v>OK</v>
      </c>
      <c r="Y1789" s="240" t="str">
        <f t="shared" si="219"/>
        <v>OK</v>
      </c>
      <c r="Z1789" s="240" t="str">
        <f t="shared" si="220"/>
        <v>OK</v>
      </c>
      <c r="AA1789" s="240" t="str" cm="1">
        <f t="array" ref="AA1789">IF(OR(AND(J1789="Not accepted",N1789:O1789&lt;&gt;"",$S1789=""),AND(J1789="Accepted",S1789="")),"ERROR","OK")</f>
        <v>OK</v>
      </c>
      <c r="AB1789" s="240" t="str">
        <f t="shared" si="221"/>
        <v>OK</v>
      </c>
      <c r="AC1789" s="240" t="str" cm="1">
        <f t="array" ref="AC1789">IF(AND(F1789:H1789&lt;&gt;"",I1789=""),"ERROR","OK")</f>
        <v>OK</v>
      </c>
      <c r="AD1789" s="240" t="str">
        <f t="shared" si="222"/>
        <v>OK</v>
      </c>
      <c r="AE1789" s="240" t="str">
        <f t="shared" si="223"/>
        <v>OK</v>
      </c>
      <c r="AF1789" s="240" t="str" cm="1">
        <f t="array" aca="1" ref="AF1789" ca="1" xml:space="preserve">
IF(AND($G1789&lt;&gt;"",$F1789=""),"ERROR",
IF(OR($F1789:$G1789="",AND($G1789="",$F1789&lt;&gt;"")),"OK",
IF(COUNTIF(INDIRECT(IFERROR(LEFT($F1789,FIND(" ",$F1789)-1),$F1789)), $G1789)&gt;0, "OK", "ERROR")))</f>
        <v>OK</v>
      </c>
    </row>
    <row r="1790" spans="1:32" s="240" customFormat="1">
      <c r="A1790" s="48"/>
      <c r="B1790" s="31"/>
      <c r="C1790" s="48"/>
      <c r="D1790" s="47"/>
      <c r="E1790" s="47"/>
      <c r="F1790" s="31"/>
      <c r="G1790" s="31"/>
      <c r="H1790" s="31"/>
      <c r="I1790" s="47"/>
      <c r="J1790" s="31"/>
      <c r="K1790" s="47"/>
      <c r="L1790" s="47"/>
      <c r="M1790" s="47"/>
      <c r="N1790" s="31"/>
      <c r="O1790" s="47"/>
      <c r="P1790" s="31"/>
      <c r="Q1790" s="31"/>
      <c r="R1790" s="31"/>
      <c r="S1790" s="31"/>
      <c r="T1790" s="270">
        <f t="shared" si="216"/>
        <v>0</v>
      </c>
      <c r="U1790" s="270">
        <f t="shared" si="217"/>
        <v>0</v>
      </c>
      <c r="V1790" s="31"/>
      <c r="X1790" s="240" t="str">
        <f t="shared" si="218"/>
        <v>OK</v>
      </c>
      <c r="Y1790" s="240" t="str">
        <f t="shared" si="219"/>
        <v>OK</v>
      </c>
      <c r="Z1790" s="240" t="str">
        <f t="shared" si="220"/>
        <v>OK</v>
      </c>
      <c r="AA1790" s="240" t="str" cm="1">
        <f t="array" ref="AA1790">IF(OR(AND(J1790="Not accepted",N1790:O1790&lt;&gt;"",$S1790=""),AND(J1790="Accepted",S1790="")),"ERROR","OK")</f>
        <v>OK</v>
      </c>
      <c r="AB1790" s="240" t="str">
        <f t="shared" si="221"/>
        <v>OK</v>
      </c>
      <c r="AC1790" s="240" t="str" cm="1">
        <f t="array" ref="AC1790">IF(AND(F1790:H1790&lt;&gt;"",I1790=""),"ERROR","OK")</f>
        <v>OK</v>
      </c>
      <c r="AD1790" s="240" t="str">
        <f t="shared" si="222"/>
        <v>OK</v>
      </c>
      <c r="AE1790" s="240" t="str">
        <f t="shared" si="223"/>
        <v>OK</v>
      </c>
      <c r="AF1790" s="240" t="str" cm="1">
        <f t="array" aca="1" ref="AF1790" ca="1" xml:space="preserve">
IF(AND($G1790&lt;&gt;"",$F1790=""),"ERROR",
IF(OR($F1790:$G1790="",AND($G1790="",$F1790&lt;&gt;"")),"OK",
IF(COUNTIF(INDIRECT(IFERROR(LEFT($F1790,FIND(" ",$F1790)-1),$F1790)), $G1790)&gt;0, "OK", "ERROR")))</f>
        <v>OK</v>
      </c>
    </row>
    <row r="1791" spans="1:32" s="240" customFormat="1">
      <c r="A1791" s="48"/>
      <c r="B1791" s="31"/>
      <c r="C1791" s="48"/>
      <c r="D1791" s="47"/>
      <c r="E1791" s="47"/>
      <c r="F1791" s="31"/>
      <c r="G1791" s="31"/>
      <c r="H1791" s="31"/>
      <c r="I1791" s="47"/>
      <c r="J1791" s="31"/>
      <c r="K1791" s="47"/>
      <c r="L1791" s="47"/>
      <c r="M1791" s="47"/>
      <c r="N1791" s="31"/>
      <c r="O1791" s="47"/>
      <c r="P1791" s="31"/>
      <c r="Q1791" s="31"/>
      <c r="R1791" s="31"/>
      <c r="S1791" s="31"/>
      <c r="T1791" s="270">
        <f t="shared" si="216"/>
        <v>0</v>
      </c>
      <c r="U1791" s="270">
        <f t="shared" si="217"/>
        <v>0</v>
      </c>
      <c r="V1791" s="31"/>
      <c r="X1791" s="240" t="str">
        <f t="shared" si="218"/>
        <v>OK</v>
      </c>
      <c r="Y1791" s="240" t="str">
        <f t="shared" si="219"/>
        <v>OK</v>
      </c>
      <c r="Z1791" s="240" t="str">
        <f t="shared" si="220"/>
        <v>OK</v>
      </c>
      <c r="AA1791" s="240" t="str" cm="1">
        <f t="array" ref="AA1791">IF(OR(AND(J1791="Not accepted",N1791:O1791&lt;&gt;"",$S1791=""),AND(J1791="Accepted",S1791="")),"ERROR","OK")</f>
        <v>OK</v>
      </c>
      <c r="AB1791" s="240" t="str">
        <f t="shared" si="221"/>
        <v>OK</v>
      </c>
      <c r="AC1791" s="240" t="str" cm="1">
        <f t="array" ref="AC1791">IF(AND(F1791:H1791&lt;&gt;"",I1791=""),"ERROR","OK")</f>
        <v>OK</v>
      </c>
      <c r="AD1791" s="240" t="str">
        <f t="shared" si="222"/>
        <v>OK</v>
      </c>
      <c r="AE1791" s="240" t="str">
        <f t="shared" si="223"/>
        <v>OK</v>
      </c>
      <c r="AF1791" s="240" t="str" cm="1">
        <f t="array" aca="1" ref="AF1791" ca="1" xml:space="preserve">
IF(AND($G1791&lt;&gt;"",$F1791=""),"ERROR",
IF(OR($F1791:$G1791="",AND($G1791="",$F1791&lt;&gt;"")),"OK",
IF(COUNTIF(INDIRECT(IFERROR(LEFT($F1791,FIND(" ",$F1791)-1),$F1791)), $G1791)&gt;0, "OK", "ERROR")))</f>
        <v>OK</v>
      </c>
    </row>
    <row r="1792" spans="1:32" s="240" customFormat="1">
      <c r="A1792" s="48"/>
      <c r="B1792" s="31"/>
      <c r="C1792" s="48"/>
      <c r="D1792" s="47"/>
      <c r="E1792" s="47"/>
      <c r="F1792" s="31"/>
      <c r="G1792" s="31"/>
      <c r="H1792" s="31"/>
      <c r="I1792" s="47"/>
      <c r="J1792" s="31"/>
      <c r="K1792" s="47"/>
      <c r="L1792" s="47"/>
      <c r="M1792" s="47"/>
      <c r="N1792" s="31"/>
      <c r="O1792" s="47"/>
      <c r="P1792" s="31"/>
      <c r="Q1792" s="31"/>
      <c r="R1792" s="31"/>
      <c r="S1792" s="31"/>
      <c r="T1792" s="270">
        <f t="shared" si="216"/>
        <v>0</v>
      </c>
      <c r="U1792" s="270">
        <f t="shared" si="217"/>
        <v>0</v>
      </c>
      <c r="V1792" s="31"/>
      <c r="X1792" s="240" t="str">
        <f t="shared" si="218"/>
        <v>OK</v>
      </c>
      <c r="Y1792" s="240" t="str">
        <f t="shared" si="219"/>
        <v>OK</v>
      </c>
      <c r="Z1792" s="240" t="str">
        <f t="shared" si="220"/>
        <v>OK</v>
      </c>
      <c r="AA1792" s="240" t="str" cm="1">
        <f t="array" ref="AA1792">IF(OR(AND(J1792="Not accepted",N1792:O1792&lt;&gt;"",$S1792=""),AND(J1792="Accepted",S1792="")),"ERROR","OK")</f>
        <v>OK</v>
      </c>
      <c r="AB1792" s="240" t="str">
        <f t="shared" si="221"/>
        <v>OK</v>
      </c>
      <c r="AC1792" s="240" t="str" cm="1">
        <f t="array" ref="AC1792">IF(AND(F1792:H1792&lt;&gt;"",I1792=""),"ERROR","OK")</f>
        <v>OK</v>
      </c>
      <c r="AD1792" s="240" t="str">
        <f t="shared" si="222"/>
        <v>OK</v>
      </c>
      <c r="AE1792" s="240" t="str">
        <f t="shared" si="223"/>
        <v>OK</v>
      </c>
      <c r="AF1792" s="240" t="str" cm="1">
        <f t="array" aca="1" ref="AF1792" ca="1" xml:space="preserve">
IF(AND($G1792&lt;&gt;"",$F1792=""),"ERROR",
IF(OR($F1792:$G1792="",AND($G1792="",$F1792&lt;&gt;"")),"OK",
IF(COUNTIF(INDIRECT(IFERROR(LEFT($F1792,FIND(" ",$F1792)-1),$F1792)), $G1792)&gt;0, "OK", "ERROR")))</f>
        <v>OK</v>
      </c>
    </row>
    <row r="1793" spans="1:32" s="240" customFormat="1">
      <c r="A1793" s="48"/>
      <c r="B1793" s="31"/>
      <c r="C1793" s="48"/>
      <c r="D1793" s="47"/>
      <c r="E1793" s="47"/>
      <c r="F1793" s="31"/>
      <c r="G1793" s="31"/>
      <c r="H1793" s="31"/>
      <c r="I1793" s="47"/>
      <c r="J1793" s="31"/>
      <c r="K1793" s="47"/>
      <c r="L1793" s="47"/>
      <c r="M1793" s="47"/>
      <c r="N1793" s="31"/>
      <c r="O1793" s="47"/>
      <c r="P1793" s="31"/>
      <c r="Q1793" s="31"/>
      <c r="R1793" s="31"/>
      <c r="S1793" s="31"/>
      <c r="T1793" s="270">
        <f t="shared" si="216"/>
        <v>0</v>
      </c>
      <c r="U1793" s="270">
        <f t="shared" si="217"/>
        <v>0</v>
      </c>
      <c r="V1793" s="31"/>
      <c r="X1793" s="240" t="str">
        <f t="shared" si="218"/>
        <v>OK</v>
      </c>
      <c r="Y1793" s="240" t="str">
        <f t="shared" si="219"/>
        <v>OK</v>
      </c>
      <c r="Z1793" s="240" t="str">
        <f t="shared" si="220"/>
        <v>OK</v>
      </c>
      <c r="AA1793" s="240" t="str" cm="1">
        <f t="array" ref="AA1793">IF(OR(AND(J1793="Not accepted",N1793:O1793&lt;&gt;"",$S1793=""),AND(J1793="Accepted",S1793="")),"ERROR","OK")</f>
        <v>OK</v>
      </c>
      <c r="AB1793" s="240" t="str">
        <f t="shared" si="221"/>
        <v>OK</v>
      </c>
      <c r="AC1793" s="240" t="str" cm="1">
        <f t="array" ref="AC1793">IF(AND(F1793:H1793&lt;&gt;"",I1793=""),"ERROR","OK")</f>
        <v>OK</v>
      </c>
      <c r="AD1793" s="240" t="str">
        <f t="shared" si="222"/>
        <v>OK</v>
      </c>
      <c r="AE1793" s="240" t="str">
        <f t="shared" si="223"/>
        <v>OK</v>
      </c>
      <c r="AF1793" s="240" t="str" cm="1">
        <f t="array" aca="1" ref="AF1793" ca="1" xml:space="preserve">
IF(AND($G1793&lt;&gt;"",$F1793=""),"ERROR",
IF(OR($F1793:$G1793="",AND($G1793="",$F1793&lt;&gt;"")),"OK",
IF(COUNTIF(INDIRECT(IFERROR(LEFT($F1793,FIND(" ",$F1793)-1),$F1793)), $G1793)&gt;0, "OK", "ERROR")))</f>
        <v>OK</v>
      </c>
    </row>
    <row r="1794" spans="1:32" s="240" customFormat="1">
      <c r="A1794" s="48"/>
      <c r="B1794" s="31"/>
      <c r="C1794" s="48"/>
      <c r="D1794" s="47"/>
      <c r="E1794" s="47"/>
      <c r="F1794" s="31"/>
      <c r="G1794" s="31"/>
      <c r="H1794" s="31"/>
      <c r="I1794" s="47"/>
      <c r="J1794" s="31"/>
      <c r="K1794" s="47"/>
      <c r="L1794" s="47"/>
      <c r="M1794" s="47"/>
      <c r="N1794" s="31"/>
      <c r="O1794" s="47"/>
      <c r="P1794" s="31"/>
      <c r="Q1794" s="31"/>
      <c r="R1794" s="31"/>
      <c r="S1794" s="31"/>
      <c r="T1794" s="270">
        <f t="shared" si="216"/>
        <v>0</v>
      </c>
      <c r="U1794" s="270">
        <f t="shared" si="217"/>
        <v>0</v>
      </c>
      <c r="V1794" s="31"/>
      <c r="X1794" s="240" t="str">
        <f t="shared" si="218"/>
        <v>OK</v>
      </c>
      <c r="Y1794" s="240" t="str">
        <f t="shared" si="219"/>
        <v>OK</v>
      </c>
      <c r="Z1794" s="240" t="str">
        <f t="shared" si="220"/>
        <v>OK</v>
      </c>
      <c r="AA1794" s="240" t="str" cm="1">
        <f t="array" ref="AA1794">IF(OR(AND(J1794="Not accepted",N1794:O1794&lt;&gt;"",$S1794=""),AND(J1794="Accepted",S1794="")),"ERROR","OK")</f>
        <v>OK</v>
      </c>
      <c r="AB1794" s="240" t="str">
        <f t="shared" si="221"/>
        <v>OK</v>
      </c>
      <c r="AC1794" s="240" t="str" cm="1">
        <f t="array" ref="AC1794">IF(AND(F1794:H1794&lt;&gt;"",I1794=""),"ERROR","OK")</f>
        <v>OK</v>
      </c>
      <c r="AD1794" s="240" t="str">
        <f t="shared" si="222"/>
        <v>OK</v>
      </c>
      <c r="AE1794" s="240" t="str">
        <f t="shared" si="223"/>
        <v>OK</v>
      </c>
      <c r="AF1794" s="240" t="str" cm="1">
        <f t="array" aca="1" ref="AF1794" ca="1" xml:space="preserve">
IF(AND($G1794&lt;&gt;"",$F1794=""),"ERROR",
IF(OR($F1794:$G1794="",AND($G1794="",$F1794&lt;&gt;"")),"OK",
IF(COUNTIF(INDIRECT(IFERROR(LEFT($F1794,FIND(" ",$F1794)-1),$F1794)), $G1794)&gt;0, "OK", "ERROR")))</f>
        <v>OK</v>
      </c>
    </row>
    <row r="1795" spans="1:32" s="240" customFormat="1">
      <c r="A1795" s="48"/>
      <c r="B1795" s="31"/>
      <c r="C1795" s="48"/>
      <c r="D1795" s="47"/>
      <c r="E1795" s="47"/>
      <c r="F1795" s="31"/>
      <c r="G1795" s="31"/>
      <c r="H1795" s="31"/>
      <c r="I1795" s="47"/>
      <c r="J1795" s="31"/>
      <c r="K1795" s="47"/>
      <c r="L1795" s="47"/>
      <c r="M1795" s="47"/>
      <c r="N1795" s="31"/>
      <c r="O1795" s="47"/>
      <c r="P1795" s="31"/>
      <c r="Q1795" s="31"/>
      <c r="R1795" s="31"/>
      <c r="S1795" s="31"/>
      <c r="T1795" s="270">
        <f t="shared" si="216"/>
        <v>0</v>
      </c>
      <c r="U1795" s="270">
        <f t="shared" si="217"/>
        <v>0</v>
      </c>
      <c r="V1795" s="31"/>
      <c r="X1795" s="240" t="str">
        <f t="shared" si="218"/>
        <v>OK</v>
      </c>
      <c r="Y1795" s="240" t="str">
        <f t="shared" si="219"/>
        <v>OK</v>
      </c>
      <c r="Z1795" s="240" t="str">
        <f t="shared" si="220"/>
        <v>OK</v>
      </c>
      <c r="AA1795" s="240" t="str" cm="1">
        <f t="array" ref="AA1795">IF(OR(AND(J1795="Not accepted",N1795:O1795&lt;&gt;"",$S1795=""),AND(J1795="Accepted",S1795="")),"ERROR","OK")</f>
        <v>OK</v>
      </c>
      <c r="AB1795" s="240" t="str">
        <f t="shared" si="221"/>
        <v>OK</v>
      </c>
      <c r="AC1795" s="240" t="str" cm="1">
        <f t="array" ref="AC1795">IF(AND(F1795:H1795&lt;&gt;"",I1795=""),"ERROR","OK")</f>
        <v>OK</v>
      </c>
      <c r="AD1795" s="240" t="str">
        <f t="shared" si="222"/>
        <v>OK</v>
      </c>
      <c r="AE1795" s="240" t="str">
        <f t="shared" si="223"/>
        <v>OK</v>
      </c>
      <c r="AF1795" s="240" t="str" cm="1">
        <f t="array" aca="1" ref="AF1795" ca="1" xml:space="preserve">
IF(AND($G1795&lt;&gt;"",$F1795=""),"ERROR",
IF(OR($F1795:$G1795="",AND($G1795="",$F1795&lt;&gt;"")),"OK",
IF(COUNTIF(INDIRECT(IFERROR(LEFT($F1795,FIND(" ",$F1795)-1),$F1795)), $G1795)&gt;0, "OK", "ERROR")))</f>
        <v>OK</v>
      </c>
    </row>
    <row r="1796" spans="1:32" s="240" customFormat="1">
      <c r="A1796" s="48"/>
      <c r="B1796" s="31"/>
      <c r="C1796" s="48"/>
      <c r="D1796" s="47"/>
      <c r="E1796" s="47"/>
      <c r="F1796" s="31"/>
      <c r="G1796" s="31"/>
      <c r="H1796" s="31"/>
      <c r="I1796" s="47"/>
      <c r="J1796" s="31"/>
      <c r="K1796" s="47"/>
      <c r="L1796" s="47"/>
      <c r="M1796" s="47"/>
      <c r="N1796" s="31"/>
      <c r="O1796" s="47"/>
      <c r="P1796" s="31"/>
      <c r="Q1796" s="31"/>
      <c r="R1796" s="31"/>
      <c r="S1796" s="31"/>
      <c r="T1796" s="270">
        <f t="shared" si="216"/>
        <v>0</v>
      </c>
      <c r="U1796" s="270">
        <f t="shared" si="217"/>
        <v>0</v>
      </c>
      <c r="V1796" s="31"/>
      <c r="X1796" s="240" t="str">
        <f t="shared" si="218"/>
        <v>OK</v>
      </c>
      <c r="Y1796" s="240" t="str">
        <f t="shared" si="219"/>
        <v>OK</v>
      </c>
      <c r="Z1796" s="240" t="str">
        <f t="shared" si="220"/>
        <v>OK</v>
      </c>
      <c r="AA1796" s="240" t="str" cm="1">
        <f t="array" ref="AA1796">IF(OR(AND(J1796="Not accepted",N1796:O1796&lt;&gt;"",$S1796=""),AND(J1796="Accepted",S1796="")),"ERROR","OK")</f>
        <v>OK</v>
      </c>
      <c r="AB1796" s="240" t="str">
        <f t="shared" si="221"/>
        <v>OK</v>
      </c>
      <c r="AC1796" s="240" t="str" cm="1">
        <f t="array" ref="AC1796">IF(AND(F1796:H1796&lt;&gt;"",I1796=""),"ERROR","OK")</f>
        <v>OK</v>
      </c>
      <c r="AD1796" s="240" t="str">
        <f t="shared" si="222"/>
        <v>OK</v>
      </c>
      <c r="AE1796" s="240" t="str">
        <f t="shared" si="223"/>
        <v>OK</v>
      </c>
      <c r="AF1796" s="240" t="str" cm="1">
        <f t="array" aca="1" ref="AF1796" ca="1" xml:space="preserve">
IF(AND($G1796&lt;&gt;"",$F1796=""),"ERROR",
IF(OR($F1796:$G1796="",AND($G1796="",$F1796&lt;&gt;"")),"OK",
IF(COUNTIF(INDIRECT(IFERROR(LEFT($F1796,FIND(" ",$F1796)-1),$F1796)), $G1796)&gt;0, "OK", "ERROR")))</f>
        <v>OK</v>
      </c>
    </row>
    <row r="1797" spans="1:32" s="240" customFormat="1">
      <c r="A1797" s="48"/>
      <c r="B1797" s="31"/>
      <c r="C1797" s="48"/>
      <c r="D1797" s="47"/>
      <c r="E1797" s="47"/>
      <c r="F1797" s="31"/>
      <c r="G1797" s="31"/>
      <c r="H1797" s="31"/>
      <c r="I1797" s="47"/>
      <c r="J1797" s="31"/>
      <c r="K1797" s="47"/>
      <c r="L1797" s="47"/>
      <c r="M1797" s="47"/>
      <c r="N1797" s="31"/>
      <c r="O1797" s="47"/>
      <c r="P1797" s="31"/>
      <c r="Q1797" s="31"/>
      <c r="R1797" s="31"/>
      <c r="S1797" s="31"/>
      <c r="T1797" s="270">
        <f t="shared" ref="T1797:T1860" si="224">IF(OR($J1797="Accepted",ISBLANK($J1797)),IF(AND($G1797="Legacy Data",$Q1797="Legacy Data"),1,IF(OR($G1797="Legacy Data",$Q1797="Legacy Data"),1,0)),IF(OR($N1797="Agree with original translator",ISBLANK($N1797)),IF(AND($G1797="Source Text Data",$Q1797="Legacy Data"),1,IF(AND($G1797="Legacy Data",$Q1797="Legacy Data"),1,IF($Q1797="Legacy Data",1,0))),IF(AND($G1797="Legacy Data",$Q1797="Legacy Data"),1,IF(OR($Q1797="Legacy Data",ISBLANK($Q1797)),IF($G1797&lt;&gt;"Legacy Data",IF(AND($G1797="Source Text Data",$Q1797="Legacy Data"),1,0),1),0))))</f>
        <v>0</v>
      </c>
      <c r="U1797" s="270">
        <f t="shared" ref="U1797:U1860" si="225">IF(OR($J1797="Accepted",ISBLANK($J1797)),IF(AND($G1797="Source Text Data",$Q1797="Source Text Data"),1,IF(OR($G1797="Source Text Data",$Q1797="Source Text Data"),1,0)),IF(OR($N1797="Agree with original translator",ISBLANK($N1797)),IF(AND($G1797="Legacy Data",$Q1797="Source Text Data"),1,IF(AND($G1797="Source Text Data",$Q1797="Source Text Data"),1,IF($Q1797="Source Text Data",1,0))),IF(AND($G1797="Source Text Data",$Q1797="Source Text Data"),1,IF(OR($Q1797="Source Text Data",ISBLANK($Q1797)),IF($G1797&lt;&gt;"Source Text Data",IF(AND($G1797="Legacy Data",$Q1797="Source Text Data"),1,0),1),0))))</f>
        <v>0</v>
      </c>
      <c r="V1797" s="31"/>
      <c r="X1797" s="240" t="str">
        <f t="shared" ref="X1797:X1860" si="226">IF(AND(COUNTBLANK($F1797:$H1797)&lt;&gt;COLUMNS($F1797:$H1797),COUNTA($F1797:$H1797)&lt;&gt;COLUMNS($F1797:$H1797)),"ERROR","OK")</f>
        <v>OK</v>
      </c>
      <c r="Y1797" s="240" t="str">
        <f t="shared" ref="Y1797:Y1860" si="227">IF(AND($J1797="Not accepted",$K1797=""),"ERROR","OK")</f>
        <v>OK</v>
      </c>
      <c r="Z1797" s="240" t="str">
        <f t="shared" ref="Z1797:Z1860" si="228">IF(AND($F1797&lt;&gt;"",$J1797=""),"ERROR","OK")</f>
        <v>OK</v>
      </c>
      <c r="AA1797" s="240" t="str" cm="1">
        <f t="array" ref="AA1797">IF(OR(AND(J1797="Not accepted",N1797:O1797&lt;&gt;"",$S1797=""),AND(J1797="Accepted",S1797="")),"ERROR","OK")</f>
        <v>OK</v>
      </c>
      <c r="AB1797" s="240" t="str">
        <f t="shared" ref="AB1797:AB1860" si="229">IF(AND($S1797="Not Implemented",$V1797=""),"ERROR","OK")</f>
        <v>OK</v>
      </c>
      <c r="AC1797" s="240" t="str" cm="1">
        <f t="array" ref="AC1797">IF(AND(F1797:H1797&lt;&gt;"",I1797=""),"ERROR","OK")</f>
        <v>OK</v>
      </c>
      <c r="AD1797" s="240" t="str">
        <f t="shared" ref="AD1797:AD1860" si="230">IF(AND($N1797="",$J1797="Not accepted",$K1797&lt;&gt;""),"ERROR","OK")</f>
        <v>OK</v>
      </c>
      <c r="AE1797" s="240" t="str">
        <f t="shared" ref="AE1797:AE1860" si="231">IF(AND($O1797="",$N1797&lt;&gt;""),"ERROR","OK")</f>
        <v>OK</v>
      </c>
      <c r="AF1797" s="240" t="str" cm="1">
        <f t="array" aca="1" ref="AF1797" ca="1" xml:space="preserve">
IF(AND($G1797&lt;&gt;"",$F1797=""),"ERROR",
IF(OR($F1797:$G1797="",AND($G1797="",$F1797&lt;&gt;"")),"OK",
IF(COUNTIF(INDIRECT(IFERROR(LEFT($F1797,FIND(" ",$F1797)-1),$F1797)), $G1797)&gt;0, "OK", "ERROR")))</f>
        <v>OK</v>
      </c>
    </row>
    <row r="1798" spans="1:32" s="240" customFormat="1">
      <c r="A1798" s="48"/>
      <c r="B1798" s="31"/>
      <c r="C1798" s="48"/>
      <c r="D1798" s="47"/>
      <c r="E1798" s="47"/>
      <c r="F1798" s="31"/>
      <c r="G1798" s="31"/>
      <c r="H1798" s="31"/>
      <c r="I1798" s="47"/>
      <c r="J1798" s="31"/>
      <c r="K1798" s="47"/>
      <c r="L1798" s="47"/>
      <c r="M1798" s="47"/>
      <c r="N1798" s="31"/>
      <c r="O1798" s="47"/>
      <c r="P1798" s="31"/>
      <c r="Q1798" s="31"/>
      <c r="R1798" s="31"/>
      <c r="S1798" s="31"/>
      <c r="T1798" s="270">
        <f t="shared" si="224"/>
        <v>0</v>
      </c>
      <c r="U1798" s="270">
        <f t="shared" si="225"/>
        <v>0</v>
      </c>
      <c r="V1798" s="31"/>
      <c r="X1798" s="240" t="str">
        <f t="shared" si="226"/>
        <v>OK</v>
      </c>
      <c r="Y1798" s="240" t="str">
        <f t="shared" si="227"/>
        <v>OK</v>
      </c>
      <c r="Z1798" s="240" t="str">
        <f t="shared" si="228"/>
        <v>OK</v>
      </c>
      <c r="AA1798" s="240" t="str" cm="1">
        <f t="array" ref="AA1798">IF(OR(AND(J1798="Not accepted",N1798:O1798&lt;&gt;"",$S1798=""),AND(J1798="Accepted",S1798="")),"ERROR","OK")</f>
        <v>OK</v>
      </c>
      <c r="AB1798" s="240" t="str">
        <f t="shared" si="229"/>
        <v>OK</v>
      </c>
      <c r="AC1798" s="240" t="str" cm="1">
        <f t="array" ref="AC1798">IF(AND(F1798:H1798&lt;&gt;"",I1798=""),"ERROR","OK")</f>
        <v>OK</v>
      </c>
      <c r="AD1798" s="240" t="str">
        <f t="shared" si="230"/>
        <v>OK</v>
      </c>
      <c r="AE1798" s="240" t="str">
        <f t="shared" si="231"/>
        <v>OK</v>
      </c>
      <c r="AF1798" s="240" t="str" cm="1">
        <f t="array" aca="1" ref="AF1798" ca="1" xml:space="preserve">
IF(AND($G1798&lt;&gt;"",$F1798=""),"ERROR",
IF(OR($F1798:$G1798="",AND($G1798="",$F1798&lt;&gt;"")),"OK",
IF(COUNTIF(INDIRECT(IFERROR(LEFT($F1798,FIND(" ",$F1798)-1),$F1798)), $G1798)&gt;0, "OK", "ERROR")))</f>
        <v>OK</v>
      </c>
    </row>
    <row r="1799" spans="1:32" s="240" customFormat="1">
      <c r="A1799" s="48"/>
      <c r="B1799" s="31"/>
      <c r="C1799" s="48"/>
      <c r="D1799" s="47"/>
      <c r="E1799" s="47"/>
      <c r="F1799" s="31"/>
      <c r="G1799" s="31"/>
      <c r="H1799" s="31"/>
      <c r="I1799" s="47"/>
      <c r="J1799" s="31"/>
      <c r="K1799" s="47"/>
      <c r="L1799" s="47"/>
      <c r="M1799" s="47"/>
      <c r="N1799" s="31"/>
      <c r="O1799" s="47"/>
      <c r="P1799" s="31"/>
      <c r="Q1799" s="31"/>
      <c r="R1799" s="31"/>
      <c r="S1799" s="31"/>
      <c r="T1799" s="270">
        <f t="shared" si="224"/>
        <v>0</v>
      </c>
      <c r="U1799" s="270">
        <f t="shared" si="225"/>
        <v>0</v>
      </c>
      <c r="V1799" s="31"/>
      <c r="X1799" s="240" t="str">
        <f t="shared" si="226"/>
        <v>OK</v>
      </c>
      <c r="Y1799" s="240" t="str">
        <f t="shared" si="227"/>
        <v>OK</v>
      </c>
      <c r="Z1799" s="240" t="str">
        <f t="shared" si="228"/>
        <v>OK</v>
      </c>
      <c r="AA1799" s="240" t="str" cm="1">
        <f t="array" ref="AA1799">IF(OR(AND(J1799="Not accepted",N1799:O1799&lt;&gt;"",$S1799=""),AND(J1799="Accepted",S1799="")),"ERROR","OK")</f>
        <v>OK</v>
      </c>
      <c r="AB1799" s="240" t="str">
        <f t="shared" si="229"/>
        <v>OK</v>
      </c>
      <c r="AC1799" s="240" t="str" cm="1">
        <f t="array" ref="AC1799">IF(AND(F1799:H1799&lt;&gt;"",I1799=""),"ERROR","OK")</f>
        <v>OK</v>
      </c>
      <c r="AD1799" s="240" t="str">
        <f t="shared" si="230"/>
        <v>OK</v>
      </c>
      <c r="AE1799" s="240" t="str">
        <f t="shared" si="231"/>
        <v>OK</v>
      </c>
      <c r="AF1799" s="240" t="str" cm="1">
        <f t="array" aca="1" ref="AF1799" ca="1" xml:space="preserve">
IF(AND($G1799&lt;&gt;"",$F1799=""),"ERROR",
IF(OR($F1799:$G1799="",AND($G1799="",$F1799&lt;&gt;"")),"OK",
IF(COUNTIF(INDIRECT(IFERROR(LEFT($F1799,FIND(" ",$F1799)-1),$F1799)), $G1799)&gt;0, "OK", "ERROR")))</f>
        <v>OK</v>
      </c>
    </row>
    <row r="1800" spans="1:32" s="240" customFormat="1">
      <c r="A1800" s="48"/>
      <c r="B1800" s="31"/>
      <c r="C1800" s="48"/>
      <c r="D1800" s="47"/>
      <c r="E1800" s="47"/>
      <c r="F1800" s="31"/>
      <c r="G1800" s="31"/>
      <c r="H1800" s="31"/>
      <c r="I1800" s="47"/>
      <c r="J1800" s="31"/>
      <c r="K1800" s="47"/>
      <c r="L1800" s="47"/>
      <c r="M1800" s="47"/>
      <c r="N1800" s="31"/>
      <c r="O1800" s="47"/>
      <c r="P1800" s="31"/>
      <c r="Q1800" s="31"/>
      <c r="R1800" s="31"/>
      <c r="S1800" s="31"/>
      <c r="T1800" s="270">
        <f t="shared" si="224"/>
        <v>0</v>
      </c>
      <c r="U1800" s="270">
        <f t="shared" si="225"/>
        <v>0</v>
      </c>
      <c r="V1800" s="31"/>
      <c r="X1800" s="240" t="str">
        <f t="shared" si="226"/>
        <v>OK</v>
      </c>
      <c r="Y1800" s="240" t="str">
        <f t="shared" si="227"/>
        <v>OK</v>
      </c>
      <c r="Z1800" s="240" t="str">
        <f t="shared" si="228"/>
        <v>OK</v>
      </c>
      <c r="AA1800" s="240" t="str" cm="1">
        <f t="array" ref="AA1800">IF(OR(AND(J1800="Not accepted",N1800:O1800&lt;&gt;"",$S1800=""),AND(J1800="Accepted",S1800="")),"ERROR","OK")</f>
        <v>OK</v>
      </c>
      <c r="AB1800" s="240" t="str">
        <f t="shared" si="229"/>
        <v>OK</v>
      </c>
      <c r="AC1800" s="240" t="str" cm="1">
        <f t="array" ref="AC1800">IF(AND(F1800:H1800&lt;&gt;"",I1800=""),"ERROR","OK")</f>
        <v>OK</v>
      </c>
      <c r="AD1800" s="240" t="str">
        <f t="shared" si="230"/>
        <v>OK</v>
      </c>
      <c r="AE1800" s="240" t="str">
        <f t="shared" si="231"/>
        <v>OK</v>
      </c>
      <c r="AF1800" s="240" t="str" cm="1">
        <f t="array" aca="1" ref="AF1800" ca="1" xml:space="preserve">
IF(AND($G1800&lt;&gt;"",$F1800=""),"ERROR",
IF(OR($F1800:$G1800="",AND($G1800="",$F1800&lt;&gt;"")),"OK",
IF(COUNTIF(INDIRECT(IFERROR(LEFT($F1800,FIND(" ",$F1800)-1),$F1800)), $G1800)&gt;0, "OK", "ERROR")))</f>
        <v>OK</v>
      </c>
    </row>
    <row r="1801" spans="1:32" s="240" customFormat="1">
      <c r="A1801" s="48"/>
      <c r="B1801" s="31"/>
      <c r="C1801" s="48"/>
      <c r="D1801" s="47"/>
      <c r="E1801" s="47"/>
      <c r="F1801" s="31"/>
      <c r="G1801" s="31"/>
      <c r="H1801" s="31"/>
      <c r="I1801" s="47"/>
      <c r="J1801" s="31"/>
      <c r="K1801" s="47"/>
      <c r="L1801" s="47"/>
      <c r="M1801" s="47"/>
      <c r="N1801" s="31"/>
      <c r="O1801" s="47"/>
      <c r="P1801" s="31"/>
      <c r="Q1801" s="31"/>
      <c r="R1801" s="31"/>
      <c r="S1801" s="31"/>
      <c r="T1801" s="270">
        <f t="shared" si="224"/>
        <v>0</v>
      </c>
      <c r="U1801" s="270">
        <f t="shared" si="225"/>
        <v>0</v>
      </c>
      <c r="V1801" s="31"/>
      <c r="X1801" s="240" t="str">
        <f t="shared" si="226"/>
        <v>OK</v>
      </c>
      <c r="Y1801" s="240" t="str">
        <f t="shared" si="227"/>
        <v>OK</v>
      </c>
      <c r="Z1801" s="240" t="str">
        <f t="shared" si="228"/>
        <v>OK</v>
      </c>
      <c r="AA1801" s="240" t="str" cm="1">
        <f t="array" ref="AA1801">IF(OR(AND(J1801="Not accepted",N1801:O1801&lt;&gt;"",$S1801=""),AND(J1801="Accepted",S1801="")),"ERROR","OK")</f>
        <v>OK</v>
      </c>
      <c r="AB1801" s="240" t="str">
        <f t="shared" si="229"/>
        <v>OK</v>
      </c>
      <c r="AC1801" s="240" t="str" cm="1">
        <f t="array" ref="AC1801">IF(AND(F1801:H1801&lt;&gt;"",I1801=""),"ERROR","OK")</f>
        <v>OK</v>
      </c>
      <c r="AD1801" s="240" t="str">
        <f t="shared" si="230"/>
        <v>OK</v>
      </c>
      <c r="AE1801" s="240" t="str">
        <f t="shared" si="231"/>
        <v>OK</v>
      </c>
      <c r="AF1801" s="240" t="str" cm="1">
        <f t="array" aca="1" ref="AF1801" ca="1" xml:space="preserve">
IF(AND($G1801&lt;&gt;"",$F1801=""),"ERROR",
IF(OR($F1801:$G1801="",AND($G1801="",$F1801&lt;&gt;"")),"OK",
IF(COUNTIF(INDIRECT(IFERROR(LEFT($F1801,FIND(" ",$F1801)-1),$F1801)), $G1801)&gt;0, "OK", "ERROR")))</f>
        <v>OK</v>
      </c>
    </row>
    <row r="1802" spans="1:32" s="240" customFormat="1">
      <c r="A1802" s="48"/>
      <c r="B1802" s="31"/>
      <c r="C1802" s="48"/>
      <c r="D1802" s="47"/>
      <c r="E1802" s="47"/>
      <c r="F1802" s="31"/>
      <c r="G1802" s="31"/>
      <c r="H1802" s="31"/>
      <c r="I1802" s="47"/>
      <c r="J1802" s="31"/>
      <c r="K1802" s="47"/>
      <c r="L1802" s="47"/>
      <c r="M1802" s="47"/>
      <c r="N1802" s="31"/>
      <c r="O1802" s="47"/>
      <c r="P1802" s="31"/>
      <c r="Q1802" s="31"/>
      <c r="R1802" s="31"/>
      <c r="S1802" s="31"/>
      <c r="T1802" s="270">
        <f t="shared" si="224"/>
        <v>0</v>
      </c>
      <c r="U1802" s="270">
        <f t="shared" si="225"/>
        <v>0</v>
      </c>
      <c r="V1802" s="31"/>
      <c r="X1802" s="240" t="str">
        <f t="shared" si="226"/>
        <v>OK</v>
      </c>
      <c r="Y1802" s="240" t="str">
        <f t="shared" si="227"/>
        <v>OK</v>
      </c>
      <c r="Z1802" s="240" t="str">
        <f t="shared" si="228"/>
        <v>OK</v>
      </c>
      <c r="AA1802" s="240" t="str" cm="1">
        <f t="array" ref="AA1802">IF(OR(AND(J1802="Not accepted",N1802:O1802&lt;&gt;"",$S1802=""),AND(J1802="Accepted",S1802="")),"ERROR","OK")</f>
        <v>OK</v>
      </c>
      <c r="AB1802" s="240" t="str">
        <f t="shared" si="229"/>
        <v>OK</v>
      </c>
      <c r="AC1802" s="240" t="str" cm="1">
        <f t="array" ref="AC1802">IF(AND(F1802:H1802&lt;&gt;"",I1802=""),"ERROR","OK")</f>
        <v>OK</v>
      </c>
      <c r="AD1802" s="240" t="str">
        <f t="shared" si="230"/>
        <v>OK</v>
      </c>
      <c r="AE1802" s="240" t="str">
        <f t="shared" si="231"/>
        <v>OK</v>
      </c>
      <c r="AF1802" s="240" t="str" cm="1">
        <f t="array" aca="1" ref="AF1802" ca="1" xml:space="preserve">
IF(AND($G1802&lt;&gt;"",$F1802=""),"ERROR",
IF(OR($F1802:$G1802="",AND($G1802="",$F1802&lt;&gt;"")),"OK",
IF(COUNTIF(INDIRECT(IFERROR(LEFT($F1802,FIND(" ",$F1802)-1),$F1802)), $G1802)&gt;0, "OK", "ERROR")))</f>
        <v>OK</v>
      </c>
    </row>
    <row r="1803" spans="1:32" s="240" customFormat="1">
      <c r="A1803" s="48"/>
      <c r="B1803" s="31"/>
      <c r="C1803" s="48"/>
      <c r="D1803" s="47"/>
      <c r="E1803" s="47"/>
      <c r="F1803" s="31"/>
      <c r="G1803" s="31"/>
      <c r="H1803" s="31"/>
      <c r="I1803" s="47"/>
      <c r="J1803" s="31"/>
      <c r="K1803" s="47"/>
      <c r="L1803" s="47"/>
      <c r="M1803" s="47"/>
      <c r="N1803" s="31"/>
      <c r="O1803" s="47"/>
      <c r="P1803" s="31"/>
      <c r="Q1803" s="31"/>
      <c r="R1803" s="31"/>
      <c r="S1803" s="31"/>
      <c r="T1803" s="270">
        <f t="shared" si="224"/>
        <v>0</v>
      </c>
      <c r="U1803" s="270">
        <f t="shared" si="225"/>
        <v>0</v>
      </c>
      <c r="V1803" s="31"/>
      <c r="X1803" s="240" t="str">
        <f t="shared" si="226"/>
        <v>OK</v>
      </c>
      <c r="Y1803" s="240" t="str">
        <f t="shared" si="227"/>
        <v>OK</v>
      </c>
      <c r="Z1803" s="240" t="str">
        <f t="shared" si="228"/>
        <v>OK</v>
      </c>
      <c r="AA1803" s="240" t="str" cm="1">
        <f t="array" ref="AA1803">IF(OR(AND(J1803="Not accepted",N1803:O1803&lt;&gt;"",$S1803=""),AND(J1803="Accepted",S1803="")),"ERROR","OK")</f>
        <v>OK</v>
      </c>
      <c r="AB1803" s="240" t="str">
        <f t="shared" si="229"/>
        <v>OK</v>
      </c>
      <c r="AC1803" s="240" t="str" cm="1">
        <f t="array" ref="AC1803">IF(AND(F1803:H1803&lt;&gt;"",I1803=""),"ERROR","OK")</f>
        <v>OK</v>
      </c>
      <c r="AD1803" s="240" t="str">
        <f t="shared" si="230"/>
        <v>OK</v>
      </c>
      <c r="AE1803" s="240" t="str">
        <f t="shared" si="231"/>
        <v>OK</v>
      </c>
      <c r="AF1803" s="240" t="str" cm="1">
        <f t="array" aca="1" ref="AF1803" ca="1" xml:space="preserve">
IF(AND($G1803&lt;&gt;"",$F1803=""),"ERROR",
IF(OR($F1803:$G1803="",AND($G1803="",$F1803&lt;&gt;"")),"OK",
IF(COUNTIF(INDIRECT(IFERROR(LEFT($F1803,FIND(" ",$F1803)-1),$F1803)), $G1803)&gt;0, "OK", "ERROR")))</f>
        <v>OK</v>
      </c>
    </row>
    <row r="1804" spans="1:32" s="240" customFormat="1">
      <c r="A1804" s="48"/>
      <c r="B1804" s="31"/>
      <c r="C1804" s="48"/>
      <c r="D1804" s="47"/>
      <c r="E1804" s="47"/>
      <c r="F1804" s="31"/>
      <c r="G1804" s="31"/>
      <c r="H1804" s="31"/>
      <c r="I1804" s="47"/>
      <c r="J1804" s="31"/>
      <c r="K1804" s="47"/>
      <c r="L1804" s="47"/>
      <c r="M1804" s="47"/>
      <c r="N1804" s="31"/>
      <c r="O1804" s="47"/>
      <c r="P1804" s="31"/>
      <c r="Q1804" s="31"/>
      <c r="R1804" s="31"/>
      <c r="S1804" s="31"/>
      <c r="T1804" s="270">
        <f t="shared" si="224"/>
        <v>0</v>
      </c>
      <c r="U1804" s="270">
        <f t="shared" si="225"/>
        <v>0</v>
      </c>
      <c r="V1804" s="31"/>
      <c r="X1804" s="240" t="str">
        <f t="shared" si="226"/>
        <v>OK</v>
      </c>
      <c r="Y1804" s="240" t="str">
        <f t="shared" si="227"/>
        <v>OK</v>
      </c>
      <c r="Z1804" s="240" t="str">
        <f t="shared" si="228"/>
        <v>OK</v>
      </c>
      <c r="AA1804" s="240" t="str" cm="1">
        <f t="array" ref="AA1804">IF(OR(AND(J1804="Not accepted",N1804:O1804&lt;&gt;"",$S1804=""),AND(J1804="Accepted",S1804="")),"ERROR","OK")</f>
        <v>OK</v>
      </c>
      <c r="AB1804" s="240" t="str">
        <f t="shared" si="229"/>
        <v>OK</v>
      </c>
      <c r="AC1804" s="240" t="str" cm="1">
        <f t="array" ref="AC1804">IF(AND(F1804:H1804&lt;&gt;"",I1804=""),"ERROR","OK")</f>
        <v>OK</v>
      </c>
      <c r="AD1804" s="240" t="str">
        <f t="shared" si="230"/>
        <v>OK</v>
      </c>
      <c r="AE1804" s="240" t="str">
        <f t="shared" si="231"/>
        <v>OK</v>
      </c>
      <c r="AF1804" s="240" t="str" cm="1">
        <f t="array" aca="1" ref="AF1804" ca="1" xml:space="preserve">
IF(AND($G1804&lt;&gt;"",$F1804=""),"ERROR",
IF(OR($F1804:$G1804="",AND($G1804="",$F1804&lt;&gt;"")),"OK",
IF(COUNTIF(INDIRECT(IFERROR(LEFT($F1804,FIND(" ",$F1804)-1),$F1804)), $G1804)&gt;0, "OK", "ERROR")))</f>
        <v>OK</v>
      </c>
    </row>
    <row r="1805" spans="1:32" s="240" customFormat="1">
      <c r="A1805" s="48"/>
      <c r="B1805" s="31"/>
      <c r="C1805" s="48"/>
      <c r="D1805" s="47"/>
      <c r="E1805" s="47"/>
      <c r="F1805" s="31"/>
      <c r="G1805" s="31"/>
      <c r="H1805" s="31"/>
      <c r="I1805" s="47"/>
      <c r="J1805" s="31"/>
      <c r="K1805" s="47"/>
      <c r="L1805" s="47"/>
      <c r="M1805" s="47"/>
      <c r="N1805" s="31"/>
      <c r="O1805" s="47"/>
      <c r="P1805" s="31"/>
      <c r="Q1805" s="31"/>
      <c r="R1805" s="31"/>
      <c r="S1805" s="31"/>
      <c r="T1805" s="270">
        <f t="shared" si="224"/>
        <v>0</v>
      </c>
      <c r="U1805" s="270">
        <f t="shared" si="225"/>
        <v>0</v>
      </c>
      <c r="V1805" s="31"/>
      <c r="X1805" s="240" t="str">
        <f t="shared" si="226"/>
        <v>OK</v>
      </c>
      <c r="Y1805" s="240" t="str">
        <f t="shared" si="227"/>
        <v>OK</v>
      </c>
      <c r="Z1805" s="240" t="str">
        <f t="shared" si="228"/>
        <v>OK</v>
      </c>
      <c r="AA1805" s="240" t="str" cm="1">
        <f t="array" ref="AA1805">IF(OR(AND(J1805="Not accepted",N1805:O1805&lt;&gt;"",$S1805=""),AND(J1805="Accepted",S1805="")),"ERROR","OK")</f>
        <v>OK</v>
      </c>
      <c r="AB1805" s="240" t="str">
        <f t="shared" si="229"/>
        <v>OK</v>
      </c>
      <c r="AC1805" s="240" t="str" cm="1">
        <f t="array" ref="AC1805">IF(AND(F1805:H1805&lt;&gt;"",I1805=""),"ERROR","OK")</f>
        <v>OK</v>
      </c>
      <c r="AD1805" s="240" t="str">
        <f t="shared" si="230"/>
        <v>OK</v>
      </c>
      <c r="AE1805" s="240" t="str">
        <f t="shared" si="231"/>
        <v>OK</v>
      </c>
      <c r="AF1805" s="240" t="str" cm="1">
        <f t="array" aca="1" ref="AF1805" ca="1" xml:space="preserve">
IF(AND($G1805&lt;&gt;"",$F1805=""),"ERROR",
IF(OR($F1805:$G1805="",AND($G1805="",$F1805&lt;&gt;"")),"OK",
IF(COUNTIF(INDIRECT(IFERROR(LEFT($F1805,FIND(" ",$F1805)-1),$F1805)), $G1805)&gt;0, "OK", "ERROR")))</f>
        <v>OK</v>
      </c>
    </row>
    <row r="1806" spans="1:32" s="240" customFormat="1">
      <c r="A1806" s="48"/>
      <c r="B1806" s="31"/>
      <c r="C1806" s="48"/>
      <c r="D1806" s="47"/>
      <c r="E1806" s="47"/>
      <c r="F1806" s="31"/>
      <c r="G1806" s="31"/>
      <c r="H1806" s="31"/>
      <c r="I1806" s="47"/>
      <c r="J1806" s="31"/>
      <c r="K1806" s="47"/>
      <c r="L1806" s="47"/>
      <c r="M1806" s="47"/>
      <c r="N1806" s="31"/>
      <c r="O1806" s="47"/>
      <c r="P1806" s="31"/>
      <c r="Q1806" s="31"/>
      <c r="R1806" s="31"/>
      <c r="S1806" s="31"/>
      <c r="T1806" s="270">
        <f t="shared" si="224"/>
        <v>0</v>
      </c>
      <c r="U1806" s="270">
        <f t="shared" si="225"/>
        <v>0</v>
      </c>
      <c r="V1806" s="31"/>
      <c r="X1806" s="240" t="str">
        <f t="shared" si="226"/>
        <v>OK</v>
      </c>
      <c r="Y1806" s="240" t="str">
        <f t="shared" si="227"/>
        <v>OK</v>
      </c>
      <c r="Z1806" s="240" t="str">
        <f t="shared" si="228"/>
        <v>OK</v>
      </c>
      <c r="AA1806" s="240" t="str" cm="1">
        <f t="array" ref="AA1806">IF(OR(AND(J1806="Not accepted",N1806:O1806&lt;&gt;"",$S1806=""),AND(J1806="Accepted",S1806="")),"ERROR","OK")</f>
        <v>OK</v>
      </c>
      <c r="AB1806" s="240" t="str">
        <f t="shared" si="229"/>
        <v>OK</v>
      </c>
      <c r="AC1806" s="240" t="str" cm="1">
        <f t="array" ref="AC1806">IF(AND(F1806:H1806&lt;&gt;"",I1806=""),"ERROR","OK")</f>
        <v>OK</v>
      </c>
      <c r="AD1806" s="240" t="str">
        <f t="shared" si="230"/>
        <v>OK</v>
      </c>
      <c r="AE1806" s="240" t="str">
        <f t="shared" si="231"/>
        <v>OK</v>
      </c>
      <c r="AF1806" s="240" t="str" cm="1">
        <f t="array" aca="1" ref="AF1806" ca="1" xml:space="preserve">
IF(AND($G1806&lt;&gt;"",$F1806=""),"ERROR",
IF(OR($F1806:$G1806="",AND($G1806="",$F1806&lt;&gt;"")),"OK",
IF(COUNTIF(INDIRECT(IFERROR(LEFT($F1806,FIND(" ",$F1806)-1),$F1806)), $G1806)&gt;0, "OK", "ERROR")))</f>
        <v>OK</v>
      </c>
    </row>
    <row r="1807" spans="1:32" s="240" customFormat="1">
      <c r="A1807" s="48"/>
      <c r="B1807" s="31"/>
      <c r="C1807" s="48"/>
      <c r="D1807" s="47"/>
      <c r="E1807" s="47"/>
      <c r="F1807" s="31"/>
      <c r="G1807" s="31"/>
      <c r="H1807" s="31"/>
      <c r="I1807" s="47"/>
      <c r="J1807" s="31"/>
      <c r="K1807" s="47"/>
      <c r="L1807" s="47"/>
      <c r="M1807" s="47"/>
      <c r="N1807" s="31"/>
      <c r="O1807" s="47"/>
      <c r="P1807" s="31"/>
      <c r="Q1807" s="31"/>
      <c r="R1807" s="31"/>
      <c r="S1807" s="31"/>
      <c r="T1807" s="270">
        <f t="shared" si="224"/>
        <v>0</v>
      </c>
      <c r="U1807" s="270">
        <f t="shared" si="225"/>
        <v>0</v>
      </c>
      <c r="V1807" s="31"/>
      <c r="X1807" s="240" t="str">
        <f t="shared" si="226"/>
        <v>OK</v>
      </c>
      <c r="Y1807" s="240" t="str">
        <f t="shared" si="227"/>
        <v>OK</v>
      </c>
      <c r="Z1807" s="240" t="str">
        <f t="shared" si="228"/>
        <v>OK</v>
      </c>
      <c r="AA1807" s="240" t="str" cm="1">
        <f t="array" ref="AA1807">IF(OR(AND(J1807="Not accepted",N1807:O1807&lt;&gt;"",$S1807=""),AND(J1807="Accepted",S1807="")),"ERROR","OK")</f>
        <v>OK</v>
      </c>
      <c r="AB1807" s="240" t="str">
        <f t="shared" si="229"/>
        <v>OK</v>
      </c>
      <c r="AC1807" s="240" t="str" cm="1">
        <f t="array" ref="AC1807">IF(AND(F1807:H1807&lt;&gt;"",I1807=""),"ERROR","OK")</f>
        <v>OK</v>
      </c>
      <c r="AD1807" s="240" t="str">
        <f t="shared" si="230"/>
        <v>OK</v>
      </c>
      <c r="AE1807" s="240" t="str">
        <f t="shared" si="231"/>
        <v>OK</v>
      </c>
      <c r="AF1807" s="240" t="str" cm="1">
        <f t="array" aca="1" ref="AF1807" ca="1" xml:space="preserve">
IF(AND($G1807&lt;&gt;"",$F1807=""),"ERROR",
IF(OR($F1807:$G1807="",AND($G1807="",$F1807&lt;&gt;"")),"OK",
IF(COUNTIF(INDIRECT(IFERROR(LEFT($F1807,FIND(" ",$F1807)-1),$F1807)), $G1807)&gt;0, "OK", "ERROR")))</f>
        <v>OK</v>
      </c>
    </row>
    <row r="1808" spans="1:32" s="240" customFormat="1">
      <c r="A1808" s="48"/>
      <c r="B1808" s="31"/>
      <c r="C1808" s="48"/>
      <c r="D1808" s="47"/>
      <c r="E1808" s="47"/>
      <c r="F1808" s="31"/>
      <c r="G1808" s="31"/>
      <c r="H1808" s="31"/>
      <c r="I1808" s="47"/>
      <c r="J1808" s="31"/>
      <c r="K1808" s="47"/>
      <c r="L1808" s="47"/>
      <c r="M1808" s="47"/>
      <c r="N1808" s="31"/>
      <c r="O1808" s="47"/>
      <c r="P1808" s="31"/>
      <c r="Q1808" s="31"/>
      <c r="R1808" s="31"/>
      <c r="S1808" s="31"/>
      <c r="T1808" s="270">
        <f t="shared" si="224"/>
        <v>0</v>
      </c>
      <c r="U1808" s="270">
        <f t="shared" si="225"/>
        <v>0</v>
      </c>
      <c r="V1808" s="31"/>
      <c r="X1808" s="240" t="str">
        <f t="shared" si="226"/>
        <v>OK</v>
      </c>
      <c r="Y1808" s="240" t="str">
        <f t="shared" si="227"/>
        <v>OK</v>
      </c>
      <c r="Z1808" s="240" t="str">
        <f t="shared" si="228"/>
        <v>OK</v>
      </c>
      <c r="AA1808" s="240" t="str" cm="1">
        <f t="array" ref="AA1808">IF(OR(AND(J1808="Not accepted",N1808:O1808&lt;&gt;"",$S1808=""),AND(J1808="Accepted",S1808="")),"ERROR","OK")</f>
        <v>OK</v>
      </c>
      <c r="AB1808" s="240" t="str">
        <f t="shared" si="229"/>
        <v>OK</v>
      </c>
      <c r="AC1808" s="240" t="str" cm="1">
        <f t="array" ref="AC1808">IF(AND(F1808:H1808&lt;&gt;"",I1808=""),"ERROR","OK")</f>
        <v>OK</v>
      </c>
      <c r="AD1808" s="240" t="str">
        <f t="shared" si="230"/>
        <v>OK</v>
      </c>
      <c r="AE1808" s="240" t="str">
        <f t="shared" si="231"/>
        <v>OK</v>
      </c>
      <c r="AF1808" s="240" t="str" cm="1">
        <f t="array" aca="1" ref="AF1808" ca="1" xml:space="preserve">
IF(AND($G1808&lt;&gt;"",$F1808=""),"ERROR",
IF(OR($F1808:$G1808="",AND($G1808="",$F1808&lt;&gt;"")),"OK",
IF(COUNTIF(INDIRECT(IFERROR(LEFT($F1808,FIND(" ",$F1808)-1),$F1808)), $G1808)&gt;0, "OK", "ERROR")))</f>
        <v>OK</v>
      </c>
    </row>
    <row r="1809" spans="1:32" s="240" customFormat="1">
      <c r="A1809" s="48"/>
      <c r="B1809" s="31"/>
      <c r="C1809" s="48"/>
      <c r="D1809" s="47"/>
      <c r="E1809" s="47"/>
      <c r="F1809" s="31"/>
      <c r="G1809" s="31"/>
      <c r="H1809" s="31"/>
      <c r="I1809" s="47"/>
      <c r="J1809" s="31"/>
      <c r="K1809" s="47"/>
      <c r="L1809" s="47"/>
      <c r="M1809" s="47"/>
      <c r="N1809" s="31"/>
      <c r="O1809" s="47"/>
      <c r="P1809" s="31"/>
      <c r="Q1809" s="31"/>
      <c r="R1809" s="31"/>
      <c r="S1809" s="31"/>
      <c r="T1809" s="270">
        <f t="shared" si="224"/>
        <v>0</v>
      </c>
      <c r="U1809" s="270">
        <f t="shared" si="225"/>
        <v>0</v>
      </c>
      <c r="V1809" s="31"/>
      <c r="X1809" s="240" t="str">
        <f t="shared" si="226"/>
        <v>OK</v>
      </c>
      <c r="Y1809" s="240" t="str">
        <f t="shared" si="227"/>
        <v>OK</v>
      </c>
      <c r="Z1809" s="240" t="str">
        <f t="shared" si="228"/>
        <v>OK</v>
      </c>
      <c r="AA1809" s="240" t="str" cm="1">
        <f t="array" ref="AA1809">IF(OR(AND(J1809="Not accepted",N1809:O1809&lt;&gt;"",$S1809=""),AND(J1809="Accepted",S1809="")),"ERROR","OK")</f>
        <v>OK</v>
      </c>
      <c r="AB1809" s="240" t="str">
        <f t="shared" si="229"/>
        <v>OK</v>
      </c>
      <c r="AC1809" s="240" t="str" cm="1">
        <f t="array" ref="AC1809">IF(AND(F1809:H1809&lt;&gt;"",I1809=""),"ERROR","OK")</f>
        <v>OK</v>
      </c>
      <c r="AD1809" s="240" t="str">
        <f t="shared" si="230"/>
        <v>OK</v>
      </c>
      <c r="AE1809" s="240" t="str">
        <f t="shared" si="231"/>
        <v>OK</v>
      </c>
      <c r="AF1809" s="240" t="str" cm="1">
        <f t="array" aca="1" ref="AF1809" ca="1" xml:space="preserve">
IF(AND($G1809&lt;&gt;"",$F1809=""),"ERROR",
IF(OR($F1809:$G1809="",AND($G1809="",$F1809&lt;&gt;"")),"OK",
IF(COUNTIF(INDIRECT(IFERROR(LEFT($F1809,FIND(" ",$F1809)-1),$F1809)), $G1809)&gt;0, "OK", "ERROR")))</f>
        <v>OK</v>
      </c>
    </row>
    <row r="1810" spans="1:32" s="240" customFormat="1">
      <c r="A1810" s="48"/>
      <c r="B1810" s="31"/>
      <c r="C1810" s="48"/>
      <c r="D1810" s="47"/>
      <c r="E1810" s="47"/>
      <c r="F1810" s="31"/>
      <c r="G1810" s="31"/>
      <c r="H1810" s="31"/>
      <c r="I1810" s="47"/>
      <c r="J1810" s="31"/>
      <c r="K1810" s="47"/>
      <c r="L1810" s="47"/>
      <c r="M1810" s="47"/>
      <c r="N1810" s="31"/>
      <c r="O1810" s="47"/>
      <c r="P1810" s="31"/>
      <c r="Q1810" s="31"/>
      <c r="R1810" s="31"/>
      <c r="S1810" s="31"/>
      <c r="T1810" s="270">
        <f t="shared" si="224"/>
        <v>0</v>
      </c>
      <c r="U1810" s="270">
        <f t="shared" si="225"/>
        <v>0</v>
      </c>
      <c r="V1810" s="31"/>
      <c r="X1810" s="240" t="str">
        <f t="shared" si="226"/>
        <v>OK</v>
      </c>
      <c r="Y1810" s="240" t="str">
        <f t="shared" si="227"/>
        <v>OK</v>
      </c>
      <c r="Z1810" s="240" t="str">
        <f t="shared" si="228"/>
        <v>OK</v>
      </c>
      <c r="AA1810" s="240" t="str" cm="1">
        <f t="array" ref="AA1810">IF(OR(AND(J1810="Not accepted",N1810:O1810&lt;&gt;"",$S1810=""),AND(J1810="Accepted",S1810="")),"ERROR","OK")</f>
        <v>OK</v>
      </c>
      <c r="AB1810" s="240" t="str">
        <f t="shared" si="229"/>
        <v>OK</v>
      </c>
      <c r="AC1810" s="240" t="str" cm="1">
        <f t="array" ref="AC1810">IF(AND(F1810:H1810&lt;&gt;"",I1810=""),"ERROR","OK")</f>
        <v>OK</v>
      </c>
      <c r="AD1810" s="240" t="str">
        <f t="shared" si="230"/>
        <v>OK</v>
      </c>
      <c r="AE1810" s="240" t="str">
        <f t="shared" si="231"/>
        <v>OK</v>
      </c>
      <c r="AF1810" s="240" t="str" cm="1">
        <f t="array" aca="1" ref="AF1810" ca="1" xml:space="preserve">
IF(AND($G1810&lt;&gt;"",$F1810=""),"ERROR",
IF(OR($F1810:$G1810="",AND($G1810="",$F1810&lt;&gt;"")),"OK",
IF(COUNTIF(INDIRECT(IFERROR(LEFT($F1810,FIND(" ",$F1810)-1),$F1810)), $G1810)&gt;0, "OK", "ERROR")))</f>
        <v>OK</v>
      </c>
    </row>
    <row r="1811" spans="1:32" s="240" customFormat="1">
      <c r="A1811" s="48"/>
      <c r="B1811" s="31"/>
      <c r="C1811" s="48"/>
      <c r="D1811" s="47"/>
      <c r="E1811" s="47"/>
      <c r="F1811" s="31"/>
      <c r="G1811" s="31"/>
      <c r="H1811" s="31"/>
      <c r="I1811" s="47"/>
      <c r="J1811" s="31"/>
      <c r="K1811" s="47"/>
      <c r="L1811" s="47"/>
      <c r="M1811" s="47"/>
      <c r="N1811" s="31"/>
      <c r="O1811" s="47"/>
      <c r="P1811" s="31"/>
      <c r="Q1811" s="31"/>
      <c r="R1811" s="31"/>
      <c r="S1811" s="31"/>
      <c r="T1811" s="270">
        <f t="shared" si="224"/>
        <v>0</v>
      </c>
      <c r="U1811" s="270">
        <f t="shared" si="225"/>
        <v>0</v>
      </c>
      <c r="V1811" s="31"/>
      <c r="X1811" s="240" t="str">
        <f t="shared" si="226"/>
        <v>OK</v>
      </c>
      <c r="Y1811" s="240" t="str">
        <f t="shared" si="227"/>
        <v>OK</v>
      </c>
      <c r="Z1811" s="240" t="str">
        <f t="shared" si="228"/>
        <v>OK</v>
      </c>
      <c r="AA1811" s="240" t="str" cm="1">
        <f t="array" ref="AA1811">IF(OR(AND(J1811="Not accepted",N1811:O1811&lt;&gt;"",$S1811=""),AND(J1811="Accepted",S1811="")),"ERROR","OK")</f>
        <v>OK</v>
      </c>
      <c r="AB1811" s="240" t="str">
        <f t="shared" si="229"/>
        <v>OK</v>
      </c>
      <c r="AC1811" s="240" t="str" cm="1">
        <f t="array" ref="AC1811">IF(AND(F1811:H1811&lt;&gt;"",I1811=""),"ERROR","OK")</f>
        <v>OK</v>
      </c>
      <c r="AD1811" s="240" t="str">
        <f t="shared" si="230"/>
        <v>OK</v>
      </c>
      <c r="AE1811" s="240" t="str">
        <f t="shared" si="231"/>
        <v>OK</v>
      </c>
      <c r="AF1811" s="240" t="str" cm="1">
        <f t="array" aca="1" ref="AF1811" ca="1" xml:space="preserve">
IF(AND($G1811&lt;&gt;"",$F1811=""),"ERROR",
IF(OR($F1811:$G1811="",AND($G1811="",$F1811&lt;&gt;"")),"OK",
IF(COUNTIF(INDIRECT(IFERROR(LEFT($F1811,FIND(" ",$F1811)-1),$F1811)), $G1811)&gt;0, "OK", "ERROR")))</f>
        <v>OK</v>
      </c>
    </row>
    <row r="1812" spans="1:32" s="240" customFormat="1">
      <c r="A1812" s="48"/>
      <c r="B1812" s="31"/>
      <c r="C1812" s="48"/>
      <c r="D1812" s="47"/>
      <c r="E1812" s="47"/>
      <c r="F1812" s="31"/>
      <c r="G1812" s="31"/>
      <c r="H1812" s="31"/>
      <c r="I1812" s="47"/>
      <c r="J1812" s="31"/>
      <c r="K1812" s="47"/>
      <c r="L1812" s="47"/>
      <c r="M1812" s="47"/>
      <c r="N1812" s="31"/>
      <c r="O1812" s="47"/>
      <c r="P1812" s="31"/>
      <c r="Q1812" s="31"/>
      <c r="R1812" s="31"/>
      <c r="S1812" s="31"/>
      <c r="T1812" s="270">
        <f t="shared" si="224"/>
        <v>0</v>
      </c>
      <c r="U1812" s="270">
        <f t="shared" si="225"/>
        <v>0</v>
      </c>
      <c r="V1812" s="31"/>
      <c r="X1812" s="240" t="str">
        <f t="shared" si="226"/>
        <v>OK</v>
      </c>
      <c r="Y1812" s="240" t="str">
        <f t="shared" si="227"/>
        <v>OK</v>
      </c>
      <c r="Z1812" s="240" t="str">
        <f t="shared" si="228"/>
        <v>OK</v>
      </c>
      <c r="AA1812" s="240" t="str" cm="1">
        <f t="array" ref="AA1812">IF(OR(AND(J1812="Not accepted",N1812:O1812&lt;&gt;"",$S1812=""),AND(J1812="Accepted",S1812="")),"ERROR","OK")</f>
        <v>OK</v>
      </c>
      <c r="AB1812" s="240" t="str">
        <f t="shared" si="229"/>
        <v>OK</v>
      </c>
      <c r="AC1812" s="240" t="str" cm="1">
        <f t="array" ref="AC1812">IF(AND(F1812:H1812&lt;&gt;"",I1812=""),"ERROR","OK")</f>
        <v>OK</v>
      </c>
      <c r="AD1812" s="240" t="str">
        <f t="shared" si="230"/>
        <v>OK</v>
      </c>
      <c r="AE1812" s="240" t="str">
        <f t="shared" si="231"/>
        <v>OK</v>
      </c>
      <c r="AF1812" s="240" t="str" cm="1">
        <f t="array" aca="1" ref="AF1812" ca="1" xml:space="preserve">
IF(AND($G1812&lt;&gt;"",$F1812=""),"ERROR",
IF(OR($F1812:$G1812="",AND($G1812="",$F1812&lt;&gt;"")),"OK",
IF(COUNTIF(INDIRECT(IFERROR(LEFT($F1812,FIND(" ",$F1812)-1),$F1812)), $G1812)&gt;0, "OK", "ERROR")))</f>
        <v>OK</v>
      </c>
    </row>
    <row r="1813" spans="1:32" s="240" customFormat="1">
      <c r="A1813" s="48"/>
      <c r="B1813" s="31"/>
      <c r="C1813" s="48"/>
      <c r="D1813" s="47"/>
      <c r="E1813" s="47"/>
      <c r="F1813" s="31"/>
      <c r="G1813" s="31"/>
      <c r="H1813" s="31"/>
      <c r="I1813" s="47"/>
      <c r="J1813" s="31"/>
      <c r="K1813" s="47"/>
      <c r="L1813" s="47"/>
      <c r="M1813" s="47"/>
      <c r="N1813" s="31"/>
      <c r="O1813" s="47"/>
      <c r="P1813" s="31"/>
      <c r="Q1813" s="31"/>
      <c r="R1813" s="31"/>
      <c r="S1813" s="31"/>
      <c r="T1813" s="270">
        <f t="shared" si="224"/>
        <v>0</v>
      </c>
      <c r="U1813" s="270">
        <f t="shared" si="225"/>
        <v>0</v>
      </c>
      <c r="V1813" s="31"/>
      <c r="X1813" s="240" t="str">
        <f t="shared" si="226"/>
        <v>OK</v>
      </c>
      <c r="Y1813" s="240" t="str">
        <f t="shared" si="227"/>
        <v>OK</v>
      </c>
      <c r="Z1813" s="240" t="str">
        <f t="shared" si="228"/>
        <v>OK</v>
      </c>
      <c r="AA1813" s="240" t="str" cm="1">
        <f t="array" ref="AA1813">IF(OR(AND(J1813="Not accepted",N1813:O1813&lt;&gt;"",$S1813=""),AND(J1813="Accepted",S1813="")),"ERROR","OK")</f>
        <v>OK</v>
      </c>
      <c r="AB1813" s="240" t="str">
        <f t="shared" si="229"/>
        <v>OK</v>
      </c>
      <c r="AC1813" s="240" t="str" cm="1">
        <f t="array" ref="AC1813">IF(AND(F1813:H1813&lt;&gt;"",I1813=""),"ERROR","OK")</f>
        <v>OK</v>
      </c>
      <c r="AD1813" s="240" t="str">
        <f t="shared" si="230"/>
        <v>OK</v>
      </c>
      <c r="AE1813" s="240" t="str">
        <f t="shared" si="231"/>
        <v>OK</v>
      </c>
      <c r="AF1813" s="240" t="str" cm="1">
        <f t="array" aca="1" ref="AF1813" ca="1" xml:space="preserve">
IF(AND($G1813&lt;&gt;"",$F1813=""),"ERROR",
IF(OR($F1813:$G1813="",AND($G1813="",$F1813&lt;&gt;"")),"OK",
IF(COUNTIF(INDIRECT(IFERROR(LEFT($F1813,FIND(" ",$F1813)-1),$F1813)), $G1813)&gt;0, "OK", "ERROR")))</f>
        <v>OK</v>
      </c>
    </row>
    <row r="1814" spans="1:32" s="240" customFormat="1">
      <c r="A1814" s="48"/>
      <c r="B1814" s="31"/>
      <c r="C1814" s="48"/>
      <c r="D1814" s="47"/>
      <c r="E1814" s="47"/>
      <c r="F1814" s="31"/>
      <c r="G1814" s="31"/>
      <c r="H1814" s="31"/>
      <c r="I1814" s="47"/>
      <c r="J1814" s="31"/>
      <c r="K1814" s="47"/>
      <c r="L1814" s="47"/>
      <c r="M1814" s="47"/>
      <c r="N1814" s="31"/>
      <c r="O1814" s="47"/>
      <c r="P1814" s="31"/>
      <c r="Q1814" s="31"/>
      <c r="R1814" s="31"/>
      <c r="S1814" s="31"/>
      <c r="T1814" s="270">
        <f t="shared" si="224"/>
        <v>0</v>
      </c>
      <c r="U1814" s="270">
        <f t="shared" si="225"/>
        <v>0</v>
      </c>
      <c r="V1814" s="31"/>
      <c r="X1814" s="240" t="str">
        <f t="shared" si="226"/>
        <v>OK</v>
      </c>
      <c r="Y1814" s="240" t="str">
        <f t="shared" si="227"/>
        <v>OK</v>
      </c>
      <c r="Z1814" s="240" t="str">
        <f t="shared" si="228"/>
        <v>OK</v>
      </c>
      <c r="AA1814" s="240" t="str" cm="1">
        <f t="array" ref="AA1814">IF(OR(AND(J1814="Not accepted",N1814:O1814&lt;&gt;"",$S1814=""),AND(J1814="Accepted",S1814="")),"ERROR","OK")</f>
        <v>OK</v>
      </c>
      <c r="AB1814" s="240" t="str">
        <f t="shared" si="229"/>
        <v>OK</v>
      </c>
      <c r="AC1814" s="240" t="str" cm="1">
        <f t="array" ref="AC1814">IF(AND(F1814:H1814&lt;&gt;"",I1814=""),"ERROR","OK")</f>
        <v>OK</v>
      </c>
      <c r="AD1814" s="240" t="str">
        <f t="shared" si="230"/>
        <v>OK</v>
      </c>
      <c r="AE1814" s="240" t="str">
        <f t="shared" si="231"/>
        <v>OK</v>
      </c>
      <c r="AF1814" s="240" t="str" cm="1">
        <f t="array" aca="1" ref="AF1814" ca="1" xml:space="preserve">
IF(AND($G1814&lt;&gt;"",$F1814=""),"ERROR",
IF(OR($F1814:$G1814="",AND($G1814="",$F1814&lt;&gt;"")),"OK",
IF(COUNTIF(INDIRECT(IFERROR(LEFT($F1814,FIND(" ",$F1814)-1),$F1814)), $G1814)&gt;0, "OK", "ERROR")))</f>
        <v>OK</v>
      </c>
    </row>
    <row r="1815" spans="1:32" s="240" customFormat="1">
      <c r="A1815" s="48"/>
      <c r="B1815" s="31"/>
      <c r="C1815" s="48"/>
      <c r="D1815" s="47"/>
      <c r="E1815" s="47"/>
      <c r="F1815" s="31"/>
      <c r="G1815" s="31"/>
      <c r="H1815" s="31"/>
      <c r="I1815" s="47"/>
      <c r="J1815" s="31"/>
      <c r="K1815" s="47"/>
      <c r="L1815" s="47"/>
      <c r="M1815" s="47"/>
      <c r="N1815" s="31"/>
      <c r="O1815" s="47"/>
      <c r="P1815" s="31"/>
      <c r="Q1815" s="31"/>
      <c r="R1815" s="31"/>
      <c r="S1815" s="31"/>
      <c r="T1815" s="270">
        <f t="shared" si="224"/>
        <v>0</v>
      </c>
      <c r="U1815" s="270">
        <f t="shared" si="225"/>
        <v>0</v>
      </c>
      <c r="V1815" s="31"/>
      <c r="X1815" s="240" t="str">
        <f t="shared" si="226"/>
        <v>OK</v>
      </c>
      <c r="Y1815" s="240" t="str">
        <f t="shared" si="227"/>
        <v>OK</v>
      </c>
      <c r="Z1815" s="240" t="str">
        <f t="shared" si="228"/>
        <v>OK</v>
      </c>
      <c r="AA1815" s="240" t="str" cm="1">
        <f t="array" ref="AA1815">IF(OR(AND(J1815="Not accepted",N1815:O1815&lt;&gt;"",$S1815=""),AND(J1815="Accepted",S1815="")),"ERROR","OK")</f>
        <v>OK</v>
      </c>
      <c r="AB1815" s="240" t="str">
        <f t="shared" si="229"/>
        <v>OK</v>
      </c>
      <c r="AC1815" s="240" t="str" cm="1">
        <f t="array" ref="AC1815">IF(AND(F1815:H1815&lt;&gt;"",I1815=""),"ERROR","OK")</f>
        <v>OK</v>
      </c>
      <c r="AD1815" s="240" t="str">
        <f t="shared" si="230"/>
        <v>OK</v>
      </c>
      <c r="AE1815" s="240" t="str">
        <f t="shared" si="231"/>
        <v>OK</v>
      </c>
      <c r="AF1815" s="240" t="str" cm="1">
        <f t="array" aca="1" ref="AF1815" ca="1" xml:space="preserve">
IF(AND($G1815&lt;&gt;"",$F1815=""),"ERROR",
IF(OR($F1815:$G1815="",AND($G1815="",$F1815&lt;&gt;"")),"OK",
IF(COUNTIF(INDIRECT(IFERROR(LEFT($F1815,FIND(" ",$F1815)-1),$F1815)), $G1815)&gt;0, "OK", "ERROR")))</f>
        <v>OK</v>
      </c>
    </row>
    <row r="1816" spans="1:32" s="240" customFormat="1">
      <c r="A1816" s="48"/>
      <c r="B1816" s="31"/>
      <c r="C1816" s="48"/>
      <c r="D1816" s="47"/>
      <c r="E1816" s="47"/>
      <c r="F1816" s="31"/>
      <c r="G1816" s="31"/>
      <c r="H1816" s="31"/>
      <c r="I1816" s="47"/>
      <c r="J1816" s="31"/>
      <c r="K1816" s="47"/>
      <c r="L1816" s="47"/>
      <c r="M1816" s="47"/>
      <c r="N1816" s="31"/>
      <c r="O1816" s="47"/>
      <c r="P1816" s="31"/>
      <c r="Q1816" s="31"/>
      <c r="R1816" s="31"/>
      <c r="S1816" s="31"/>
      <c r="T1816" s="270">
        <f t="shared" si="224"/>
        <v>0</v>
      </c>
      <c r="U1816" s="270">
        <f t="shared" si="225"/>
        <v>0</v>
      </c>
      <c r="V1816" s="31"/>
      <c r="X1816" s="240" t="str">
        <f t="shared" si="226"/>
        <v>OK</v>
      </c>
      <c r="Y1816" s="240" t="str">
        <f t="shared" si="227"/>
        <v>OK</v>
      </c>
      <c r="Z1816" s="240" t="str">
        <f t="shared" si="228"/>
        <v>OK</v>
      </c>
      <c r="AA1816" s="240" t="str" cm="1">
        <f t="array" ref="AA1816">IF(OR(AND(J1816="Not accepted",N1816:O1816&lt;&gt;"",$S1816=""),AND(J1816="Accepted",S1816="")),"ERROR","OK")</f>
        <v>OK</v>
      </c>
      <c r="AB1816" s="240" t="str">
        <f t="shared" si="229"/>
        <v>OK</v>
      </c>
      <c r="AC1816" s="240" t="str" cm="1">
        <f t="array" ref="AC1816">IF(AND(F1816:H1816&lt;&gt;"",I1816=""),"ERROR","OK")</f>
        <v>OK</v>
      </c>
      <c r="AD1816" s="240" t="str">
        <f t="shared" si="230"/>
        <v>OK</v>
      </c>
      <c r="AE1816" s="240" t="str">
        <f t="shared" si="231"/>
        <v>OK</v>
      </c>
      <c r="AF1816" s="240" t="str" cm="1">
        <f t="array" aca="1" ref="AF1816" ca="1" xml:space="preserve">
IF(AND($G1816&lt;&gt;"",$F1816=""),"ERROR",
IF(OR($F1816:$G1816="",AND($G1816="",$F1816&lt;&gt;"")),"OK",
IF(COUNTIF(INDIRECT(IFERROR(LEFT($F1816,FIND(" ",$F1816)-1),$F1816)), $G1816)&gt;0, "OK", "ERROR")))</f>
        <v>OK</v>
      </c>
    </row>
    <row r="1817" spans="1:32" s="240" customFormat="1">
      <c r="A1817" s="48"/>
      <c r="B1817" s="31"/>
      <c r="C1817" s="48"/>
      <c r="D1817" s="47"/>
      <c r="E1817" s="47"/>
      <c r="F1817" s="31"/>
      <c r="G1817" s="31"/>
      <c r="H1817" s="31"/>
      <c r="I1817" s="47"/>
      <c r="J1817" s="31"/>
      <c r="K1817" s="47"/>
      <c r="L1817" s="47"/>
      <c r="M1817" s="47"/>
      <c r="N1817" s="31"/>
      <c r="O1817" s="47"/>
      <c r="P1817" s="31"/>
      <c r="Q1817" s="31"/>
      <c r="R1817" s="31"/>
      <c r="S1817" s="31"/>
      <c r="T1817" s="270">
        <f t="shared" si="224"/>
        <v>0</v>
      </c>
      <c r="U1817" s="270">
        <f t="shared" si="225"/>
        <v>0</v>
      </c>
      <c r="V1817" s="31"/>
      <c r="X1817" s="240" t="str">
        <f t="shared" si="226"/>
        <v>OK</v>
      </c>
      <c r="Y1817" s="240" t="str">
        <f t="shared" si="227"/>
        <v>OK</v>
      </c>
      <c r="Z1817" s="240" t="str">
        <f t="shared" si="228"/>
        <v>OK</v>
      </c>
      <c r="AA1817" s="240" t="str" cm="1">
        <f t="array" ref="AA1817">IF(OR(AND(J1817="Not accepted",N1817:O1817&lt;&gt;"",$S1817=""),AND(J1817="Accepted",S1817="")),"ERROR","OK")</f>
        <v>OK</v>
      </c>
      <c r="AB1817" s="240" t="str">
        <f t="shared" si="229"/>
        <v>OK</v>
      </c>
      <c r="AC1817" s="240" t="str" cm="1">
        <f t="array" ref="AC1817">IF(AND(F1817:H1817&lt;&gt;"",I1817=""),"ERROR","OK")</f>
        <v>OK</v>
      </c>
      <c r="AD1817" s="240" t="str">
        <f t="shared" si="230"/>
        <v>OK</v>
      </c>
      <c r="AE1817" s="240" t="str">
        <f t="shared" si="231"/>
        <v>OK</v>
      </c>
      <c r="AF1817" s="240" t="str" cm="1">
        <f t="array" aca="1" ref="AF1817" ca="1" xml:space="preserve">
IF(AND($G1817&lt;&gt;"",$F1817=""),"ERROR",
IF(OR($F1817:$G1817="",AND($G1817="",$F1817&lt;&gt;"")),"OK",
IF(COUNTIF(INDIRECT(IFERROR(LEFT($F1817,FIND(" ",$F1817)-1),$F1817)), $G1817)&gt;0, "OK", "ERROR")))</f>
        <v>OK</v>
      </c>
    </row>
    <row r="1818" spans="1:32" s="240" customFormat="1">
      <c r="A1818" s="48"/>
      <c r="B1818" s="31"/>
      <c r="C1818" s="48"/>
      <c r="D1818" s="47"/>
      <c r="E1818" s="47"/>
      <c r="F1818" s="31"/>
      <c r="G1818" s="31"/>
      <c r="H1818" s="31"/>
      <c r="I1818" s="47"/>
      <c r="J1818" s="31"/>
      <c r="K1818" s="47"/>
      <c r="L1818" s="47"/>
      <c r="M1818" s="47"/>
      <c r="N1818" s="31"/>
      <c r="O1818" s="47"/>
      <c r="P1818" s="31"/>
      <c r="Q1818" s="31"/>
      <c r="R1818" s="31"/>
      <c r="S1818" s="31"/>
      <c r="T1818" s="270">
        <f t="shared" si="224"/>
        <v>0</v>
      </c>
      <c r="U1818" s="270">
        <f t="shared" si="225"/>
        <v>0</v>
      </c>
      <c r="V1818" s="31"/>
      <c r="X1818" s="240" t="str">
        <f t="shared" si="226"/>
        <v>OK</v>
      </c>
      <c r="Y1818" s="240" t="str">
        <f t="shared" si="227"/>
        <v>OK</v>
      </c>
      <c r="Z1818" s="240" t="str">
        <f t="shared" si="228"/>
        <v>OK</v>
      </c>
      <c r="AA1818" s="240" t="str" cm="1">
        <f t="array" ref="AA1818">IF(OR(AND(J1818="Not accepted",N1818:O1818&lt;&gt;"",$S1818=""),AND(J1818="Accepted",S1818="")),"ERROR","OK")</f>
        <v>OK</v>
      </c>
      <c r="AB1818" s="240" t="str">
        <f t="shared" si="229"/>
        <v>OK</v>
      </c>
      <c r="AC1818" s="240" t="str" cm="1">
        <f t="array" ref="AC1818">IF(AND(F1818:H1818&lt;&gt;"",I1818=""),"ERROR","OK")</f>
        <v>OK</v>
      </c>
      <c r="AD1818" s="240" t="str">
        <f t="shared" si="230"/>
        <v>OK</v>
      </c>
      <c r="AE1818" s="240" t="str">
        <f t="shared" si="231"/>
        <v>OK</v>
      </c>
      <c r="AF1818" s="240" t="str" cm="1">
        <f t="array" aca="1" ref="AF1818" ca="1" xml:space="preserve">
IF(AND($G1818&lt;&gt;"",$F1818=""),"ERROR",
IF(OR($F1818:$G1818="",AND($G1818="",$F1818&lt;&gt;"")),"OK",
IF(COUNTIF(INDIRECT(IFERROR(LEFT($F1818,FIND(" ",$F1818)-1),$F1818)), $G1818)&gt;0, "OK", "ERROR")))</f>
        <v>OK</v>
      </c>
    </row>
    <row r="1819" spans="1:32" s="240" customFormat="1">
      <c r="A1819" s="48"/>
      <c r="B1819" s="31"/>
      <c r="C1819" s="48"/>
      <c r="D1819" s="47"/>
      <c r="E1819" s="47"/>
      <c r="F1819" s="31"/>
      <c r="G1819" s="31"/>
      <c r="H1819" s="31"/>
      <c r="I1819" s="47"/>
      <c r="J1819" s="31"/>
      <c r="K1819" s="47"/>
      <c r="L1819" s="47"/>
      <c r="M1819" s="47"/>
      <c r="N1819" s="31"/>
      <c r="O1819" s="47"/>
      <c r="P1819" s="31"/>
      <c r="Q1819" s="31"/>
      <c r="R1819" s="31"/>
      <c r="S1819" s="31"/>
      <c r="T1819" s="270">
        <f t="shared" si="224"/>
        <v>0</v>
      </c>
      <c r="U1819" s="270">
        <f t="shared" si="225"/>
        <v>0</v>
      </c>
      <c r="V1819" s="31"/>
      <c r="X1819" s="240" t="str">
        <f t="shared" si="226"/>
        <v>OK</v>
      </c>
      <c r="Y1819" s="240" t="str">
        <f t="shared" si="227"/>
        <v>OK</v>
      </c>
      <c r="Z1819" s="240" t="str">
        <f t="shared" si="228"/>
        <v>OK</v>
      </c>
      <c r="AA1819" s="240" t="str" cm="1">
        <f t="array" ref="AA1819">IF(OR(AND(J1819="Not accepted",N1819:O1819&lt;&gt;"",$S1819=""),AND(J1819="Accepted",S1819="")),"ERROR","OK")</f>
        <v>OK</v>
      </c>
      <c r="AB1819" s="240" t="str">
        <f t="shared" si="229"/>
        <v>OK</v>
      </c>
      <c r="AC1819" s="240" t="str" cm="1">
        <f t="array" ref="AC1819">IF(AND(F1819:H1819&lt;&gt;"",I1819=""),"ERROR","OK")</f>
        <v>OK</v>
      </c>
      <c r="AD1819" s="240" t="str">
        <f t="shared" si="230"/>
        <v>OK</v>
      </c>
      <c r="AE1819" s="240" t="str">
        <f t="shared" si="231"/>
        <v>OK</v>
      </c>
      <c r="AF1819" s="240" t="str" cm="1">
        <f t="array" aca="1" ref="AF1819" ca="1" xml:space="preserve">
IF(AND($G1819&lt;&gt;"",$F1819=""),"ERROR",
IF(OR($F1819:$G1819="",AND($G1819="",$F1819&lt;&gt;"")),"OK",
IF(COUNTIF(INDIRECT(IFERROR(LEFT($F1819,FIND(" ",$F1819)-1),$F1819)), $G1819)&gt;0, "OK", "ERROR")))</f>
        <v>OK</v>
      </c>
    </row>
    <row r="1820" spans="1:32" s="240" customFormat="1">
      <c r="A1820" s="48"/>
      <c r="B1820" s="31"/>
      <c r="C1820" s="48"/>
      <c r="D1820" s="47"/>
      <c r="E1820" s="47"/>
      <c r="F1820" s="31"/>
      <c r="G1820" s="31"/>
      <c r="H1820" s="31"/>
      <c r="I1820" s="47"/>
      <c r="J1820" s="31"/>
      <c r="K1820" s="47"/>
      <c r="L1820" s="47"/>
      <c r="M1820" s="47"/>
      <c r="N1820" s="31"/>
      <c r="O1820" s="47"/>
      <c r="P1820" s="31"/>
      <c r="Q1820" s="31"/>
      <c r="R1820" s="31"/>
      <c r="S1820" s="31"/>
      <c r="T1820" s="270">
        <f t="shared" si="224"/>
        <v>0</v>
      </c>
      <c r="U1820" s="270">
        <f t="shared" si="225"/>
        <v>0</v>
      </c>
      <c r="V1820" s="31"/>
      <c r="X1820" s="240" t="str">
        <f t="shared" si="226"/>
        <v>OK</v>
      </c>
      <c r="Y1820" s="240" t="str">
        <f t="shared" si="227"/>
        <v>OK</v>
      </c>
      <c r="Z1820" s="240" t="str">
        <f t="shared" si="228"/>
        <v>OK</v>
      </c>
      <c r="AA1820" s="240" t="str" cm="1">
        <f t="array" ref="AA1820">IF(OR(AND(J1820="Not accepted",N1820:O1820&lt;&gt;"",$S1820=""),AND(J1820="Accepted",S1820="")),"ERROR","OK")</f>
        <v>OK</v>
      </c>
      <c r="AB1820" s="240" t="str">
        <f t="shared" si="229"/>
        <v>OK</v>
      </c>
      <c r="AC1820" s="240" t="str" cm="1">
        <f t="array" ref="AC1820">IF(AND(F1820:H1820&lt;&gt;"",I1820=""),"ERROR","OK")</f>
        <v>OK</v>
      </c>
      <c r="AD1820" s="240" t="str">
        <f t="shared" si="230"/>
        <v>OK</v>
      </c>
      <c r="AE1820" s="240" t="str">
        <f t="shared" si="231"/>
        <v>OK</v>
      </c>
      <c r="AF1820" s="240" t="str" cm="1">
        <f t="array" aca="1" ref="AF1820" ca="1" xml:space="preserve">
IF(AND($G1820&lt;&gt;"",$F1820=""),"ERROR",
IF(OR($F1820:$G1820="",AND($G1820="",$F1820&lt;&gt;"")),"OK",
IF(COUNTIF(INDIRECT(IFERROR(LEFT($F1820,FIND(" ",$F1820)-1),$F1820)), $G1820)&gt;0, "OK", "ERROR")))</f>
        <v>OK</v>
      </c>
    </row>
    <row r="1821" spans="1:32" s="240" customFormat="1">
      <c r="A1821" s="48"/>
      <c r="B1821" s="31"/>
      <c r="C1821" s="48"/>
      <c r="D1821" s="47"/>
      <c r="E1821" s="47"/>
      <c r="F1821" s="31"/>
      <c r="G1821" s="31"/>
      <c r="H1821" s="31"/>
      <c r="I1821" s="47"/>
      <c r="J1821" s="31"/>
      <c r="K1821" s="47"/>
      <c r="L1821" s="47"/>
      <c r="M1821" s="47"/>
      <c r="N1821" s="31"/>
      <c r="O1821" s="47"/>
      <c r="P1821" s="31"/>
      <c r="Q1821" s="31"/>
      <c r="R1821" s="31"/>
      <c r="S1821" s="31"/>
      <c r="T1821" s="270">
        <f t="shared" si="224"/>
        <v>0</v>
      </c>
      <c r="U1821" s="270">
        <f t="shared" si="225"/>
        <v>0</v>
      </c>
      <c r="V1821" s="31"/>
      <c r="X1821" s="240" t="str">
        <f t="shared" si="226"/>
        <v>OK</v>
      </c>
      <c r="Y1821" s="240" t="str">
        <f t="shared" si="227"/>
        <v>OK</v>
      </c>
      <c r="Z1821" s="240" t="str">
        <f t="shared" si="228"/>
        <v>OK</v>
      </c>
      <c r="AA1821" s="240" t="str" cm="1">
        <f t="array" ref="AA1821">IF(OR(AND(J1821="Not accepted",N1821:O1821&lt;&gt;"",$S1821=""),AND(J1821="Accepted",S1821="")),"ERROR","OK")</f>
        <v>OK</v>
      </c>
      <c r="AB1821" s="240" t="str">
        <f t="shared" si="229"/>
        <v>OK</v>
      </c>
      <c r="AC1821" s="240" t="str" cm="1">
        <f t="array" ref="AC1821">IF(AND(F1821:H1821&lt;&gt;"",I1821=""),"ERROR","OK")</f>
        <v>OK</v>
      </c>
      <c r="AD1821" s="240" t="str">
        <f t="shared" si="230"/>
        <v>OK</v>
      </c>
      <c r="AE1821" s="240" t="str">
        <f t="shared" si="231"/>
        <v>OK</v>
      </c>
      <c r="AF1821" s="240" t="str" cm="1">
        <f t="array" aca="1" ref="AF1821" ca="1" xml:space="preserve">
IF(AND($G1821&lt;&gt;"",$F1821=""),"ERROR",
IF(OR($F1821:$G1821="",AND($G1821="",$F1821&lt;&gt;"")),"OK",
IF(COUNTIF(INDIRECT(IFERROR(LEFT($F1821,FIND(" ",$F1821)-1),$F1821)), $G1821)&gt;0, "OK", "ERROR")))</f>
        <v>OK</v>
      </c>
    </row>
    <row r="1822" spans="1:32" s="240" customFormat="1">
      <c r="A1822" s="48"/>
      <c r="B1822" s="31"/>
      <c r="C1822" s="48"/>
      <c r="D1822" s="47"/>
      <c r="E1822" s="47"/>
      <c r="F1822" s="31"/>
      <c r="G1822" s="31"/>
      <c r="H1822" s="31"/>
      <c r="I1822" s="47"/>
      <c r="J1822" s="31"/>
      <c r="K1822" s="47"/>
      <c r="L1822" s="47"/>
      <c r="M1822" s="47"/>
      <c r="N1822" s="31"/>
      <c r="O1822" s="47"/>
      <c r="P1822" s="31"/>
      <c r="Q1822" s="31"/>
      <c r="R1822" s="31"/>
      <c r="S1822" s="31"/>
      <c r="T1822" s="270">
        <f t="shared" si="224"/>
        <v>0</v>
      </c>
      <c r="U1822" s="270">
        <f t="shared" si="225"/>
        <v>0</v>
      </c>
      <c r="V1822" s="31"/>
      <c r="X1822" s="240" t="str">
        <f t="shared" si="226"/>
        <v>OK</v>
      </c>
      <c r="Y1822" s="240" t="str">
        <f t="shared" si="227"/>
        <v>OK</v>
      </c>
      <c r="Z1822" s="240" t="str">
        <f t="shared" si="228"/>
        <v>OK</v>
      </c>
      <c r="AA1822" s="240" t="str" cm="1">
        <f t="array" ref="AA1822">IF(OR(AND(J1822="Not accepted",N1822:O1822&lt;&gt;"",$S1822=""),AND(J1822="Accepted",S1822="")),"ERROR","OK")</f>
        <v>OK</v>
      </c>
      <c r="AB1822" s="240" t="str">
        <f t="shared" si="229"/>
        <v>OK</v>
      </c>
      <c r="AC1822" s="240" t="str" cm="1">
        <f t="array" ref="AC1822">IF(AND(F1822:H1822&lt;&gt;"",I1822=""),"ERROR","OK")</f>
        <v>OK</v>
      </c>
      <c r="AD1822" s="240" t="str">
        <f t="shared" si="230"/>
        <v>OK</v>
      </c>
      <c r="AE1822" s="240" t="str">
        <f t="shared" si="231"/>
        <v>OK</v>
      </c>
      <c r="AF1822" s="240" t="str" cm="1">
        <f t="array" aca="1" ref="AF1822" ca="1" xml:space="preserve">
IF(AND($G1822&lt;&gt;"",$F1822=""),"ERROR",
IF(OR($F1822:$G1822="",AND($G1822="",$F1822&lt;&gt;"")),"OK",
IF(COUNTIF(INDIRECT(IFERROR(LEFT($F1822,FIND(" ",$F1822)-1),$F1822)), $G1822)&gt;0, "OK", "ERROR")))</f>
        <v>OK</v>
      </c>
    </row>
    <row r="1823" spans="1:32" s="240" customFormat="1">
      <c r="A1823" s="48"/>
      <c r="B1823" s="31"/>
      <c r="C1823" s="48"/>
      <c r="D1823" s="47"/>
      <c r="E1823" s="47"/>
      <c r="F1823" s="31"/>
      <c r="G1823" s="31"/>
      <c r="H1823" s="31"/>
      <c r="I1823" s="47"/>
      <c r="J1823" s="31"/>
      <c r="K1823" s="47"/>
      <c r="L1823" s="47"/>
      <c r="M1823" s="47"/>
      <c r="N1823" s="31"/>
      <c r="O1823" s="47"/>
      <c r="P1823" s="31"/>
      <c r="Q1823" s="31"/>
      <c r="R1823" s="31"/>
      <c r="S1823" s="31"/>
      <c r="T1823" s="270">
        <f t="shared" si="224"/>
        <v>0</v>
      </c>
      <c r="U1823" s="270">
        <f t="shared" si="225"/>
        <v>0</v>
      </c>
      <c r="V1823" s="31"/>
      <c r="X1823" s="240" t="str">
        <f t="shared" si="226"/>
        <v>OK</v>
      </c>
      <c r="Y1823" s="240" t="str">
        <f t="shared" si="227"/>
        <v>OK</v>
      </c>
      <c r="Z1823" s="240" t="str">
        <f t="shared" si="228"/>
        <v>OK</v>
      </c>
      <c r="AA1823" s="240" t="str" cm="1">
        <f t="array" ref="AA1823">IF(OR(AND(J1823="Not accepted",N1823:O1823&lt;&gt;"",$S1823=""),AND(J1823="Accepted",S1823="")),"ERROR","OK")</f>
        <v>OK</v>
      </c>
      <c r="AB1823" s="240" t="str">
        <f t="shared" si="229"/>
        <v>OK</v>
      </c>
      <c r="AC1823" s="240" t="str" cm="1">
        <f t="array" ref="AC1823">IF(AND(F1823:H1823&lt;&gt;"",I1823=""),"ERROR","OK")</f>
        <v>OK</v>
      </c>
      <c r="AD1823" s="240" t="str">
        <f t="shared" si="230"/>
        <v>OK</v>
      </c>
      <c r="AE1823" s="240" t="str">
        <f t="shared" si="231"/>
        <v>OK</v>
      </c>
      <c r="AF1823" s="240" t="str" cm="1">
        <f t="array" aca="1" ref="AF1823" ca="1" xml:space="preserve">
IF(AND($G1823&lt;&gt;"",$F1823=""),"ERROR",
IF(OR($F1823:$G1823="",AND($G1823="",$F1823&lt;&gt;"")),"OK",
IF(COUNTIF(INDIRECT(IFERROR(LEFT($F1823,FIND(" ",$F1823)-1),$F1823)), $G1823)&gt;0, "OK", "ERROR")))</f>
        <v>OK</v>
      </c>
    </row>
    <row r="1824" spans="1:32" s="240" customFormat="1">
      <c r="A1824" s="48"/>
      <c r="B1824" s="31"/>
      <c r="C1824" s="48"/>
      <c r="D1824" s="47"/>
      <c r="E1824" s="47"/>
      <c r="F1824" s="31"/>
      <c r="G1824" s="31"/>
      <c r="H1824" s="31"/>
      <c r="I1824" s="47"/>
      <c r="J1824" s="31"/>
      <c r="K1824" s="47"/>
      <c r="L1824" s="47"/>
      <c r="M1824" s="47"/>
      <c r="N1824" s="31"/>
      <c r="O1824" s="47"/>
      <c r="P1824" s="31"/>
      <c r="Q1824" s="31"/>
      <c r="R1824" s="31"/>
      <c r="S1824" s="31"/>
      <c r="T1824" s="270">
        <f t="shared" si="224"/>
        <v>0</v>
      </c>
      <c r="U1824" s="270">
        <f t="shared" si="225"/>
        <v>0</v>
      </c>
      <c r="V1824" s="31"/>
      <c r="X1824" s="240" t="str">
        <f t="shared" si="226"/>
        <v>OK</v>
      </c>
      <c r="Y1824" s="240" t="str">
        <f t="shared" si="227"/>
        <v>OK</v>
      </c>
      <c r="Z1824" s="240" t="str">
        <f t="shared" si="228"/>
        <v>OK</v>
      </c>
      <c r="AA1824" s="240" t="str" cm="1">
        <f t="array" ref="AA1824">IF(OR(AND(J1824="Not accepted",N1824:O1824&lt;&gt;"",$S1824=""),AND(J1824="Accepted",S1824="")),"ERROR","OK")</f>
        <v>OK</v>
      </c>
      <c r="AB1824" s="240" t="str">
        <f t="shared" si="229"/>
        <v>OK</v>
      </c>
      <c r="AC1824" s="240" t="str" cm="1">
        <f t="array" ref="AC1824">IF(AND(F1824:H1824&lt;&gt;"",I1824=""),"ERROR","OK")</f>
        <v>OK</v>
      </c>
      <c r="AD1824" s="240" t="str">
        <f t="shared" si="230"/>
        <v>OK</v>
      </c>
      <c r="AE1824" s="240" t="str">
        <f t="shared" si="231"/>
        <v>OK</v>
      </c>
      <c r="AF1824" s="240" t="str" cm="1">
        <f t="array" aca="1" ref="AF1824" ca="1" xml:space="preserve">
IF(AND($G1824&lt;&gt;"",$F1824=""),"ERROR",
IF(OR($F1824:$G1824="",AND($G1824="",$F1824&lt;&gt;"")),"OK",
IF(COUNTIF(INDIRECT(IFERROR(LEFT($F1824,FIND(" ",$F1824)-1),$F1824)), $G1824)&gt;0, "OK", "ERROR")))</f>
        <v>OK</v>
      </c>
    </row>
    <row r="1825" spans="1:32" s="240" customFormat="1">
      <c r="A1825" s="48"/>
      <c r="B1825" s="31"/>
      <c r="C1825" s="48"/>
      <c r="D1825" s="47"/>
      <c r="E1825" s="47"/>
      <c r="F1825" s="31"/>
      <c r="G1825" s="31"/>
      <c r="H1825" s="31"/>
      <c r="I1825" s="47"/>
      <c r="J1825" s="31"/>
      <c r="K1825" s="47"/>
      <c r="L1825" s="47"/>
      <c r="M1825" s="47"/>
      <c r="N1825" s="31"/>
      <c r="O1825" s="47"/>
      <c r="P1825" s="31"/>
      <c r="Q1825" s="31"/>
      <c r="R1825" s="31"/>
      <c r="S1825" s="31"/>
      <c r="T1825" s="270">
        <f t="shared" si="224"/>
        <v>0</v>
      </c>
      <c r="U1825" s="270">
        <f t="shared" si="225"/>
        <v>0</v>
      </c>
      <c r="V1825" s="31"/>
      <c r="X1825" s="240" t="str">
        <f t="shared" si="226"/>
        <v>OK</v>
      </c>
      <c r="Y1825" s="240" t="str">
        <f t="shared" si="227"/>
        <v>OK</v>
      </c>
      <c r="Z1825" s="240" t="str">
        <f t="shared" si="228"/>
        <v>OK</v>
      </c>
      <c r="AA1825" s="240" t="str" cm="1">
        <f t="array" ref="AA1825">IF(OR(AND(J1825="Not accepted",N1825:O1825&lt;&gt;"",$S1825=""),AND(J1825="Accepted",S1825="")),"ERROR","OK")</f>
        <v>OK</v>
      </c>
      <c r="AB1825" s="240" t="str">
        <f t="shared" si="229"/>
        <v>OK</v>
      </c>
      <c r="AC1825" s="240" t="str" cm="1">
        <f t="array" ref="AC1825">IF(AND(F1825:H1825&lt;&gt;"",I1825=""),"ERROR","OK")</f>
        <v>OK</v>
      </c>
      <c r="AD1825" s="240" t="str">
        <f t="shared" si="230"/>
        <v>OK</v>
      </c>
      <c r="AE1825" s="240" t="str">
        <f t="shared" si="231"/>
        <v>OK</v>
      </c>
      <c r="AF1825" s="240" t="str" cm="1">
        <f t="array" aca="1" ref="AF1825" ca="1" xml:space="preserve">
IF(AND($G1825&lt;&gt;"",$F1825=""),"ERROR",
IF(OR($F1825:$G1825="",AND($G1825="",$F1825&lt;&gt;"")),"OK",
IF(COUNTIF(INDIRECT(IFERROR(LEFT($F1825,FIND(" ",$F1825)-1),$F1825)), $G1825)&gt;0, "OK", "ERROR")))</f>
        <v>OK</v>
      </c>
    </row>
    <row r="1826" spans="1:32" s="240" customFormat="1">
      <c r="A1826" s="48"/>
      <c r="B1826" s="31"/>
      <c r="C1826" s="48"/>
      <c r="D1826" s="47"/>
      <c r="E1826" s="47"/>
      <c r="F1826" s="31"/>
      <c r="G1826" s="31"/>
      <c r="H1826" s="31"/>
      <c r="I1826" s="47"/>
      <c r="J1826" s="31"/>
      <c r="K1826" s="47"/>
      <c r="L1826" s="47"/>
      <c r="M1826" s="47"/>
      <c r="N1826" s="31"/>
      <c r="O1826" s="47"/>
      <c r="P1826" s="31"/>
      <c r="Q1826" s="31"/>
      <c r="R1826" s="31"/>
      <c r="S1826" s="31"/>
      <c r="T1826" s="270">
        <f t="shared" si="224"/>
        <v>0</v>
      </c>
      <c r="U1826" s="270">
        <f t="shared" si="225"/>
        <v>0</v>
      </c>
      <c r="V1826" s="31"/>
      <c r="X1826" s="240" t="str">
        <f t="shared" si="226"/>
        <v>OK</v>
      </c>
      <c r="Y1826" s="240" t="str">
        <f t="shared" si="227"/>
        <v>OK</v>
      </c>
      <c r="Z1826" s="240" t="str">
        <f t="shared" si="228"/>
        <v>OK</v>
      </c>
      <c r="AA1826" s="240" t="str" cm="1">
        <f t="array" ref="AA1826">IF(OR(AND(J1826="Not accepted",N1826:O1826&lt;&gt;"",$S1826=""),AND(J1826="Accepted",S1826="")),"ERROR","OK")</f>
        <v>OK</v>
      </c>
      <c r="AB1826" s="240" t="str">
        <f t="shared" si="229"/>
        <v>OK</v>
      </c>
      <c r="AC1826" s="240" t="str" cm="1">
        <f t="array" ref="AC1826">IF(AND(F1826:H1826&lt;&gt;"",I1826=""),"ERROR","OK")</f>
        <v>OK</v>
      </c>
      <c r="AD1826" s="240" t="str">
        <f t="shared" si="230"/>
        <v>OK</v>
      </c>
      <c r="AE1826" s="240" t="str">
        <f t="shared" si="231"/>
        <v>OK</v>
      </c>
      <c r="AF1826" s="240" t="str" cm="1">
        <f t="array" aca="1" ref="AF1826" ca="1" xml:space="preserve">
IF(AND($G1826&lt;&gt;"",$F1826=""),"ERROR",
IF(OR($F1826:$G1826="",AND($G1826="",$F1826&lt;&gt;"")),"OK",
IF(COUNTIF(INDIRECT(IFERROR(LEFT($F1826,FIND(" ",$F1826)-1),$F1826)), $G1826)&gt;0, "OK", "ERROR")))</f>
        <v>OK</v>
      </c>
    </row>
    <row r="1827" spans="1:32" s="240" customFormat="1">
      <c r="A1827" s="48"/>
      <c r="B1827" s="31"/>
      <c r="C1827" s="48"/>
      <c r="D1827" s="47"/>
      <c r="E1827" s="47"/>
      <c r="F1827" s="31"/>
      <c r="G1827" s="31"/>
      <c r="H1827" s="31"/>
      <c r="I1827" s="47"/>
      <c r="J1827" s="31"/>
      <c r="K1827" s="47"/>
      <c r="L1827" s="47"/>
      <c r="M1827" s="47"/>
      <c r="N1827" s="31"/>
      <c r="O1827" s="47"/>
      <c r="P1827" s="31"/>
      <c r="Q1827" s="31"/>
      <c r="R1827" s="31"/>
      <c r="S1827" s="31"/>
      <c r="T1827" s="270">
        <f t="shared" si="224"/>
        <v>0</v>
      </c>
      <c r="U1827" s="270">
        <f t="shared" si="225"/>
        <v>0</v>
      </c>
      <c r="V1827" s="31"/>
      <c r="X1827" s="240" t="str">
        <f t="shared" si="226"/>
        <v>OK</v>
      </c>
      <c r="Y1827" s="240" t="str">
        <f t="shared" si="227"/>
        <v>OK</v>
      </c>
      <c r="Z1827" s="240" t="str">
        <f t="shared" si="228"/>
        <v>OK</v>
      </c>
      <c r="AA1827" s="240" t="str" cm="1">
        <f t="array" ref="AA1827">IF(OR(AND(J1827="Not accepted",N1827:O1827&lt;&gt;"",$S1827=""),AND(J1827="Accepted",S1827="")),"ERROR","OK")</f>
        <v>OK</v>
      </c>
      <c r="AB1827" s="240" t="str">
        <f t="shared" si="229"/>
        <v>OK</v>
      </c>
      <c r="AC1827" s="240" t="str" cm="1">
        <f t="array" ref="AC1827">IF(AND(F1827:H1827&lt;&gt;"",I1827=""),"ERROR","OK")</f>
        <v>OK</v>
      </c>
      <c r="AD1827" s="240" t="str">
        <f t="shared" si="230"/>
        <v>OK</v>
      </c>
      <c r="AE1827" s="240" t="str">
        <f t="shared" si="231"/>
        <v>OK</v>
      </c>
      <c r="AF1827" s="240" t="str" cm="1">
        <f t="array" aca="1" ref="AF1827" ca="1" xml:space="preserve">
IF(AND($G1827&lt;&gt;"",$F1827=""),"ERROR",
IF(OR($F1827:$G1827="",AND($G1827="",$F1827&lt;&gt;"")),"OK",
IF(COUNTIF(INDIRECT(IFERROR(LEFT($F1827,FIND(" ",$F1827)-1),$F1827)), $G1827)&gt;0, "OK", "ERROR")))</f>
        <v>OK</v>
      </c>
    </row>
    <row r="1828" spans="1:32" s="240" customFormat="1">
      <c r="A1828" s="48"/>
      <c r="B1828" s="31"/>
      <c r="C1828" s="48"/>
      <c r="D1828" s="47"/>
      <c r="E1828" s="47"/>
      <c r="F1828" s="31"/>
      <c r="G1828" s="31"/>
      <c r="H1828" s="31"/>
      <c r="I1828" s="47"/>
      <c r="J1828" s="31"/>
      <c r="K1828" s="47"/>
      <c r="L1828" s="47"/>
      <c r="M1828" s="47"/>
      <c r="N1828" s="31"/>
      <c r="O1828" s="47"/>
      <c r="P1828" s="31"/>
      <c r="Q1828" s="31"/>
      <c r="R1828" s="31"/>
      <c r="S1828" s="31"/>
      <c r="T1828" s="270">
        <f t="shared" si="224"/>
        <v>0</v>
      </c>
      <c r="U1828" s="270">
        <f t="shared" si="225"/>
        <v>0</v>
      </c>
      <c r="V1828" s="31"/>
      <c r="X1828" s="240" t="str">
        <f t="shared" si="226"/>
        <v>OK</v>
      </c>
      <c r="Y1828" s="240" t="str">
        <f t="shared" si="227"/>
        <v>OK</v>
      </c>
      <c r="Z1828" s="240" t="str">
        <f t="shared" si="228"/>
        <v>OK</v>
      </c>
      <c r="AA1828" s="240" t="str" cm="1">
        <f t="array" ref="AA1828">IF(OR(AND(J1828="Not accepted",N1828:O1828&lt;&gt;"",$S1828=""),AND(J1828="Accepted",S1828="")),"ERROR","OK")</f>
        <v>OK</v>
      </c>
      <c r="AB1828" s="240" t="str">
        <f t="shared" si="229"/>
        <v>OK</v>
      </c>
      <c r="AC1828" s="240" t="str" cm="1">
        <f t="array" ref="AC1828">IF(AND(F1828:H1828&lt;&gt;"",I1828=""),"ERROR","OK")</f>
        <v>OK</v>
      </c>
      <c r="AD1828" s="240" t="str">
        <f t="shared" si="230"/>
        <v>OK</v>
      </c>
      <c r="AE1828" s="240" t="str">
        <f t="shared" si="231"/>
        <v>OK</v>
      </c>
      <c r="AF1828" s="240" t="str" cm="1">
        <f t="array" aca="1" ref="AF1828" ca="1" xml:space="preserve">
IF(AND($G1828&lt;&gt;"",$F1828=""),"ERROR",
IF(OR($F1828:$G1828="",AND($G1828="",$F1828&lt;&gt;"")),"OK",
IF(COUNTIF(INDIRECT(IFERROR(LEFT($F1828,FIND(" ",$F1828)-1),$F1828)), $G1828)&gt;0, "OK", "ERROR")))</f>
        <v>OK</v>
      </c>
    </row>
    <row r="1829" spans="1:32" s="240" customFormat="1">
      <c r="A1829" s="48"/>
      <c r="B1829" s="31"/>
      <c r="C1829" s="48"/>
      <c r="D1829" s="47"/>
      <c r="E1829" s="47"/>
      <c r="F1829" s="31"/>
      <c r="G1829" s="31"/>
      <c r="H1829" s="31"/>
      <c r="I1829" s="47"/>
      <c r="J1829" s="31"/>
      <c r="K1829" s="47"/>
      <c r="L1829" s="47"/>
      <c r="M1829" s="47"/>
      <c r="N1829" s="31"/>
      <c r="O1829" s="47"/>
      <c r="P1829" s="31"/>
      <c r="Q1829" s="31"/>
      <c r="R1829" s="31"/>
      <c r="S1829" s="31"/>
      <c r="T1829" s="270">
        <f t="shared" si="224"/>
        <v>0</v>
      </c>
      <c r="U1829" s="270">
        <f t="shared" si="225"/>
        <v>0</v>
      </c>
      <c r="V1829" s="31"/>
      <c r="X1829" s="240" t="str">
        <f t="shared" si="226"/>
        <v>OK</v>
      </c>
      <c r="Y1829" s="240" t="str">
        <f t="shared" si="227"/>
        <v>OK</v>
      </c>
      <c r="Z1829" s="240" t="str">
        <f t="shared" si="228"/>
        <v>OK</v>
      </c>
      <c r="AA1829" s="240" t="str" cm="1">
        <f t="array" ref="AA1829">IF(OR(AND(J1829="Not accepted",N1829:O1829&lt;&gt;"",$S1829=""),AND(J1829="Accepted",S1829="")),"ERROR","OK")</f>
        <v>OK</v>
      </c>
      <c r="AB1829" s="240" t="str">
        <f t="shared" si="229"/>
        <v>OK</v>
      </c>
      <c r="AC1829" s="240" t="str" cm="1">
        <f t="array" ref="AC1829">IF(AND(F1829:H1829&lt;&gt;"",I1829=""),"ERROR","OK")</f>
        <v>OK</v>
      </c>
      <c r="AD1829" s="240" t="str">
        <f t="shared" si="230"/>
        <v>OK</v>
      </c>
      <c r="AE1829" s="240" t="str">
        <f t="shared" si="231"/>
        <v>OK</v>
      </c>
      <c r="AF1829" s="240" t="str" cm="1">
        <f t="array" aca="1" ref="AF1829" ca="1" xml:space="preserve">
IF(AND($G1829&lt;&gt;"",$F1829=""),"ERROR",
IF(OR($F1829:$G1829="",AND($G1829="",$F1829&lt;&gt;"")),"OK",
IF(COUNTIF(INDIRECT(IFERROR(LEFT($F1829,FIND(" ",$F1829)-1),$F1829)), $G1829)&gt;0, "OK", "ERROR")))</f>
        <v>OK</v>
      </c>
    </row>
    <row r="1830" spans="1:32" s="240" customFormat="1">
      <c r="A1830" s="48"/>
      <c r="B1830" s="31"/>
      <c r="C1830" s="48"/>
      <c r="D1830" s="47"/>
      <c r="E1830" s="47"/>
      <c r="F1830" s="31"/>
      <c r="G1830" s="31"/>
      <c r="H1830" s="31"/>
      <c r="I1830" s="47"/>
      <c r="J1830" s="31"/>
      <c r="K1830" s="47"/>
      <c r="L1830" s="47"/>
      <c r="M1830" s="47"/>
      <c r="N1830" s="31"/>
      <c r="O1830" s="47"/>
      <c r="P1830" s="31"/>
      <c r="Q1830" s="31"/>
      <c r="R1830" s="31"/>
      <c r="S1830" s="31"/>
      <c r="T1830" s="270">
        <f t="shared" si="224"/>
        <v>0</v>
      </c>
      <c r="U1830" s="270">
        <f t="shared" si="225"/>
        <v>0</v>
      </c>
      <c r="V1830" s="31"/>
      <c r="X1830" s="240" t="str">
        <f t="shared" si="226"/>
        <v>OK</v>
      </c>
      <c r="Y1830" s="240" t="str">
        <f t="shared" si="227"/>
        <v>OK</v>
      </c>
      <c r="Z1830" s="240" t="str">
        <f t="shared" si="228"/>
        <v>OK</v>
      </c>
      <c r="AA1830" s="240" t="str" cm="1">
        <f t="array" ref="AA1830">IF(OR(AND(J1830="Not accepted",N1830:O1830&lt;&gt;"",$S1830=""),AND(J1830="Accepted",S1830="")),"ERROR","OK")</f>
        <v>OK</v>
      </c>
      <c r="AB1830" s="240" t="str">
        <f t="shared" si="229"/>
        <v>OK</v>
      </c>
      <c r="AC1830" s="240" t="str" cm="1">
        <f t="array" ref="AC1830">IF(AND(F1830:H1830&lt;&gt;"",I1830=""),"ERROR","OK")</f>
        <v>OK</v>
      </c>
      <c r="AD1830" s="240" t="str">
        <f t="shared" si="230"/>
        <v>OK</v>
      </c>
      <c r="AE1830" s="240" t="str">
        <f t="shared" si="231"/>
        <v>OK</v>
      </c>
      <c r="AF1830" s="240" t="str" cm="1">
        <f t="array" aca="1" ref="AF1830" ca="1" xml:space="preserve">
IF(AND($G1830&lt;&gt;"",$F1830=""),"ERROR",
IF(OR($F1830:$G1830="",AND($G1830="",$F1830&lt;&gt;"")),"OK",
IF(COUNTIF(INDIRECT(IFERROR(LEFT($F1830,FIND(" ",$F1830)-1),$F1830)), $G1830)&gt;0, "OK", "ERROR")))</f>
        <v>OK</v>
      </c>
    </row>
    <row r="1831" spans="1:32" s="240" customFormat="1">
      <c r="A1831" s="48"/>
      <c r="B1831" s="31"/>
      <c r="C1831" s="48"/>
      <c r="D1831" s="47"/>
      <c r="E1831" s="47"/>
      <c r="F1831" s="31"/>
      <c r="G1831" s="31"/>
      <c r="H1831" s="31"/>
      <c r="I1831" s="47"/>
      <c r="J1831" s="31"/>
      <c r="K1831" s="47"/>
      <c r="L1831" s="47"/>
      <c r="M1831" s="47"/>
      <c r="N1831" s="31"/>
      <c r="O1831" s="47"/>
      <c r="P1831" s="31"/>
      <c r="Q1831" s="31"/>
      <c r="R1831" s="31"/>
      <c r="S1831" s="31"/>
      <c r="T1831" s="270">
        <f t="shared" si="224"/>
        <v>0</v>
      </c>
      <c r="U1831" s="270">
        <f t="shared" si="225"/>
        <v>0</v>
      </c>
      <c r="V1831" s="31"/>
      <c r="X1831" s="240" t="str">
        <f t="shared" si="226"/>
        <v>OK</v>
      </c>
      <c r="Y1831" s="240" t="str">
        <f t="shared" si="227"/>
        <v>OK</v>
      </c>
      <c r="Z1831" s="240" t="str">
        <f t="shared" si="228"/>
        <v>OK</v>
      </c>
      <c r="AA1831" s="240" t="str" cm="1">
        <f t="array" ref="AA1831">IF(OR(AND(J1831="Not accepted",N1831:O1831&lt;&gt;"",$S1831=""),AND(J1831="Accepted",S1831="")),"ERROR","OK")</f>
        <v>OK</v>
      </c>
      <c r="AB1831" s="240" t="str">
        <f t="shared" si="229"/>
        <v>OK</v>
      </c>
      <c r="AC1831" s="240" t="str" cm="1">
        <f t="array" ref="AC1831">IF(AND(F1831:H1831&lt;&gt;"",I1831=""),"ERROR","OK")</f>
        <v>OK</v>
      </c>
      <c r="AD1831" s="240" t="str">
        <f t="shared" si="230"/>
        <v>OK</v>
      </c>
      <c r="AE1831" s="240" t="str">
        <f t="shared" si="231"/>
        <v>OK</v>
      </c>
      <c r="AF1831" s="240" t="str" cm="1">
        <f t="array" aca="1" ref="AF1831" ca="1" xml:space="preserve">
IF(AND($G1831&lt;&gt;"",$F1831=""),"ERROR",
IF(OR($F1831:$G1831="",AND($G1831="",$F1831&lt;&gt;"")),"OK",
IF(COUNTIF(INDIRECT(IFERROR(LEFT($F1831,FIND(" ",$F1831)-1),$F1831)), $G1831)&gt;0, "OK", "ERROR")))</f>
        <v>OK</v>
      </c>
    </row>
    <row r="1832" spans="1:32" s="240" customFormat="1">
      <c r="A1832" s="48"/>
      <c r="B1832" s="31"/>
      <c r="C1832" s="48"/>
      <c r="D1832" s="47"/>
      <c r="E1832" s="47"/>
      <c r="F1832" s="31"/>
      <c r="G1832" s="31"/>
      <c r="H1832" s="31"/>
      <c r="I1832" s="47"/>
      <c r="J1832" s="31"/>
      <c r="K1832" s="47"/>
      <c r="L1832" s="47"/>
      <c r="M1832" s="47"/>
      <c r="N1832" s="31"/>
      <c r="O1832" s="47"/>
      <c r="P1832" s="31"/>
      <c r="Q1832" s="31"/>
      <c r="R1832" s="31"/>
      <c r="S1832" s="31"/>
      <c r="T1832" s="270">
        <f t="shared" si="224"/>
        <v>0</v>
      </c>
      <c r="U1832" s="270">
        <f t="shared" si="225"/>
        <v>0</v>
      </c>
      <c r="V1832" s="31"/>
      <c r="X1832" s="240" t="str">
        <f t="shared" si="226"/>
        <v>OK</v>
      </c>
      <c r="Y1832" s="240" t="str">
        <f t="shared" si="227"/>
        <v>OK</v>
      </c>
      <c r="Z1832" s="240" t="str">
        <f t="shared" si="228"/>
        <v>OK</v>
      </c>
      <c r="AA1832" s="240" t="str" cm="1">
        <f t="array" ref="AA1832">IF(OR(AND(J1832="Not accepted",N1832:O1832&lt;&gt;"",$S1832=""),AND(J1832="Accepted",S1832="")),"ERROR","OK")</f>
        <v>OK</v>
      </c>
      <c r="AB1832" s="240" t="str">
        <f t="shared" si="229"/>
        <v>OK</v>
      </c>
      <c r="AC1832" s="240" t="str" cm="1">
        <f t="array" ref="AC1832">IF(AND(F1832:H1832&lt;&gt;"",I1832=""),"ERROR","OK")</f>
        <v>OK</v>
      </c>
      <c r="AD1832" s="240" t="str">
        <f t="shared" si="230"/>
        <v>OK</v>
      </c>
      <c r="AE1832" s="240" t="str">
        <f t="shared" si="231"/>
        <v>OK</v>
      </c>
      <c r="AF1832" s="240" t="str" cm="1">
        <f t="array" aca="1" ref="AF1832" ca="1" xml:space="preserve">
IF(AND($G1832&lt;&gt;"",$F1832=""),"ERROR",
IF(OR($F1832:$G1832="",AND($G1832="",$F1832&lt;&gt;"")),"OK",
IF(COUNTIF(INDIRECT(IFERROR(LEFT($F1832,FIND(" ",$F1832)-1),$F1832)), $G1832)&gt;0, "OK", "ERROR")))</f>
        <v>OK</v>
      </c>
    </row>
    <row r="1833" spans="1:32" s="240" customFormat="1">
      <c r="A1833" s="48"/>
      <c r="B1833" s="31"/>
      <c r="C1833" s="48"/>
      <c r="D1833" s="47"/>
      <c r="E1833" s="47"/>
      <c r="F1833" s="31"/>
      <c r="G1833" s="31"/>
      <c r="H1833" s="31"/>
      <c r="I1833" s="47"/>
      <c r="J1833" s="31"/>
      <c r="K1833" s="47"/>
      <c r="L1833" s="47"/>
      <c r="M1833" s="47"/>
      <c r="N1833" s="31"/>
      <c r="O1833" s="47"/>
      <c r="P1833" s="31"/>
      <c r="Q1833" s="31"/>
      <c r="R1833" s="31"/>
      <c r="S1833" s="31"/>
      <c r="T1833" s="270">
        <f t="shared" si="224"/>
        <v>0</v>
      </c>
      <c r="U1833" s="270">
        <f t="shared" si="225"/>
        <v>0</v>
      </c>
      <c r="V1833" s="31"/>
      <c r="X1833" s="240" t="str">
        <f t="shared" si="226"/>
        <v>OK</v>
      </c>
      <c r="Y1833" s="240" t="str">
        <f t="shared" si="227"/>
        <v>OK</v>
      </c>
      <c r="Z1833" s="240" t="str">
        <f t="shared" si="228"/>
        <v>OK</v>
      </c>
      <c r="AA1833" s="240" t="str" cm="1">
        <f t="array" ref="AA1833">IF(OR(AND(J1833="Not accepted",N1833:O1833&lt;&gt;"",$S1833=""),AND(J1833="Accepted",S1833="")),"ERROR","OK")</f>
        <v>OK</v>
      </c>
      <c r="AB1833" s="240" t="str">
        <f t="shared" si="229"/>
        <v>OK</v>
      </c>
      <c r="AC1833" s="240" t="str" cm="1">
        <f t="array" ref="AC1833">IF(AND(F1833:H1833&lt;&gt;"",I1833=""),"ERROR","OK")</f>
        <v>OK</v>
      </c>
      <c r="AD1833" s="240" t="str">
        <f t="shared" si="230"/>
        <v>OK</v>
      </c>
      <c r="AE1833" s="240" t="str">
        <f t="shared" si="231"/>
        <v>OK</v>
      </c>
      <c r="AF1833" s="240" t="str" cm="1">
        <f t="array" aca="1" ref="AF1833" ca="1" xml:space="preserve">
IF(AND($G1833&lt;&gt;"",$F1833=""),"ERROR",
IF(OR($F1833:$G1833="",AND($G1833="",$F1833&lt;&gt;"")),"OK",
IF(COUNTIF(INDIRECT(IFERROR(LEFT($F1833,FIND(" ",$F1833)-1),$F1833)), $G1833)&gt;0, "OK", "ERROR")))</f>
        <v>OK</v>
      </c>
    </row>
    <row r="1834" spans="1:32" s="240" customFormat="1">
      <c r="A1834" s="48"/>
      <c r="B1834" s="31"/>
      <c r="C1834" s="48"/>
      <c r="D1834" s="47"/>
      <c r="E1834" s="47"/>
      <c r="F1834" s="31"/>
      <c r="G1834" s="31"/>
      <c r="H1834" s="31"/>
      <c r="I1834" s="47"/>
      <c r="J1834" s="31"/>
      <c r="K1834" s="47"/>
      <c r="L1834" s="47"/>
      <c r="M1834" s="47"/>
      <c r="N1834" s="31"/>
      <c r="O1834" s="47"/>
      <c r="P1834" s="31"/>
      <c r="Q1834" s="31"/>
      <c r="R1834" s="31"/>
      <c r="S1834" s="31"/>
      <c r="T1834" s="270">
        <f t="shared" si="224"/>
        <v>0</v>
      </c>
      <c r="U1834" s="270">
        <f t="shared" si="225"/>
        <v>0</v>
      </c>
      <c r="V1834" s="31"/>
      <c r="X1834" s="240" t="str">
        <f t="shared" si="226"/>
        <v>OK</v>
      </c>
      <c r="Y1834" s="240" t="str">
        <f t="shared" si="227"/>
        <v>OK</v>
      </c>
      <c r="Z1834" s="240" t="str">
        <f t="shared" si="228"/>
        <v>OK</v>
      </c>
      <c r="AA1834" s="240" t="str" cm="1">
        <f t="array" ref="AA1834">IF(OR(AND(J1834="Not accepted",N1834:O1834&lt;&gt;"",$S1834=""),AND(J1834="Accepted",S1834="")),"ERROR","OK")</f>
        <v>OK</v>
      </c>
      <c r="AB1834" s="240" t="str">
        <f t="shared" si="229"/>
        <v>OK</v>
      </c>
      <c r="AC1834" s="240" t="str" cm="1">
        <f t="array" ref="AC1834">IF(AND(F1834:H1834&lt;&gt;"",I1834=""),"ERROR","OK")</f>
        <v>OK</v>
      </c>
      <c r="AD1834" s="240" t="str">
        <f t="shared" si="230"/>
        <v>OK</v>
      </c>
      <c r="AE1834" s="240" t="str">
        <f t="shared" si="231"/>
        <v>OK</v>
      </c>
      <c r="AF1834" s="240" t="str" cm="1">
        <f t="array" aca="1" ref="AF1834" ca="1" xml:space="preserve">
IF(AND($G1834&lt;&gt;"",$F1834=""),"ERROR",
IF(OR($F1834:$G1834="",AND($G1834="",$F1834&lt;&gt;"")),"OK",
IF(COUNTIF(INDIRECT(IFERROR(LEFT($F1834,FIND(" ",$F1834)-1),$F1834)), $G1834)&gt;0, "OK", "ERROR")))</f>
        <v>OK</v>
      </c>
    </row>
    <row r="1835" spans="1:32" s="240" customFormat="1">
      <c r="A1835" s="48"/>
      <c r="B1835" s="31"/>
      <c r="C1835" s="48"/>
      <c r="D1835" s="47"/>
      <c r="E1835" s="47"/>
      <c r="F1835" s="31"/>
      <c r="G1835" s="31"/>
      <c r="H1835" s="31"/>
      <c r="I1835" s="47"/>
      <c r="J1835" s="31"/>
      <c r="K1835" s="47"/>
      <c r="L1835" s="47"/>
      <c r="M1835" s="47"/>
      <c r="N1835" s="31"/>
      <c r="O1835" s="47"/>
      <c r="P1835" s="31"/>
      <c r="Q1835" s="31"/>
      <c r="R1835" s="31"/>
      <c r="S1835" s="31"/>
      <c r="T1835" s="270">
        <f t="shared" si="224"/>
        <v>0</v>
      </c>
      <c r="U1835" s="270">
        <f t="shared" si="225"/>
        <v>0</v>
      </c>
      <c r="V1835" s="31"/>
      <c r="X1835" s="240" t="str">
        <f t="shared" si="226"/>
        <v>OK</v>
      </c>
      <c r="Y1835" s="240" t="str">
        <f t="shared" si="227"/>
        <v>OK</v>
      </c>
      <c r="Z1835" s="240" t="str">
        <f t="shared" si="228"/>
        <v>OK</v>
      </c>
      <c r="AA1835" s="240" t="str" cm="1">
        <f t="array" ref="AA1835">IF(OR(AND(J1835="Not accepted",N1835:O1835&lt;&gt;"",$S1835=""),AND(J1835="Accepted",S1835="")),"ERROR","OK")</f>
        <v>OK</v>
      </c>
      <c r="AB1835" s="240" t="str">
        <f t="shared" si="229"/>
        <v>OK</v>
      </c>
      <c r="AC1835" s="240" t="str" cm="1">
        <f t="array" ref="AC1835">IF(AND(F1835:H1835&lt;&gt;"",I1835=""),"ERROR","OK")</f>
        <v>OK</v>
      </c>
      <c r="AD1835" s="240" t="str">
        <f t="shared" si="230"/>
        <v>OK</v>
      </c>
      <c r="AE1835" s="240" t="str">
        <f t="shared" si="231"/>
        <v>OK</v>
      </c>
      <c r="AF1835" s="240" t="str" cm="1">
        <f t="array" aca="1" ref="AF1835" ca="1" xml:space="preserve">
IF(AND($G1835&lt;&gt;"",$F1835=""),"ERROR",
IF(OR($F1835:$G1835="",AND($G1835="",$F1835&lt;&gt;"")),"OK",
IF(COUNTIF(INDIRECT(IFERROR(LEFT($F1835,FIND(" ",$F1835)-1),$F1835)), $G1835)&gt;0, "OK", "ERROR")))</f>
        <v>OK</v>
      </c>
    </row>
    <row r="1836" spans="1:32" s="240" customFormat="1">
      <c r="A1836" s="48"/>
      <c r="B1836" s="31"/>
      <c r="C1836" s="48"/>
      <c r="D1836" s="47"/>
      <c r="E1836" s="47"/>
      <c r="F1836" s="31"/>
      <c r="G1836" s="31"/>
      <c r="H1836" s="31"/>
      <c r="I1836" s="47"/>
      <c r="J1836" s="31"/>
      <c r="K1836" s="47"/>
      <c r="L1836" s="47"/>
      <c r="M1836" s="47"/>
      <c r="N1836" s="31"/>
      <c r="O1836" s="47"/>
      <c r="P1836" s="31"/>
      <c r="Q1836" s="31"/>
      <c r="R1836" s="31"/>
      <c r="S1836" s="31"/>
      <c r="T1836" s="270">
        <f t="shared" si="224"/>
        <v>0</v>
      </c>
      <c r="U1836" s="270">
        <f t="shared" si="225"/>
        <v>0</v>
      </c>
      <c r="V1836" s="31"/>
      <c r="X1836" s="240" t="str">
        <f t="shared" si="226"/>
        <v>OK</v>
      </c>
      <c r="Y1836" s="240" t="str">
        <f t="shared" si="227"/>
        <v>OK</v>
      </c>
      <c r="Z1836" s="240" t="str">
        <f t="shared" si="228"/>
        <v>OK</v>
      </c>
      <c r="AA1836" s="240" t="str" cm="1">
        <f t="array" ref="AA1836">IF(OR(AND(J1836="Not accepted",N1836:O1836&lt;&gt;"",$S1836=""),AND(J1836="Accepted",S1836="")),"ERROR","OK")</f>
        <v>OK</v>
      </c>
      <c r="AB1836" s="240" t="str">
        <f t="shared" si="229"/>
        <v>OK</v>
      </c>
      <c r="AC1836" s="240" t="str" cm="1">
        <f t="array" ref="AC1836">IF(AND(F1836:H1836&lt;&gt;"",I1836=""),"ERROR","OK")</f>
        <v>OK</v>
      </c>
      <c r="AD1836" s="240" t="str">
        <f t="shared" si="230"/>
        <v>OK</v>
      </c>
      <c r="AE1836" s="240" t="str">
        <f t="shared" si="231"/>
        <v>OK</v>
      </c>
      <c r="AF1836" s="240" t="str" cm="1">
        <f t="array" aca="1" ref="AF1836" ca="1" xml:space="preserve">
IF(AND($G1836&lt;&gt;"",$F1836=""),"ERROR",
IF(OR($F1836:$G1836="",AND($G1836="",$F1836&lt;&gt;"")),"OK",
IF(COUNTIF(INDIRECT(IFERROR(LEFT($F1836,FIND(" ",$F1836)-1),$F1836)), $G1836)&gt;0, "OK", "ERROR")))</f>
        <v>OK</v>
      </c>
    </row>
    <row r="1837" spans="1:32" s="240" customFormat="1">
      <c r="A1837" s="48"/>
      <c r="B1837" s="31"/>
      <c r="C1837" s="48"/>
      <c r="D1837" s="47"/>
      <c r="E1837" s="47"/>
      <c r="F1837" s="31"/>
      <c r="G1837" s="31"/>
      <c r="H1837" s="31"/>
      <c r="I1837" s="47"/>
      <c r="J1837" s="31"/>
      <c r="K1837" s="47"/>
      <c r="L1837" s="47"/>
      <c r="M1837" s="47"/>
      <c r="N1837" s="31"/>
      <c r="O1837" s="47"/>
      <c r="P1837" s="31"/>
      <c r="Q1837" s="31"/>
      <c r="R1837" s="31"/>
      <c r="S1837" s="31"/>
      <c r="T1837" s="270">
        <f t="shared" si="224"/>
        <v>0</v>
      </c>
      <c r="U1837" s="270">
        <f t="shared" si="225"/>
        <v>0</v>
      </c>
      <c r="V1837" s="31"/>
      <c r="X1837" s="240" t="str">
        <f t="shared" si="226"/>
        <v>OK</v>
      </c>
      <c r="Y1837" s="240" t="str">
        <f t="shared" si="227"/>
        <v>OK</v>
      </c>
      <c r="Z1837" s="240" t="str">
        <f t="shared" si="228"/>
        <v>OK</v>
      </c>
      <c r="AA1837" s="240" t="str" cm="1">
        <f t="array" ref="AA1837">IF(OR(AND(J1837="Not accepted",N1837:O1837&lt;&gt;"",$S1837=""),AND(J1837="Accepted",S1837="")),"ERROR","OK")</f>
        <v>OK</v>
      </c>
      <c r="AB1837" s="240" t="str">
        <f t="shared" si="229"/>
        <v>OK</v>
      </c>
      <c r="AC1837" s="240" t="str" cm="1">
        <f t="array" ref="AC1837">IF(AND(F1837:H1837&lt;&gt;"",I1837=""),"ERROR","OK")</f>
        <v>OK</v>
      </c>
      <c r="AD1837" s="240" t="str">
        <f t="shared" si="230"/>
        <v>OK</v>
      </c>
      <c r="AE1837" s="240" t="str">
        <f t="shared" si="231"/>
        <v>OK</v>
      </c>
      <c r="AF1837" s="240" t="str" cm="1">
        <f t="array" aca="1" ref="AF1837" ca="1" xml:space="preserve">
IF(AND($G1837&lt;&gt;"",$F1837=""),"ERROR",
IF(OR($F1837:$G1837="",AND($G1837="",$F1837&lt;&gt;"")),"OK",
IF(COUNTIF(INDIRECT(IFERROR(LEFT($F1837,FIND(" ",$F1837)-1),$F1837)), $G1837)&gt;0, "OK", "ERROR")))</f>
        <v>OK</v>
      </c>
    </row>
    <row r="1838" spans="1:32" s="240" customFormat="1">
      <c r="A1838" s="48"/>
      <c r="B1838" s="31"/>
      <c r="C1838" s="48"/>
      <c r="D1838" s="47"/>
      <c r="E1838" s="47"/>
      <c r="F1838" s="31"/>
      <c r="G1838" s="31"/>
      <c r="H1838" s="31"/>
      <c r="I1838" s="47"/>
      <c r="J1838" s="31"/>
      <c r="K1838" s="47"/>
      <c r="L1838" s="47"/>
      <c r="M1838" s="47"/>
      <c r="N1838" s="31"/>
      <c r="O1838" s="47"/>
      <c r="P1838" s="31"/>
      <c r="Q1838" s="31"/>
      <c r="R1838" s="31"/>
      <c r="S1838" s="31"/>
      <c r="T1838" s="270">
        <f t="shared" si="224"/>
        <v>0</v>
      </c>
      <c r="U1838" s="270">
        <f t="shared" si="225"/>
        <v>0</v>
      </c>
      <c r="V1838" s="31"/>
      <c r="X1838" s="240" t="str">
        <f t="shared" si="226"/>
        <v>OK</v>
      </c>
      <c r="Y1838" s="240" t="str">
        <f t="shared" si="227"/>
        <v>OK</v>
      </c>
      <c r="Z1838" s="240" t="str">
        <f t="shared" si="228"/>
        <v>OK</v>
      </c>
      <c r="AA1838" s="240" t="str" cm="1">
        <f t="array" ref="AA1838">IF(OR(AND(J1838="Not accepted",N1838:O1838&lt;&gt;"",$S1838=""),AND(J1838="Accepted",S1838="")),"ERROR","OK")</f>
        <v>OK</v>
      </c>
      <c r="AB1838" s="240" t="str">
        <f t="shared" si="229"/>
        <v>OK</v>
      </c>
      <c r="AC1838" s="240" t="str" cm="1">
        <f t="array" ref="AC1838">IF(AND(F1838:H1838&lt;&gt;"",I1838=""),"ERROR","OK")</f>
        <v>OK</v>
      </c>
      <c r="AD1838" s="240" t="str">
        <f t="shared" si="230"/>
        <v>OK</v>
      </c>
      <c r="AE1838" s="240" t="str">
        <f t="shared" si="231"/>
        <v>OK</v>
      </c>
      <c r="AF1838" s="240" t="str" cm="1">
        <f t="array" aca="1" ref="AF1838" ca="1" xml:space="preserve">
IF(AND($G1838&lt;&gt;"",$F1838=""),"ERROR",
IF(OR($F1838:$G1838="",AND($G1838="",$F1838&lt;&gt;"")),"OK",
IF(COUNTIF(INDIRECT(IFERROR(LEFT($F1838,FIND(" ",$F1838)-1),$F1838)), $G1838)&gt;0, "OK", "ERROR")))</f>
        <v>OK</v>
      </c>
    </row>
    <row r="1839" spans="1:32" s="240" customFormat="1">
      <c r="A1839" s="48"/>
      <c r="B1839" s="31"/>
      <c r="C1839" s="48"/>
      <c r="D1839" s="47"/>
      <c r="E1839" s="47"/>
      <c r="F1839" s="31"/>
      <c r="G1839" s="31"/>
      <c r="H1839" s="31"/>
      <c r="I1839" s="47"/>
      <c r="J1839" s="31"/>
      <c r="K1839" s="47"/>
      <c r="L1839" s="47"/>
      <c r="M1839" s="47"/>
      <c r="N1839" s="31"/>
      <c r="O1839" s="47"/>
      <c r="P1839" s="31"/>
      <c r="Q1839" s="31"/>
      <c r="R1839" s="31"/>
      <c r="S1839" s="31"/>
      <c r="T1839" s="270">
        <f t="shared" si="224"/>
        <v>0</v>
      </c>
      <c r="U1839" s="270">
        <f t="shared" si="225"/>
        <v>0</v>
      </c>
      <c r="V1839" s="31"/>
      <c r="X1839" s="240" t="str">
        <f t="shared" si="226"/>
        <v>OK</v>
      </c>
      <c r="Y1839" s="240" t="str">
        <f t="shared" si="227"/>
        <v>OK</v>
      </c>
      <c r="Z1839" s="240" t="str">
        <f t="shared" si="228"/>
        <v>OK</v>
      </c>
      <c r="AA1839" s="240" t="str" cm="1">
        <f t="array" ref="AA1839">IF(OR(AND(J1839="Not accepted",N1839:O1839&lt;&gt;"",$S1839=""),AND(J1839="Accepted",S1839="")),"ERROR","OK")</f>
        <v>OK</v>
      </c>
      <c r="AB1839" s="240" t="str">
        <f t="shared" si="229"/>
        <v>OK</v>
      </c>
      <c r="AC1839" s="240" t="str" cm="1">
        <f t="array" ref="AC1839">IF(AND(F1839:H1839&lt;&gt;"",I1839=""),"ERROR","OK")</f>
        <v>OK</v>
      </c>
      <c r="AD1839" s="240" t="str">
        <f t="shared" si="230"/>
        <v>OK</v>
      </c>
      <c r="AE1839" s="240" t="str">
        <f t="shared" si="231"/>
        <v>OK</v>
      </c>
      <c r="AF1839" s="240" t="str" cm="1">
        <f t="array" aca="1" ref="AF1839" ca="1" xml:space="preserve">
IF(AND($G1839&lt;&gt;"",$F1839=""),"ERROR",
IF(OR($F1839:$G1839="",AND($G1839="",$F1839&lt;&gt;"")),"OK",
IF(COUNTIF(INDIRECT(IFERROR(LEFT($F1839,FIND(" ",$F1839)-1),$F1839)), $G1839)&gt;0, "OK", "ERROR")))</f>
        <v>OK</v>
      </c>
    </row>
    <row r="1840" spans="1:32" s="240" customFormat="1">
      <c r="A1840" s="48"/>
      <c r="B1840" s="31"/>
      <c r="C1840" s="48"/>
      <c r="D1840" s="47"/>
      <c r="E1840" s="47"/>
      <c r="F1840" s="31"/>
      <c r="G1840" s="31"/>
      <c r="H1840" s="31"/>
      <c r="I1840" s="47"/>
      <c r="J1840" s="31"/>
      <c r="K1840" s="47"/>
      <c r="L1840" s="47"/>
      <c r="M1840" s="47"/>
      <c r="N1840" s="31"/>
      <c r="O1840" s="47"/>
      <c r="P1840" s="31"/>
      <c r="Q1840" s="31"/>
      <c r="R1840" s="31"/>
      <c r="S1840" s="31"/>
      <c r="T1840" s="270">
        <f t="shared" si="224"/>
        <v>0</v>
      </c>
      <c r="U1840" s="270">
        <f t="shared" si="225"/>
        <v>0</v>
      </c>
      <c r="V1840" s="31"/>
      <c r="X1840" s="240" t="str">
        <f t="shared" si="226"/>
        <v>OK</v>
      </c>
      <c r="Y1840" s="240" t="str">
        <f t="shared" si="227"/>
        <v>OK</v>
      </c>
      <c r="Z1840" s="240" t="str">
        <f t="shared" si="228"/>
        <v>OK</v>
      </c>
      <c r="AA1840" s="240" t="str" cm="1">
        <f t="array" ref="AA1840">IF(OR(AND(J1840="Not accepted",N1840:O1840&lt;&gt;"",$S1840=""),AND(J1840="Accepted",S1840="")),"ERROR","OK")</f>
        <v>OK</v>
      </c>
      <c r="AB1840" s="240" t="str">
        <f t="shared" si="229"/>
        <v>OK</v>
      </c>
      <c r="AC1840" s="240" t="str" cm="1">
        <f t="array" ref="AC1840">IF(AND(F1840:H1840&lt;&gt;"",I1840=""),"ERROR","OK")</f>
        <v>OK</v>
      </c>
      <c r="AD1840" s="240" t="str">
        <f t="shared" si="230"/>
        <v>OK</v>
      </c>
      <c r="AE1840" s="240" t="str">
        <f t="shared" si="231"/>
        <v>OK</v>
      </c>
      <c r="AF1840" s="240" t="str" cm="1">
        <f t="array" aca="1" ref="AF1840" ca="1" xml:space="preserve">
IF(AND($G1840&lt;&gt;"",$F1840=""),"ERROR",
IF(OR($F1840:$G1840="",AND($G1840="",$F1840&lt;&gt;"")),"OK",
IF(COUNTIF(INDIRECT(IFERROR(LEFT($F1840,FIND(" ",$F1840)-1),$F1840)), $G1840)&gt;0, "OK", "ERROR")))</f>
        <v>OK</v>
      </c>
    </row>
    <row r="1841" spans="1:32" s="240" customFormat="1">
      <c r="A1841" s="48"/>
      <c r="B1841" s="31"/>
      <c r="C1841" s="48"/>
      <c r="D1841" s="47"/>
      <c r="E1841" s="47"/>
      <c r="F1841" s="31"/>
      <c r="G1841" s="31"/>
      <c r="H1841" s="31"/>
      <c r="I1841" s="47"/>
      <c r="J1841" s="31"/>
      <c r="K1841" s="47"/>
      <c r="L1841" s="47"/>
      <c r="M1841" s="47"/>
      <c r="N1841" s="31"/>
      <c r="O1841" s="47"/>
      <c r="P1841" s="31"/>
      <c r="Q1841" s="31"/>
      <c r="R1841" s="31"/>
      <c r="S1841" s="31"/>
      <c r="T1841" s="270">
        <f t="shared" si="224"/>
        <v>0</v>
      </c>
      <c r="U1841" s="270">
        <f t="shared" si="225"/>
        <v>0</v>
      </c>
      <c r="V1841" s="31"/>
      <c r="X1841" s="240" t="str">
        <f t="shared" si="226"/>
        <v>OK</v>
      </c>
      <c r="Y1841" s="240" t="str">
        <f t="shared" si="227"/>
        <v>OK</v>
      </c>
      <c r="Z1841" s="240" t="str">
        <f t="shared" si="228"/>
        <v>OK</v>
      </c>
      <c r="AA1841" s="240" t="str" cm="1">
        <f t="array" ref="AA1841">IF(OR(AND(J1841="Not accepted",N1841:O1841&lt;&gt;"",$S1841=""),AND(J1841="Accepted",S1841="")),"ERROR","OK")</f>
        <v>OK</v>
      </c>
      <c r="AB1841" s="240" t="str">
        <f t="shared" si="229"/>
        <v>OK</v>
      </c>
      <c r="AC1841" s="240" t="str" cm="1">
        <f t="array" ref="AC1841">IF(AND(F1841:H1841&lt;&gt;"",I1841=""),"ERROR","OK")</f>
        <v>OK</v>
      </c>
      <c r="AD1841" s="240" t="str">
        <f t="shared" si="230"/>
        <v>OK</v>
      </c>
      <c r="AE1841" s="240" t="str">
        <f t="shared" si="231"/>
        <v>OK</v>
      </c>
      <c r="AF1841" s="240" t="str" cm="1">
        <f t="array" aca="1" ref="AF1841" ca="1" xml:space="preserve">
IF(AND($G1841&lt;&gt;"",$F1841=""),"ERROR",
IF(OR($F1841:$G1841="",AND($G1841="",$F1841&lt;&gt;"")),"OK",
IF(COUNTIF(INDIRECT(IFERROR(LEFT($F1841,FIND(" ",$F1841)-1),$F1841)), $G1841)&gt;0, "OK", "ERROR")))</f>
        <v>OK</v>
      </c>
    </row>
    <row r="1842" spans="1:32" s="240" customFormat="1">
      <c r="A1842" s="48"/>
      <c r="B1842" s="31"/>
      <c r="C1842" s="48"/>
      <c r="D1842" s="47"/>
      <c r="E1842" s="47"/>
      <c r="F1842" s="31"/>
      <c r="G1842" s="31"/>
      <c r="H1842" s="31"/>
      <c r="I1842" s="47"/>
      <c r="J1842" s="31"/>
      <c r="K1842" s="47"/>
      <c r="L1842" s="47"/>
      <c r="M1842" s="47"/>
      <c r="N1842" s="31"/>
      <c r="O1842" s="47"/>
      <c r="P1842" s="31"/>
      <c r="Q1842" s="31"/>
      <c r="R1842" s="31"/>
      <c r="S1842" s="31"/>
      <c r="T1842" s="270">
        <f t="shared" si="224"/>
        <v>0</v>
      </c>
      <c r="U1842" s="270">
        <f t="shared" si="225"/>
        <v>0</v>
      </c>
      <c r="V1842" s="31"/>
      <c r="X1842" s="240" t="str">
        <f t="shared" si="226"/>
        <v>OK</v>
      </c>
      <c r="Y1842" s="240" t="str">
        <f t="shared" si="227"/>
        <v>OK</v>
      </c>
      <c r="Z1842" s="240" t="str">
        <f t="shared" si="228"/>
        <v>OK</v>
      </c>
      <c r="AA1842" s="240" t="str" cm="1">
        <f t="array" ref="AA1842">IF(OR(AND(J1842="Not accepted",N1842:O1842&lt;&gt;"",$S1842=""),AND(J1842="Accepted",S1842="")),"ERROR","OK")</f>
        <v>OK</v>
      </c>
      <c r="AB1842" s="240" t="str">
        <f t="shared" si="229"/>
        <v>OK</v>
      </c>
      <c r="AC1842" s="240" t="str" cm="1">
        <f t="array" ref="AC1842">IF(AND(F1842:H1842&lt;&gt;"",I1842=""),"ERROR","OK")</f>
        <v>OK</v>
      </c>
      <c r="AD1842" s="240" t="str">
        <f t="shared" si="230"/>
        <v>OK</v>
      </c>
      <c r="AE1842" s="240" t="str">
        <f t="shared" si="231"/>
        <v>OK</v>
      </c>
      <c r="AF1842" s="240" t="str" cm="1">
        <f t="array" aca="1" ref="AF1842" ca="1" xml:space="preserve">
IF(AND($G1842&lt;&gt;"",$F1842=""),"ERROR",
IF(OR($F1842:$G1842="",AND($G1842="",$F1842&lt;&gt;"")),"OK",
IF(COUNTIF(INDIRECT(IFERROR(LEFT($F1842,FIND(" ",$F1842)-1),$F1842)), $G1842)&gt;0, "OK", "ERROR")))</f>
        <v>OK</v>
      </c>
    </row>
    <row r="1843" spans="1:32" s="240" customFormat="1">
      <c r="A1843" s="48"/>
      <c r="B1843" s="31"/>
      <c r="C1843" s="48"/>
      <c r="D1843" s="47"/>
      <c r="E1843" s="47"/>
      <c r="F1843" s="31"/>
      <c r="G1843" s="31"/>
      <c r="H1843" s="31"/>
      <c r="I1843" s="47"/>
      <c r="J1843" s="31"/>
      <c r="K1843" s="47"/>
      <c r="L1843" s="47"/>
      <c r="M1843" s="47"/>
      <c r="N1843" s="31"/>
      <c r="O1843" s="47"/>
      <c r="P1843" s="31"/>
      <c r="Q1843" s="31"/>
      <c r="R1843" s="31"/>
      <c r="S1843" s="31"/>
      <c r="T1843" s="270">
        <f t="shared" si="224"/>
        <v>0</v>
      </c>
      <c r="U1843" s="270">
        <f t="shared" si="225"/>
        <v>0</v>
      </c>
      <c r="V1843" s="31"/>
      <c r="X1843" s="240" t="str">
        <f t="shared" si="226"/>
        <v>OK</v>
      </c>
      <c r="Y1843" s="240" t="str">
        <f t="shared" si="227"/>
        <v>OK</v>
      </c>
      <c r="Z1843" s="240" t="str">
        <f t="shared" si="228"/>
        <v>OK</v>
      </c>
      <c r="AA1843" s="240" t="str" cm="1">
        <f t="array" ref="AA1843">IF(OR(AND(J1843="Not accepted",N1843:O1843&lt;&gt;"",$S1843=""),AND(J1843="Accepted",S1843="")),"ERROR","OK")</f>
        <v>OK</v>
      </c>
      <c r="AB1843" s="240" t="str">
        <f t="shared" si="229"/>
        <v>OK</v>
      </c>
      <c r="AC1843" s="240" t="str" cm="1">
        <f t="array" ref="AC1843">IF(AND(F1843:H1843&lt;&gt;"",I1843=""),"ERROR","OK")</f>
        <v>OK</v>
      </c>
      <c r="AD1843" s="240" t="str">
        <f t="shared" si="230"/>
        <v>OK</v>
      </c>
      <c r="AE1843" s="240" t="str">
        <f t="shared" si="231"/>
        <v>OK</v>
      </c>
      <c r="AF1843" s="240" t="str" cm="1">
        <f t="array" aca="1" ref="AF1843" ca="1" xml:space="preserve">
IF(AND($G1843&lt;&gt;"",$F1843=""),"ERROR",
IF(OR($F1843:$G1843="",AND($G1843="",$F1843&lt;&gt;"")),"OK",
IF(COUNTIF(INDIRECT(IFERROR(LEFT($F1843,FIND(" ",$F1843)-1),$F1843)), $G1843)&gt;0, "OK", "ERROR")))</f>
        <v>OK</v>
      </c>
    </row>
    <row r="1844" spans="1:32" s="240" customFormat="1">
      <c r="A1844" s="48"/>
      <c r="B1844" s="31"/>
      <c r="C1844" s="48"/>
      <c r="D1844" s="47"/>
      <c r="E1844" s="47"/>
      <c r="F1844" s="31"/>
      <c r="G1844" s="31"/>
      <c r="H1844" s="31"/>
      <c r="I1844" s="47"/>
      <c r="J1844" s="31"/>
      <c r="K1844" s="47"/>
      <c r="L1844" s="47"/>
      <c r="M1844" s="47"/>
      <c r="N1844" s="31"/>
      <c r="O1844" s="47"/>
      <c r="P1844" s="31"/>
      <c r="Q1844" s="31"/>
      <c r="R1844" s="31"/>
      <c r="S1844" s="31"/>
      <c r="T1844" s="270">
        <f t="shared" si="224"/>
        <v>0</v>
      </c>
      <c r="U1844" s="270">
        <f t="shared" si="225"/>
        <v>0</v>
      </c>
      <c r="V1844" s="31"/>
      <c r="X1844" s="240" t="str">
        <f t="shared" si="226"/>
        <v>OK</v>
      </c>
      <c r="Y1844" s="240" t="str">
        <f t="shared" si="227"/>
        <v>OK</v>
      </c>
      <c r="Z1844" s="240" t="str">
        <f t="shared" si="228"/>
        <v>OK</v>
      </c>
      <c r="AA1844" s="240" t="str" cm="1">
        <f t="array" ref="AA1844">IF(OR(AND(J1844="Not accepted",N1844:O1844&lt;&gt;"",$S1844=""),AND(J1844="Accepted",S1844="")),"ERROR","OK")</f>
        <v>OK</v>
      </c>
      <c r="AB1844" s="240" t="str">
        <f t="shared" si="229"/>
        <v>OK</v>
      </c>
      <c r="AC1844" s="240" t="str" cm="1">
        <f t="array" ref="AC1844">IF(AND(F1844:H1844&lt;&gt;"",I1844=""),"ERROR","OK")</f>
        <v>OK</v>
      </c>
      <c r="AD1844" s="240" t="str">
        <f t="shared" si="230"/>
        <v>OK</v>
      </c>
      <c r="AE1844" s="240" t="str">
        <f t="shared" si="231"/>
        <v>OK</v>
      </c>
      <c r="AF1844" s="240" t="str" cm="1">
        <f t="array" aca="1" ref="AF1844" ca="1" xml:space="preserve">
IF(AND($G1844&lt;&gt;"",$F1844=""),"ERROR",
IF(OR($F1844:$G1844="",AND($G1844="",$F1844&lt;&gt;"")),"OK",
IF(COUNTIF(INDIRECT(IFERROR(LEFT($F1844,FIND(" ",$F1844)-1),$F1844)), $G1844)&gt;0, "OK", "ERROR")))</f>
        <v>OK</v>
      </c>
    </row>
    <row r="1845" spans="1:32" s="240" customFormat="1">
      <c r="A1845" s="48"/>
      <c r="B1845" s="31"/>
      <c r="C1845" s="48"/>
      <c r="D1845" s="47"/>
      <c r="E1845" s="47"/>
      <c r="F1845" s="31"/>
      <c r="G1845" s="31"/>
      <c r="H1845" s="31"/>
      <c r="I1845" s="47"/>
      <c r="J1845" s="31"/>
      <c r="K1845" s="47"/>
      <c r="L1845" s="47"/>
      <c r="M1845" s="47"/>
      <c r="N1845" s="31"/>
      <c r="O1845" s="47"/>
      <c r="P1845" s="31"/>
      <c r="Q1845" s="31"/>
      <c r="R1845" s="31"/>
      <c r="S1845" s="31"/>
      <c r="T1845" s="270">
        <f t="shared" si="224"/>
        <v>0</v>
      </c>
      <c r="U1845" s="270">
        <f t="shared" si="225"/>
        <v>0</v>
      </c>
      <c r="V1845" s="31"/>
      <c r="X1845" s="240" t="str">
        <f t="shared" si="226"/>
        <v>OK</v>
      </c>
      <c r="Y1845" s="240" t="str">
        <f t="shared" si="227"/>
        <v>OK</v>
      </c>
      <c r="Z1845" s="240" t="str">
        <f t="shared" si="228"/>
        <v>OK</v>
      </c>
      <c r="AA1845" s="240" t="str" cm="1">
        <f t="array" ref="AA1845">IF(OR(AND(J1845="Not accepted",N1845:O1845&lt;&gt;"",$S1845=""),AND(J1845="Accepted",S1845="")),"ERROR","OK")</f>
        <v>OK</v>
      </c>
      <c r="AB1845" s="240" t="str">
        <f t="shared" si="229"/>
        <v>OK</v>
      </c>
      <c r="AC1845" s="240" t="str" cm="1">
        <f t="array" ref="AC1845">IF(AND(F1845:H1845&lt;&gt;"",I1845=""),"ERROR","OK")</f>
        <v>OK</v>
      </c>
      <c r="AD1845" s="240" t="str">
        <f t="shared" si="230"/>
        <v>OK</v>
      </c>
      <c r="AE1845" s="240" t="str">
        <f t="shared" si="231"/>
        <v>OK</v>
      </c>
      <c r="AF1845" s="240" t="str" cm="1">
        <f t="array" aca="1" ref="AF1845" ca="1" xml:space="preserve">
IF(AND($G1845&lt;&gt;"",$F1845=""),"ERROR",
IF(OR($F1845:$G1845="",AND($G1845="",$F1845&lt;&gt;"")),"OK",
IF(COUNTIF(INDIRECT(IFERROR(LEFT($F1845,FIND(" ",$F1845)-1),$F1845)), $G1845)&gt;0, "OK", "ERROR")))</f>
        <v>OK</v>
      </c>
    </row>
    <row r="1846" spans="1:32" s="240" customFormat="1">
      <c r="A1846" s="48"/>
      <c r="B1846" s="31"/>
      <c r="C1846" s="48"/>
      <c r="D1846" s="47"/>
      <c r="E1846" s="47"/>
      <c r="F1846" s="31"/>
      <c r="G1846" s="31"/>
      <c r="H1846" s="31"/>
      <c r="I1846" s="47"/>
      <c r="J1846" s="31"/>
      <c r="K1846" s="47"/>
      <c r="L1846" s="47"/>
      <c r="M1846" s="47"/>
      <c r="N1846" s="31"/>
      <c r="O1846" s="47"/>
      <c r="P1846" s="31"/>
      <c r="Q1846" s="31"/>
      <c r="R1846" s="31"/>
      <c r="S1846" s="31"/>
      <c r="T1846" s="270">
        <f t="shared" si="224"/>
        <v>0</v>
      </c>
      <c r="U1846" s="270">
        <f t="shared" si="225"/>
        <v>0</v>
      </c>
      <c r="V1846" s="31"/>
      <c r="X1846" s="240" t="str">
        <f t="shared" si="226"/>
        <v>OK</v>
      </c>
      <c r="Y1846" s="240" t="str">
        <f t="shared" si="227"/>
        <v>OK</v>
      </c>
      <c r="Z1846" s="240" t="str">
        <f t="shared" si="228"/>
        <v>OK</v>
      </c>
      <c r="AA1846" s="240" t="str" cm="1">
        <f t="array" ref="AA1846">IF(OR(AND(J1846="Not accepted",N1846:O1846&lt;&gt;"",$S1846=""),AND(J1846="Accepted",S1846="")),"ERROR","OK")</f>
        <v>OK</v>
      </c>
      <c r="AB1846" s="240" t="str">
        <f t="shared" si="229"/>
        <v>OK</v>
      </c>
      <c r="AC1846" s="240" t="str" cm="1">
        <f t="array" ref="AC1846">IF(AND(F1846:H1846&lt;&gt;"",I1846=""),"ERROR","OK")</f>
        <v>OK</v>
      </c>
      <c r="AD1846" s="240" t="str">
        <f t="shared" si="230"/>
        <v>OK</v>
      </c>
      <c r="AE1846" s="240" t="str">
        <f t="shared" si="231"/>
        <v>OK</v>
      </c>
      <c r="AF1846" s="240" t="str" cm="1">
        <f t="array" aca="1" ref="AF1846" ca="1" xml:space="preserve">
IF(AND($G1846&lt;&gt;"",$F1846=""),"ERROR",
IF(OR($F1846:$G1846="",AND($G1846="",$F1846&lt;&gt;"")),"OK",
IF(COUNTIF(INDIRECT(IFERROR(LEFT($F1846,FIND(" ",$F1846)-1),$F1846)), $G1846)&gt;0, "OK", "ERROR")))</f>
        <v>OK</v>
      </c>
    </row>
    <row r="1847" spans="1:32" s="240" customFormat="1">
      <c r="A1847" s="48"/>
      <c r="B1847" s="31"/>
      <c r="C1847" s="48"/>
      <c r="D1847" s="47"/>
      <c r="E1847" s="47"/>
      <c r="F1847" s="31"/>
      <c r="G1847" s="31"/>
      <c r="H1847" s="31"/>
      <c r="I1847" s="47"/>
      <c r="J1847" s="31"/>
      <c r="K1847" s="47"/>
      <c r="L1847" s="47"/>
      <c r="M1847" s="47"/>
      <c r="N1847" s="31"/>
      <c r="O1847" s="47"/>
      <c r="P1847" s="31"/>
      <c r="Q1847" s="31"/>
      <c r="R1847" s="31"/>
      <c r="S1847" s="31"/>
      <c r="T1847" s="270">
        <f t="shared" si="224"/>
        <v>0</v>
      </c>
      <c r="U1847" s="270">
        <f t="shared" si="225"/>
        <v>0</v>
      </c>
      <c r="V1847" s="31"/>
      <c r="X1847" s="240" t="str">
        <f t="shared" si="226"/>
        <v>OK</v>
      </c>
      <c r="Y1847" s="240" t="str">
        <f t="shared" si="227"/>
        <v>OK</v>
      </c>
      <c r="Z1847" s="240" t="str">
        <f t="shared" si="228"/>
        <v>OK</v>
      </c>
      <c r="AA1847" s="240" t="str" cm="1">
        <f t="array" ref="AA1847">IF(OR(AND(J1847="Not accepted",N1847:O1847&lt;&gt;"",$S1847=""),AND(J1847="Accepted",S1847="")),"ERROR","OK")</f>
        <v>OK</v>
      </c>
      <c r="AB1847" s="240" t="str">
        <f t="shared" si="229"/>
        <v>OK</v>
      </c>
      <c r="AC1847" s="240" t="str" cm="1">
        <f t="array" ref="AC1847">IF(AND(F1847:H1847&lt;&gt;"",I1847=""),"ERROR","OK")</f>
        <v>OK</v>
      </c>
      <c r="AD1847" s="240" t="str">
        <f t="shared" si="230"/>
        <v>OK</v>
      </c>
      <c r="AE1847" s="240" t="str">
        <f t="shared" si="231"/>
        <v>OK</v>
      </c>
      <c r="AF1847" s="240" t="str" cm="1">
        <f t="array" aca="1" ref="AF1847" ca="1" xml:space="preserve">
IF(AND($G1847&lt;&gt;"",$F1847=""),"ERROR",
IF(OR($F1847:$G1847="",AND($G1847="",$F1847&lt;&gt;"")),"OK",
IF(COUNTIF(INDIRECT(IFERROR(LEFT($F1847,FIND(" ",$F1847)-1),$F1847)), $G1847)&gt;0, "OK", "ERROR")))</f>
        <v>OK</v>
      </c>
    </row>
    <row r="1848" spans="1:32" s="240" customFormat="1">
      <c r="A1848" s="48"/>
      <c r="B1848" s="31"/>
      <c r="C1848" s="48"/>
      <c r="D1848" s="47"/>
      <c r="E1848" s="47"/>
      <c r="F1848" s="31"/>
      <c r="G1848" s="31"/>
      <c r="H1848" s="31"/>
      <c r="I1848" s="47"/>
      <c r="J1848" s="31"/>
      <c r="K1848" s="47"/>
      <c r="L1848" s="47"/>
      <c r="M1848" s="47"/>
      <c r="N1848" s="31"/>
      <c r="O1848" s="47"/>
      <c r="P1848" s="31"/>
      <c r="Q1848" s="31"/>
      <c r="R1848" s="31"/>
      <c r="S1848" s="31"/>
      <c r="T1848" s="270">
        <f t="shared" si="224"/>
        <v>0</v>
      </c>
      <c r="U1848" s="270">
        <f t="shared" si="225"/>
        <v>0</v>
      </c>
      <c r="V1848" s="31"/>
      <c r="X1848" s="240" t="str">
        <f t="shared" si="226"/>
        <v>OK</v>
      </c>
      <c r="Y1848" s="240" t="str">
        <f t="shared" si="227"/>
        <v>OK</v>
      </c>
      <c r="Z1848" s="240" t="str">
        <f t="shared" si="228"/>
        <v>OK</v>
      </c>
      <c r="AA1848" s="240" t="str" cm="1">
        <f t="array" ref="AA1848">IF(OR(AND(J1848="Not accepted",N1848:O1848&lt;&gt;"",$S1848=""),AND(J1848="Accepted",S1848="")),"ERROR","OK")</f>
        <v>OK</v>
      </c>
      <c r="AB1848" s="240" t="str">
        <f t="shared" si="229"/>
        <v>OK</v>
      </c>
      <c r="AC1848" s="240" t="str" cm="1">
        <f t="array" ref="AC1848">IF(AND(F1848:H1848&lt;&gt;"",I1848=""),"ERROR","OK")</f>
        <v>OK</v>
      </c>
      <c r="AD1848" s="240" t="str">
        <f t="shared" si="230"/>
        <v>OK</v>
      </c>
      <c r="AE1848" s="240" t="str">
        <f t="shared" si="231"/>
        <v>OK</v>
      </c>
      <c r="AF1848" s="240" t="str" cm="1">
        <f t="array" aca="1" ref="AF1848" ca="1" xml:space="preserve">
IF(AND($G1848&lt;&gt;"",$F1848=""),"ERROR",
IF(OR($F1848:$G1848="",AND($G1848="",$F1848&lt;&gt;"")),"OK",
IF(COUNTIF(INDIRECT(IFERROR(LEFT($F1848,FIND(" ",$F1848)-1),$F1848)), $G1848)&gt;0, "OK", "ERROR")))</f>
        <v>OK</v>
      </c>
    </row>
    <row r="1849" spans="1:32" s="240" customFormat="1">
      <c r="A1849" s="48"/>
      <c r="B1849" s="31"/>
      <c r="C1849" s="48"/>
      <c r="D1849" s="47"/>
      <c r="E1849" s="47"/>
      <c r="F1849" s="31"/>
      <c r="G1849" s="31"/>
      <c r="H1849" s="31"/>
      <c r="I1849" s="47"/>
      <c r="J1849" s="31"/>
      <c r="K1849" s="47"/>
      <c r="L1849" s="47"/>
      <c r="M1849" s="47"/>
      <c r="N1849" s="31"/>
      <c r="O1849" s="47"/>
      <c r="P1849" s="31"/>
      <c r="Q1849" s="31"/>
      <c r="R1849" s="31"/>
      <c r="S1849" s="31"/>
      <c r="T1849" s="270">
        <f t="shared" si="224"/>
        <v>0</v>
      </c>
      <c r="U1849" s="270">
        <f t="shared" si="225"/>
        <v>0</v>
      </c>
      <c r="V1849" s="31"/>
      <c r="X1849" s="240" t="str">
        <f t="shared" si="226"/>
        <v>OK</v>
      </c>
      <c r="Y1849" s="240" t="str">
        <f t="shared" si="227"/>
        <v>OK</v>
      </c>
      <c r="Z1849" s="240" t="str">
        <f t="shared" si="228"/>
        <v>OK</v>
      </c>
      <c r="AA1849" s="240" t="str" cm="1">
        <f t="array" ref="AA1849">IF(OR(AND(J1849="Not accepted",N1849:O1849&lt;&gt;"",$S1849=""),AND(J1849="Accepted",S1849="")),"ERROR","OK")</f>
        <v>OK</v>
      </c>
      <c r="AB1849" s="240" t="str">
        <f t="shared" si="229"/>
        <v>OK</v>
      </c>
      <c r="AC1849" s="240" t="str" cm="1">
        <f t="array" ref="AC1849">IF(AND(F1849:H1849&lt;&gt;"",I1849=""),"ERROR","OK")</f>
        <v>OK</v>
      </c>
      <c r="AD1849" s="240" t="str">
        <f t="shared" si="230"/>
        <v>OK</v>
      </c>
      <c r="AE1849" s="240" t="str">
        <f t="shared" si="231"/>
        <v>OK</v>
      </c>
      <c r="AF1849" s="240" t="str" cm="1">
        <f t="array" aca="1" ref="AF1849" ca="1" xml:space="preserve">
IF(AND($G1849&lt;&gt;"",$F1849=""),"ERROR",
IF(OR($F1849:$G1849="",AND($G1849="",$F1849&lt;&gt;"")),"OK",
IF(COUNTIF(INDIRECT(IFERROR(LEFT($F1849,FIND(" ",$F1849)-1),$F1849)), $G1849)&gt;0, "OK", "ERROR")))</f>
        <v>OK</v>
      </c>
    </row>
    <row r="1850" spans="1:32" s="240" customFormat="1">
      <c r="A1850" s="48"/>
      <c r="B1850" s="31"/>
      <c r="C1850" s="48"/>
      <c r="D1850" s="47"/>
      <c r="E1850" s="47"/>
      <c r="F1850" s="31"/>
      <c r="G1850" s="31"/>
      <c r="H1850" s="31"/>
      <c r="I1850" s="47"/>
      <c r="J1850" s="31"/>
      <c r="K1850" s="47"/>
      <c r="L1850" s="47"/>
      <c r="M1850" s="47"/>
      <c r="N1850" s="31"/>
      <c r="O1850" s="47"/>
      <c r="P1850" s="31"/>
      <c r="Q1850" s="31"/>
      <c r="R1850" s="31"/>
      <c r="S1850" s="31"/>
      <c r="T1850" s="270">
        <f t="shared" si="224"/>
        <v>0</v>
      </c>
      <c r="U1850" s="270">
        <f t="shared" si="225"/>
        <v>0</v>
      </c>
      <c r="V1850" s="31"/>
      <c r="X1850" s="240" t="str">
        <f t="shared" si="226"/>
        <v>OK</v>
      </c>
      <c r="Y1850" s="240" t="str">
        <f t="shared" si="227"/>
        <v>OK</v>
      </c>
      <c r="Z1850" s="240" t="str">
        <f t="shared" si="228"/>
        <v>OK</v>
      </c>
      <c r="AA1850" s="240" t="str" cm="1">
        <f t="array" ref="AA1850">IF(OR(AND(J1850="Not accepted",N1850:O1850&lt;&gt;"",$S1850=""),AND(J1850="Accepted",S1850="")),"ERROR","OK")</f>
        <v>OK</v>
      </c>
      <c r="AB1850" s="240" t="str">
        <f t="shared" si="229"/>
        <v>OK</v>
      </c>
      <c r="AC1850" s="240" t="str" cm="1">
        <f t="array" ref="AC1850">IF(AND(F1850:H1850&lt;&gt;"",I1850=""),"ERROR","OK")</f>
        <v>OK</v>
      </c>
      <c r="AD1850" s="240" t="str">
        <f t="shared" si="230"/>
        <v>OK</v>
      </c>
      <c r="AE1850" s="240" t="str">
        <f t="shared" si="231"/>
        <v>OK</v>
      </c>
      <c r="AF1850" s="240" t="str" cm="1">
        <f t="array" aca="1" ref="AF1850" ca="1" xml:space="preserve">
IF(AND($G1850&lt;&gt;"",$F1850=""),"ERROR",
IF(OR($F1850:$G1850="",AND($G1850="",$F1850&lt;&gt;"")),"OK",
IF(COUNTIF(INDIRECT(IFERROR(LEFT($F1850,FIND(" ",$F1850)-1),$F1850)), $G1850)&gt;0, "OK", "ERROR")))</f>
        <v>OK</v>
      </c>
    </row>
    <row r="1851" spans="1:32" s="240" customFormat="1">
      <c r="A1851" s="48"/>
      <c r="B1851" s="31"/>
      <c r="C1851" s="48"/>
      <c r="D1851" s="47"/>
      <c r="E1851" s="47"/>
      <c r="F1851" s="31"/>
      <c r="G1851" s="31"/>
      <c r="H1851" s="31"/>
      <c r="I1851" s="47"/>
      <c r="J1851" s="31"/>
      <c r="K1851" s="47"/>
      <c r="L1851" s="47"/>
      <c r="M1851" s="47"/>
      <c r="N1851" s="31"/>
      <c r="O1851" s="47"/>
      <c r="P1851" s="31"/>
      <c r="Q1851" s="31"/>
      <c r="R1851" s="31"/>
      <c r="S1851" s="31"/>
      <c r="T1851" s="270">
        <f t="shared" si="224"/>
        <v>0</v>
      </c>
      <c r="U1851" s="270">
        <f t="shared" si="225"/>
        <v>0</v>
      </c>
      <c r="V1851" s="31"/>
      <c r="X1851" s="240" t="str">
        <f t="shared" si="226"/>
        <v>OK</v>
      </c>
      <c r="Y1851" s="240" t="str">
        <f t="shared" si="227"/>
        <v>OK</v>
      </c>
      <c r="Z1851" s="240" t="str">
        <f t="shared" si="228"/>
        <v>OK</v>
      </c>
      <c r="AA1851" s="240" t="str" cm="1">
        <f t="array" ref="AA1851">IF(OR(AND(J1851="Not accepted",N1851:O1851&lt;&gt;"",$S1851=""),AND(J1851="Accepted",S1851="")),"ERROR","OK")</f>
        <v>OK</v>
      </c>
      <c r="AB1851" s="240" t="str">
        <f t="shared" si="229"/>
        <v>OK</v>
      </c>
      <c r="AC1851" s="240" t="str" cm="1">
        <f t="array" ref="AC1851">IF(AND(F1851:H1851&lt;&gt;"",I1851=""),"ERROR","OK")</f>
        <v>OK</v>
      </c>
      <c r="AD1851" s="240" t="str">
        <f t="shared" si="230"/>
        <v>OK</v>
      </c>
      <c r="AE1851" s="240" t="str">
        <f t="shared" si="231"/>
        <v>OK</v>
      </c>
      <c r="AF1851" s="240" t="str" cm="1">
        <f t="array" aca="1" ref="AF1851" ca="1" xml:space="preserve">
IF(AND($G1851&lt;&gt;"",$F1851=""),"ERROR",
IF(OR($F1851:$G1851="",AND($G1851="",$F1851&lt;&gt;"")),"OK",
IF(COUNTIF(INDIRECT(IFERROR(LEFT($F1851,FIND(" ",$F1851)-1),$F1851)), $G1851)&gt;0, "OK", "ERROR")))</f>
        <v>OK</v>
      </c>
    </row>
    <row r="1852" spans="1:32" s="240" customFormat="1">
      <c r="A1852" s="48"/>
      <c r="B1852" s="31"/>
      <c r="C1852" s="48"/>
      <c r="D1852" s="47"/>
      <c r="E1852" s="47"/>
      <c r="F1852" s="31"/>
      <c r="G1852" s="31"/>
      <c r="H1852" s="31"/>
      <c r="I1852" s="47"/>
      <c r="J1852" s="31"/>
      <c r="K1852" s="47"/>
      <c r="L1852" s="47"/>
      <c r="M1852" s="47"/>
      <c r="N1852" s="31"/>
      <c r="O1852" s="47"/>
      <c r="P1852" s="31"/>
      <c r="Q1852" s="31"/>
      <c r="R1852" s="31"/>
      <c r="S1852" s="31"/>
      <c r="T1852" s="270">
        <f t="shared" si="224"/>
        <v>0</v>
      </c>
      <c r="U1852" s="270">
        <f t="shared" si="225"/>
        <v>0</v>
      </c>
      <c r="V1852" s="31"/>
      <c r="X1852" s="240" t="str">
        <f t="shared" si="226"/>
        <v>OK</v>
      </c>
      <c r="Y1852" s="240" t="str">
        <f t="shared" si="227"/>
        <v>OK</v>
      </c>
      <c r="Z1852" s="240" t="str">
        <f t="shared" si="228"/>
        <v>OK</v>
      </c>
      <c r="AA1852" s="240" t="str" cm="1">
        <f t="array" ref="AA1852">IF(OR(AND(J1852="Not accepted",N1852:O1852&lt;&gt;"",$S1852=""),AND(J1852="Accepted",S1852="")),"ERROR","OK")</f>
        <v>OK</v>
      </c>
      <c r="AB1852" s="240" t="str">
        <f t="shared" si="229"/>
        <v>OK</v>
      </c>
      <c r="AC1852" s="240" t="str" cm="1">
        <f t="array" ref="AC1852">IF(AND(F1852:H1852&lt;&gt;"",I1852=""),"ERROR","OK")</f>
        <v>OK</v>
      </c>
      <c r="AD1852" s="240" t="str">
        <f t="shared" si="230"/>
        <v>OK</v>
      </c>
      <c r="AE1852" s="240" t="str">
        <f t="shared" si="231"/>
        <v>OK</v>
      </c>
      <c r="AF1852" s="240" t="str" cm="1">
        <f t="array" aca="1" ref="AF1852" ca="1" xml:space="preserve">
IF(AND($G1852&lt;&gt;"",$F1852=""),"ERROR",
IF(OR($F1852:$G1852="",AND($G1852="",$F1852&lt;&gt;"")),"OK",
IF(COUNTIF(INDIRECT(IFERROR(LEFT($F1852,FIND(" ",$F1852)-1),$F1852)), $G1852)&gt;0, "OK", "ERROR")))</f>
        <v>OK</v>
      </c>
    </row>
    <row r="1853" spans="1:32" s="240" customFormat="1">
      <c r="A1853" s="48"/>
      <c r="B1853" s="31"/>
      <c r="C1853" s="48"/>
      <c r="D1853" s="47"/>
      <c r="E1853" s="47"/>
      <c r="F1853" s="31"/>
      <c r="G1853" s="31"/>
      <c r="H1853" s="31"/>
      <c r="I1853" s="47"/>
      <c r="J1853" s="31"/>
      <c r="K1853" s="47"/>
      <c r="L1853" s="47"/>
      <c r="M1853" s="47"/>
      <c r="N1853" s="31"/>
      <c r="O1853" s="47"/>
      <c r="P1853" s="31"/>
      <c r="Q1853" s="31"/>
      <c r="R1853" s="31"/>
      <c r="S1853" s="31"/>
      <c r="T1853" s="270">
        <f t="shared" si="224"/>
        <v>0</v>
      </c>
      <c r="U1853" s="270">
        <f t="shared" si="225"/>
        <v>0</v>
      </c>
      <c r="V1853" s="31"/>
      <c r="X1853" s="240" t="str">
        <f t="shared" si="226"/>
        <v>OK</v>
      </c>
      <c r="Y1853" s="240" t="str">
        <f t="shared" si="227"/>
        <v>OK</v>
      </c>
      <c r="Z1853" s="240" t="str">
        <f t="shared" si="228"/>
        <v>OK</v>
      </c>
      <c r="AA1853" s="240" t="str" cm="1">
        <f t="array" ref="AA1853">IF(OR(AND(J1853="Not accepted",N1853:O1853&lt;&gt;"",$S1853=""),AND(J1853="Accepted",S1853="")),"ERROR","OK")</f>
        <v>OK</v>
      </c>
      <c r="AB1853" s="240" t="str">
        <f t="shared" si="229"/>
        <v>OK</v>
      </c>
      <c r="AC1853" s="240" t="str" cm="1">
        <f t="array" ref="AC1853">IF(AND(F1853:H1853&lt;&gt;"",I1853=""),"ERROR","OK")</f>
        <v>OK</v>
      </c>
      <c r="AD1853" s="240" t="str">
        <f t="shared" si="230"/>
        <v>OK</v>
      </c>
      <c r="AE1853" s="240" t="str">
        <f t="shared" si="231"/>
        <v>OK</v>
      </c>
      <c r="AF1853" s="240" t="str" cm="1">
        <f t="array" aca="1" ref="AF1853" ca="1" xml:space="preserve">
IF(AND($G1853&lt;&gt;"",$F1853=""),"ERROR",
IF(OR($F1853:$G1853="",AND($G1853="",$F1853&lt;&gt;"")),"OK",
IF(COUNTIF(INDIRECT(IFERROR(LEFT($F1853,FIND(" ",$F1853)-1),$F1853)), $G1853)&gt;0, "OK", "ERROR")))</f>
        <v>OK</v>
      </c>
    </row>
    <row r="1854" spans="1:32" s="240" customFormat="1">
      <c r="A1854" s="48"/>
      <c r="B1854" s="31"/>
      <c r="C1854" s="48"/>
      <c r="D1854" s="47"/>
      <c r="E1854" s="47"/>
      <c r="F1854" s="31"/>
      <c r="G1854" s="31"/>
      <c r="H1854" s="31"/>
      <c r="I1854" s="47"/>
      <c r="J1854" s="31"/>
      <c r="K1854" s="47"/>
      <c r="L1854" s="47"/>
      <c r="M1854" s="47"/>
      <c r="N1854" s="31"/>
      <c r="O1854" s="47"/>
      <c r="P1854" s="31"/>
      <c r="Q1854" s="31"/>
      <c r="R1854" s="31"/>
      <c r="S1854" s="31"/>
      <c r="T1854" s="270">
        <f t="shared" si="224"/>
        <v>0</v>
      </c>
      <c r="U1854" s="270">
        <f t="shared" si="225"/>
        <v>0</v>
      </c>
      <c r="V1854" s="31"/>
      <c r="X1854" s="240" t="str">
        <f t="shared" si="226"/>
        <v>OK</v>
      </c>
      <c r="Y1854" s="240" t="str">
        <f t="shared" si="227"/>
        <v>OK</v>
      </c>
      <c r="Z1854" s="240" t="str">
        <f t="shared" si="228"/>
        <v>OK</v>
      </c>
      <c r="AA1854" s="240" t="str" cm="1">
        <f t="array" ref="AA1854">IF(OR(AND(J1854="Not accepted",N1854:O1854&lt;&gt;"",$S1854=""),AND(J1854="Accepted",S1854="")),"ERROR","OK")</f>
        <v>OK</v>
      </c>
      <c r="AB1854" s="240" t="str">
        <f t="shared" si="229"/>
        <v>OK</v>
      </c>
      <c r="AC1854" s="240" t="str" cm="1">
        <f t="array" ref="AC1854">IF(AND(F1854:H1854&lt;&gt;"",I1854=""),"ERROR","OK")</f>
        <v>OK</v>
      </c>
      <c r="AD1854" s="240" t="str">
        <f t="shared" si="230"/>
        <v>OK</v>
      </c>
      <c r="AE1854" s="240" t="str">
        <f t="shared" si="231"/>
        <v>OK</v>
      </c>
      <c r="AF1854" s="240" t="str" cm="1">
        <f t="array" aca="1" ref="AF1854" ca="1" xml:space="preserve">
IF(AND($G1854&lt;&gt;"",$F1854=""),"ERROR",
IF(OR($F1854:$G1854="",AND($G1854="",$F1854&lt;&gt;"")),"OK",
IF(COUNTIF(INDIRECT(IFERROR(LEFT($F1854,FIND(" ",$F1854)-1),$F1854)), $G1854)&gt;0, "OK", "ERROR")))</f>
        <v>OK</v>
      </c>
    </row>
    <row r="1855" spans="1:32" s="240" customFormat="1">
      <c r="A1855" s="48"/>
      <c r="B1855" s="31"/>
      <c r="C1855" s="48"/>
      <c r="D1855" s="47"/>
      <c r="E1855" s="47"/>
      <c r="F1855" s="31"/>
      <c r="G1855" s="31"/>
      <c r="H1855" s="31"/>
      <c r="I1855" s="47"/>
      <c r="J1855" s="31"/>
      <c r="K1855" s="47"/>
      <c r="L1855" s="47"/>
      <c r="M1855" s="47"/>
      <c r="N1855" s="31"/>
      <c r="O1855" s="47"/>
      <c r="P1855" s="31"/>
      <c r="Q1855" s="31"/>
      <c r="R1855" s="31"/>
      <c r="S1855" s="31"/>
      <c r="T1855" s="270">
        <f t="shared" si="224"/>
        <v>0</v>
      </c>
      <c r="U1855" s="270">
        <f t="shared" si="225"/>
        <v>0</v>
      </c>
      <c r="V1855" s="31"/>
      <c r="X1855" s="240" t="str">
        <f t="shared" si="226"/>
        <v>OK</v>
      </c>
      <c r="Y1855" s="240" t="str">
        <f t="shared" si="227"/>
        <v>OK</v>
      </c>
      <c r="Z1855" s="240" t="str">
        <f t="shared" si="228"/>
        <v>OK</v>
      </c>
      <c r="AA1855" s="240" t="str" cm="1">
        <f t="array" ref="AA1855">IF(OR(AND(J1855="Not accepted",N1855:O1855&lt;&gt;"",$S1855=""),AND(J1855="Accepted",S1855="")),"ERROR","OK")</f>
        <v>OK</v>
      </c>
      <c r="AB1855" s="240" t="str">
        <f t="shared" si="229"/>
        <v>OK</v>
      </c>
      <c r="AC1855" s="240" t="str" cm="1">
        <f t="array" ref="AC1855">IF(AND(F1855:H1855&lt;&gt;"",I1855=""),"ERROR","OK")</f>
        <v>OK</v>
      </c>
      <c r="AD1855" s="240" t="str">
        <f t="shared" si="230"/>
        <v>OK</v>
      </c>
      <c r="AE1855" s="240" t="str">
        <f t="shared" si="231"/>
        <v>OK</v>
      </c>
      <c r="AF1855" s="240" t="str" cm="1">
        <f t="array" aca="1" ref="AF1855" ca="1" xml:space="preserve">
IF(AND($G1855&lt;&gt;"",$F1855=""),"ERROR",
IF(OR($F1855:$G1855="",AND($G1855="",$F1855&lt;&gt;"")),"OK",
IF(COUNTIF(INDIRECT(IFERROR(LEFT($F1855,FIND(" ",$F1855)-1),$F1855)), $G1855)&gt;0, "OK", "ERROR")))</f>
        <v>OK</v>
      </c>
    </row>
    <row r="1856" spans="1:32" s="240" customFormat="1">
      <c r="A1856" s="48"/>
      <c r="B1856" s="31"/>
      <c r="C1856" s="48"/>
      <c r="D1856" s="47"/>
      <c r="E1856" s="47"/>
      <c r="F1856" s="31"/>
      <c r="G1856" s="31"/>
      <c r="H1856" s="31"/>
      <c r="I1856" s="47"/>
      <c r="J1856" s="31"/>
      <c r="K1856" s="47"/>
      <c r="L1856" s="47"/>
      <c r="M1856" s="47"/>
      <c r="N1856" s="31"/>
      <c r="O1856" s="47"/>
      <c r="P1856" s="31"/>
      <c r="Q1856" s="31"/>
      <c r="R1856" s="31"/>
      <c r="S1856" s="31"/>
      <c r="T1856" s="270">
        <f t="shared" si="224"/>
        <v>0</v>
      </c>
      <c r="U1856" s="270">
        <f t="shared" si="225"/>
        <v>0</v>
      </c>
      <c r="V1856" s="31"/>
      <c r="X1856" s="240" t="str">
        <f t="shared" si="226"/>
        <v>OK</v>
      </c>
      <c r="Y1856" s="240" t="str">
        <f t="shared" si="227"/>
        <v>OK</v>
      </c>
      <c r="Z1856" s="240" t="str">
        <f t="shared" si="228"/>
        <v>OK</v>
      </c>
      <c r="AA1856" s="240" t="str" cm="1">
        <f t="array" ref="AA1856">IF(OR(AND(J1856="Not accepted",N1856:O1856&lt;&gt;"",$S1856=""),AND(J1856="Accepted",S1856="")),"ERROR","OK")</f>
        <v>OK</v>
      </c>
      <c r="AB1856" s="240" t="str">
        <f t="shared" si="229"/>
        <v>OK</v>
      </c>
      <c r="AC1856" s="240" t="str" cm="1">
        <f t="array" ref="AC1856">IF(AND(F1856:H1856&lt;&gt;"",I1856=""),"ERROR","OK")</f>
        <v>OK</v>
      </c>
      <c r="AD1856" s="240" t="str">
        <f t="shared" si="230"/>
        <v>OK</v>
      </c>
      <c r="AE1856" s="240" t="str">
        <f t="shared" si="231"/>
        <v>OK</v>
      </c>
      <c r="AF1856" s="240" t="str" cm="1">
        <f t="array" aca="1" ref="AF1856" ca="1" xml:space="preserve">
IF(AND($G1856&lt;&gt;"",$F1856=""),"ERROR",
IF(OR($F1856:$G1856="",AND($G1856="",$F1856&lt;&gt;"")),"OK",
IF(COUNTIF(INDIRECT(IFERROR(LEFT($F1856,FIND(" ",$F1856)-1),$F1856)), $G1856)&gt;0, "OK", "ERROR")))</f>
        <v>OK</v>
      </c>
    </row>
    <row r="1857" spans="1:32" s="240" customFormat="1">
      <c r="A1857" s="48"/>
      <c r="B1857" s="31"/>
      <c r="C1857" s="48"/>
      <c r="D1857" s="47"/>
      <c r="E1857" s="47"/>
      <c r="F1857" s="31"/>
      <c r="G1857" s="31"/>
      <c r="H1857" s="31"/>
      <c r="I1857" s="47"/>
      <c r="J1857" s="31"/>
      <c r="K1857" s="47"/>
      <c r="L1857" s="47"/>
      <c r="M1857" s="47"/>
      <c r="N1857" s="31"/>
      <c r="O1857" s="47"/>
      <c r="P1857" s="31"/>
      <c r="Q1857" s="31"/>
      <c r="R1857" s="31"/>
      <c r="S1857" s="31"/>
      <c r="T1857" s="270">
        <f t="shared" si="224"/>
        <v>0</v>
      </c>
      <c r="U1857" s="270">
        <f t="shared" si="225"/>
        <v>0</v>
      </c>
      <c r="V1857" s="31"/>
      <c r="X1857" s="240" t="str">
        <f t="shared" si="226"/>
        <v>OK</v>
      </c>
      <c r="Y1857" s="240" t="str">
        <f t="shared" si="227"/>
        <v>OK</v>
      </c>
      <c r="Z1857" s="240" t="str">
        <f t="shared" si="228"/>
        <v>OK</v>
      </c>
      <c r="AA1857" s="240" t="str" cm="1">
        <f t="array" ref="AA1857">IF(OR(AND(J1857="Not accepted",N1857:O1857&lt;&gt;"",$S1857=""),AND(J1857="Accepted",S1857="")),"ERROR","OK")</f>
        <v>OK</v>
      </c>
      <c r="AB1857" s="240" t="str">
        <f t="shared" si="229"/>
        <v>OK</v>
      </c>
      <c r="AC1857" s="240" t="str" cm="1">
        <f t="array" ref="AC1857">IF(AND(F1857:H1857&lt;&gt;"",I1857=""),"ERROR","OK")</f>
        <v>OK</v>
      </c>
      <c r="AD1857" s="240" t="str">
        <f t="shared" si="230"/>
        <v>OK</v>
      </c>
      <c r="AE1857" s="240" t="str">
        <f t="shared" si="231"/>
        <v>OK</v>
      </c>
      <c r="AF1857" s="240" t="str" cm="1">
        <f t="array" aca="1" ref="AF1857" ca="1" xml:space="preserve">
IF(AND($G1857&lt;&gt;"",$F1857=""),"ERROR",
IF(OR($F1857:$G1857="",AND($G1857="",$F1857&lt;&gt;"")),"OK",
IF(COUNTIF(INDIRECT(IFERROR(LEFT($F1857,FIND(" ",$F1857)-1),$F1857)), $G1857)&gt;0, "OK", "ERROR")))</f>
        <v>OK</v>
      </c>
    </row>
    <row r="1858" spans="1:32" s="240" customFormat="1">
      <c r="A1858" s="48"/>
      <c r="B1858" s="31"/>
      <c r="C1858" s="48"/>
      <c r="D1858" s="47"/>
      <c r="E1858" s="47"/>
      <c r="F1858" s="31"/>
      <c r="G1858" s="31"/>
      <c r="H1858" s="31"/>
      <c r="I1858" s="47"/>
      <c r="J1858" s="31"/>
      <c r="K1858" s="47"/>
      <c r="L1858" s="47"/>
      <c r="M1858" s="47"/>
      <c r="N1858" s="31"/>
      <c r="O1858" s="47"/>
      <c r="P1858" s="31"/>
      <c r="Q1858" s="31"/>
      <c r="R1858" s="31"/>
      <c r="S1858" s="31"/>
      <c r="T1858" s="270">
        <f t="shared" si="224"/>
        <v>0</v>
      </c>
      <c r="U1858" s="270">
        <f t="shared" si="225"/>
        <v>0</v>
      </c>
      <c r="V1858" s="31"/>
      <c r="X1858" s="240" t="str">
        <f t="shared" si="226"/>
        <v>OK</v>
      </c>
      <c r="Y1858" s="240" t="str">
        <f t="shared" si="227"/>
        <v>OK</v>
      </c>
      <c r="Z1858" s="240" t="str">
        <f t="shared" si="228"/>
        <v>OK</v>
      </c>
      <c r="AA1858" s="240" t="str" cm="1">
        <f t="array" ref="AA1858">IF(OR(AND(J1858="Not accepted",N1858:O1858&lt;&gt;"",$S1858=""),AND(J1858="Accepted",S1858="")),"ERROR","OK")</f>
        <v>OK</v>
      </c>
      <c r="AB1858" s="240" t="str">
        <f t="shared" si="229"/>
        <v>OK</v>
      </c>
      <c r="AC1858" s="240" t="str" cm="1">
        <f t="array" ref="AC1858">IF(AND(F1858:H1858&lt;&gt;"",I1858=""),"ERROR","OK")</f>
        <v>OK</v>
      </c>
      <c r="AD1858" s="240" t="str">
        <f t="shared" si="230"/>
        <v>OK</v>
      </c>
      <c r="AE1858" s="240" t="str">
        <f t="shared" si="231"/>
        <v>OK</v>
      </c>
      <c r="AF1858" s="240" t="str" cm="1">
        <f t="array" aca="1" ref="AF1858" ca="1" xml:space="preserve">
IF(AND($G1858&lt;&gt;"",$F1858=""),"ERROR",
IF(OR($F1858:$G1858="",AND($G1858="",$F1858&lt;&gt;"")),"OK",
IF(COUNTIF(INDIRECT(IFERROR(LEFT($F1858,FIND(" ",$F1858)-1),$F1858)), $G1858)&gt;0, "OK", "ERROR")))</f>
        <v>OK</v>
      </c>
    </row>
    <row r="1859" spans="1:32" s="240" customFormat="1">
      <c r="A1859" s="48"/>
      <c r="B1859" s="31"/>
      <c r="C1859" s="48"/>
      <c r="D1859" s="47"/>
      <c r="E1859" s="47"/>
      <c r="F1859" s="31"/>
      <c r="G1859" s="31"/>
      <c r="H1859" s="31"/>
      <c r="I1859" s="47"/>
      <c r="J1859" s="31"/>
      <c r="K1859" s="47"/>
      <c r="L1859" s="47"/>
      <c r="M1859" s="47"/>
      <c r="N1859" s="31"/>
      <c r="O1859" s="47"/>
      <c r="P1859" s="31"/>
      <c r="Q1859" s="31"/>
      <c r="R1859" s="31"/>
      <c r="S1859" s="31"/>
      <c r="T1859" s="270">
        <f t="shared" si="224"/>
        <v>0</v>
      </c>
      <c r="U1859" s="270">
        <f t="shared" si="225"/>
        <v>0</v>
      </c>
      <c r="V1859" s="31"/>
      <c r="X1859" s="240" t="str">
        <f t="shared" si="226"/>
        <v>OK</v>
      </c>
      <c r="Y1859" s="240" t="str">
        <f t="shared" si="227"/>
        <v>OK</v>
      </c>
      <c r="Z1859" s="240" t="str">
        <f t="shared" si="228"/>
        <v>OK</v>
      </c>
      <c r="AA1859" s="240" t="str" cm="1">
        <f t="array" ref="AA1859">IF(OR(AND(J1859="Not accepted",N1859:O1859&lt;&gt;"",$S1859=""),AND(J1859="Accepted",S1859="")),"ERROR","OK")</f>
        <v>OK</v>
      </c>
      <c r="AB1859" s="240" t="str">
        <f t="shared" si="229"/>
        <v>OK</v>
      </c>
      <c r="AC1859" s="240" t="str" cm="1">
        <f t="array" ref="AC1859">IF(AND(F1859:H1859&lt;&gt;"",I1859=""),"ERROR","OK")</f>
        <v>OK</v>
      </c>
      <c r="AD1859" s="240" t="str">
        <f t="shared" si="230"/>
        <v>OK</v>
      </c>
      <c r="AE1859" s="240" t="str">
        <f t="shared" si="231"/>
        <v>OK</v>
      </c>
      <c r="AF1859" s="240" t="str" cm="1">
        <f t="array" aca="1" ref="AF1859" ca="1" xml:space="preserve">
IF(AND($G1859&lt;&gt;"",$F1859=""),"ERROR",
IF(OR($F1859:$G1859="",AND($G1859="",$F1859&lt;&gt;"")),"OK",
IF(COUNTIF(INDIRECT(IFERROR(LEFT($F1859,FIND(" ",$F1859)-1),$F1859)), $G1859)&gt;0, "OK", "ERROR")))</f>
        <v>OK</v>
      </c>
    </row>
    <row r="1860" spans="1:32" s="240" customFormat="1">
      <c r="A1860" s="48"/>
      <c r="B1860" s="31"/>
      <c r="C1860" s="48"/>
      <c r="D1860" s="47"/>
      <c r="E1860" s="47"/>
      <c r="F1860" s="31"/>
      <c r="G1860" s="31"/>
      <c r="H1860" s="31"/>
      <c r="I1860" s="47"/>
      <c r="J1860" s="31"/>
      <c r="K1860" s="47"/>
      <c r="L1860" s="47"/>
      <c r="M1860" s="47"/>
      <c r="N1860" s="31"/>
      <c r="O1860" s="47"/>
      <c r="P1860" s="31"/>
      <c r="Q1860" s="31"/>
      <c r="R1860" s="31"/>
      <c r="S1860" s="31"/>
      <c r="T1860" s="270">
        <f t="shared" si="224"/>
        <v>0</v>
      </c>
      <c r="U1860" s="270">
        <f t="shared" si="225"/>
        <v>0</v>
      </c>
      <c r="V1860" s="31"/>
      <c r="X1860" s="240" t="str">
        <f t="shared" si="226"/>
        <v>OK</v>
      </c>
      <c r="Y1860" s="240" t="str">
        <f t="shared" si="227"/>
        <v>OK</v>
      </c>
      <c r="Z1860" s="240" t="str">
        <f t="shared" si="228"/>
        <v>OK</v>
      </c>
      <c r="AA1860" s="240" t="str" cm="1">
        <f t="array" ref="AA1860">IF(OR(AND(J1860="Not accepted",N1860:O1860&lt;&gt;"",$S1860=""),AND(J1860="Accepted",S1860="")),"ERROR","OK")</f>
        <v>OK</v>
      </c>
      <c r="AB1860" s="240" t="str">
        <f t="shared" si="229"/>
        <v>OK</v>
      </c>
      <c r="AC1860" s="240" t="str" cm="1">
        <f t="array" ref="AC1860">IF(AND(F1860:H1860&lt;&gt;"",I1860=""),"ERROR","OK")</f>
        <v>OK</v>
      </c>
      <c r="AD1860" s="240" t="str">
        <f t="shared" si="230"/>
        <v>OK</v>
      </c>
      <c r="AE1860" s="240" t="str">
        <f t="shared" si="231"/>
        <v>OK</v>
      </c>
      <c r="AF1860" s="240" t="str" cm="1">
        <f t="array" aca="1" ref="AF1860" ca="1" xml:space="preserve">
IF(AND($G1860&lt;&gt;"",$F1860=""),"ERROR",
IF(OR($F1860:$G1860="",AND($G1860="",$F1860&lt;&gt;"")),"OK",
IF(COUNTIF(INDIRECT(IFERROR(LEFT($F1860,FIND(" ",$F1860)-1),$F1860)), $G1860)&gt;0, "OK", "ERROR")))</f>
        <v>OK</v>
      </c>
    </row>
    <row r="1861" spans="1:32" s="240" customFormat="1">
      <c r="A1861" s="48"/>
      <c r="B1861" s="31"/>
      <c r="C1861" s="48"/>
      <c r="D1861" s="47"/>
      <c r="E1861" s="47"/>
      <c r="F1861" s="31"/>
      <c r="G1861" s="31"/>
      <c r="H1861" s="31"/>
      <c r="I1861" s="47"/>
      <c r="J1861" s="31"/>
      <c r="K1861" s="47"/>
      <c r="L1861" s="47"/>
      <c r="M1861" s="47"/>
      <c r="N1861" s="31"/>
      <c r="O1861" s="47"/>
      <c r="P1861" s="31"/>
      <c r="Q1861" s="31"/>
      <c r="R1861" s="31"/>
      <c r="S1861" s="31"/>
      <c r="T1861" s="270">
        <f t="shared" ref="T1861:T1924" si="232">IF(OR($J1861="Accepted",ISBLANK($J1861)),IF(AND($G1861="Legacy Data",$Q1861="Legacy Data"),1,IF(OR($G1861="Legacy Data",$Q1861="Legacy Data"),1,0)),IF(OR($N1861="Agree with original translator",ISBLANK($N1861)),IF(AND($G1861="Source Text Data",$Q1861="Legacy Data"),1,IF(AND($G1861="Legacy Data",$Q1861="Legacy Data"),1,IF($Q1861="Legacy Data",1,0))),IF(AND($G1861="Legacy Data",$Q1861="Legacy Data"),1,IF(OR($Q1861="Legacy Data",ISBLANK($Q1861)),IF($G1861&lt;&gt;"Legacy Data",IF(AND($G1861="Source Text Data",$Q1861="Legacy Data"),1,0),1),0))))</f>
        <v>0</v>
      </c>
      <c r="U1861" s="270">
        <f t="shared" ref="U1861:U1924" si="233">IF(OR($J1861="Accepted",ISBLANK($J1861)),IF(AND($G1861="Source Text Data",$Q1861="Source Text Data"),1,IF(OR($G1861="Source Text Data",$Q1861="Source Text Data"),1,0)),IF(OR($N1861="Agree with original translator",ISBLANK($N1861)),IF(AND($G1861="Legacy Data",$Q1861="Source Text Data"),1,IF(AND($G1861="Source Text Data",$Q1861="Source Text Data"),1,IF($Q1861="Source Text Data",1,0))),IF(AND($G1861="Source Text Data",$Q1861="Source Text Data"),1,IF(OR($Q1861="Source Text Data",ISBLANK($Q1861)),IF($G1861&lt;&gt;"Source Text Data",IF(AND($G1861="Legacy Data",$Q1861="Source Text Data"),1,0),1),0))))</f>
        <v>0</v>
      </c>
      <c r="V1861" s="31"/>
      <c r="X1861" s="240" t="str">
        <f t="shared" ref="X1861:X1924" si="234">IF(AND(COUNTBLANK($F1861:$H1861)&lt;&gt;COLUMNS($F1861:$H1861),COUNTA($F1861:$H1861)&lt;&gt;COLUMNS($F1861:$H1861)),"ERROR","OK")</f>
        <v>OK</v>
      </c>
      <c r="Y1861" s="240" t="str">
        <f t="shared" ref="Y1861:Y1924" si="235">IF(AND($J1861="Not accepted",$K1861=""),"ERROR","OK")</f>
        <v>OK</v>
      </c>
      <c r="Z1861" s="240" t="str">
        <f t="shared" ref="Z1861:Z1924" si="236">IF(AND($F1861&lt;&gt;"",$J1861=""),"ERROR","OK")</f>
        <v>OK</v>
      </c>
      <c r="AA1861" s="240" t="str" cm="1">
        <f t="array" ref="AA1861">IF(OR(AND(J1861="Not accepted",N1861:O1861&lt;&gt;"",$S1861=""),AND(J1861="Accepted",S1861="")),"ERROR","OK")</f>
        <v>OK</v>
      </c>
      <c r="AB1861" s="240" t="str">
        <f t="shared" ref="AB1861:AB1924" si="237">IF(AND($S1861="Not Implemented",$V1861=""),"ERROR","OK")</f>
        <v>OK</v>
      </c>
      <c r="AC1861" s="240" t="str" cm="1">
        <f t="array" ref="AC1861">IF(AND(F1861:H1861&lt;&gt;"",I1861=""),"ERROR","OK")</f>
        <v>OK</v>
      </c>
      <c r="AD1861" s="240" t="str">
        <f t="shared" ref="AD1861:AD1924" si="238">IF(AND($N1861="",$J1861="Not accepted",$K1861&lt;&gt;""),"ERROR","OK")</f>
        <v>OK</v>
      </c>
      <c r="AE1861" s="240" t="str">
        <f t="shared" ref="AE1861:AE1924" si="239">IF(AND($O1861="",$N1861&lt;&gt;""),"ERROR","OK")</f>
        <v>OK</v>
      </c>
      <c r="AF1861" s="240" t="str" cm="1">
        <f t="array" aca="1" ref="AF1861" ca="1" xml:space="preserve">
IF(AND($G1861&lt;&gt;"",$F1861=""),"ERROR",
IF(OR($F1861:$G1861="",AND($G1861="",$F1861&lt;&gt;"")),"OK",
IF(COUNTIF(INDIRECT(IFERROR(LEFT($F1861,FIND(" ",$F1861)-1),$F1861)), $G1861)&gt;0, "OK", "ERROR")))</f>
        <v>OK</v>
      </c>
    </row>
    <row r="1862" spans="1:32" s="240" customFormat="1">
      <c r="A1862" s="48"/>
      <c r="B1862" s="31"/>
      <c r="C1862" s="48"/>
      <c r="D1862" s="47"/>
      <c r="E1862" s="47"/>
      <c r="F1862" s="31"/>
      <c r="G1862" s="31"/>
      <c r="H1862" s="31"/>
      <c r="I1862" s="47"/>
      <c r="J1862" s="31"/>
      <c r="K1862" s="47"/>
      <c r="L1862" s="47"/>
      <c r="M1862" s="47"/>
      <c r="N1862" s="31"/>
      <c r="O1862" s="47"/>
      <c r="P1862" s="31"/>
      <c r="Q1862" s="31"/>
      <c r="R1862" s="31"/>
      <c r="S1862" s="31"/>
      <c r="T1862" s="270">
        <f t="shared" si="232"/>
        <v>0</v>
      </c>
      <c r="U1862" s="270">
        <f t="shared" si="233"/>
        <v>0</v>
      </c>
      <c r="V1862" s="31"/>
      <c r="X1862" s="240" t="str">
        <f t="shared" si="234"/>
        <v>OK</v>
      </c>
      <c r="Y1862" s="240" t="str">
        <f t="shared" si="235"/>
        <v>OK</v>
      </c>
      <c r="Z1862" s="240" t="str">
        <f t="shared" si="236"/>
        <v>OK</v>
      </c>
      <c r="AA1862" s="240" t="str" cm="1">
        <f t="array" ref="AA1862">IF(OR(AND(J1862="Not accepted",N1862:O1862&lt;&gt;"",$S1862=""),AND(J1862="Accepted",S1862="")),"ERROR","OK")</f>
        <v>OK</v>
      </c>
      <c r="AB1862" s="240" t="str">
        <f t="shared" si="237"/>
        <v>OK</v>
      </c>
      <c r="AC1862" s="240" t="str" cm="1">
        <f t="array" ref="AC1862">IF(AND(F1862:H1862&lt;&gt;"",I1862=""),"ERROR","OK")</f>
        <v>OK</v>
      </c>
      <c r="AD1862" s="240" t="str">
        <f t="shared" si="238"/>
        <v>OK</v>
      </c>
      <c r="AE1862" s="240" t="str">
        <f t="shared" si="239"/>
        <v>OK</v>
      </c>
      <c r="AF1862" s="240" t="str" cm="1">
        <f t="array" aca="1" ref="AF1862" ca="1" xml:space="preserve">
IF(AND($G1862&lt;&gt;"",$F1862=""),"ERROR",
IF(OR($F1862:$G1862="",AND($G1862="",$F1862&lt;&gt;"")),"OK",
IF(COUNTIF(INDIRECT(IFERROR(LEFT($F1862,FIND(" ",$F1862)-1),$F1862)), $G1862)&gt;0, "OK", "ERROR")))</f>
        <v>OK</v>
      </c>
    </row>
    <row r="1863" spans="1:32" s="240" customFormat="1">
      <c r="A1863" s="48"/>
      <c r="B1863" s="31"/>
      <c r="C1863" s="48"/>
      <c r="D1863" s="47"/>
      <c r="E1863" s="47"/>
      <c r="F1863" s="31"/>
      <c r="G1863" s="31"/>
      <c r="H1863" s="31"/>
      <c r="I1863" s="47"/>
      <c r="J1863" s="31"/>
      <c r="K1863" s="47"/>
      <c r="L1863" s="47"/>
      <c r="M1863" s="47"/>
      <c r="N1863" s="31"/>
      <c r="O1863" s="47"/>
      <c r="P1863" s="31"/>
      <c r="Q1863" s="31"/>
      <c r="R1863" s="31"/>
      <c r="S1863" s="31"/>
      <c r="T1863" s="270">
        <f t="shared" si="232"/>
        <v>0</v>
      </c>
      <c r="U1863" s="270">
        <f t="shared" si="233"/>
        <v>0</v>
      </c>
      <c r="V1863" s="31"/>
      <c r="X1863" s="240" t="str">
        <f t="shared" si="234"/>
        <v>OK</v>
      </c>
      <c r="Y1863" s="240" t="str">
        <f t="shared" si="235"/>
        <v>OK</v>
      </c>
      <c r="Z1863" s="240" t="str">
        <f t="shared" si="236"/>
        <v>OK</v>
      </c>
      <c r="AA1863" s="240" t="str" cm="1">
        <f t="array" ref="AA1863">IF(OR(AND(J1863="Not accepted",N1863:O1863&lt;&gt;"",$S1863=""),AND(J1863="Accepted",S1863="")),"ERROR","OK")</f>
        <v>OK</v>
      </c>
      <c r="AB1863" s="240" t="str">
        <f t="shared" si="237"/>
        <v>OK</v>
      </c>
      <c r="AC1863" s="240" t="str" cm="1">
        <f t="array" ref="AC1863">IF(AND(F1863:H1863&lt;&gt;"",I1863=""),"ERROR","OK")</f>
        <v>OK</v>
      </c>
      <c r="AD1863" s="240" t="str">
        <f t="shared" si="238"/>
        <v>OK</v>
      </c>
      <c r="AE1863" s="240" t="str">
        <f t="shared" si="239"/>
        <v>OK</v>
      </c>
      <c r="AF1863" s="240" t="str" cm="1">
        <f t="array" aca="1" ref="AF1863" ca="1" xml:space="preserve">
IF(AND($G1863&lt;&gt;"",$F1863=""),"ERROR",
IF(OR($F1863:$G1863="",AND($G1863="",$F1863&lt;&gt;"")),"OK",
IF(COUNTIF(INDIRECT(IFERROR(LEFT($F1863,FIND(" ",$F1863)-1),$F1863)), $G1863)&gt;0, "OK", "ERROR")))</f>
        <v>OK</v>
      </c>
    </row>
    <row r="1864" spans="1:32" s="240" customFormat="1">
      <c r="A1864" s="48"/>
      <c r="B1864" s="31"/>
      <c r="C1864" s="48"/>
      <c r="D1864" s="47"/>
      <c r="E1864" s="47"/>
      <c r="F1864" s="31"/>
      <c r="G1864" s="31"/>
      <c r="H1864" s="31"/>
      <c r="I1864" s="47"/>
      <c r="J1864" s="31"/>
      <c r="K1864" s="47"/>
      <c r="L1864" s="47"/>
      <c r="M1864" s="47"/>
      <c r="N1864" s="31"/>
      <c r="O1864" s="47"/>
      <c r="P1864" s="31"/>
      <c r="Q1864" s="31"/>
      <c r="R1864" s="31"/>
      <c r="S1864" s="31"/>
      <c r="T1864" s="270">
        <f t="shared" si="232"/>
        <v>0</v>
      </c>
      <c r="U1864" s="270">
        <f t="shared" si="233"/>
        <v>0</v>
      </c>
      <c r="V1864" s="31"/>
      <c r="X1864" s="240" t="str">
        <f t="shared" si="234"/>
        <v>OK</v>
      </c>
      <c r="Y1864" s="240" t="str">
        <f t="shared" si="235"/>
        <v>OK</v>
      </c>
      <c r="Z1864" s="240" t="str">
        <f t="shared" si="236"/>
        <v>OK</v>
      </c>
      <c r="AA1864" s="240" t="str" cm="1">
        <f t="array" ref="AA1864">IF(OR(AND(J1864="Not accepted",N1864:O1864&lt;&gt;"",$S1864=""),AND(J1864="Accepted",S1864="")),"ERROR","OK")</f>
        <v>OK</v>
      </c>
      <c r="AB1864" s="240" t="str">
        <f t="shared" si="237"/>
        <v>OK</v>
      </c>
      <c r="AC1864" s="240" t="str" cm="1">
        <f t="array" ref="AC1864">IF(AND(F1864:H1864&lt;&gt;"",I1864=""),"ERROR","OK")</f>
        <v>OK</v>
      </c>
      <c r="AD1864" s="240" t="str">
        <f t="shared" si="238"/>
        <v>OK</v>
      </c>
      <c r="AE1864" s="240" t="str">
        <f t="shared" si="239"/>
        <v>OK</v>
      </c>
      <c r="AF1864" s="240" t="str" cm="1">
        <f t="array" aca="1" ref="AF1864" ca="1" xml:space="preserve">
IF(AND($G1864&lt;&gt;"",$F1864=""),"ERROR",
IF(OR($F1864:$G1864="",AND($G1864="",$F1864&lt;&gt;"")),"OK",
IF(COUNTIF(INDIRECT(IFERROR(LEFT($F1864,FIND(" ",$F1864)-1),$F1864)), $G1864)&gt;0, "OK", "ERROR")))</f>
        <v>OK</v>
      </c>
    </row>
    <row r="1865" spans="1:32" s="240" customFormat="1">
      <c r="A1865" s="48"/>
      <c r="B1865" s="31"/>
      <c r="C1865" s="48"/>
      <c r="D1865" s="47"/>
      <c r="E1865" s="47"/>
      <c r="F1865" s="31"/>
      <c r="G1865" s="31"/>
      <c r="H1865" s="31"/>
      <c r="I1865" s="47"/>
      <c r="J1865" s="31"/>
      <c r="K1865" s="47"/>
      <c r="L1865" s="47"/>
      <c r="M1865" s="47"/>
      <c r="N1865" s="31"/>
      <c r="O1865" s="47"/>
      <c r="P1865" s="31"/>
      <c r="Q1865" s="31"/>
      <c r="R1865" s="31"/>
      <c r="S1865" s="31"/>
      <c r="T1865" s="270">
        <f t="shared" si="232"/>
        <v>0</v>
      </c>
      <c r="U1865" s="270">
        <f t="shared" si="233"/>
        <v>0</v>
      </c>
      <c r="V1865" s="31"/>
      <c r="X1865" s="240" t="str">
        <f t="shared" si="234"/>
        <v>OK</v>
      </c>
      <c r="Y1865" s="240" t="str">
        <f t="shared" si="235"/>
        <v>OK</v>
      </c>
      <c r="Z1865" s="240" t="str">
        <f t="shared" si="236"/>
        <v>OK</v>
      </c>
      <c r="AA1865" s="240" t="str" cm="1">
        <f t="array" ref="AA1865">IF(OR(AND(J1865="Not accepted",N1865:O1865&lt;&gt;"",$S1865=""),AND(J1865="Accepted",S1865="")),"ERROR","OK")</f>
        <v>OK</v>
      </c>
      <c r="AB1865" s="240" t="str">
        <f t="shared" si="237"/>
        <v>OK</v>
      </c>
      <c r="AC1865" s="240" t="str" cm="1">
        <f t="array" ref="AC1865">IF(AND(F1865:H1865&lt;&gt;"",I1865=""),"ERROR","OK")</f>
        <v>OK</v>
      </c>
      <c r="AD1865" s="240" t="str">
        <f t="shared" si="238"/>
        <v>OK</v>
      </c>
      <c r="AE1865" s="240" t="str">
        <f t="shared" si="239"/>
        <v>OK</v>
      </c>
      <c r="AF1865" s="240" t="str" cm="1">
        <f t="array" aca="1" ref="AF1865" ca="1" xml:space="preserve">
IF(AND($G1865&lt;&gt;"",$F1865=""),"ERROR",
IF(OR($F1865:$G1865="",AND($G1865="",$F1865&lt;&gt;"")),"OK",
IF(COUNTIF(INDIRECT(IFERROR(LEFT($F1865,FIND(" ",$F1865)-1),$F1865)), $G1865)&gt;0, "OK", "ERROR")))</f>
        <v>OK</v>
      </c>
    </row>
    <row r="1866" spans="1:32" s="240" customFormat="1">
      <c r="A1866" s="48"/>
      <c r="B1866" s="31"/>
      <c r="C1866" s="48"/>
      <c r="D1866" s="47"/>
      <c r="E1866" s="47"/>
      <c r="F1866" s="31"/>
      <c r="G1866" s="31"/>
      <c r="H1866" s="31"/>
      <c r="I1866" s="47"/>
      <c r="J1866" s="31"/>
      <c r="K1866" s="47"/>
      <c r="L1866" s="47"/>
      <c r="M1866" s="47"/>
      <c r="N1866" s="31"/>
      <c r="O1866" s="47"/>
      <c r="P1866" s="31"/>
      <c r="Q1866" s="31"/>
      <c r="R1866" s="31"/>
      <c r="S1866" s="31"/>
      <c r="T1866" s="270">
        <f t="shared" si="232"/>
        <v>0</v>
      </c>
      <c r="U1866" s="270">
        <f t="shared" si="233"/>
        <v>0</v>
      </c>
      <c r="V1866" s="31"/>
      <c r="X1866" s="240" t="str">
        <f t="shared" si="234"/>
        <v>OK</v>
      </c>
      <c r="Y1866" s="240" t="str">
        <f t="shared" si="235"/>
        <v>OK</v>
      </c>
      <c r="Z1866" s="240" t="str">
        <f t="shared" si="236"/>
        <v>OK</v>
      </c>
      <c r="AA1866" s="240" t="str" cm="1">
        <f t="array" ref="AA1866">IF(OR(AND(J1866="Not accepted",N1866:O1866&lt;&gt;"",$S1866=""),AND(J1866="Accepted",S1866="")),"ERROR","OK")</f>
        <v>OK</v>
      </c>
      <c r="AB1866" s="240" t="str">
        <f t="shared" si="237"/>
        <v>OK</v>
      </c>
      <c r="AC1866" s="240" t="str" cm="1">
        <f t="array" ref="AC1866">IF(AND(F1866:H1866&lt;&gt;"",I1866=""),"ERROR","OK")</f>
        <v>OK</v>
      </c>
      <c r="AD1866" s="240" t="str">
        <f t="shared" si="238"/>
        <v>OK</v>
      </c>
      <c r="AE1866" s="240" t="str">
        <f t="shared" si="239"/>
        <v>OK</v>
      </c>
      <c r="AF1866" s="240" t="str" cm="1">
        <f t="array" aca="1" ref="AF1866" ca="1" xml:space="preserve">
IF(AND($G1866&lt;&gt;"",$F1866=""),"ERROR",
IF(OR($F1866:$G1866="",AND($G1866="",$F1866&lt;&gt;"")),"OK",
IF(COUNTIF(INDIRECT(IFERROR(LEFT($F1866,FIND(" ",$F1866)-1),$F1866)), $G1866)&gt;0, "OK", "ERROR")))</f>
        <v>OK</v>
      </c>
    </row>
    <row r="1867" spans="1:32" s="240" customFormat="1">
      <c r="A1867" s="48"/>
      <c r="B1867" s="31"/>
      <c r="C1867" s="48"/>
      <c r="D1867" s="47"/>
      <c r="E1867" s="47"/>
      <c r="F1867" s="31"/>
      <c r="G1867" s="31"/>
      <c r="H1867" s="31"/>
      <c r="I1867" s="47"/>
      <c r="J1867" s="31"/>
      <c r="K1867" s="47"/>
      <c r="L1867" s="47"/>
      <c r="M1867" s="47"/>
      <c r="N1867" s="31"/>
      <c r="O1867" s="47"/>
      <c r="P1867" s="31"/>
      <c r="Q1867" s="31"/>
      <c r="R1867" s="31"/>
      <c r="S1867" s="31"/>
      <c r="T1867" s="270">
        <f t="shared" si="232"/>
        <v>0</v>
      </c>
      <c r="U1867" s="270">
        <f t="shared" si="233"/>
        <v>0</v>
      </c>
      <c r="V1867" s="31"/>
      <c r="X1867" s="240" t="str">
        <f t="shared" si="234"/>
        <v>OK</v>
      </c>
      <c r="Y1867" s="240" t="str">
        <f t="shared" si="235"/>
        <v>OK</v>
      </c>
      <c r="Z1867" s="240" t="str">
        <f t="shared" si="236"/>
        <v>OK</v>
      </c>
      <c r="AA1867" s="240" t="str" cm="1">
        <f t="array" ref="AA1867">IF(OR(AND(J1867="Not accepted",N1867:O1867&lt;&gt;"",$S1867=""),AND(J1867="Accepted",S1867="")),"ERROR","OK")</f>
        <v>OK</v>
      </c>
      <c r="AB1867" s="240" t="str">
        <f t="shared" si="237"/>
        <v>OK</v>
      </c>
      <c r="AC1867" s="240" t="str" cm="1">
        <f t="array" ref="AC1867">IF(AND(F1867:H1867&lt;&gt;"",I1867=""),"ERROR","OK")</f>
        <v>OK</v>
      </c>
      <c r="AD1867" s="240" t="str">
        <f t="shared" si="238"/>
        <v>OK</v>
      </c>
      <c r="AE1867" s="240" t="str">
        <f t="shared" si="239"/>
        <v>OK</v>
      </c>
      <c r="AF1867" s="240" t="str" cm="1">
        <f t="array" aca="1" ref="AF1867" ca="1" xml:space="preserve">
IF(AND($G1867&lt;&gt;"",$F1867=""),"ERROR",
IF(OR($F1867:$G1867="",AND($G1867="",$F1867&lt;&gt;"")),"OK",
IF(COUNTIF(INDIRECT(IFERROR(LEFT($F1867,FIND(" ",$F1867)-1),$F1867)), $G1867)&gt;0, "OK", "ERROR")))</f>
        <v>OK</v>
      </c>
    </row>
    <row r="1868" spans="1:32" s="240" customFormat="1">
      <c r="A1868" s="48"/>
      <c r="B1868" s="31"/>
      <c r="C1868" s="48"/>
      <c r="D1868" s="47"/>
      <c r="E1868" s="47"/>
      <c r="F1868" s="31"/>
      <c r="G1868" s="31"/>
      <c r="H1868" s="31"/>
      <c r="I1868" s="47"/>
      <c r="J1868" s="31"/>
      <c r="K1868" s="47"/>
      <c r="L1868" s="47"/>
      <c r="M1868" s="47"/>
      <c r="N1868" s="31"/>
      <c r="O1868" s="47"/>
      <c r="P1868" s="31"/>
      <c r="Q1868" s="31"/>
      <c r="R1868" s="31"/>
      <c r="S1868" s="31"/>
      <c r="T1868" s="270">
        <f t="shared" si="232"/>
        <v>0</v>
      </c>
      <c r="U1868" s="270">
        <f t="shared" si="233"/>
        <v>0</v>
      </c>
      <c r="V1868" s="31"/>
      <c r="X1868" s="240" t="str">
        <f t="shared" si="234"/>
        <v>OK</v>
      </c>
      <c r="Y1868" s="240" t="str">
        <f t="shared" si="235"/>
        <v>OK</v>
      </c>
      <c r="Z1868" s="240" t="str">
        <f t="shared" si="236"/>
        <v>OK</v>
      </c>
      <c r="AA1868" s="240" t="str" cm="1">
        <f t="array" ref="AA1868">IF(OR(AND(J1868="Not accepted",N1868:O1868&lt;&gt;"",$S1868=""),AND(J1868="Accepted",S1868="")),"ERROR","OK")</f>
        <v>OK</v>
      </c>
      <c r="AB1868" s="240" t="str">
        <f t="shared" si="237"/>
        <v>OK</v>
      </c>
      <c r="AC1868" s="240" t="str" cm="1">
        <f t="array" ref="AC1868">IF(AND(F1868:H1868&lt;&gt;"",I1868=""),"ERROR","OK")</f>
        <v>OK</v>
      </c>
      <c r="AD1868" s="240" t="str">
        <f t="shared" si="238"/>
        <v>OK</v>
      </c>
      <c r="AE1868" s="240" t="str">
        <f t="shared" si="239"/>
        <v>OK</v>
      </c>
      <c r="AF1868" s="240" t="str" cm="1">
        <f t="array" aca="1" ref="AF1868" ca="1" xml:space="preserve">
IF(AND($G1868&lt;&gt;"",$F1868=""),"ERROR",
IF(OR($F1868:$G1868="",AND($G1868="",$F1868&lt;&gt;"")),"OK",
IF(COUNTIF(INDIRECT(IFERROR(LEFT($F1868,FIND(" ",$F1868)-1),$F1868)), $G1868)&gt;0, "OK", "ERROR")))</f>
        <v>OK</v>
      </c>
    </row>
    <row r="1869" spans="1:32" s="240" customFormat="1">
      <c r="A1869" s="48"/>
      <c r="B1869" s="31"/>
      <c r="C1869" s="48"/>
      <c r="D1869" s="47"/>
      <c r="E1869" s="47"/>
      <c r="F1869" s="31"/>
      <c r="G1869" s="31"/>
      <c r="H1869" s="31"/>
      <c r="I1869" s="47"/>
      <c r="J1869" s="31"/>
      <c r="K1869" s="47"/>
      <c r="L1869" s="47"/>
      <c r="M1869" s="47"/>
      <c r="N1869" s="31"/>
      <c r="O1869" s="47"/>
      <c r="P1869" s="31"/>
      <c r="Q1869" s="31"/>
      <c r="R1869" s="31"/>
      <c r="S1869" s="31"/>
      <c r="T1869" s="270">
        <f t="shared" si="232"/>
        <v>0</v>
      </c>
      <c r="U1869" s="270">
        <f t="shared" si="233"/>
        <v>0</v>
      </c>
      <c r="V1869" s="31"/>
      <c r="X1869" s="240" t="str">
        <f t="shared" si="234"/>
        <v>OK</v>
      </c>
      <c r="Y1869" s="240" t="str">
        <f t="shared" si="235"/>
        <v>OK</v>
      </c>
      <c r="Z1869" s="240" t="str">
        <f t="shared" si="236"/>
        <v>OK</v>
      </c>
      <c r="AA1869" s="240" t="str" cm="1">
        <f t="array" ref="AA1869">IF(OR(AND(J1869="Not accepted",N1869:O1869&lt;&gt;"",$S1869=""),AND(J1869="Accepted",S1869="")),"ERROR","OK")</f>
        <v>OK</v>
      </c>
      <c r="AB1869" s="240" t="str">
        <f t="shared" si="237"/>
        <v>OK</v>
      </c>
      <c r="AC1869" s="240" t="str" cm="1">
        <f t="array" ref="AC1869">IF(AND(F1869:H1869&lt;&gt;"",I1869=""),"ERROR","OK")</f>
        <v>OK</v>
      </c>
      <c r="AD1869" s="240" t="str">
        <f t="shared" si="238"/>
        <v>OK</v>
      </c>
      <c r="AE1869" s="240" t="str">
        <f t="shared" si="239"/>
        <v>OK</v>
      </c>
      <c r="AF1869" s="240" t="str" cm="1">
        <f t="array" aca="1" ref="AF1869" ca="1" xml:space="preserve">
IF(AND($G1869&lt;&gt;"",$F1869=""),"ERROR",
IF(OR($F1869:$G1869="",AND($G1869="",$F1869&lt;&gt;"")),"OK",
IF(COUNTIF(INDIRECT(IFERROR(LEFT($F1869,FIND(" ",$F1869)-1),$F1869)), $G1869)&gt;0, "OK", "ERROR")))</f>
        <v>OK</v>
      </c>
    </row>
    <row r="1870" spans="1:32" s="240" customFormat="1">
      <c r="A1870" s="48"/>
      <c r="B1870" s="31"/>
      <c r="C1870" s="48"/>
      <c r="D1870" s="47"/>
      <c r="E1870" s="47"/>
      <c r="F1870" s="31"/>
      <c r="G1870" s="31"/>
      <c r="H1870" s="31"/>
      <c r="I1870" s="47"/>
      <c r="J1870" s="31"/>
      <c r="K1870" s="47"/>
      <c r="L1870" s="47"/>
      <c r="M1870" s="47"/>
      <c r="N1870" s="31"/>
      <c r="O1870" s="47"/>
      <c r="P1870" s="31"/>
      <c r="Q1870" s="31"/>
      <c r="R1870" s="31"/>
      <c r="S1870" s="31"/>
      <c r="T1870" s="270">
        <f t="shared" si="232"/>
        <v>0</v>
      </c>
      <c r="U1870" s="270">
        <f t="shared" si="233"/>
        <v>0</v>
      </c>
      <c r="V1870" s="31"/>
      <c r="X1870" s="240" t="str">
        <f t="shared" si="234"/>
        <v>OK</v>
      </c>
      <c r="Y1870" s="240" t="str">
        <f t="shared" si="235"/>
        <v>OK</v>
      </c>
      <c r="Z1870" s="240" t="str">
        <f t="shared" si="236"/>
        <v>OK</v>
      </c>
      <c r="AA1870" s="240" t="str" cm="1">
        <f t="array" ref="AA1870">IF(OR(AND(J1870="Not accepted",N1870:O1870&lt;&gt;"",$S1870=""),AND(J1870="Accepted",S1870="")),"ERROR","OK")</f>
        <v>OK</v>
      </c>
      <c r="AB1870" s="240" t="str">
        <f t="shared" si="237"/>
        <v>OK</v>
      </c>
      <c r="AC1870" s="240" t="str" cm="1">
        <f t="array" ref="AC1870">IF(AND(F1870:H1870&lt;&gt;"",I1870=""),"ERROR","OK")</f>
        <v>OK</v>
      </c>
      <c r="AD1870" s="240" t="str">
        <f t="shared" si="238"/>
        <v>OK</v>
      </c>
      <c r="AE1870" s="240" t="str">
        <f t="shared" si="239"/>
        <v>OK</v>
      </c>
      <c r="AF1870" s="240" t="str" cm="1">
        <f t="array" aca="1" ref="AF1870" ca="1" xml:space="preserve">
IF(AND($G1870&lt;&gt;"",$F1870=""),"ERROR",
IF(OR($F1870:$G1870="",AND($G1870="",$F1870&lt;&gt;"")),"OK",
IF(COUNTIF(INDIRECT(IFERROR(LEFT($F1870,FIND(" ",$F1870)-1),$F1870)), $G1870)&gt;0, "OK", "ERROR")))</f>
        <v>OK</v>
      </c>
    </row>
    <row r="1871" spans="1:32" s="240" customFormat="1">
      <c r="A1871" s="48"/>
      <c r="B1871" s="31"/>
      <c r="C1871" s="48"/>
      <c r="D1871" s="47"/>
      <c r="E1871" s="47"/>
      <c r="F1871" s="31"/>
      <c r="G1871" s="31"/>
      <c r="H1871" s="31"/>
      <c r="I1871" s="47"/>
      <c r="J1871" s="31"/>
      <c r="K1871" s="47"/>
      <c r="L1871" s="47"/>
      <c r="M1871" s="47"/>
      <c r="N1871" s="31"/>
      <c r="O1871" s="47"/>
      <c r="P1871" s="31"/>
      <c r="Q1871" s="31"/>
      <c r="R1871" s="31"/>
      <c r="S1871" s="31"/>
      <c r="T1871" s="270">
        <f t="shared" si="232"/>
        <v>0</v>
      </c>
      <c r="U1871" s="270">
        <f t="shared" si="233"/>
        <v>0</v>
      </c>
      <c r="V1871" s="31"/>
      <c r="X1871" s="240" t="str">
        <f t="shared" si="234"/>
        <v>OK</v>
      </c>
      <c r="Y1871" s="240" t="str">
        <f t="shared" si="235"/>
        <v>OK</v>
      </c>
      <c r="Z1871" s="240" t="str">
        <f t="shared" si="236"/>
        <v>OK</v>
      </c>
      <c r="AA1871" s="240" t="str" cm="1">
        <f t="array" ref="AA1871">IF(OR(AND(J1871="Not accepted",N1871:O1871&lt;&gt;"",$S1871=""),AND(J1871="Accepted",S1871="")),"ERROR","OK")</f>
        <v>OK</v>
      </c>
      <c r="AB1871" s="240" t="str">
        <f t="shared" si="237"/>
        <v>OK</v>
      </c>
      <c r="AC1871" s="240" t="str" cm="1">
        <f t="array" ref="AC1871">IF(AND(F1871:H1871&lt;&gt;"",I1871=""),"ERROR","OK")</f>
        <v>OK</v>
      </c>
      <c r="AD1871" s="240" t="str">
        <f t="shared" si="238"/>
        <v>OK</v>
      </c>
      <c r="AE1871" s="240" t="str">
        <f t="shared" si="239"/>
        <v>OK</v>
      </c>
      <c r="AF1871" s="240" t="str" cm="1">
        <f t="array" aca="1" ref="AF1871" ca="1" xml:space="preserve">
IF(AND($G1871&lt;&gt;"",$F1871=""),"ERROR",
IF(OR($F1871:$G1871="",AND($G1871="",$F1871&lt;&gt;"")),"OK",
IF(COUNTIF(INDIRECT(IFERROR(LEFT($F1871,FIND(" ",$F1871)-1),$F1871)), $G1871)&gt;0, "OK", "ERROR")))</f>
        <v>OK</v>
      </c>
    </row>
    <row r="1872" spans="1:32" s="240" customFormat="1">
      <c r="A1872" s="48"/>
      <c r="B1872" s="31"/>
      <c r="C1872" s="48"/>
      <c r="D1872" s="47"/>
      <c r="E1872" s="47"/>
      <c r="F1872" s="31"/>
      <c r="G1872" s="31"/>
      <c r="H1872" s="31"/>
      <c r="I1872" s="47"/>
      <c r="J1872" s="31"/>
      <c r="K1872" s="47"/>
      <c r="L1872" s="47"/>
      <c r="M1872" s="47"/>
      <c r="N1872" s="31"/>
      <c r="O1872" s="47"/>
      <c r="P1872" s="31"/>
      <c r="Q1872" s="31"/>
      <c r="R1872" s="31"/>
      <c r="S1872" s="31"/>
      <c r="T1872" s="270">
        <f t="shared" si="232"/>
        <v>0</v>
      </c>
      <c r="U1872" s="270">
        <f t="shared" si="233"/>
        <v>0</v>
      </c>
      <c r="V1872" s="31"/>
      <c r="X1872" s="240" t="str">
        <f t="shared" si="234"/>
        <v>OK</v>
      </c>
      <c r="Y1872" s="240" t="str">
        <f t="shared" si="235"/>
        <v>OK</v>
      </c>
      <c r="Z1872" s="240" t="str">
        <f t="shared" si="236"/>
        <v>OK</v>
      </c>
      <c r="AA1872" s="240" t="str" cm="1">
        <f t="array" ref="AA1872">IF(OR(AND(J1872="Not accepted",N1872:O1872&lt;&gt;"",$S1872=""),AND(J1872="Accepted",S1872="")),"ERROR","OK")</f>
        <v>OK</v>
      </c>
      <c r="AB1872" s="240" t="str">
        <f t="shared" si="237"/>
        <v>OK</v>
      </c>
      <c r="AC1872" s="240" t="str" cm="1">
        <f t="array" ref="AC1872">IF(AND(F1872:H1872&lt;&gt;"",I1872=""),"ERROR","OK")</f>
        <v>OK</v>
      </c>
      <c r="AD1872" s="240" t="str">
        <f t="shared" si="238"/>
        <v>OK</v>
      </c>
      <c r="AE1872" s="240" t="str">
        <f t="shared" si="239"/>
        <v>OK</v>
      </c>
      <c r="AF1872" s="240" t="str" cm="1">
        <f t="array" aca="1" ref="AF1872" ca="1" xml:space="preserve">
IF(AND($G1872&lt;&gt;"",$F1872=""),"ERROR",
IF(OR($F1872:$G1872="",AND($G1872="",$F1872&lt;&gt;"")),"OK",
IF(COUNTIF(INDIRECT(IFERROR(LEFT($F1872,FIND(" ",$F1872)-1),$F1872)), $G1872)&gt;0, "OK", "ERROR")))</f>
        <v>OK</v>
      </c>
    </row>
    <row r="1873" spans="1:32" s="240" customFormat="1">
      <c r="A1873" s="48"/>
      <c r="B1873" s="31"/>
      <c r="C1873" s="48"/>
      <c r="D1873" s="47"/>
      <c r="E1873" s="47"/>
      <c r="F1873" s="31"/>
      <c r="G1873" s="31"/>
      <c r="H1873" s="31"/>
      <c r="I1873" s="47"/>
      <c r="J1873" s="31"/>
      <c r="K1873" s="47"/>
      <c r="L1873" s="47"/>
      <c r="M1873" s="47"/>
      <c r="N1873" s="31"/>
      <c r="O1873" s="47"/>
      <c r="P1873" s="31"/>
      <c r="Q1873" s="31"/>
      <c r="R1873" s="31"/>
      <c r="S1873" s="31"/>
      <c r="T1873" s="270">
        <f t="shared" si="232"/>
        <v>0</v>
      </c>
      <c r="U1873" s="270">
        <f t="shared" si="233"/>
        <v>0</v>
      </c>
      <c r="V1873" s="31"/>
      <c r="X1873" s="240" t="str">
        <f t="shared" si="234"/>
        <v>OK</v>
      </c>
      <c r="Y1873" s="240" t="str">
        <f t="shared" si="235"/>
        <v>OK</v>
      </c>
      <c r="Z1873" s="240" t="str">
        <f t="shared" si="236"/>
        <v>OK</v>
      </c>
      <c r="AA1873" s="240" t="str" cm="1">
        <f t="array" ref="AA1873">IF(OR(AND(J1873="Not accepted",N1873:O1873&lt;&gt;"",$S1873=""),AND(J1873="Accepted",S1873="")),"ERROR","OK")</f>
        <v>OK</v>
      </c>
      <c r="AB1873" s="240" t="str">
        <f t="shared" si="237"/>
        <v>OK</v>
      </c>
      <c r="AC1873" s="240" t="str" cm="1">
        <f t="array" ref="AC1873">IF(AND(F1873:H1873&lt;&gt;"",I1873=""),"ERROR","OK")</f>
        <v>OK</v>
      </c>
      <c r="AD1873" s="240" t="str">
        <f t="shared" si="238"/>
        <v>OK</v>
      </c>
      <c r="AE1873" s="240" t="str">
        <f t="shared" si="239"/>
        <v>OK</v>
      </c>
      <c r="AF1873" s="240" t="str" cm="1">
        <f t="array" aca="1" ref="AF1873" ca="1" xml:space="preserve">
IF(AND($G1873&lt;&gt;"",$F1873=""),"ERROR",
IF(OR($F1873:$G1873="",AND($G1873="",$F1873&lt;&gt;"")),"OK",
IF(COUNTIF(INDIRECT(IFERROR(LEFT($F1873,FIND(" ",$F1873)-1),$F1873)), $G1873)&gt;0, "OK", "ERROR")))</f>
        <v>OK</v>
      </c>
    </row>
    <row r="1874" spans="1:32" s="240" customFormat="1">
      <c r="A1874" s="48"/>
      <c r="B1874" s="31"/>
      <c r="C1874" s="48"/>
      <c r="D1874" s="47"/>
      <c r="E1874" s="47"/>
      <c r="F1874" s="31"/>
      <c r="G1874" s="31"/>
      <c r="H1874" s="31"/>
      <c r="I1874" s="47"/>
      <c r="J1874" s="31"/>
      <c r="K1874" s="47"/>
      <c r="L1874" s="47"/>
      <c r="M1874" s="47"/>
      <c r="N1874" s="31"/>
      <c r="O1874" s="47"/>
      <c r="P1874" s="31"/>
      <c r="Q1874" s="31"/>
      <c r="R1874" s="31"/>
      <c r="S1874" s="31"/>
      <c r="T1874" s="270">
        <f t="shared" si="232"/>
        <v>0</v>
      </c>
      <c r="U1874" s="270">
        <f t="shared" si="233"/>
        <v>0</v>
      </c>
      <c r="V1874" s="31"/>
      <c r="X1874" s="240" t="str">
        <f t="shared" si="234"/>
        <v>OK</v>
      </c>
      <c r="Y1874" s="240" t="str">
        <f t="shared" si="235"/>
        <v>OK</v>
      </c>
      <c r="Z1874" s="240" t="str">
        <f t="shared" si="236"/>
        <v>OK</v>
      </c>
      <c r="AA1874" s="240" t="str" cm="1">
        <f t="array" ref="AA1874">IF(OR(AND(J1874="Not accepted",N1874:O1874&lt;&gt;"",$S1874=""),AND(J1874="Accepted",S1874="")),"ERROR","OK")</f>
        <v>OK</v>
      </c>
      <c r="AB1874" s="240" t="str">
        <f t="shared" si="237"/>
        <v>OK</v>
      </c>
      <c r="AC1874" s="240" t="str" cm="1">
        <f t="array" ref="AC1874">IF(AND(F1874:H1874&lt;&gt;"",I1874=""),"ERROR","OK")</f>
        <v>OK</v>
      </c>
      <c r="AD1874" s="240" t="str">
        <f t="shared" si="238"/>
        <v>OK</v>
      </c>
      <c r="AE1874" s="240" t="str">
        <f t="shared" si="239"/>
        <v>OK</v>
      </c>
      <c r="AF1874" s="240" t="str" cm="1">
        <f t="array" aca="1" ref="AF1874" ca="1" xml:space="preserve">
IF(AND($G1874&lt;&gt;"",$F1874=""),"ERROR",
IF(OR($F1874:$G1874="",AND($G1874="",$F1874&lt;&gt;"")),"OK",
IF(COUNTIF(INDIRECT(IFERROR(LEFT($F1874,FIND(" ",$F1874)-1),$F1874)), $G1874)&gt;0, "OK", "ERROR")))</f>
        <v>OK</v>
      </c>
    </row>
    <row r="1875" spans="1:32" s="240" customFormat="1">
      <c r="A1875" s="48"/>
      <c r="B1875" s="31"/>
      <c r="C1875" s="48"/>
      <c r="D1875" s="47"/>
      <c r="E1875" s="47"/>
      <c r="F1875" s="31"/>
      <c r="G1875" s="31"/>
      <c r="H1875" s="31"/>
      <c r="I1875" s="47"/>
      <c r="J1875" s="31"/>
      <c r="K1875" s="47"/>
      <c r="L1875" s="47"/>
      <c r="M1875" s="47"/>
      <c r="N1875" s="31"/>
      <c r="O1875" s="47"/>
      <c r="P1875" s="31"/>
      <c r="Q1875" s="31"/>
      <c r="R1875" s="31"/>
      <c r="S1875" s="31"/>
      <c r="T1875" s="270">
        <f t="shared" si="232"/>
        <v>0</v>
      </c>
      <c r="U1875" s="270">
        <f t="shared" si="233"/>
        <v>0</v>
      </c>
      <c r="V1875" s="31"/>
      <c r="X1875" s="240" t="str">
        <f t="shared" si="234"/>
        <v>OK</v>
      </c>
      <c r="Y1875" s="240" t="str">
        <f t="shared" si="235"/>
        <v>OK</v>
      </c>
      <c r="Z1875" s="240" t="str">
        <f t="shared" si="236"/>
        <v>OK</v>
      </c>
      <c r="AA1875" s="240" t="str" cm="1">
        <f t="array" ref="AA1875">IF(OR(AND(J1875="Not accepted",N1875:O1875&lt;&gt;"",$S1875=""),AND(J1875="Accepted",S1875="")),"ERROR","OK")</f>
        <v>OK</v>
      </c>
      <c r="AB1875" s="240" t="str">
        <f t="shared" si="237"/>
        <v>OK</v>
      </c>
      <c r="AC1875" s="240" t="str" cm="1">
        <f t="array" ref="AC1875">IF(AND(F1875:H1875&lt;&gt;"",I1875=""),"ERROR","OK")</f>
        <v>OK</v>
      </c>
      <c r="AD1875" s="240" t="str">
        <f t="shared" si="238"/>
        <v>OK</v>
      </c>
      <c r="AE1875" s="240" t="str">
        <f t="shared" si="239"/>
        <v>OK</v>
      </c>
      <c r="AF1875" s="240" t="str" cm="1">
        <f t="array" aca="1" ref="AF1875" ca="1" xml:space="preserve">
IF(AND($G1875&lt;&gt;"",$F1875=""),"ERROR",
IF(OR($F1875:$G1875="",AND($G1875="",$F1875&lt;&gt;"")),"OK",
IF(COUNTIF(INDIRECT(IFERROR(LEFT($F1875,FIND(" ",$F1875)-1),$F1875)), $G1875)&gt;0, "OK", "ERROR")))</f>
        <v>OK</v>
      </c>
    </row>
    <row r="1876" spans="1:32" s="240" customFormat="1">
      <c r="A1876" s="48"/>
      <c r="B1876" s="31"/>
      <c r="C1876" s="48"/>
      <c r="D1876" s="47"/>
      <c r="E1876" s="47"/>
      <c r="F1876" s="31"/>
      <c r="G1876" s="31"/>
      <c r="H1876" s="31"/>
      <c r="I1876" s="47"/>
      <c r="J1876" s="31"/>
      <c r="K1876" s="47"/>
      <c r="L1876" s="47"/>
      <c r="M1876" s="47"/>
      <c r="N1876" s="31"/>
      <c r="O1876" s="47"/>
      <c r="P1876" s="31"/>
      <c r="Q1876" s="31"/>
      <c r="R1876" s="31"/>
      <c r="S1876" s="31"/>
      <c r="T1876" s="270">
        <f t="shared" si="232"/>
        <v>0</v>
      </c>
      <c r="U1876" s="270">
        <f t="shared" si="233"/>
        <v>0</v>
      </c>
      <c r="V1876" s="31"/>
      <c r="X1876" s="240" t="str">
        <f t="shared" si="234"/>
        <v>OK</v>
      </c>
      <c r="Y1876" s="240" t="str">
        <f t="shared" si="235"/>
        <v>OK</v>
      </c>
      <c r="Z1876" s="240" t="str">
        <f t="shared" si="236"/>
        <v>OK</v>
      </c>
      <c r="AA1876" s="240" t="str" cm="1">
        <f t="array" ref="AA1876">IF(OR(AND(J1876="Not accepted",N1876:O1876&lt;&gt;"",$S1876=""),AND(J1876="Accepted",S1876="")),"ERROR","OK")</f>
        <v>OK</v>
      </c>
      <c r="AB1876" s="240" t="str">
        <f t="shared" si="237"/>
        <v>OK</v>
      </c>
      <c r="AC1876" s="240" t="str" cm="1">
        <f t="array" ref="AC1876">IF(AND(F1876:H1876&lt;&gt;"",I1876=""),"ERROR","OK")</f>
        <v>OK</v>
      </c>
      <c r="AD1876" s="240" t="str">
        <f t="shared" si="238"/>
        <v>OK</v>
      </c>
      <c r="AE1876" s="240" t="str">
        <f t="shared" si="239"/>
        <v>OK</v>
      </c>
      <c r="AF1876" s="240" t="str" cm="1">
        <f t="array" aca="1" ref="AF1876" ca="1" xml:space="preserve">
IF(AND($G1876&lt;&gt;"",$F1876=""),"ERROR",
IF(OR($F1876:$G1876="",AND($G1876="",$F1876&lt;&gt;"")),"OK",
IF(COUNTIF(INDIRECT(IFERROR(LEFT($F1876,FIND(" ",$F1876)-1),$F1876)), $G1876)&gt;0, "OK", "ERROR")))</f>
        <v>OK</v>
      </c>
    </row>
    <row r="1877" spans="1:32" s="240" customFormat="1">
      <c r="A1877" s="48"/>
      <c r="B1877" s="31"/>
      <c r="C1877" s="48"/>
      <c r="D1877" s="47"/>
      <c r="E1877" s="47"/>
      <c r="F1877" s="31"/>
      <c r="G1877" s="31"/>
      <c r="H1877" s="31"/>
      <c r="I1877" s="47"/>
      <c r="J1877" s="31"/>
      <c r="K1877" s="47"/>
      <c r="L1877" s="47"/>
      <c r="M1877" s="47"/>
      <c r="N1877" s="31"/>
      <c r="O1877" s="47"/>
      <c r="P1877" s="31"/>
      <c r="Q1877" s="31"/>
      <c r="R1877" s="31"/>
      <c r="S1877" s="31"/>
      <c r="T1877" s="270">
        <f t="shared" si="232"/>
        <v>0</v>
      </c>
      <c r="U1877" s="270">
        <f t="shared" si="233"/>
        <v>0</v>
      </c>
      <c r="V1877" s="31"/>
      <c r="X1877" s="240" t="str">
        <f t="shared" si="234"/>
        <v>OK</v>
      </c>
      <c r="Y1877" s="240" t="str">
        <f t="shared" si="235"/>
        <v>OK</v>
      </c>
      <c r="Z1877" s="240" t="str">
        <f t="shared" si="236"/>
        <v>OK</v>
      </c>
      <c r="AA1877" s="240" t="str" cm="1">
        <f t="array" ref="AA1877">IF(OR(AND(J1877="Not accepted",N1877:O1877&lt;&gt;"",$S1877=""),AND(J1877="Accepted",S1877="")),"ERROR","OK")</f>
        <v>OK</v>
      </c>
      <c r="AB1877" s="240" t="str">
        <f t="shared" si="237"/>
        <v>OK</v>
      </c>
      <c r="AC1877" s="240" t="str" cm="1">
        <f t="array" ref="AC1877">IF(AND(F1877:H1877&lt;&gt;"",I1877=""),"ERROR","OK")</f>
        <v>OK</v>
      </c>
      <c r="AD1877" s="240" t="str">
        <f t="shared" si="238"/>
        <v>OK</v>
      </c>
      <c r="AE1877" s="240" t="str">
        <f t="shared" si="239"/>
        <v>OK</v>
      </c>
      <c r="AF1877" s="240" t="str" cm="1">
        <f t="array" aca="1" ref="AF1877" ca="1" xml:space="preserve">
IF(AND($G1877&lt;&gt;"",$F1877=""),"ERROR",
IF(OR($F1877:$G1877="",AND($G1877="",$F1877&lt;&gt;"")),"OK",
IF(COUNTIF(INDIRECT(IFERROR(LEFT($F1877,FIND(" ",$F1877)-1),$F1877)), $G1877)&gt;0, "OK", "ERROR")))</f>
        <v>OK</v>
      </c>
    </row>
    <row r="1878" spans="1:32" s="240" customFormat="1">
      <c r="A1878" s="48"/>
      <c r="B1878" s="31"/>
      <c r="C1878" s="48"/>
      <c r="D1878" s="47"/>
      <c r="E1878" s="47"/>
      <c r="F1878" s="31"/>
      <c r="G1878" s="31"/>
      <c r="H1878" s="31"/>
      <c r="I1878" s="47"/>
      <c r="J1878" s="31"/>
      <c r="K1878" s="47"/>
      <c r="L1878" s="47"/>
      <c r="M1878" s="47"/>
      <c r="N1878" s="31"/>
      <c r="O1878" s="47"/>
      <c r="P1878" s="31"/>
      <c r="Q1878" s="31"/>
      <c r="R1878" s="31"/>
      <c r="S1878" s="31"/>
      <c r="T1878" s="270">
        <f t="shared" si="232"/>
        <v>0</v>
      </c>
      <c r="U1878" s="270">
        <f t="shared" si="233"/>
        <v>0</v>
      </c>
      <c r="V1878" s="31"/>
      <c r="X1878" s="240" t="str">
        <f t="shared" si="234"/>
        <v>OK</v>
      </c>
      <c r="Y1878" s="240" t="str">
        <f t="shared" si="235"/>
        <v>OK</v>
      </c>
      <c r="Z1878" s="240" t="str">
        <f t="shared" si="236"/>
        <v>OK</v>
      </c>
      <c r="AA1878" s="240" t="str" cm="1">
        <f t="array" ref="AA1878">IF(OR(AND(J1878="Not accepted",N1878:O1878&lt;&gt;"",$S1878=""),AND(J1878="Accepted",S1878="")),"ERROR","OK")</f>
        <v>OK</v>
      </c>
      <c r="AB1878" s="240" t="str">
        <f t="shared" si="237"/>
        <v>OK</v>
      </c>
      <c r="AC1878" s="240" t="str" cm="1">
        <f t="array" ref="AC1878">IF(AND(F1878:H1878&lt;&gt;"",I1878=""),"ERROR","OK")</f>
        <v>OK</v>
      </c>
      <c r="AD1878" s="240" t="str">
        <f t="shared" si="238"/>
        <v>OK</v>
      </c>
      <c r="AE1878" s="240" t="str">
        <f t="shared" si="239"/>
        <v>OK</v>
      </c>
      <c r="AF1878" s="240" t="str" cm="1">
        <f t="array" aca="1" ref="AF1878" ca="1" xml:space="preserve">
IF(AND($G1878&lt;&gt;"",$F1878=""),"ERROR",
IF(OR($F1878:$G1878="",AND($G1878="",$F1878&lt;&gt;"")),"OK",
IF(COUNTIF(INDIRECT(IFERROR(LEFT($F1878,FIND(" ",$F1878)-1),$F1878)), $G1878)&gt;0, "OK", "ERROR")))</f>
        <v>OK</v>
      </c>
    </row>
    <row r="1879" spans="1:32" s="240" customFormat="1">
      <c r="A1879" s="48"/>
      <c r="B1879" s="31"/>
      <c r="C1879" s="48"/>
      <c r="D1879" s="47"/>
      <c r="E1879" s="47"/>
      <c r="F1879" s="31"/>
      <c r="G1879" s="31"/>
      <c r="H1879" s="31"/>
      <c r="I1879" s="47"/>
      <c r="J1879" s="31"/>
      <c r="K1879" s="47"/>
      <c r="L1879" s="47"/>
      <c r="M1879" s="47"/>
      <c r="N1879" s="31"/>
      <c r="O1879" s="47"/>
      <c r="P1879" s="31"/>
      <c r="Q1879" s="31"/>
      <c r="R1879" s="31"/>
      <c r="S1879" s="31"/>
      <c r="T1879" s="270">
        <f t="shared" si="232"/>
        <v>0</v>
      </c>
      <c r="U1879" s="270">
        <f t="shared" si="233"/>
        <v>0</v>
      </c>
      <c r="V1879" s="31"/>
      <c r="X1879" s="240" t="str">
        <f t="shared" si="234"/>
        <v>OK</v>
      </c>
      <c r="Y1879" s="240" t="str">
        <f t="shared" si="235"/>
        <v>OK</v>
      </c>
      <c r="Z1879" s="240" t="str">
        <f t="shared" si="236"/>
        <v>OK</v>
      </c>
      <c r="AA1879" s="240" t="str" cm="1">
        <f t="array" ref="AA1879">IF(OR(AND(J1879="Not accepted",N1879:O1879&lt;&gt;"",$S1879=""),AND(J1879="Accepted",S1879="")),"ERROR","OK")</f>
        <v>OK</v>
      </c>
      <c r="AB1879" s="240" t="str">
        <f t="shared" si="237"/>
        <v>OK</v>
      </c>
      <c r="AC1879" s="240" t="str" cm="1">
        <f t="array" ref="AC1879">IF(AND(F1879:H1879&lt;&gt;"",I1879=""),"ERROR","OK")</f>
        <v>OK</v>
      </c>
      <c r="AD1879" s="240" t="str">
        <f t="shared" si="238"/>
        <v>OK</v>
      </c>
      <c r="AE1879" s="240" t="str">
        <f t="shared" si="239"/>
        <v>OK</v>
      </c>
      <c r="AF1879" s="240" t="str" cm="1">
        <f t="array" aca="1" ref="AF1879" ca="1" xml:space="preserve">
IF(AND($G1879&lt;&gt;"",$F1879=""),"ERROR",
IF(OR($F1879:$G1879="",AND($G1879="",$F1879&lt;&gt;"")),"OK",
IF(COUNTIF(INDIRECT(IFERROR(LEFT($F1879,FIND(" ",$F1879)-1),$F1879)), $G1879)&gt;0, "OK", "ERROR")))</f>
        <v>OK</v>
      </c>
    </row>
    <row r="1880" spans="1:32" s="240" customFormat="1">
      <c r="A1880" s="48"/>
      <c r="B1880" s="31"/>
      <c r="C1880" s="48"/>
      <c r="D1880" s="47"/>
      <c r="E1880" s="47"/>
      <c r="F1880" s="31"/>
      <c r="G1880" s="31"/>
      <c r="H1880" s="31"/>
      <c r="I1880" s="47"/>
      <c r="J1880" s="31"/>
      <c r="K1880" s="47"/>
      <c r="L1880" s="47"/>
      <c r="M1880" s="47"/>
      <c r="N1880" s="31"/>
      <c r="O1880" s="47"/>
      <c r="P1880" s="31"/>
      <c r="Q1880" s="31"/>
      <c r="R1880" s="31"/>
      <c r="S1880" s="31"/>
      <c r="T1880" s="270">
        <f t="shared" si="232"/>
        <v>0</v>
      </c>
      <c r="U1880" s="270">
        <f t="shared" si="233"/>
        <v>0</v>
      </c>
      <c r="V1880" s="31"/>
      <c r="X1880" s="240" t="str">
        <f t="shared" si="234"/>
        <v>OK</v>
      </c>
      <c r="Y1880" s="240" t="str">
        <f t="shared" si="235"/>
        <v>OK</v>
      </c>
      <c r="Z1880" s="240" t="str">
        <f t="shared" si="236"/>
        <v>OK</v>
      </c>
      <c r="AA1880" s="240" t="str" cm="1">
        <f t="array" ref="AA1880">IF(OR(AND(J1880="Not accepted",N1880:O1880&lt;&gt;"",$S1880=""),AND(J1880="Accepted",S1880="")),"ERROR","OK")</f>
        <v>OK</v>
      </c>
      <c r="AB1880" s="240" t="str">
        <f t="shared" si="237"/>
        <v>OK</v>
      </c>
      <c r="AC1880" s="240" t="str" cm="1">
        <f t="array" ref="AC1880">IF(AND(F1880:H1880&lt;&gt;"",I1880=""),"ERROR","OK")</f>
        <v>OK</v>
      </c>
      <c r="AD1880" s="240" t="str">
        <f t="shared" si="238"/>
        <v>OK</v>
      </c>
      <c r="AE1880" s="240" t="str">
        <f t="shared" si="239"/>
        <v>OK</v>
      </c>
      <c r="AF1880" s="240" t="str" cm="1">
        <f t="array" aca="1" ref="AF1880" ca="1" xml:space="preserve">
IF(AND($G1880&lt;&gt;"",$F1880=""),"ERROR",
IF(OR($F1880:$G1880="",AND($G1880="",$F1880&lt;&gt;"")),"OK",
IF(COUNTIF(INDIRECT(IFERROR(LEFT($F1880,FIND(" ",$F1880)-1),$F1880)), $G1880)&gt;0, "OK", "ERROR")))</f>
        <v>OK</v>
      </c>
    </row>
    <row r="1881" spans="1:32" s="240" customFormat="1">
      <c r="A1881" s="48"/>
      <c r="B1881" s="31"/>
      <c r="C1881" s="48"/>
      <c r="D1881" s="47"/>
      <c r="E1881" s="47"/>
      <c r="F1881" s="31"/>
      <c r="G1881" s="31"/>
      <c r="H1881" s="31"/>
      <c r="I1881" s="47"/>
      <c r="J1881" s="31"/>
      <c r="K1881" s="47"/>
      <c r="L1881" s="47"/>
      <c r="M1881" s="47"/>
      <c r="N1881" s="31"/>
      <c r="O1881" s="47"/>
      <c r="P1881" s="31"/>
      <c r="Q1881" s="31"/>
      <c r="R1881" s="31"/>
      <c r="S1881" s="31"/>
      <c r="T1881" s="270">
        <f t="shared" si="232"/>
        <v>0</v>
      </c>
      <c r="U1881" s="270">
        <f t="shared" si="233"/>
        <v>0</v>
      </c>
      <c r="V1881" s="31"/>
      <c r="X1881" s="240" t="str">
        <f t="shared" si="234"/>
        <v>OK</v>
      </c>
      <c r="Y1881" s="240" t="str">
        <f t="shared" si="235"/>
        <v>OK</v>
      </c>
      <c r="Z1881" s="240" t="str">
        <f t="shared" si="236"/>
        <v>OK</v>
      </c>
      <c r="AA1881" s="240" t="str" cm="1">
        <f t="array" ref="AA1881">IF(OR(AND(J1881="Not accepted",N1881:O1881&lt;&gt;"",$S1881=""),AND(J1881="Accepted",S1881="")),"ERROR","OK")</f>
        <v>OK</v>
      </c>
      <c r="AB1881" s="240" t="str">
        <f t="shared" si="237"/>
        <v>OK</v>
      </c>
      <c r="AC1881" s="240" t="str" cm="1">
        <f t="array" ref="AC1881">IF(AND(F1881:H1881&lt;&gt;"",I1881=""),"ERROR","OK")</f>
        <v>OK</v>
      </c>
      <c r="AD1881" s="240" t="str">
        <f t="shared" si="238"/>
        <v>OK</v>
      </c>
      <c r="AE1881" s="240" t="str">
        <f t="shared" si="239"/>
        <v>OK</v>
      </c>
      <c r="AF1881" s="240" t="str" cm="1">
        <f t="array" aca="1" ref="AF1881" ca="1" xml:space="preserve">
IF(AND($G1881&lt;&gt;"",$F1881=""),"ERROR",
IF(OR($F1881:$G1881="",AND($G1881="",$F1881&lt;&gt;"")),"OK",
IF(COUNTIF(INDIRECT(IFERROR(LEFT($F1881,FIND(" ",$F1881)-1),$F1881)), $G1881)&gt;0, "OK", "ERROR")))</f>
        <v>OK</v>
      </c>
    </row>
    <row r="1882" spans="1:32" s="240" customFormat="1">
      <c r="A1882" s="48"/>
      <c r="B1882" s="31"/>
      <c r="C1882" s="48"/>
      <c r="D1882" s="47"/>
      <c r="E1882" s="47"/>
      <c r="F1882" s="31"/>
      <c r="G1882" s="31"/>
      <c r="H1882" s="31"/>
      <c r="I1882" s="47"/>
      <c r="J1882" s="31"/>
      <c r="K1882" s="47"/>
      <c r="L1882" s="47"/>
      <c r="M1882" s="47"/>
      <c r="N1882" s="31"/>
      <c r="O1882" s="47"/>
      <c r="P1882" s="31"/>
      <c r="Q1882" s="31"/>
      <c r="R1882" s="31"/>
      <c r="S1882" s="31"/>
      <c r="T1882" s="270">
        <f t="shared" si="232"/>
        <v>0</v>
      </c>
      <c r="U1882" s="270">
        <f t="shared" si="233"/>
        <v>0</v>
      </c>
      <c r="V1882" s="31"/>
      <c r="X1882" s="240" t="str">
        <f t="shared" si="234"/>
        <v>OK</v>
      </c>
      <c r="Y1882" s="240" t="str">
        <f t="shared" si="235"/>
        <v>OK</v>
      </c>
      <c r="Z1882" s="240" t="str">
        <f t="shared" si="236"/>
        <v>OK</v>
      </c>
      <c r="AA1882" s="240" t="str" cm="1">
        <f t="array" ref="AA1882">IF(OR(AND(J1882="Not accepted",N1882:O1882&lt;&gt;"",$S1882=""),AND(J1882="Accepted",S1882="")),"ERROR","OK")</f>
        <v>OK</v>
      </c>
      <c r="AB1882" s="240" t="str">
        <f t="shared" si="237"/>
        <v>OK</v>
      </c>
      <c r="AC1882" s="240" t="str" cm="1">
        <f t="array" ref="AC1882">IF(AND(F1882:H1882&lt;&gt;"",I1882=""),"ERROR","OK")</f>
        <v>OK</v>
      </c>
      <c r="AD1882" s="240" t="str">
        <f t="shared" si="238"/>
        <v>OK</v>
      </c>
      <c r="AE1882" s="240" t="str">
        <f t="shared" si="239"/>
        <v>OK</v>
      </c>
      <c r="AF1882" s="240" t="str" cm="1">
        <f t="array" aca="1" ref="AF1882" ca="1" xml:space="preserve">
IF(AND($G1882&lt;&gt;"",$F1882=""),"ERROR",
IF(OR($F1882:$G1882="",AND($G1882="",$F1882&lt;&gt;"")),"OK",
IF(COUNTIF(INDIRECT(IFERROR(LEFT($F1882,FIND(" ",$F1882)-1),$F1882)), $G1882)&gt;0, "OK", "ERROR")))</f>
        <v>OK</v>
      </c>
    </row>
    <row r="1883" spans="1:32" s="240" customFormat="1">
      <c r="A1883" s="48"/>
      <c r="B1883" s="31"/>
      <c r="C1883" s="48"/>
      <c r="D1883" s="47"/>
      <c r="E1883" s="47"/>
      <c r="F1883" s="31"/>
      <c r="G1883" s="31"/>
      <c r="H1883" s="31"/>
      <c r="I1883" s="47"/>
      <c r="J1883" s="31"/>
      <c r="K1883" s="47"/>
      <c r="L1883" s="47"/>
      <c r="M1883" s="47"/>
      <c r="N1883" s="31"/>
      <c r="O1883" s="47"/>
      <c r="P1883" s="31"/>
      <c r="Q1883" s="31"/>
      <c r="R1883" s="31"/>
      <c r="S1883" s="31"/>
      <c r="T1883" s="270">
        <f t="shared" si="232"/>
        <v>0</v>
      </c>
      <c r="U1883" s="270">
        <f t="shared" si="233"/>
        <v>0</v>
      </c>
      <c r="V1883" s="31"/>
      <c r="X1883" s="240" t="str">
        <f t="shared" si="234"/>
        <v>OK</v>
      </c>
      <c r="Y1883" s="240" t="str">
        <f t="shared" si="235"/>
        <v>OK</v>
      </c>
      <c r="Z1883" s="240" t="str">
        <f t="shared" si="236"/>
        <v>OK</v>
      </c>
      <c r="AA1883" s="240" t="str" cm="1">
        <f t="array" ref="AA1883">IF(OR(AND(J1883="Not accepted",N1883:O1883&lt;&gt;"",$S1883=""),AND(J1883="Accepted",S1883="")),"ERROR","OK")</f>
        <v>OK</v>
      </c>
      <c r="AB1883" s="240" t="str">
        <f t="shared" si="237"/>
        <v>OK</v>
      </c>
      <c r="AC1883" s="240" t="str" cm="1">
        <f t="array" ref="AC1883">IF(AND(F1883:H1883&lt;&gt;"",I1883=""),"ERROR","OK")</f>
        <v>OK</v>
      </c>
      <c r="AD1883" s="240" t="str">
        <f t="shared" si="238"/>
        <v>OK</v>
      </c>
      <c r="AE1883" s="240" t="str">
        <f t="shared" si="239"/>
        <v>OK</v>
      </c>
      <c r="AF1883" s="240" t="str" cm="1">
        <f t="array" aca="1" ref="AF1883" ca="1" xml:space="preserve">
IF(AND($G1883&lt;&gt;"",$F1883=""),"ERROR",
IF(OR($F1883:$G1883="",AND($G1883="",$F1883&lt;&gt;"")),"OK",
IF(COUNTIF(INDIRECT(IFERROR(LEFT($F1883,FIND(" ",$F1883)-1),$F1883)), $G1883)&gt;0, "OK", "ERROR")))</f>
        <v>OK</v>
      </c>
    </row>
    <row r="1884" spans="1:32" s="240" customFormat="1">
      <c r="A1884" s="48"/>
      <c r="B1884" s="31"/>
      <c r="C1884" s="48"/>
      <c r="D1884" s="47"/>
      <c r="E1884" s="47"/>
      <c r="F1884" s="31"/>
      <c r="G1884" s="31"/>
      <c r="H1884" s="31"/>
      <c r="I1884" s="47"/>
      <c r="J1884" s="31"/>
      <c r="K1884" s="47"/>
      <c r="L1884" s="47"/>
      <c r="M1884" s="47"/>
      <c r="N1884" s="31"/>
      <c r="O1884" s="47"/>
      <c r="P1884" s="31"/>
      <c r="Q1884" s="31"/>
      <c r="R1884" s="31"/>
      <c r="S1884" s="31"/>
      <c r="T1884" s="270">
        <f t="shared" si="232"/>
        <v>0</v>
      </c>
      <c r="U1884" s="270">
        <f t="shared" si="233"/>
        <v>0</v>
      </c>
      <c r="V1884" s="31"/>
      <c r="X1884" s="240" t="str">
        <f t="shared" si="234"/>
        <v>OK</v>
      </c>
      <c r="Y1884" s="240" t="str">
        <f t="shared" si="235"/>
        <v>OK</v>
      </c>
      <c r="Z1884" s="240" t="str">
        <f t="shared" si="236"/>
        <v>OK</v>
      </c>
      <c r="AA1884" s="240" t="str" cm="1">
        <f t="array" ref="AA1884">IF(OR(AND(J1884="Not accepted",N1884:O1884&lt;&gt;"",$S1884=""),AND(J1884="Accepted",S1884="")),"ERROR","OK")</f>
        <v>OK</v>
      </c>
      <c r="AB1884" s="240" t="str">
        <f t="shared" si="237"/>
        <v>OK</v>
      </c>
      <c r="AC1884" s="240" t="str" cm="1">
        <f t="array" ref="AC1884">IF(AND(F1884:H1884&lt;&gt;"",I1884=""),"ERROR","OK")</f>
        <v>OK</v>
      </c>
      <c r="AD1884" s="240" t="str">
        <f t="shared" si="238"/>
        <v>OK</v>
      </c>
      <c r="AE1884" s="240" t="str">
        <f t="shared" si="239"/>
        <v>OK</v>
      </c>
      <c r="AF1884" s="240" t="str" cm="1">
        <f t="array" aca="1" ref="AF1884" ca="1" xml:space="preserve">
IF(AND($G1884&lt;&gt;"",$F1884=""),"ERROR",
IF(OR($F1884:$G1884="",AND($G1884="",$F1884&lt;&gt;"")),"OK",
IF(COUNTIF(INDIRECT(IFERROR(LEFT($F1884,FIND(" ",$F1884)-1),$F1884)), $G1884)&gt;0, "OK", "ERROR")))</f>
        <v>OK</v>
      </c>
    </row>
    <row r="1885" spans="1:32" s="240" customFormat="1">
      <c r="A1885" s="48"/>
      <c r="B1885" s="31"/>
      <c r="C1885" s="48"/>
      <c r="D1885" s="47"/>
      <c r="E1885" s="47"/>
      <c r="F1885" s="31"/>
      <c r="G1885" s="31"/>
      <c r="H1885" s="31"/>
      <c r="I1885" s="47"/>
      <c r="J1885" s="31"/>
      <c r="K1885" s="47"/>
      <c r="L1885" s="47"/>
      <c r="M1885" s="47"/>
      <c r="N1885" s="31"/>
      <c r="O1885" s="47"/>
      <c r="P1885" s="31"/>
      <c r="Q1885" s="31"/>
      <c r="R1885" s="31"/>
      <c r="S1885" s="31"/>
      <c r="T1885" s="270">
        <f t="shared" si="232"/>
        <v>0</v>
      </c>
      <c r="U1885" s="270">
        <f t="shared" si="233"/>
        <v>0</v>
      </c>
      <c r="V1885" s="31"/>
      <c r="X1885" s="240" t="str">
        <f t="shared" si="234"/>
        <v>OK</v>
      </c>
      <c r="Y1885" s="240" t="str">
        <f t="shared" si="235"/>
        <v>OK</v>
      </c>
      <c r="Z1885" s="240" t="str">
        <f t="shared" si="236"/>
        <v>OK</v>
      </c>
      <c r="AA1885" s="240" t="str" cm="1">
        <f t="array" ref="AA1885">IF(OR(AND(J1885="Not accepted",N1885:O1885&lt;&gt;"",$S1885=""),AND(J1885="Accepted",S1885="")),"ERROR","OK")</f>
        <v>OK</v>
      </c>
      <c r="AB1885" s="240" t="str">
        <f t="shared" si="237"/>
        <v>OK</v>
      </c>
      <c r="AC1885" s="240" t="str" cm="1">
        <f t="array" ref="AC1885">IF(AND(F1885:H1885&lt;&gt;"",I1885=""),"ERROR","OK")</f>
        <v>OK</v>
      </c>
      <c r="AD1885" s="240" t="str">
        <f t="shared" si="238"/>
        <v>OK</v>
      </c>
      <c r="AE1885" s="240" t="str">
        <f t="shared" si="239"/>
        <v>OK</v>
      </c>
      <c r="AF1885" s="240" t="str" cm="1">
        <f t="array" aca="1" ref="AF1885" ca="1" xml:space="preserve">
IF(AND($G1885&lt;&gt;"",$F1885=""),"ERROR",
IF(OR($F1885:$G1885="",AND($G1885="",$F1885&lt;&gt;"")),"OK",
IF(COUNTIF(INDIRECT(IFERROR(LEFT($F1885,FIND(" ",$F1885)-1),$F1885)), $G1885)&gt;0, "OK", "ERROR")))</f>
        <v>OK</v>
      </c>
    </row>
    <row r="1886" spans="1:32" s="240" customFormat="1">
      <c r="A1886" s="48"/>
      <c r="B1886" s="31"/>
      <c r="C1886" s="48"/>
      <c r="D1886" s="47"/>
      <c r="E1886" s="47"/>
      <c r="F1886" s="31"/>
      <c r="G1886" s="31"/>
      <c r="H1886" s="31"/>
      <c r="I1886" s="47"/>
      <c r="J1886" s="31"/>
      <c r="K1886" s="47"/>
      <c r="L1886" s="47"/>
      <c r="M1886" s="47"/>
      <c r="N1886" s="31"/>
      <c r="O1886" s="47"/>
      <c r="P1886" s="31"/>
      <c r="Q1886" s="31"/>
      <c r="R1886" s="31"/>
      <c r="S1886" s="31"/>
      <c r="T1886" s="270">
        <f t="shared" si="232"/>
        <v>0</v>
      </c>
      <c r="U1886" s="270">
        <f t="shared" si="233"/>
        <v>0</v>
      </c>
      <c r="V1886" s="31"/>
      <c r="X1886" s="240" t="str">
        <f t="shared" si="234"/>
        <v>OK</v>
      </c>
      <c r="Y1886" s="240" t="str">
        <f t="shared" si="235"/>
        <v>OK</v>
      </c>
      <c r="Z1886" s="240" t="str">
        <f t="shared" si="236"/>
        <v>OK</v>
      </c>
      <c r="AA1886" s="240" t="str" cm="1">
        <f t="array" ref="AA1886">IF(OR(AND(J1886="Not accepted",N1886:O1886&lt;&gt;"",$S1886=""),AND(J1886="Accepted",S1886="")),"ERROR","OK")</f>
        <v>OK</v>
      </c>
      <c r="AB1886" s="240" t="str">
        <f t="shared" si="237"/>
        <v>OK</v>
      </c>
      <c r="AC1886" s="240" t="str" cm="1">
        <f t="array" ref="AC1886">IF(AND(F1886:H1886&lt;&gt;"",I1886=""),"ERROR","OK")</f>
        <v>OK</v>
      </c>
      <c r="AD1886" s="240" t="str">
        <f t="shared" si="238"/>
        <v>OK</v>
      </c>
      <c r="AE1886" s="240" t="str">
        <f t="shared" si="239"/>
        <v>OK</v>
      </c>
      <c r="AF1886" s="240" t="str" cm="1">
        <f t="array" aca="1" ref="AF1886" ca="1" xml:space="preserve">
IF(AND($G1886&lt;&gt;"",$F1886=""),"ERROR",
IF(OR($F1886:$G1886="",AND($G1886="",$F1886&lt;&gt;"")),"OK",
IF(COUNTIF(INDIRECT(IFERROR(LEFT($F1886,FIND(" ",$F1886)-1),$F1886)), $G1886)&gt;0, "OK", "ERROR")))</f>
        <v>OK</v>
      </c>
    </row>
    <row r="1887" spans="1:32" s="240" customFormat="1">
      <c r="A1887" s="48"/>
      <c r="B1887" s="31"/>
      <c r="C1887" s="48"/>
      <c r="D1887" s="47"/>
      <c r="E1887" s="47"/>
      <c r="F1887" s="31"/>
      <c r="G1887" s="31"/>
      <c r="H1887" s="31"/>
      <c r="I1887" s="47"/>
      <c r="J1887" s="31"/>
      <c r="K1887" s="47"/>
      <c r="L1887" s="47"/>
      <c r="M1887" s="47"/>
      <c r="N1887" s="31"/>
      <c r="O1887" s="47"/>
      <c r="P1887" s="31"/>
      <c r="Q1887" s="31"/>
      <c r="R1887" s="31"/>
      <c r="S1887" s="31"/>
      <c r="T1887" s="270">
        <f t="shared" si="232"/>
        <v>0</v>
      </c>
      <c r="U1887" s="270">
        <f t="shared" si="233"/>
        <v>0</v>
      </c>
      <c r="V1887" s="31"/>
      <c r="X1887" s="240" t="str">
        <f t="shared" si="234"/>
        <v>OK</v>
      </c>
      <c r="Y1887" s="240" t="str">
        <f t="shared" si="235"/>
        <v>OK</v>
      </c>
      <c r="Z1887" s="240" t="str">
        <f t="shared" si="236"/>
        <v>OK</v>
      </c>
      <c r="AA1887" s="240" t="str" cm="1">
        <f t="array" ref="AA1887">IF(OR(AND(J1887="Not accepted",N1887:O1887&lt;&gt;"",$S1887=""),AND(J1887="Accepted",S1887="")),"ERROR","OK")</f>
        <v>OK</v>
      </c>
      <c r="AB1887" s="240" t="str">
        <f t="shared" si="237"/>
        <v>OK</v>
      </c>
      <c r="AC1887" s="240" t="str" cm="1">
        <f t="array" ref="AC1887">IF(AND(F1887:H1887&lt;&gt;"",I1887=""),"ERROR","OK")</f>
        <v>OK</v>
      </c>
      <c r="AD1887" s="240" t="str">
        <f t="shared" si="238"/>
        <v>OK</v>
      </c>
      <c r="AE1887" s="240" t="str">
        <f t="shared" si="239"/>
        <v>OK</v>
      </c>
      <c r="AF1887" s="240" t="str" cm="1">
        <f t="array" aca="1" ref="AF1887" ca="1" xml:space="preserve">
IF(AND($G1887&lt;&gt;"",$F1887=""),"ERROR",
IF(OR($F1887:$G1887="",AND($G1887="",$F1887&lt;&gt;"")),"OK",
IF(COUNTIF(INDIRECT(IFERROR(LEFT($F1887,FIND(" ",$F1887)-1),$F1887)), $G1887)&gt;0, "OK", "ERROR")))</f>
        <v>OK</v>
      </c>
    </row>
    <row r="1888" spans="1:32" s="240" customFormat="1">
      <c r="A1888" s="48"/>
      <c r="B1888" s="31"/>
      <c r="C1888" s="48"/>
      <c r="D1888" s="47"/>
      <c r="E1888" s="47"/>
      <c r="F1888" s="31"/>
      <c r="G1888" s="31"/>
      <c r="H1888" s="31"/>
      <c r="I1888" s="47"/>
      <c r="J1888" s="31"/>
      <c r="K1888" s="47"/>
      <c r="L1888" s="47"/>
      <c r="M1888" s="47"/>
      <c r="N1888" s="31"/>
      <c r="O1888" s="47"/>
      <c r="P1888" s="31"/>
      <c r="Q1888" s="31"/>
      <c r="R1888" s="31"/>
      <c r="S1888" s="31"/>
      <c r="T1888" s="270">
        <f t="shared" si="232"/>
        <v>0</v>
      </c>
      <c r="U1888" s="270">
        <f t="shared" si="233"/>
        <v>0</v>
      </c>
      <c r="V1888" s="31"/>
      <c r="X1888" s="240" t="str">
        <f t="shared" si="234"/>
        <v>OK</v>
      </c>
      <c r="Y1888" s="240" t="str">
        <f t="shared" si="235"/>
        <v>OK</v>
      </c>
      <c r="Z1888" s="240" t="str">
        <f t="shared" si="236"/>
        <v>OK</v>
      </c>
      <c r="AA1888" s="240" t="str" cm="1">
        <f t="array" ref="AA1888">IF(OR(AND(J1888="Not accepted",N1888:O1888&lt;&gt;"",$S1888=""),AND(J1888="Accepted",S1888="")),"ERROR","OK")</f>
        <v>OK</v>
      </c>
      <c r="AB1888" s="240" t="str">
        <f t="shared" si="237"/>
        <v>OK</v>
      </c>
      <c r="AC1888" s="240" t="str" cm="1">
        <f t="array" ref="AC1888">IF(AND(F1888:H1888&lt;&gt;"",I1888=""),"ERROR","OK")</f>
        <v>OK</v>
      </c>
      <c r="AD1888" s="240" t="str">
        <f t="shared" si="238"/>
        <v>OK</v>
      </c>
      <c r="AE1888" s="240" t="str">
        <f t="shared" si="239"/>
        <v>OK</v>
      </c>
      <c r="AF1888" s="240" t="str" cm="1">
        <f t="array" aca="1" ref="AF1888" ca="1" xml:space="preserve">
IF(AND($G1888&lt;&gt;"",$F1888=""),"ERROR",
IF(OR($F1888:$G1888="",AND($G1888="",$F1888&lt;&gt;"")),"OK",
IF(COUNTIF(INDIRECT(IFERROR(LEFT($F1888,FIND(" ",$F1888)-1),$F1888)), $G1888)&gt;0, "OK", "ERROR")))</f>
        <v>OK</v>
      </c>
    </row>
    <row r="1889" spans="1:32" s="240" customFormat="1">
      <c r="A1889" s="48"/>
      <c r="B1889" s="31"/>
      <c r="C1889" s="48"/>
      <c r="D1889" s="47"/>
      <c r="E1889" s="47"/>
      <c r="F1889" s="31"/>
      <c r="G1889" s="31"/>
      <c r="H1889" s="31"/>
      <c r="I1889" s="47"/>
      <c r="J1889" s="31"/>
      <c r="K1889" s="47"/>
      <c r="L1889" s="47"/>
      <c r="M1889" s="47"/>
      <c r="N1889" s="31"/>
      <c r="O1889" s="47"/>
      <c r="P1889" s="31"/>
      <c r="Q1889" s="31"/>
      <c r="R1889" s="31"/>
      <c r="S1889" s="31"/>
      <c r="T1889" s="270">
        <f t="shared" si="232"/>
        <v>0</v>
      </c>
      <c r="U1889" s="270">
        <f t="shared" si="233"/>
        <v>0</v>
      </c>
      <c r="V1889" s="31"/>
      <c r="X1889" s="240" t="str">
        <f t="shared" si="234"/>
        <v>OK</v>
      </c>
      <c r="Y1889" s="240" t="str">
        <f t="shared" si="235"/>
        <v>OK</v>
      </c>
      <c r="Z1889" s="240" t="str">
        <f t="shared" si="236"/>
        <v>OK</v>
      </c>
      <c r="AA1889" s="240" t="str" cm="1">
        <f t="array" ref="AA1889">IF(OR(AND(J1889="Not accepted",N1889:O1889&lt;&gt;"",$S1889=""),AND(J1889="Accepted",S1889="")),"ERROR","OK")</f>
        <v>OK</v>
      </c>
      <c r="AB1889" s="240" t="str">
        <f t="shared" si="237"/>
        <v>OK</v>
      </c>
      <c r="AC1889" s="240" t="str" cm="1">
        <f t="array" ref="AC1889">IF(AND(F1889:H1889&lt;&gt;"",I1889=""),"ERROR","OK")</f>
        <v>OK</v>
      </c>
      <c r="AD1889" s="240" t="str">
        <f t="shared" si="238"/>
        <v>OK</v>
      </c>
      <c r="AE1889" s="240" t="str">
        <f t="shared" si="239"/>
        <v>OK</v>
      </c>
      <c r="AF1889" s="240" t="str" cm="1">
        <f t="array" aca="1" ref="AF1889" ca="1" xml:space="preserve">
IF(AND($G1889&lt;&gt;"",$F1889=""),"ERROR",
IF(OR($F1889:$G1889="",AND($G1889="",$F1889&lt;&gt;"")),"OK",
IF(COUNTIF(INDIRECT(IFERROR(LEFT($F1889,FIND(" ",$F1889)-1),$F1889)), $G1889)&gt;0, "OK", "ERROR")))</f>
        <v>OK</v>
      </c>
    </row>
    <row r="1890" spans="1:32" s="240" customFormat="1">
      <c r="A1890" s="48"/>
      <c r="B1890" s="31"/>
      <c r="C1890" s="48"/>
      <c r="D1890" s="47"/>
      <c r="E1890" s="47"/>
      <c r="F1890" s="31"/>
      <c r="G1890" s="31"/>
      <c r="H1890" s="31"/>
      <c r="I1890" s="47"/>
      <c r="J1890" s="31"/>
      <c r="K1890" s="47"/>
      <c r="L1890" s="47"/>
      <c r="M1890" s="47"/>
      <c r="N1890" s="31"/>
      <c r="O1890" s="47"/>
      <c r="P1890" s="31"/>
      <c r="Q1890" s="31"/>
      <c r="R1890" s="31"/>
      <c r="S1890" s="31"/>
      <c r="T1890" s="270">
        <f t="shared" si="232"/>
        <v>0</v>
      </c>
      <c r="U1890" s="270">
        <f t="shared" si="233"/>
        <v>0</v>
      </c>
      <c r="V1890" s="31"/>
      <c r="X1890" s="240" t="str">
        <f t="shared" si="234"/>
        <v>OK</v>
      </c>
      <c r="Y1890" s="240" t="str">
        <f t="shared" si="235"/>
        <v>OK</v>
      </c>
      <c r="Z1890" s="240" t="str">
        <f t="shared" si="236"/>
        <v>OK</v>
      </c>
      <c r="AA1890" s="240" t="str" cm="1">
        <f t="array" ref="AA1890">IF(OR(AND(J1890="Not accepted",N1890:O1890&lt;&gt;"",$S1890=""),AND(J1890="Accepted",S1890="")),"ERROR","OK")</f>
        <v>OK</v>
      </c>
      <c r="AB1890" s="240" t="str">
        <f t="shared" si="237"/>
        <v>OK</v>
      </c>
      <c r="AC1890" s="240" t="str" cm="1">
        <f t="array" ref="AC1890">IF(AND(F1890:H1890&lt;&gt;"",I1890=""),"ERROR","OK")</f>
        <v>OK</v>
      </c>
      <c r="AD1890" s="240" t="str">
        <f t="shared" si="238"/>
        <v>OK</v>
      </c>
      <c r="AE1890" s="240" t="str">
        <f t="shared" si="239"/>
        <v>OK</v>
      </c>
      <c r="AF1890" s="240" t="str" cm="1">
        <f t="array" aca="1" ref="AF1890" ca="1" xml:space="preserve">
IF(AND($G1890&lt;&gt;"",$F1890=""),"ERROR",
IF(OR($F1890:$G1890="",AND($G1890="",$F1890&lt;&gt;"")),"OK",
IF(COUNTIF(INDIRECT(IFERROR(LEFT($F1890,FIND(" ",$F1890)-1),$F1890)), $G1890)&gt;0, "OK", "ERROR")))</f>
        <v>OK</v>
      </c>
    </row>
    <row r="1891" spans="1:32" s="240" customFormat="1">
      <c r="A1891" s="48"/>
      <c r="B1891" s="31"/>
      <c r="C1891" s="48"/>
      <c r="D1891" s="47"/>
      <c r="E1891" s="47"/>
      <c r="F1891" s="31"/>
      <c r="G1891" s="31"/>
      <c r="H1891" s="31"/>
      <c r="I1891" s="47"/>
      <c r="J1891" s="31"/>
      <c r="K1891" s="47"/>
      <c r="L1891" s="47"/>
      <c r="M1891" s="47"/>
      <c r="N1891" s="31"/>
      <c r="O1891" s="47"/>
      <c r="P1891" s="31"/>
      <c r="Q1891" s="31"/>
      <c r="R1891" s="31"/>
      <c r="S1891" s="31"/>
      <c r="T1891" s="270">
        <f t="shared" si="232"/>
        <v>0</v>
      </c>
      <c r="U1891" s="270">
        <f t="shared" si="233"/>
        <v>0</v>
      </c>
      <c r="V1891" s="31"/>
      <c r="X1891" s="240" t="str">
        <f t="shared" si="234"/>
        <v>OK</v>
      </c>
      <c r="Y1891" s="240" t="str">
        <f t="shared" si="235"/>
        <v>OK</v>
      </c>
      <c r="Z1891" s="240" t="str">
        <f t="shared" si="236"/>
        <v>OK</v>
      </c>
      <c r="AA1891" s="240" t="str" cm="1">
        <f t="array" ref="AA1891">IF(OR(AND(J1891="Not accepted",N1891:O1891&lt;&gt;"",$S1891=""),AND(J1891="Accepted",S1891="")),"ERROR","OK")</f>
        <v>OK</v>
      </c>
      <c r="AB1891" s="240" t="str">
        <f t="shared" si="237"/>
        <v>OK</v>
      </c>
      <c r="AC1891" s="240" t="str" cm="1">
        <f t="array" ref="AC1891">IF(AND(F1891:H1891&lt;&gt;"",I1891=""),"ERROR","OK")</f>
        <v>OK</v>
      </c>
      <c r="AD1891" s="240" t="str">
        <f t="shared" si="238"/>
        <v>OK</v>
      </c>
      <c r="AE1891" s="240" t="str">
        <f t="shared" si="239"/>
        <v>OK</v>
      </c>
      <c r="AF1891" s="240" t="str" cm="1">
        <f t="array" aca="1" ref="AF1891" ca="1" xml:space="preserve">
IF(AND($G1891&lt;&gt;"",$F1891=""),"ERROR",
IF(OR($F1891:$G1891="",AND($G1891="",$F1891&lt;&gt;"")),"OK",
IF(COUNTIF(INDIRECT(IFERROR(LEFT($F1891,FIND(" ",$F1891)-1),$F1891)), $G1891)&gt;0, "OK", "ERROR")))</f>
        <v>OK</v>
      </c>
    </row>
    <row r="1892" spans="1:32" s="240" customFormat="1">
      <c r="A1892" s="48"/>
      <c r="B1892" s="31"/>
      <c r="C1892" s="48"/>
      <c r="D1892" s="47"/>
      <c r="E1892" s="47"/>
      <c r="F1892" s="31"/>
      <c r="G1892" s="31"/>
      <c r="H1892" s="31"/>
      <c r="I1892" s="47"/>
      <c r="J1892" s="31"/>
      <c r="K1892" s="47"/>
      <c r="L1892" s="47"/>
      <c r="M1892" s="47"/>
      <c r="N1892" s="31"/>
      <c r="O1892" s="47"/>
      <c r="P1892" s="31"/>
      <c r="Q1892" s="31"/>
      <c r="R1892" s="31"/>
      <c r="S1892" s="31"/>
      <c r="T1892" s="270">
        <f t="shared" si="232"/>
        <v>0</v>
      </c>
      <c r="U1892" s="270">
        <f t="shared" si="233"/>
        <v>0</v>
      </c>
      <c r="V1892" s="31"/>
      <c r="X1892" s="240" t="str">
        <f t="shared" si="234"/>
        <v>OK</v>
      </c>
      <c r="Y1892" s="240" t="str">
        <f t="shared" si="235"/>
        <v>OK</v>
      </c>
      <c r="Z1892" s="240" t="str">
        <f t="shared" si="236"/>
        <v>OK</v>
      </c>
      <c r="AA1892" s="240" t="str" cm="1">
        <f t="array" ref="AA1892">IF(OR(AND(J1892="Not accepted",N1892:O1892&lt;&gt;"",$S1892=""),AND(J1892="Accepted",S1892="")),"ERROR","OK")</f>
        <v>OK</v>
      </c>
      <c r="AB1892" s="240" t="str">
        <f t="shared" si="237"/>
        <v>OK</v>
      </c>
      <c r="AC1892" s="240" t="str" cm="1">
        <f t="array" ref="AC1892">IF(AND(F1892:H1892&lt;&gt;"",I1892=""),"ERROR","OK")</f>
        <v>OK</v>
      </c>
      <c r="AD1892" s="240" t="str">
        <f t="shared" si="238"/>
        <v>OK</v>
      </c>
      <c r="AE1892" s="240" t="str">
        <f t="shared" si="239"/>
        <v>OK</v>
      </c>
      <c r="AF1892" s="240" t="str" cm="1">
        <f t="array" aca="1" ref="AF1892" ca="1" xml:space="preserve">
IF(AND($G1892&lt;&gt;"",$F1892=""),"ERROR",
IF(OR($F1892:$G1892="",AND($G1892="",$F1892&lt;&gt;"")),"OK",
IF(COUNTIF(INDIRECT(IFERROR(LEFT($F1892,FIND(" ",$F1892)-1),$F1892)), $G1892)&gt;0, "OK", "ERROR")))</f>
        <v>OK</v>
      </c>
    </row>
    <row r="1893" spans="1:32" s="240" customFormat="1">
      <c r="A1893" s="48"/>
      <c r="B1893" s="31"/>
      <c r="C1893" s="48"/>
      <c r="D1893" s="47"/>
      <c r="E1893" s="47"/>
      <c r="F1893" s="31"/>
      <c r="G1893" s="31"/>
      <c r="H1893" s="31"/>
      <c r="I1893" s="47"/>
      <c r="J1893" s="31"/>
      <c r="K1893" s="47"/>
      <c r="L1893" s="47"/>
      <c r="M1893" s="47"/>
      <c r="N1893" s="31"/>
      <c r="O1893" s="47"/>
      <c r="P1893" s="31"/>
      <c r="Q1893" s="31"/>
      <c r="R1893" s="31"/>
      <c r="S1893" s="31"/>
      <c r="T1893" s="270">
        <f t="shared" si="232"/>
        <v>0</v>
      </c>
      <c r="U1893" s="270">
        <f t="shared" si="233"/>
        <v>0</v>
      </c>
      <c r="V1893" s="31"/>
      <c r="X1893" s="240" t="str">
        <f t="shared" si="234"/>
        <v>OK</v>
      </c>
      <c r="Y1893" s="240" t="str">
        <f t="shared" si="235"/>
        <v>OK</v>
      </c>
      <c r="Z1893" s="240" t="str">
        <f t="shared" si="236"/>
        <v>OK</v>
      </c>
      <c r="AA1893" s="240" t="str" cm="1">
        <f t="array" ref="AA1893">IF(OR(AND(J1893="Not accepted",N1893:O1893&lt;&gt;"",$S1893=""),AND(J1893="Accepted",S1893="")),"ERROR","OK")</f>
        <v>OK</v>
      </c>
      <c r="AB1893" s="240" t="str">
        <f t="shared" si="237"/>
        <v>OK</v>
      </c>
      <c r="AC1893" s="240" t="str" cm="1">
        <f t="array" ref="AC1893">IF(AND(F1893:H1893&lt;&gt;"",I1893=""),"ERROR","OK")</f>
        <v>OK</v>
      </c>
      <c r="AD1893" s="240" t="str">
        <f t="shared" si="238"/>
        <v>OK</v>
      </c>
      <c r="AE1893" s="240" t="str">
        <f t="shared" si="239"/>
        <v>OK</v>
      </c>
      <c r="AF1893" s="240" t="str" cm="1">
        <f t="array" aca="1" ref="AF1893" ca="1" xml:space="preserve">
IF(AND($G1893&lt;&gt;"",$F1893=""),"ERROR",
IF(OR($F1893:$G1893="",AND($G1893="",$F1893&lt;&gt;"")),"OK",
IF(COUNTIF(INDIRECT(IFERROR(LEFT($F1893,FIND(" ",$F1893)-1),$F1893)), $G1893)&gt;0, "OK", "ERROR")))</f>
        <v>OK</v>
      </c>
    </row>
    <row r="1894" spans="1:32" s="240" customFormat="1">
      <c r="A1894" s="48"/>
      <c r="B1894" s="31"/>
      <c r="C1894" s="48"/>
      <c r="D1894" s="47"/>
      <c r="E1894" s="47"/>
      <c r="F1894" s="31"/>
      <c r="G1894" s="31"/>
      <c r="H1894" s="31"/>
      <c r="I1894" s="47"/>
      <c r="J1894" s="31"/>
      <c r="K1894" s="47"/>
      <c r="L1894" s="47"/>
      <c r="M1894" s="47"/>
      <c r="N1894" s="31"/>
      <c r="O1894" s="47"/>
      <c r="P1894" s="31"/>
      <c r="Q1894" s="31"/>
      <c r="R1894" s="31"/>
      <c r="S1894" s="31"/>
      <c r="T1894" s="270">
        <f t="shared" si="232"/>
        <v>0</v>
      </c>
      <c r="U1894" s="270">
        <f t="shared" si="233"/>
        <v>0</v>
      </c>
      <c r="V1894" s="31"/>
      <c r="X1894" s="240" t="str">
        <f t="shared" si="234"/>
        <v>OK</v>
      </c>
      <c r="Y1894" s="240" t="str">
        <f t="shared" si="235"/>
        <v>OK</v>
      </c>
      <c r="Z1894" s="240" t="str">
        <f t="shared" si="236"/>
        <v>OK</v>
      </c>
      <c r="AA1894" s="240" t="str" cm="1">
        <f t="array" ref="AA1894">IF(OR(AND(J1894="Not accepted",N1894:O1894&lt;&gt;"",$S1894=""),AND(J1894="Accepted",S1894="")),"ERROR","OK")</f>
        <v>OK</v>
      </c>
      <c r="AB1894" s="240" t="str">
        <f t="shared" si="237"/>
        <v>OK</v>
      </c>
      <c r="AC1894" s="240" t="str" cm="1">
        <f t="array" ref="AC1894">IF(AND(F1894:H1894&lt;&gt;"",I1894=""),"ERROR","OK")</f>
        <v>OK</v>
      </c>
      <c r="AD1894" s="240" t="str">
        <f t="shared" si="238"/>
        <v>OK</v>
      </c>
      <c r="AE1894" s="240" t="str">
        <f t="shared" si="239"/>
        <v>OK</v>
      </c>
      <c r="AF1894" s="240" t="str" cm="1">
        <f t="array" aca="1" ref="AF1894" ca="1" xml:space="preserve">
IF(AND($G1894&lt;&gt;"",$F1894=""),"ERROR",
IF(OR($F1894:$G1894="",AND($G1894="",$F1894&lt;&gt;"")),"OK",
IF(COUNTIF(INDIRECT(IFERROR(LEFT($F1894,FIND(" ",$F1894)-1),$F1894)), $G1894)&gt;0, "OK", "ERROR")))</f>
        <v>OK</v>
      </c>
    </row>
    <row r="1895" spans="1:32" s="240" customFormat="1">
      <c r="A1895" s="48"/>
      <c r="B1895" s="31"/>
      <c r="C1895" s="48"/>
      <c r="D1895" s="47"/>
      <c r="E1895" s="47"/>
      <c r="F1895" s="31"/>
      <c r="G1895" s="31"/>
      <c r="H1895" s="31"/>
      <c r="I1895" s="47"/>
      <c r="J1895" s="31"/>
      <c r="K1895" s="47"/>
      <c r="L1895" s="47"/>
      <c r="M1895" s="47"/>
      <c r="N1895" s="31"/>
      <c r="O1895" s="47"/>
      <c r="P1895" s="31"/>
      <c r="Q1895" s="31"/>
      <c r="R1895" s="31"/>
      <c r="S1895" s="31"/>
      <c r="T1895" s="270">
        <f t="shared" si="232"/>
        <v>0</v>
      </c>
      <c r="U1895" s="270">
        <f t="shared" si="233"/>
        <v>0</v>
      </c>
      <c r="V1895" s="31"/>
      <c r="X1895" s="240" t="str">
        <f t="shared" si="234"/>
        <v>OK</v>
      </c>
      <c r="Y1895" s="240" t="str">
        <f t="shared" si="235"/>
        <v>OK</v>
      </c>
      <c r="Z1895" s="240" t="str">
        <f t="shared" si="236"/>
        <v>OK</v>
      </c>
      <c r="AA1895" s="240" t="str" cm="1">
        <f t="array" ref="AA1895">IF(OR(AND(J1895="Not accepted",N1895:O1895&lt;&gt;"",$S1895=""),AND(J1895="Accepted",S1895="")),"ERROR","OK")</f>
        <v>OK</v>
      </c>
      <c r="AB1895" s="240" t="str">
        <f t="shared" si="237"/>
        <v>OK</v>
      </c>
      <c r="AC1895" s="240" t="str" cm="1">
        <f t="array" ref="AC1895">IF(AND(F1895:H1895&lt;&gt;"",I1895=""),"ERROR","OK")</f>
        <v>OK</v>
      </c>
      <c r="AD1895" s="240" t="str">
        <f t="shared" si="238"/>
        <v>OK</v>
      </c>
      <c r="AE1895" s="240" t="str">
        <f t="shared" si="239"/>
        <v>OK</v>
      </c>
      <c r="AF1895" s="240" t="str" cm="1">
        <f t="array" aca="1" ref="AF1895" ca="1" xml:space="preserve">
IF(AND($G1895&lt;&gt;"",$F1895=""),"ERROR",
IF(OR($F1895:$G1895="",AND($G1895="",$F1895&lt;&gt;"")),"OK",
IF(COUNTIF(INDIRECT(IFERROR(LEFT($F1895,FIND(" ",$F1895)-1),$F1895)), $G1895)&gt;0, "OK", "ERROR")))</f>
        <v>OK</v>
      </c>
    </row>
    <row r="1896" spans="1:32" s="240" customFormat="1">
      <c r="A1896" s="48"/>
      <c r="B1896" s="31"/>
      <c r="C1896" s="48"/>
      <c r="D1896" s="47"/>
      <c r="E1896" s="47"/>
      <c r="F1896" s="31"/>
      <c r="G1896" s="31"/>
      <c r="H1896" s="31"/>
      <c r="I1896" s="47"/>
      <c r="J1896" s="31"/>
      <c r="K1896" s="47"/>
      <c r="L1896" s="47"/>
      <c r="M1896" s="47"/>
      <c r="N1896" s="31"/>
      <c r="O1896" s="47"/>
      <c r="P1896" s="31"/>
      <c r="Q1896" s="31"/>
      <c r="R1896" s="31"/>
      <c r="S1896" s="31"/>
      <c r="T1896" s="270">
        <f t="shared" si="232"/>
        <v>0</v>
      </c>
      <c r="U1896" s="270">
        <f t="shared" si="233"/>
        <v>0</v>
      </c>
      <c r="V1896" s="31"/>
      <c r="X1896" s="240" t="str">
        <f t="shared" si="234"/>
        <v>OK</v>
      </c>
      <c r="Y1896" s="240" t="str">
        <f t="shared" si="235"/>
        <v>OK</v>
      </c>
      <c r="Z1896" s="240" t="str">
        <f t="shared" si="236"/>
        <v>OK</v>
      </c>
      <c r="AA1896" s="240" t="str" cm="1">
        <f t="array" ref="AA1896">IF(OR(AND(J1896="Not accepted",N1896:O1896&lt;&gt;"",$S1896=""),AND(J1896="Accepted",S1896="")),"ERROR","OK")</f>
        <v>OK</v>
      </c>
      <c r="AB1896" s="240" t="str">
        <f t="shared" si="237"/>
        <v>OK</v>
      </c>
      <c r="AC1896" s="240" t="str" cm="1">
        <f t="array" ref="AC1896">IF(AND(F1896:H1896&lt;&gt;"",I1896=""),"ERROR","OK")</f>
        <v>OK</v>
      </c>
      <c r="AD1896" s="240" t="str">
        <f t="shared" si="238"/>
        <v>OK</v>
      </c>
      <c r="AE1896" s="240" t="str">
        <f t="shared" si="239"/>
        <v>OK</v>
      </c>
      <c r="AF1896" s="240" t="str" cm="1">
        <f t="array" aca="1" ref="AF1896" ca="1" xml:space="preserve">
IF(AND($G1896&lt;&gt;"",$F1896=""),"ERROR",
IF(OR($F1896:$G1896="",AND($G1896="",$F1896&lt;&gt;"")),"OK",
IF(COUNTIF(INDIRECT(IFERROR(LEFT($F1896,FIND(" ",$F1896)-1),$F1896)), $G1896)&gt;0, "OK", "ERROR")))</f>
        <v>OK</v>
      </c>
    </row>
    <row r="1897" spans="1:32" s="240" customFormat="1">
      <c r="A1897" s="48"/>
      <c r="B1897" s="31"/>
      <c r="C1897" s="48"/>
      <c r="D1897" s="47"/>
      <c r="E1897" s="47"/>
      <c r="F1897" s="31"/>
      <c r="G1897" s="31"/>
      <c r="H1897" s="31"/>
      <c r="I1897" s="47"/>
      <c r="J1897" s="31"/>
      <c r="K1897" s="47"/>
      <c r="L1897" s="47"/>
      <c r="M1897" s="47"/>
      <c r="N1897" s="31"/>
      <c r="O1897" s="47"/>
      <c r="P1897" s="31"/>
      <c r="Q1897" s="31"/>
      <c r="R1897" s="31"/>
      <c r="S1897" s="31"/>
      <c r="T1897" s="270">
        <f t="shared" si="232"/>
        <v>0</v>
      </c>
      <c r="U1897" s="270">
        <f t="shared" si="233"/>
        <v>0</v>
      </c>
      <c r="V1897" s="31"/>
      <c r="X1897" s="240" t="str">
        <f t="shared" si="234"/>
        <v>OK</v>
      </c>
      <c r="Y1897" s="240" t="str">
        <f t="shared" si="235"/>
        <v>OK</v>
      </c>
      <c r="Z1897" s="240" t="str">
        <f t="shared" si="236"/>
        <v>OK</v>
      </c>
      <c r="AA1897" s="240" t="str" cm="1">
        <f t="array" ref="AA1897">IF(OR(AND(J1897="Not accepted",N1897:O1897&lt;&gt;"",$S1897=""),AND(J1897="Accepted",S1897="")),"ERROR","OK")</f>
        <v>OK</v>
      </c>
      <c r="AB1897" s="240" t="str">
        <f t="shared" si="237"/>
        <v>OK</v>
      </c>
      <c r="AC1897" s="240" t="str" cm="1">
        <f t="array" ref="AC1897">IF(AND(F1897:H1897&lt;&gt;"",I1897=""),"ERROR","OK")</f>
        <v>OK</v>
      </c>
      <c r="AD1897" s="240" t="str">
        <f t="shared" si="238"/>
        <v>OK</v>
      </c>
      <c r="AE1897" s="240" t="str">
        <f t="shared" si="239"/>
        <v>OK</v>
      </c>
      <c r="AF1897" s="240" t="str" cm="1">
        <f t="array" aca="1" ref="AF1897" ca="1" xml:space="preserve">
IF(AND($G1897&lt;&gt;"",$F1897=""),"ERROR",
IF(OR($F1897:$G1897="",AND($G1897="",$F1897&lt;&gt;"")),"OK",
IF(COUNTIF(INDIRECT(IFERROR(LEFT($F1897,FIND(" ",$F1897)-1),$F1897)), $G1897)&gt;0, "OK", "ERROR")))</f>
        <v>OK</v>
      </c>
    </row>
    <row r="1898" spans="1:32" s="240" customFormat="1">
      <c r="A1898" s="48"/>
      <c r="B1898" s="31"/>
      <c r="C1898" s="48"/>
      <c r="D1898" s="47"/>
      <c r="E1898" s="47"/>
      <c r="F1898" s="31"/>
      <c r="G1898" s="31"/>
      <c r="H1898" s="31"/>
      <c r="I1898" s="47"/>
      <c r="J1898" s="31"/>
      <c r="K1898" s="47"/>
      <c r="L1898" s="47"/>
      <c r="M1898" s="47"/>
      <c r="N1898" s="31"/>
      <c r="O1898" s="47"/>
      <c r="P1898" s="31"/>
      <c r="Q1898" s="31"/>
      <c r="R1898" s="31"/>
      <c r="S1898" s="31"/>
      <c r="T1898" s="270">
        <f t="shared" si="232"/>
        <v>0</v>
      </c>
      <c r="U1898" s="270">
        <f t="shared" si="233"/>
        <v>0</v>
      </c>
      <c r="V1898" s="31"/>
      <c r="X1898" s="240" t="str">
        <f t="shared" si="234"/>
        <v>OK</v>
      </c>
      <c r="Y1898" s="240" t="str">
        <f t="shared" si="235"/>
        <v>OK</v>
      </c>
      <c r="Z1898" s="240" t="str">
        <f t="shared" si="236"/>
        <v>OK</v>
      </c>
      <c r="AA1898" s="240" t="str" cm="1">
        <f t="array" ref="AA1898">IF(OR(AND(J1898="Not accepted",N1898:O1898&lt;&gt;"",$S1898=""),AND(J1898="Accepted",S1898="")),"ERROR","OK")</f>
        <v>OK</v>
      </c>
      <c r="AB1898" s="240" t="str">
        <f t="shared" si="237"/>
        <v>OK</v>
      </c>
      <c r="AC1898" s="240" t="str" cm="1">
        <f t="array" ref="AC1898">IF(AND(F1898:H1898&lt;&gt;"",I1898=""),"ERROR","OK")</f>
        <v>OK</v>
      </c>
      <c r="AD1898" s="240" t="str">
        <f t="shared" si="238"/>
        <v>OK</v>
      </c>
      <c r="AE1898" s="240" t="str">
        <f t="shared" si="239"/>
        <v>OK</v>
      </c>
      <c r="AF1898" s="240" t="str" cm="1">
        <f t="array" aca="1" ref="AF1898" ca="1" xml:space="preserve">
IF(AND($G1898&lt;&gt;"",$F1898=""),"ERROR",
IF(OR($F1898:$G1898="",AND($G1898="",$F1898&lt;&gt;"")),"OK",
IF(COUNTIF(INDIRECT(IFERROR(LEFT($F1898,FIND(" ",$F1898)-1),$F1898)), $G1898)&gt;0, "OK", "ERROR")))</f>
        <v>OK</v>
      </c>
    </row>
    <row r="1899" spans="1:32" s="240" customFormat="1">
      <c r="A1899" s="48"/>
      <c r="B1899" s="31"/>
      <c r="C1899" s="48"/>
      <c r="D1899" s="47"/>
      <c r="E1899" s="47"/>
      <c r="F1899" s="31"/>
      <c r="G1899" s="31"/>
      <c r="H1899" s="31"/>
      <c r="I1899" s="47"/>
      <c r="J1899" s="31"/>
      <c r="K1899" s="47"/>
      <c r="L1899" s="47"/>
      <c r="M1899" s="47"/>
      <c r="N1899" s="31"/>
      <c r="O1899" s="47"/>
      <c r="P1899" s="31"/>
      <c r="Q1899" s="31"/>
      <c r="R1899" s="31"/>
      <c r="S1899" s="31"/>
      <c r="T1899" s="270">
        <f t="shared" si="232"/>
        <v>0</v>
      </c>
      <c r="U1899" s="270">
        <f t="shared" si="233"/>
        <v>0</v>
      </c>
      <c r="V1899" s="31"/>
      <c r="X1899" s="240" t="str">
        <f t="shared" si="234"/>
        <v>OK</v>
      </c>
      <c r="Y1899" s="240" t="str">
        <f t="shared" si="235"/>
        <v>OK</v>
      </c>
      <c r="Z1899" s="240" t="str">
        <f t="shared" si="236"/>
        <v>OK</v>
      </c>
      <c r="AA1899" s="240" t="str" cm="1">
        <f t="array" ref="AA1899">IF(OR(AND(J1899="Not accepted",N1899:O1899&lt;&gt;"",$S1899=""),AND(J1899="Accepted",S1899="")),"ERROR","OK")</f>
        <v>OK</v>
      </c>
      <c r="AB1899" s="240" t="str">
        <f t="shared" si="237"/>
        <v>OK</v>
      </c>
      <c r="AC1899" s="240" t="str" cm="1">
        <f t="array" ref="AC1899">IF(AND(F1899:H1899&lt;&gt;"",I1899=""),"ERROR","OK")</f>
        <v>OK</v>
      </c>
      <c r="AD1899" s="240" t="str">
        <f t="shared" si="238"/>
        <v>OK</v>
      </c>
      <c r="AE1899" s="240" t="str">
        <f t="shared" si="239"/>
        <v>OK</v>
      </c>
      <c r="AF1899" s="240" t="str" cm="1">
        <f t="array" aca="1" ref="AF1899" ca="1" xml:space="preserve">
IF(AND($G1899&lt;&gt;"",$F1899=""),"ERROR",
IF(OR($F1899:$G1899="",AND($G1899="",$F1899&lt;&gt;"")),"OK",
IF(COUNTIF(INDIRECT(IFERROR(LEFT($F1899,FIND(" ",$F1899)-1),$F1899)), $G1899)&gt;0, "OK", "ERROR")))</f>
        <v>OK</v>
      </c>
    </row>
    <row r="1900" spans="1:32" s="240" customFormat="1">
      <c r="A1900" s="48"/>
      <c r="B1900" s="31"/>
      <c r="C1900" s="48"/>
      <c r="D1900" s="47"/>
      <c r="E1900" s="47"/>
      <c r="F1900" s="31"/>
      <c r="G1900" s="31"/>
      <c r="H1900" s="31"/>
      <c r="I1900" s="47"/>
      <c r="J1900" s="31"/>
      <c r="K1900" s="47"/>
      <c r="L1900" s="47"/>
      <c r="M1900" s="47"/>
      <c r="N1900" s="31"/>
      <c r="O1900" s="47"/>
      <c r="P1900" s="31"/>
      <c r="Q1900" s="31"/>
      <c r="R1900" s="31"/>
      <c r="S1900" s="31"/>
      <c r="T1900" s="270">
        <f t="shared" si="232"/>
        <v>0</v>
      </c>
      <c r="U1900" s="270">
        <f t="shared" si="233"/>
        <v>0</v>
      </c>
      <c r="V1900" s="31"/>
      <c r="X1900" s="240" t="str">
        <f t="shared" si="234"/>
        <v>OK</v>
      </c>
      <c r="Y1900" s="240" t="str">
        <f t="shared" si="235"/>
        <v>OK</v>
      </c>
      <c r="Z1900" s="240" t="str">
        <f t="shared" si="236"/>
        <v>OK</v>
      </c>
      <c r="AA1900" s="240" t="str" cm="1">
        <f t="array" ref="AA1900">IF(OR(AND(J1900="Not accepted",N1900:O1900&lt;&gt;"",$S1900=""),AND(J1900="Accepted",S1900="")),"ERROR","OK")</f>
        <v>OK</v>
      </c>
      <c r="AB1900" s="240" t="str">
        <f t="shared" si="237"/>
        <v>OK</v>
      </c>
      <c r="AC1900" s="240" t="str" cm="1">
        <f t="array" ref="AC1900">IF(AND(F1900:H1900&lt;&gt;"",I1900=""),"ERROR","OK")</f>
        <v>OK</v>
      </c>
      <c r="AD1900" s="240" t="str">
        <f t="shared" si="238"/>
        <v>OK</v>
      </c>
      <c r="AE1900" s="240" t="str">
        <f t="shared" si="239"/>
        <v>OK</v>
      </c>
      <c r="AF1900" s="240" t="str" cm="1">
        <f t="array" aca="1" ref="AF1900" ca="1" xml:space="preserve">
IF(AND($G1900&lt;&gt;"",$F1900=""),"ERROR",
IF(OR($F1900:$G1900="",AND($G1900="",$F1900&lt;&gt;"")),"OK",
IF(COUNTIF(INDIRECT(IFERROR(LEFT($F1900,FIND(" ",$F1900)-1),$F1900)), $G1900)&gt;0, "OK", "ERROR")))</f>
        <v>OK</v>
      </c>
    </row>
    <row r="1901" spans="1:32" s="240" customFormat="1">
      <c r="A1901" s="48"/>
      <c r="B1901" s="31"/>
      <c r="C1901" s="48"/>
      <c r="D1901" s="47"/>
      <c r="E1901" s="47"/>
      <c r="F1901" s="31"/>
      <c r="G1901" s="31"/>
      <c r="H1901" s="31"/>
      <c r="I1901" s="47"/>
      <c r="J1901" s="31"/>
      <c r="K1901" s="47"/>
      <c r="L1901" s="47"/>
      <c r="M1901" s="47"/>
      <c r="N1901" s="31"/>
      <c r="O1901" s="47"/>
      <c r="P1901" s="31"/>
      <c r="Q1901" s="31"/>
      <c r="R1901" s="31"/>
      <c r="S1901" s="31"/>
      <c r="T1901" s="270">
        <f t="shared" si="232"/>
        <v>0</v>
      </c>
      <c r="U1901" s="270">
        <f t="shared" si="233"/>
        <v>0</v>
      </c>
      <c r="V1901" s="31"/>
      <c r="X1901" s="240" t="str">
        <f t="shared" si="234"/>
        <v>OK</v>
      </c>
      <c r="Y1901" s="240" t="str">
        <f t="shared" si="235"/>
        <v>OK</v>
      </c>
      <c r="Z1901" s="240" t="str">
        <f t="shared" si="236"/>
        <v>OK</v>
      </c>
      <c r="AA1901" s="240" t="str" cm="1">
        <f t="array" ref="AA1901">IF(OR(AND(J1901="Not accepted",N1901:O1901&lt;&gt;"",$S1901=""),AND(J1901="Accepted",S1901="")),"ERROR","OK")</f>
        <v>OK</v>
      </c>
      <c r="AB1901" s="240" t="str">
        <f t="shared" si="237"/>
        <v>OK</v>
      </c>
      <c r="AC1901" s="240" t="str" cm="1">
        <f t="array" ref="AC1901">IF(AND(F1901:H1901&lt;&gt;"",I1901=""),"ERROR","OK")</f>
        <v>OK</v>
      </c>
      <c r="AD1901" s="240" t="str">
        <f t="shared" si="238"/>
        <v>OK</v>
      </c>
      <c r="AE1901" s="240" t="str">
        <f t="shared" si="239"/>
        <v>OK</v>
      </c>
      <c r="AF1901" s="240" t="str" cm="1">
        <f t="array" aca="1" ref="AF1901" ca="1" xml:space="preserve">
IF(AND($G1901&lt;&gt;"",$F1901=""),"ERROR",
IF(OR($F1901:$G1901="",AND($G1901="",$F1901&lt;&gt;"")),"OK",
IF(COUNTIF(INDIRECT(IFERROR(LEFT($F1901,FIND(" ",$F1901)-1),$F1901)), $G1901)&gt;0, "OK", "ERROR")))</f>
        <v>OK</v>
      </c>
    </row>
    <row r="1902" spans="1:32" s="240" customFormat="1">
      <c r="A1902" s="48"/>
      <c r="B1902" s="31"/>
      <c r="C1902" s="48"/>
      <c r="D1902" s="47"/>
      <c r="E1902" s="47"/>
      <c r="F1902" s="31"/>
      <c r="G1902" s="31"/>
      <c r="H1902" s="31"/>
      <c r="I1902" s="47"/>
      <c r="J1902" s="31"/>
      <c r="K1902" s="47"/>
      <c r="L1902" s="47"/>
      <c r="M1902" s="47"/>
      <c r="N1902" s="31"/>
      <c r="O1902" s="47"/>
      <c r="P1902" s="31"/>
      <c r="Q1902" s="31"/>
      <c r="R1902" s="31"/>
      <c r="S1902" s="31"/>
      <c r="T1902" s="270">
        <f t="shared" si="232"/>
        <v>0</v>
      </c>
      <c r="U1902" s="270">
        <f t="shared" si="233"/>
        <v>0</v>
      </c>
      <c r="V1902" s="31"/>
      <c r="X1902" s="240" t="str">
        <f t="shared" si="234"/>
        <v>OK</v>
      </c>
      <c r="Y1902" s="240" t="str">
        <f t="shared" si="235"/>
        <v>OK</v>
      </c>
      <c r="Z1902" s="240" t="str">
        <f t="shared" si="236"/>
        <v>OK</v>
      </c>
      <c r="AA1902" s="240" t="str" cm="1">
        <f t="array" ref="AA1902">IF(OR(AND(J1902="Not accepted",N1902:O1902&lt;&gt;"",$S1902=""),AND(J1902="Accepted",S1902="")),"ERROR","OK")</f>
        <v>OK</v>
      </c>
      <c r="AB1902" s="240" t="str">
        <f t="shared" si="237"/>
        <v>OK</v>
      </c>
      <c r="AC1902" s="240" t="str" cm="1">
        <f t="array" ref="AC1902">IF(AND(F1902:H1902&lt;&gt;"",I1902=""),"ERROR","OK")</f>
        <v>OK</v>
      </c>
      <c r="AD1902" s="240" t="str">
        <f t="shared" si="238"/>
        <v>OK</v>
      </c>
      <c r="AE1902" s="240" t="str">
        <f t="shared" si="239"/>
        <v>OK</v>
      </c>
      <c r="AF1902" s="240" t="str" cm="1">
        <f t="array" aca="1" ref="AF1902" ca="1" xml:space="preserve">
IF(AND($G1902&lt;&gt;"",$F1902=""),"ERROR",
IF(OR($F1902:$G1902="",AND($G1902="",$F1902&lt;&gt;"")),"OK",
IF(COUNTIF(INDIRECT(IFERROR(LEFT($F1902,FIND(" ",$F1902)-1),$F1902)), $G1902)&gt;0, "OK", "ERROR")))</f>
        <v>OK</v>
      </c>
    </row>
    <row r="1903" spans="1:32" s="240" customFormat="1">
      <c r="A1903" s="48"/>
      <c r="B1903" s="31"/>
      <c r="C1903" s="48"/>
      <c r="D1903" s="47"/>
      <c r="E1903" s="47"/>
      <c r="F1903" s="31"/>
      <c r="G1903" s="31"/>
      <c r="H1903" s="31"/>
      <c r="I1903" s="47"/>
      <c r="J1903" s="31"/>
      <c r="K1903" s="47"/>
      <c r="L1903" s="47"/>
      <c r="M1903" s="47"/>
      <c r="N1903" s="31"/>
      <c r="O1903" s="47"/>
      <c r="P1903" s="31"/>
      <c r="Q1903" s="31"/>
      <c r="R1903" s="31"/>
      <c r="S1903" s="31"/>
      <c r="T1903" s="270">
        <f t="shared" si="232"/>
        <v>0</v>
      </c>
      <c r="U1903" s="270">
        <f t="shared" si="233"/>
        <v>0</v>
      </c>
      <c r="V1903" s="31"/>
      <c r="X1903" s="240" t="str">
        <f t="shared" si="234"/>
        <v>OK</v>
      </c>
      <c r="Y1903" s="240" t="str">
        <f t="shared" si="235"/>
        <v>OK</v>
      </c>
      <c r="Z1903" s="240" t="str">
        <f t="shared" si="236"/>
        <v>OK</v>
      </c>
      <c r="AA1903" s="240" t="str" cm="1">
        <f t="array" ref="AA1903">IF(OR(AND(J1903="Not accepted",N1903:O1903&lt;&gt;"",$S1903=""),AND(J1903="Accepted",S1903="")),"ERROR","OK")</f>
        <v>OK</v>
      </c>
      <c r="AB1903" s="240" t="str">
        <f t="shared" si="237"/>
        <v>OK</v>
      </c>
      <c r="AC1903" s="240" t="str" cm="1">
        <f t="array" ref="AC1903">IF(AND(F1903:H1903&lt;&gt;"",I1903=""),"ERROR","OK")</f>
        <v>OK</v>
      </c>
      <c r="AD1903" s="240" t="str">
        <f t="shared" si="238"/>
        <v>OK</v>
      </c>
      <c r="AE1903" s="240" t="str">
        <f t="shared" si="239"/>
        <v>OK</v>
      </c>
      <c r="AF1903" s="240" t="str" cm="1">
        <f t="array" aca="1" ref="AF1903" ca="1" xml:space="preserve">
IF(AND($G1903&lt;&gt;"",$F1903=""),"ERROR",
IF(OR($F1903:$G1903="",AND($G1903="",$F1903&lt;&gt;"")),"OK",
IF(COUNTIF(INDIRECT(IFERROR(LEFT($F1903,FIND(" ",$F1903)-1),$F1903)), $G1903)&gt;0, "OK", "ERROR")))</f>
        <v>OK</v>
      </c>
    </row>
    <row r="1904" spans="1:32" s="240" customFormat="1">
      <c r="A1904" s="48"/>
      <c r="B1904" s="31"/>
      <c r="C1904" s="48"/>
      <c r="D1904" s="47"/>
      <c r="E1904" s="47"/>
      <c r="F1904" s="31"/>
      <c r="G1904" s="31"/>
      <c r="H1904" s="31"/>
      <c r="I1904" s="47"/>
      <c r="J1904" s="31"/>
      <c r="K1904" s="47"/>
      <c r="L1904" s="47"/>
      <c r="M1904" s="47"/>
      <c r="N1904" s="31"/>
      <c r="O1904" s="47"/>
      <c r="P1904" s="31"/>
      <c r="Q1904" s="31"/>
      <c r="R1904" s="31"/>
      <c r="S1904" s="31"/>
      <c r="T1904" s="270">
        <f t="shared" si="232"/>
        <v>0</v>
      </c>
      <c r="U1904" s="270">
        <f t="shared" si="233"/>
        <v>0</v>
      </c>
      <c r="V1904" s="31"/>
      <c r="X1904" s="240" t="str">
        <f t="shared" si="234"/>
        <v>OK</v>
      </c>
      <c r="Y1904" s="240" t="str">
        <f t="shared" si="235"/>
        <v>OK</v>
      </c>
      <c r="Z1904" s="240" t="str">
        <f t="shared" si="236"/>
        <v>OK</v>
      </c>
      <c r="AA1904" s="240" t="str" cm="1">
        <f t="array" ref="AA1904">IF(OR(AND(J1904="Not accepted",N1904:O1904&lt;&gt;"",$S1904=""),AND(J1904="Accepted",S1904="")),"ERROR","OK")</f>
        <v>OK</v>
      </c>
      <c r="AB1904" s="240" t="str">
        <f t="shared" si="237"/>
        <v>OK</v>
      </c>
      <c r="AC1904" s="240" t="str" cm="1">
        <f t="array" ref="AC1904">IF(AND(F1904:H1904&lt;&gt;"",I1904=""),"ERROR","OK")</f>
        <v>OK</v>
      </c>
      <c r="AD1904" s="240" t="str">
        <f t="shared" si="238"/>
        <v>OK</v>
      </c>
      <c r="AE1904" s="240" t="str">
        <f t="shared" si="239"/>
        <v>OK</v>
      </c>
      <c r="AF1904" s="240" t="str" cm="1">
        <f t="array" aca="1" ref="AF1904" ca="1" xml:space="preserve">
IF(AND($G1904&lt;&gt;"",$F1904=""),"ERROR",
IF(OR($F1904:$G1904="",AND($G1904="",$F1904&lt;&gt;"")),"OK",
IF(COUNTIF(INDIRECT(IFERROR(LEFT($F1904,FIND(" ",$F1904)-1),$F1904)), $G1904)&gt;0, "OK", "ERROR")))</f>
        <v>OK</v>
      </c>
    </row>
    <row r="1905" spans="1:32" s="240" customFormat="1">
      <c r="A1905" s="48"/>
      <c r="B1905" s="31"/>
      <c r="C1905" s="48"/>
      <c r="D1905" s="47"/>
      <c r="E1905" s="47"/>
      <c r="F1905" s="31"/>
      <c r="G1905" s="31"/>
      <c r="H1905" s="31"/>
      <c r="I1905" s="47"/>
      <c r="J1905" s="31"/>
      <c r="K1905" s="47"/>
      <c r="L1905" s="47"/>
      <c r="M1905" s="47"/>
      <c r="N1905" s="31"/>
      <c r="O1905" s="47"/>
      <c r="P1905" s="31"/>
      <c r="Q1905" s="31"/>
      <c r="R1905" s="31"/>
      <c r="S1905" s="31"/>
      <c r="T1905" s="270">
        <f t="shared" si="232"/>
        <v>0</v>
      </c>
      <c r="U1905" s="270">
        <f t="shared" si="233"/>
        <v>0</v>
      </c>
      <c r="V1905" s="31"/>
      <c r="X1905" s="240" t="str">
        <f t="shared" si="234"/>
        <v>OK</v>
      </c>
      <c r="Y1905" s="240" t="str">
        <f t="shared" si="235"/>
        <v>OK</v>
      </c>
      <c r="Z1905" s="240" t="str">
        <f t="shared" si="236"/>
        <v>OK</v>
      </c>
      <c r="AA1905" s="240" t="str" cm="1">
        <f t="array" ref="AA1905">IF(OR(AND(J1905="Not accepted",N1905:O1905&lt;&gt;"",$S1905=""),AND(J1905="Accepted",S1905="")),"ERROR","OK")</f>
        <v>OK</v>
      </c>
      <c r="AB1905" s="240" t="str">
        <f t="shared" si="237"/>
        <v>OK</v>
      </c>
      <c r="AC1905" s="240" t="str" cm="1">
        <f t="array" ref="AC1905">IF(AND(F1905:H1905&lt;&gt;"",I1905=""),"ERROR","OK")</f>
        <v>OK</v>
      </c>
      <c r="AD1905" s="240" t="str">
        <f t="shared" si="238"/>
        <v>OK</v>
      </c>
      <c r="AE1905" s="240" t="str">
        <f t="shared" si="239"/>
        <v>OK</v>
      </c>
      <c r="AF1905" s="240" t="str" cm="1">
        <f t="array" aca="1" ref="AF1905" ca="1" xml:space="preserve">
IF(AND($G1905&lt;&gt;"",$F1905=""),"ERROR",
IF(OR($F1905:$G1905="",AND($G1905="",$F1905&lt;&gt;"")),"OK",
IF(COUNTIF(INDIRECT(IFERROR(LEFT($F1905,FIND(" ",$F1905)-1),$F1905)), $G1905)&gt;0, "OK", "ERROR")))</f>
        <v>OK</v>
      </c>
    </row>
    <row r="1906" spans="1:32" s="240" customFormat="1">
      <c r="A1906" s="48"/>
      <c r="B1906" s="31"/>
      <c r="C1906" s="48"/>
      <c r="D1906" s="47"/>
      <c r="E1906" s="47"/>
      <c r="F1906" s="31"/>
      <c r="G1906" s="31"/>
      <c r="H1906" s="31"/>
      <c r="I1906" s="47"/>
      <c r="J1906" s="31"/>
      <c r="K1906" s="47"/>
      <c r="L1906" s="47"/>
      <c r="M1906" s="47"/>
      <c r="N1906" s="31"/>
      <c r="O1906" s="47"/>
      <c r="P1906" s="31"/>
      <c r="Q1906" s="31"/>
      <c r="R1906" s="31"/>
      <c r="S1906" s="31"/>
      <c r="T1906" s="270">
        <f t="shared" si="232"/>
        <v>0</v>
      </c>
      <c r="U1906" s="270">
        <f t="shared" si="233"/>
        <v>0</v>
      </c>
      <c r="V1906" s="31"/>
      <c r="X1906" s="240" t="str">
        <f t="shared" si="234"/>
        <v>OK</v>
      </c>
      <c r="Y1906" s="240" t="str">
        <f t="shared" si="235"/>
        <v>OK</v>
      </c>
      <c r="Z1906" s="240" t="str">
        <f t="shared" si="236"/>
        <v>OK</v>
      </c>
      <c r="AA1906" s="240" t="str" cm="1">
        <f t="array" ref="AA1906">IF(OR(AND(J1906="Not accepted",N1906:O1906&lt;&gt;"",$S1906=""),AND(J1906="Accepted",S1906="")),"ERROR","OK")</f>
        <v>OK</v>
      </c>
      <c r="AB1906" s="240" t="str">
        <f t="shared" si="237"/>
        <v>OK</v>
      </c>
      <c r="AC1906" s="240" t="str" cm="1">
        <f t="array" ref="AC1906">IF(AND(F1906:H1906&lt;&gt;"",I1906=""),"ERROR","OK")</f>
        <v>OK</v>
      </c>
      <c r="AD1906" s="240" t="str">
        <f t="shared" si="238"/>
        <v>OK</v>
      </c>
      <c r="AE1906" s="240" t="str">
        <f t="shared" si="239"/>
        <v>OK</v>
      </c>
      <c r="AF1906" s="240" t="str" cm="1">
        <f t="array" aca="1" ref="AF1906" ca="1" xml:space="preserve">
IF(AND($G1906&lt;&gt;"",$F1906=""),"ERROR",
IF(OR($F1906:$G1906="",AND($G1906="",$F1906&lt;&gt;"")),"OK",
IF(COUNTIF(INDIRECT(IFERROR(LEFT($F1906,FIND(" ",$F1906)-1),$F1906)), $G1906)&gt;0, "OK", "ERROR")))</f>
        <v>OK</v>
      </c>
    </row>
    <row r="1907" spans="1:32" s="240" customFormat="1">
      <c r="A1907" s="48"/>
      <c r="B1907" s="31"/>
      <c r="C1907" s="48"/>
      <c r="D1907" s="47"/>
      <c r="E1907" s="47"/>
      <c r="F1907" s="31"/>
      <c r="G1907" s="31"/>
      <c r="H1907" s="31"/>
      <c r="I1907" s="47"/>
      <c r="J1907" s="31"/>
      <c r="K1907" s="47"/>
      <c r="L1907" s="47"/>
      <c r="M1907" s="47"/>
      <c r="N1907" s="31"/>
      <c r="O1907" s="47"/>
      <c r="P1907" s="31"/>
      <c r="Q1907" s="31"/>
      <c r="R1907" s="31"/>
      <c r="S1907" s="31"/>
      <c r="T1907" s="270">
        <f t="shared" si="232"/>
        <v>0</v>
      </c>
      <c r="U1907" s="270">
        <f t="shared" si="233"/>
        <v>0</v>
      </c>
      <c r="V1907" s="31"/>
      <c r="X1907" s="240" t="str">
        <f t="shared" si="234"/>
        <v>OK</v>
      </c>
      <c r="Y1907" s="240" t="str">
        <f t="shared" si="235"/>
        <v>OK</v>
      </c>
      <c r="Z1907" s="240" t="str">
        <f t="shared" si="236"/>
        <v>OK</v>
      </c>
      <c r="AA1907" s="240" t="str" cm="1">
        <f t="array" ref="AA1907">IF(OR(AND(J1907="Not accepted",N1907:O1907&lt;&gt;"",$S1907=""),AND(J1907="Accepted",S1907="")),"ERROR","OK")</f>
        <v>OK</v>
      </c>
      <c r="AB1907" s="240" t="str">
        <f t="shared" si="237"/>
        <v>OK</v>
      </c>
      <c r="AC1907" s="240" t="str" cm="1">
        <f t="array" ref="AC1907">IF(AND(F1907:H1907&lt;&gt;"",I1907=""),"ERROR","OK")</f>
        <v>OK</v>
      </c>
      <c r="AD1907" s="240" t="str">
        <f t="shared" si="238"/>
        <v>OK</v>
      </c>
      <c r="AE1907" s="240" t="str">
        <f t="shared" si="239"/>
        <v>OK</v>
      </c>
      <c r="AF1907" s="240" t="str" cm="1">
        <f t="array" aca="1" ref="AF1907" ca="1" xml:space="preserve">
IF(AND($G1907&lt;&gt;"",$F1907=""),"ERROR",
IF(OR($F1907:$G1907="",AND($G1907="",$F1907&lt;&gt;"")),"OK",
IF(COUNTIF(INDIRECT(IFERROR(LEFT($F1907,FIND(" ",$F1907)-1),$F1907)), $G1907)&gt;0, "OK", "ERROR")))</f>
        <v>OK</v>
      </c>
    </row>
    <row r="1908" spans="1:32" s="240" customFormat="1">
      <c r="A1908" s="48"/>
      <c r="B1908" s="31"/>
      <c r="C1908" s="48"/>
      <c r="D1908" s="47"/>
      <c r="E1908" s="47"/>
      <c r="F1908" s="31"/>
      <c r="G1908" s="31"/>
      <c r="H1908" s="31"/>
      <c r="I1908" s="47"/>
      <c r="J1908" s="31"/>
      <c r="K1908" s="47"/>
      <c r="L1908" s="47"/>
      <c r="M1908" s="47"/>
      <c r="N1908" s="31"/>
      <c r="O1908" s="47"/>
      <c r="P1908" s="31"/>
      <c r="Q1908" s="31"/>
      <c r="R1908" s="31"/>
      <c r="S1908" s="31"/>
      <c r="T1908" s="270">
        <f t="shared" si="232"/>
        <v>0</v>
      </c>
      <c r="U1908" s="270">
        <f t="shared" si="233"/>
        <v>0</v>
      </c>
      <c r="V1908" s="31"/>
      <c r="X1908" s="240" t="str">
        <f t="shared" si="234"/>
        <v>OK</v>
      </c>
      <c r="Y1908" s="240" t="str">
        <f t="shared" si="235"/>
        <v>OK</v>
      </c>
      <c r="Z1908" s="240" t="str">
        <f t="shared" si="236"/>
        <v>OK</v>
      </c>
      <c r="AA1908" s="240" t="str" cm="1">
        <f t="array" ref="AA1908">IF(OR(AND(J1908="Not accepted",N1908:O1908&lt;&gt;"",$S1908=""),AND(J1908="Accepted",S1908="")),"ERROR","OK")</f>
        <v>OK</v>
      </c>
      <c r="AB1908" s="240" t="str">
        <f t="shared" si="237"/>
        <v>OK</v>
      </c>
      <c r="AC1908" s="240" t="str" cm="1">
        <f t="array" ref="AC1908">IF(AND(F1908:H1908&lt;&gt;"",I1908=""),"ERROR","OK")</f>
        <v>OK</v>
      </c>
      <c r="AD1908" s="240" t="str">
        <f t="shared" si="238"/>
        <v>OK</v>
      </c>
      <c r="AE1908" s="240" t="str">
        <f t="shared" si="239"/>
        <v>OK</v>
      </c>
      <c r="AF1908" s="240" t="str" cm="1">
        <f t="array" aca="1" ref="AF1908" ca="1" xml:space="preserve">
IF(AND($G1908&lt;&gt;"",$F1908=""),"ERROR",
IF(OR($F1908:$G1908="",AND($G1908="",$F1908&lt;&gt;"")),"OK",
IF(COUNTIF(INDIRECT(IFERROR(LEFT($F1908,FIND(" ",$F1908)-1),$F1908)), $G1908)&gt;0, "OK", "ERROR")))</f>
        <v>OK</v>
      </c>
    </row>
    <row r="1909" spans="1:32" s="240" customFormat="1">
      <c r="A1909" s="48"/>
      <c r="B1909" s="31"/>
      <c r="C1909" s="48"/>
      <c r="D1909" s="47"/>
      <c r="E1909" s="47"/>
      <c r="F1909" s="31"/>
      <c r="G1909" s="31"/>
      <c r="H1909" s="31"/>
      <c r="I1909" s="47"/>
      <c r="J1909" s="31"/>
      <c r="K1909" s="47"/>
      <c r="L1909" s="47"/>
      <c r="M1909" s="47"/>
      <c r="N1909" s="31"/>
      <c r="O1909" s="47"/>
      <c r="P1909" s="31"/>
      <c r="Q1909" s="31"/>
      <c r="R1909" s="31"/>
      <c r="S1909" s="31"/>
      <c r="T1909" s="270">
        <f t="shared" si="232"/>
        <v>0</v>
      </c>
      <c r="U1909" s="270">
        <f t="shared" si="233"/>
        <v>0</v>
      </c>
      <c r="V1909" s="31"/>
      <c r="X1909" s="240" t="str">
        <f t="shared" si="234"/>
        <v>OK</v>
      </c>
      <c r="Y1909" s="240" t="str">
        <f t="shared" si="235"/>
        <v>OK</v>
      </c>
      <c r="Z1909" s="240" t="str">
        <f t="shared" si="236"/>
        <v>OK</v>
      </c>
      <c r="AA1909" s="240" t="str" cm="1">
        <f t="array" ref="AA1909">IF(OR(AND(J1909="Not accepted",N1909:O1909&lt;&gt;"",$S1909=""),AND(J1909="Accepted",S1909="")),"ERROR","OK")</f>
        <v>OK</v>
      </c>
      <c r="AB1909" s="240" t="str">
        <f t="shared" si="237"/>
        <v>OK</v>
      </c>
      <c r="AC1909" s="240" t="str" cm="1">
        <f t="array" ref="AC1909">IF(AND(F1909:H1909&lt;&gt;"",I1909=""),"ERROR","OK")</f>
        <v>OK</v>
      </c>
      <c r="AD1909" s="240" t="str">
        <f t="shared" si="238"/>
        <v>OK</v>
      </c>
      <c r="AE1909" s="240" t="str">
        <f t="shared" si="239"/>
        <v>OK</v>
      </c>
      <c r="AF1909" s="240" t="str" cm="1">
        <f t="array" aca="1" ref="AF1909" ca="1" xml:space="preserve">
IF(AND($G1909&lt;&gt;"",$F1909=""),"ERROR",
IF(OR($F1909:$G1909="",AND($G1909="",$F1909&lt;&gt;"")),"OK",
IF(COUNTIF(INDIRECT(IFERROR(LEFT($F1909,FIND(" ",$F1909)-1),$F1909)), $G1909)&gt;0, "OK", "ERROR")))</f>
        <v>OK</v>
      </c>
    </row>
    <row r="1910" spans="1:32" s="240" customFormat="1">
      <c r="A1910" s="48"/>
      <c r="B1910" s="31"/>
      <c r="C1910" s="48"/>
      <c r="D1910" s="47"/>
      <c r="E1910" s="47"/>
      <c r="F1910" s="31"/>
      <c r="G1910" s="31"/>
      <c r="H1910" s="31"/>
      <c r="I1910" s="47"/>
      <c r="J1910" s="31"/>
      <c r="K1910" s="47"/>
      <c r="L1910" s="47"/>
      <c r="M1910" s="47"/>
      <c r="N1910" s="31"/>
      <c r="O1910" s="47"/>
      <c r="P1910" s="31"/>
      <c r="Q1910" s="31"/>
      <c r="R1910" s="31"/>
      <c r="S1910" s="31"/>
      <c r="T1910" s="270">
        <f t="shared" si="232"/>
        <v>0</v>
      </c>
      <c r="U1910" s="270">
        <f t="shared" si="233"/>
        <v>0</v>
      </c>
      <c r="V1910" s="31"/>
      <c r="X1910" s="240" t="str">
        <f t="shared" si="234"/>
        <v>OK</v>
      </c>
      <c r="Y1910" s="240" t="str">
        <f t="shared" si="235"/>
        <v>OK</v>
      </c>
      <c r="Z1910" s="240" t="str">
        <f t="shared" si="236"/>
        <v>OK</v>
      </c>
      <c r="AA1910" s="240" t="str" cm="1">
        <f t="array" ref="AA1910">IF(OR(AND(J1910="Not accepted",N1910:O1910&lt;&gt;"",$S1910=""),AND(J1910="Accepted",S1910="")),"ERROR","OK")</f>
        <v>OK</v>
      </c>
      <c r="AB1910" s="240" t="str">
        <f t="shared" si="237"/>
        <v>OK</v>
      </c>
      <c r="AC1910" s="240" t="str" cm="1">
        <f t="array" ref="AC1910">IF(AND(F1910:H1910&lt;&gt;"",I1910=""),"ERROR","OK")</f>
        <v>OK</v>
      </c>
      <c r="AD1910" s="240" t="str">
        <f t="shared" si="238"/>
        <v>OK</v>
      </c>
      <c r="AE1910" s="240" t="str">
        <f t="shared" si="239"/>
        <v>OK</v>
      </c>
      <c r="AF1910" s="240" t="str" cm="1">
        <f t="array" aca="1" ref="AF1910" ca="1" xml:space="preserve">
IF(AND($G1910&lt;&gt;"",$F1910=""),"ERROR",
IF(OR($F1910:$G1910="",AND($G1910="",$F1910&lt;&gt;"")),"OK",
IF(COUNTIF(INDIRECT(IFERROR(LEFT($F1910,FIND(" ",$F1910)-1),$F1910)), $G1910)&gt;0, "OK", "ERROR")))</f>
        <v>OK</v>
      </c>
    </row>
    <row r="1911" spans="1:32" s="240" customFormat="1">
      <c r="A1911" s="48"/>
      <c r="B1911" s="31"/>
      <c r="C1911" s="48"/>
      <c r="D1911" s="47"/>
      <c r="E1911" s="47"/>
      <c r="F1911" s="31"/>
      <c r="G1911" s="31"/>
      <c r="H1911" s="31"/>
      <c r="I1911" s="47"/>
      <c r="J1911" s="31"/>
      <c r="K1911" s="47"/>
      <c r="L1911" s="47"/>
      <c r="M1911" s="47"/>
      <c r="N1911" s="31"/>
      <c r="O1911" s="47"/>
      <c r="P1911" s="31"/>
      <c r="Q1911" s="31"/>
      <c r="R1911" s="31"/>
      <c r="S1911" s="31"/>
      <c r="T1911" s="270">
        <f t="shared" si="232"/>
        <v>0</v>
      </c>
      <c r="U1911" s="270">
        <f t="shared" si="233"/>
        <v>0</v>
      </c>
      <c r="V1911" s="31"/>
      <c r="X1911" s="240" t="str">
        <f t="shared" si="234"/>
        <v>OK</v>
      </c>
      <c r="Y1911" s="240" t="str">
        <f t="shared" si="235"/>
        <v>OK</v>
      </c>
      <c r="Z1911" s="240" t="str">
        <f t="shared" si="236"/>
        <v>OK</v>
      </c>
      <c r="AA1911" s="240" t="str" cm="1">
        <f t="array" ref="AA1911">IF(OR(AND(J1911="Not accepted",N1911:O1911&lt;&gt;"",$S1911=""),AND(J1911="Accepted",S1911="")),"ERROR","OK")</f>
        <v>OK</v>
      </c>
      <c r="AB1911" s="240" t="str">
        <f t="shared" si="237"/>
        <v>OK</v>
      </c>
      <c r="AC1911" s="240" t="str" cm="1">
        <f t="array" ref="AC1911">IF(AND(F1911:H1911&lt;&gt;"",I1911=""),"ERROR","OK")</f>
        <v>OK</v>
      </c>
      <c r="AD1911" s="240" t="str">
        <f t="shared" si="238"/>
        <v>OK</v>
      </c>
      <c r="AE1911" s="240" t="str">
        <f t="shared" si="239"/>
        <v>OK</v>
      </c>
      <c r="AF1911" s="240" t="str" cm="1">
        <f t="array" aca="1" ref="AF1911" ca="1" xml:space="preserve">
IF(AND($G1911&lt;&gt;"",$F1911=""),"ERROR",
IF(OR($F1911:$G1911="",AND($G1911="",$F1911&lt;&gt;"")),"OK",
IF(COUNTIF(INDIRECT(IFERROR(LEFT($F1911,FIND(" ",$F1911)-1),$F1911)), $G1911)&gt;0, "OK", "ERROR")))</f>
        <v>OK</v>
      </c>
    </row>
    <row r="1912" spans="1:32" s="240" customFormat="1">
      <c r="A1912" s="48"/>
      <c r="B1912" s="31"/>
      <c r="C1912" s="48"/>
      <c r="D1912" s="47"/>
      <c r="E1912" s="47"/>
      <c r="F1912" s="31"/>
      <c r="G1912" s="31"/>
      <c r="H1912" s="31"/>
      <c r="I1912" s="47"/>
      <c r="J1912" s="31"/>
      <c r="K1912" s="47"/>
      <c r="L1912" s="47"/>
      <c r="M1912" s="47"/>
      <c r="N1912" s="31"/>
      <c r="O1912" s="47"/>
      <c r="P1912" s="31"/>
      <c r="Q1912" s="31"/>
      <c r="R1912" s="31"/>
      <c r="S1912" s="31"/>
      <c r="T1912" s="270">
        <f t="shared" si="232"/>
        <v>0</v>
      </c>
      <c r="U1912" s="270">
        <f t="shared" si="233"/>
        <v>0</v>
      </c>
      <c r="V1912" s="31"/>
      <c r="X1912" s="240" t="str">
        <f t="shared" si="234"/>
        <v>OK</v>
      </c>
      <c r="Y1912" s="240" t="str">
        <f t="shared" si="235"/>
        <v>OK</v>
      </c>
      <c r="Z1912" s="240" t="str">
        <f t="shared" si="236"/>
        <v>OK</v>
      </c>
      <c r="AA1912" s="240" t="str" cm="1">
        <f t="array" ref="AA1912">IF(OR(AND(J1912="Not accepted",N1912:O1912&lt;&gt;"",$S1912=""),AND(J1912="Accepted",S1912="")),"ERROR","OK")</f>
        <v>OK</v>
      </c>
      <c r="AB1912" s="240" t="str">
        <f t="shared" si="237"/>
        <v>OK</v>
      </c>
      <c r="AC1912" s="240" t="str" cm="1">
        <f t="array" ref="AC1912">IF(AND(F1912:H1912&lt;&gt;"",I1912=""),"ERROR","OK")</f>
        <v>OK</v>
      </c>
      <c r="AD1912" s="240" t="str">
        <f t="shared" si="238"/>
        <v>OK</v>
      </c>
      <c r="AE1912" s="240" t="str">
        <f t="shared" si="239"/>
        <v>OK</v>
      </c>
      <c r="AF1912" s="240" t="str" cm="1">
        <f t="array" aca="1" ref="AF1912" ca="1" xml:space="preserve">
IF(AND($G1912&lt;&gt;"",$F1912=""),"ERROR",
IF(OR($F1912:$G1912="",AND($G1912="",$F1912&lt;&gt;"")),"OK",
IF(COUNTIF(INDIRECT(IFERROR(LEFT($F1912,FIND(" ",$F1912)-1),$F1912)), $G1912)&gt;0, "OK", "ERROR")))</f>
        <v>OK</v>
      </c>
    </row>
    <row r="1913" spans="1:32" s="240" customFormat="1">
      <c r="A1913" s="48"/>
      <c r="B1913" s="31"/>
      <c r="C1913" s="48"/>
      <c r="D1913" s="47"/>
      <c r="E1913" s="47"/>
      <c r="F1913" s="31"/>
      <c r="G1913" s="31"/>
      <c r="H1913" s="31"/>
      <c r="I1913" s="47"/>
      <c r="J1913" s="31"/>
      <c r="K1913" s="47"/>
      <c r="L1913" s="47"/>
      <c r="M1913" s="47"/>
      <c r="N1913" s="31"/>
      <c r="O1913" s="47"/>
      <c r="P1913" s="31"/>
      <c r="Q1913" s="31"/>
      <c r="R1913" s="31"/>
      <c r="S1913" s="31"/>
      <c r="T1913" s="270">
        <f t="shared" si="232"/>
        <v>0</v>
      </c>
      <c r="U1913" s="270">
        <f t="shared" si="233"/>
        <v>0</v>
      </c>
      <c r="V1913" s="31"/>
      <c r="X1913" s="240" t="str">
        <f t="shared" si="234"/>
        <v>OK</v>
      </c>
      <c r="Y1913" s="240" t="str">
        <f t="shared" si="235"/>
        <v>OK</v>
      </c>
      <c r="Z1913" s="240" t="str">
        <f t="shared" si="236"/>
        <v>OK</v>
      </c>
      <c r="AA1913" s="240" t="str" cm="1">
        <f t="array" ref="AA1913">IF(OR(AND(J1913="Not accepted",N1913:O1913&lt;&gt;"",$S1913=""),AND(J1913="Accepted",S1913="")),"ERROR","OK")</f>
        <v>OK</v>
      </c>
      <c r="AB1913" s="240" t="str">
        <f t="shared" si="237"/>
        <v>OK</v>
      </c>
      <c r="AC1913" s="240" t="str" cm="1">
        <f t="array" ref="AC1913">IF(AND(F1913:H1913&lt;&gt;"",I1913=""),"ERROR","OK")</f>
        <v>OK</v>
      </c>
      <c r="AD1913" s="240" t="str">
        <f t="shared" si="238"/>
        <v>OK</v>
      </c>
      <c r="AE1913" s="240" t="str">
        <f t="shared" si="239"/>
        <v>OK</v>
      </c>
      <c r="AF1913" s="240" t="str" cm="1">
        <f t="array" aca="1" ref="AF1913" ca="1" xml:space="preserve">
IF(AND($G1913&lt;&gt;"",$F1913=""),"ERROR",
IF(OR($F1913:$G1913="",AND($G1913="",$F1913&lt;&gt;"")),"OK",
IF(COUNTIF(INDIRECT(IFERROR(LEFT($F1913,FIND(" ",$F1913)-1),$F1913)), $G1913)&gt;0, "OK", "ERROR")))</f>
        <v>OK</v>
      </c>
    </row>
    <row r="1914" spans="1:32" s="240" customFormat="1">
      <c r="A1914" s="48"/>
      <c r="B1914" s="31"/>
      <c r="C1914" s="48"/>
      <c r="D1914" s="47"/>
      <c r="E1914" s="47"/>
      <c r="F1914" s="31"/>
      <c r="G1914" s="31"/>
      <c r="H1914" s="31"/>
      <c r="I1914" s="47"/>
      <c r="J1914" s="31"/>
      <c r="K1914" s="47"/>
      <c r="L1914" s="47"/>
      <c r="M1914" s="47"/>
      <c r="N1914" s="31"/>
      <c r="O1914" s="47"/>
      <c r="P1914" s="31"/>
      <c r="Q1914" s="31"/>
      <c r="R1914" s="31"/>
      <c r="S1914" s="31"/>
      <c r="T1914" s="270">
        <f t="shared" si="232"/>
        <v>0</v>
      </c>
      <c r="U1914" s="270">
        <f t="shared" si="233"/>
        <v>0</v>
      </c>
      <c r="V1914" s="31"/>
      <c r="X1914" s="240" t="str">
        <f t="shared" si="234"/>
        <v>OK</v>
      </c>
      <c r="Y1914" s="240" t="str">
        <f t="shared" si="235"/>
        <v>OK</v>
      </c>
      <c r="Z1914" s="240" t="str">
        <f t="shared" si="236"/>
        <v>OK</v>
      </c>
      <c r="AA1914" s="240" t="str" cm="1">
        <f t="array" ref="AA1914">IF(OR(AND(J1914="Not accepted",N1914:O1914&lt;&gt;"",$S1914=""),AND(J1914="Accepted",S1914="")),"ERROR","OK")</f>
        <v>OK</v>
      </c>
      <c r="AB1914" s="240" t="str">
        <f t="shared" si="237"/>
        <v>OK</v>
      </c>
      <c r="AC1914" s="240" t="str" cm="1">
        <f t="array" ref="AC1914">IF(AND(F1914:H1914&lt;&gt;"",I1914=""),"ERROR","OK")</f>
        <v>OK</v>
      </c>
      <c r="AD1914" s="240" t="str">
        <f t="shared" si="238"/>
        <v>OK</v>
      </c>
      <c r="AE1914" s="240" t="str">
        <f t="shared" si="239"/>
        <v>OK</v>
      </c>
      <c r="AF1914" s="240" t="str" cm="1">
        <f t="array" aca="1" ref="AF1914" ca="1" xml:space="preserve">
IF(AND($G1914&lt;&gt;"",$F1914=""),"ERROR",
IF(OR($F1914:$G1914="",AND($G1914="",$F1914&lt;&gt;"")),"OK",
IF(COUNTIF(INDIRECT(IFERROR(LEFT($F1914,FIND(" ",$F1914)-1),$F1914)), $G1914)&gt;0, "OK", "ERROR")))</f>
        <v>OK</v>
      </c>
    </row>
    <row r="1915" spans="1:32" s="240" customFormat="1">
      <c r="A1915" s="48"/>
      <c r="B1915" s="31"/>
      <c r="C1915" s="48"/>
      <c r="D1915" s="47"/>
      <c r="E1915" s="47"/>
      <c r="F1915" s="31"/>
      <c r="G1915" s="31"/>
      <c r="H1915" s="31"/>
      <c r="I1915" s="47"/>
      <c r="J1915" s="31"/>
      <c r="K1915" s="47"/>
      <c r="L1915" s="47"/>
      <c r="M1915" s="47"/>
      <c r="N1915" s="31"/>
      <c r="O1915" s="47"/>
      <c r="P1915" s="31"/>
      <c r="Q1915" s="31"/>
      <c r="R1915" s="31"/>
      <c r="S1915" s="31"/>
      <c r="T1915" s="270">
        <f t="shared" si="232"/>
        <v>0</v>
      </c>
      <c r="U1915" s="270">
        <f t="shared" si="233"/>
        <v>0</v>
      </c>
      <c r="V1915" s="31"/>
      <c r="X1915" s="240" t="str">
        <f t="shared" si="234"/>
        <v>OK</v>
      </c>
      <c r="Y1915" s="240" t="str">
        <f t="shared" si="235"/>
        <v>OK</v>
      </c>
      <c r="Z1915" s="240" t="str">
        <f t="shared" si="236"/>
        <v>OK</v>
      </c>
      <c r="AA1915" s="240" t="str" cm="1">
        <f t="array" ref="AA1915">IF(OR(AND(J1915="Not accepted",N1915:O1915&lt;&gt;"",$S1915=""),AND(J1915="Accepted",S1915="")),"ERROR","OK")</f>
        <v>OK</v>
      </c>
      <c r="AB1915" s="240" t="str">
        <f t="shared" si="237"/>
        <v>OK</v>
      </c>
      <c r="AC1915" s="240" t="str" cm="1">
        <f t="array" ref="AC1915">IF(AND(F1915:H1915&lt;&gt;"",I1915=""),"ERROR","OK")</f>
        <v>OK</v>
      </c>
      <c r="AD1915" s="240" t="str">
        <f t="shared" si="238"/>
        <v>OK</v>
      </c>
      <c r="AE1915" s="240" t="str">
        <f t="shared" si="239"/>
        <v>OK</v>
      </c>
      <c r="AF1915" s="240" t="str" cm="1">
        <f t="array" aca="1" ref="AF1915" ca="1" xml:space="preserve">
IF(AND($G1915&lt;&gt;"",$F1915=""),"ERROR",
IF(OR($F1915:$G1915="",AND($G1915="",$F1915&lt;&gt;"")),"OK",
IF(COUNTIF(INDIRECT(IFERROR(LEFT($F1915,FIND(" ",$F1915)-1),$F1915)), $G1915)&gt;0, "OK", "ERROR")))</f>
        <v>OK</v>
      </c>
    </row>
    <row r="1916" spans="1:32" s="240" customFormat="1">
      <c r="A1916" s="48"/>
      <c r="B1916" s="31"/>
      <c r="C1916" s="48"/>
      <c r="D1916" s="47"/>
      <c r="E1916" s="47"/>
      <c r="F1916" s="31"/>
      <c r="G1916" s="31"/>
      <c r="H1916" s="31"/>
      <c r="I1916" s="47"/>
      <c r="J1916" s="31"/>
      <c r="K1916" s="47"/>
      <c r="L1916" s="47"/>
      <c r="M1916" s="47"/>
      <c r="N1916" s="31"/>
      <c r="O1916" s="47"/>
      <c r="P1916" s="31"/>
      <c r="Q1916" s="31"/>
      <c r="R1916" s="31"/>
      <c r="S1916" s="31"/>
      <c r="T1916" s="270">
        <f t="shared" si="232"/>
        <v>0</v>
      </c>
      <c r="U1916" s="270">
        <f t="shared" si="233"/>
        <v>0</v>
      </c>
      <c r="V1916" s="31"/>
      <c r="X1916" s="240" t="str">
        <f t="shared" si="234"/>
        <v>OK</v>
      </c>
      <c r="Y1916" s="240" t="str">
        <f t="shared" si="235"/>
        <v>OK</v>
      </c>
      <c r="Z1916" s="240" t="str">
        <f t="shared" si="236"/>
        <v>OK</v>
      </c>
      <c r="AA1916" s="240" t="str" cm="1">
        <f t="array" ref="AA1916">IF(OR(AND(J1916="Not accepted",N1916:O1916&lt;&gt;"",$S1916=""),AND(J1916="Accepted",S1916="")),"ERROR","OK")</f>
        <v>OK</v>
      </c>
      <c r="AB1916" s="240" t="str">
        <f t="shared" si="237"/>
        <v>OK</v>
      </c>
      <c r="AC1916" s="240" t="str" cm="1">
        <f t="array" ref="AC1916">IF(AND(F1916:H1916&lt;&gt;"",I1916=""),"ERROR","OK")</f>
        <v>OK</v>
      </c>
      <c r="AD1916" s="240" t="str">
        <f t="shared" si="238"/>
        <v>OK</v>
      </c>
      <c r="AE1916" s="240" t="str">
        <f t="shared" si="239"/>
        <v>OK</v>
      </c>
      <c r="AF1916" s="240" t="str" cm="1">
        <f t="array" aca="1" ref="AF1916" ca="1" xml:space="preserve">
IF(AND($G1916&lt;&gt;"",$F1916=""),"ERROR",
IF(OR($F1916:$G1916="",AND($G1916="",$F1916&lt;&gt;"")),"OK",
IF(COUNTIF(INDIRECT(IFERROR(LEFT($F1916,FIND(" ",$F1916)-1),$F1916)), $G1916)&gt;0, "OK", "ERROR")))</f>
        <v>OK</v>
      </c>
    </row>
    <row r="1917" spans="1:32" s="240" customFormat="1">
      <c r="A1917" s="48"/>
      <c r="B1917" s="31"/>
      <c r="C1917" s="48"/>
      <c r="D1917" s="47"/>
      <c r="E1917" s="47"/>
      <c r="F1917" s="31"/>
      <c r="G1917" s="31"/>
      <c r="H1917" s="31"/>
      <c r="I1917" s="47"/>
      <c r="J1917" s="31"/>
      <c r="K1917" s="47"/>
      <c r="L1917" s="47"/>
      <c r="M1917" s="47"/>
      <c r="N1917" s="31"/>
      <c r="O1917" s="47"/>
      <c r="P1917" s="31"/>
      <c r="Q1917" s="31"/>
      <c r="R1917" s="31"/>
      <c r="S1917" s="31"/>
      <c r="T1917" s="270">
        <f t="shared" si="232"/>
        <v>0</v>
      </c>
      <c r="U1917" s="270">
        <f t="shared" si="233"/>
        <v>0</v>
      </c>
      <c r="V1917" s="31"/>
      <c r="X1917" s="240" t="str">
        <f t="shared" si="234"/>
        <v>OK</v>
      </c>
      <c r="Y1917" s="240" t="str">
        <f t="shared" si="235"/>
        <v>OK</v>
      </c>
      <c r="Z1917" s="240" t="str">
        <f t="shared" si="236"/>
        <v>OK</v>
      </c>
      <c r="AA1917" s="240" t="str" cm="1">
        <f t="array" ref="AA1917">IF(OR(AND(J1917="Not accepted",N1917:O1917&lt;&gt;"",$S1917=""),AND(J1917="Accepted",S1917="")),"ERROR","OK")</f>
        <v>OK</v>
      </c>
      <c r="AB1917" s="240" t="str">
        <f t="shared" si="237"/>
        <v>OK</v>
      </c>
      <c r="AC1917" s="240" t="str" cm="1">
        <f t="array" ref="AC1917">IF(AND(F1917:H1917&lt;&gt;"",I1917=""),"ERROR","OK")</f>
        <v>OK</v>
      </c>
      <c r="AD1917" s="240" t="str">
        <f t="shared" si="238"/>
        <v>OK</v>
      </c>
      <c r="AE1917" s="240" t="str">
        <f t="shared" si="239"/>
        <v>OK</v>
      </c>
      <c r="AF1917" s="240" t="str" cm="1">
        <f t="array" aca="1" ref="AF1917" ca="1" xml:space="preserve">
IF(AND($G1917&lt;&gt;"",$F1917=""),"ERROR",
IF(OR($F1917:$G1917="",AND($G1917="",$F1917&lt;&gt;"")),"OK",
IF(COUNTIF(INDIRECT(IFERROR(LEFT($F1917,FIND(" ",$F1917)-1),$F1917)), $G1917)&gt;0, "OK", "ERROR")))</f>
        <v>OK</v>
      </c>
    </row>
    <row r="1918" spans="1:32" s="240" customFormat="1">
      <c r="A1918" s="48"/>
      <c r="B1918" s="31"/>
      <c r="C1918" s="48"/>
      <c r="D1918" s="47"/>
      <c r="E1918" s="47"/>
      <c r="F1918" s="31"/>
      <c r="G1918" s="31"/>
      <c r="H1918" s="31"/>
      <c r="I1918" s="47"/>
      <c r="J1918" s="31"/>
      <c r="K1918" s="47"/>
      <c r="L1918" s="47"/>
      <c r="M1918" s="47"/>
      <c r="N1918" s="31"/>
      <c r="O1918" s="47"/>
      <c r="P1918" s="31"/>
      <c r="Q1918" s="31"/>
      <c r="R1918" s="31"/>
      <c r="S1918" s="31"/>
      <c r="T1918" s="270">
        <f t="shared" si="232"/>
        <v>0</v>
      </c>
      <c r="U1918" s="270">
        <f t="shared" si="233"/>
        <v>0</v>
      </c>
      <c r="V1918" s="31"/>
      <c r="X1918" s="240" t="str">
        <f t="shared" si="234"/>
        <v>OK</v>
      </c>
      <c r="Y1918" s="240" t="str">
        <f t="shared" si="235"/>
        <v>OK</v>
      </c>
      <c r="Z1918" s="240" t="str">
        <f t="shared" si="236"/>
        <v>OK</v>
      </c>
      <c r="AA1918" s="240" t="str" cm="1">
        <f t="array" ref="AA1918">IF(OR(AND(J1918="Not accepted",N1918:O1918&lt;&gt;"",$S1918=""),AND(J1918="Accepted",S1918="")),"ERROR","OK")</f>
        <v>OK</v>
      </c>
      <c r="AB1918" s="240" t="str">
        <f t="shared" si="237"/>
        <v>OK</v>
      </c>
      <c r="AC1918" s="240" t="str" cm="1">
        <f t="array" ref="AC1918">IF(AND(F1918:H1918&lt;&gt;"",I1918=""),"ERROR","OK")</f>
        <v>OK</v>
      </c>
      <c r="AD1918" s="240" t="str">
        <f t="shared" si="238"/>
        <v>OK</v>
      </c>
      <c r="AE1918" s="240" t="str">
        <f t="shared" si="239"/>
        <v>OK</v>
      </c>
      <c r="AF1918" s="240" t="str" cm="1">
        <f t="array" aca="1" ref="AF1918" ca="1" xml:space="preserve">
IF(AND($G1918&lt;&gt;"",$F1918=""),"ERROR",
IF(OR($F1918:$G1918="",AND($G1918="",$F1918&lt;&gt;"")),"OK",
IF(COUNTIF(INDIRECT(IFERROR(LEFT($F1918,FIND(" ",$F1918)-1),$F1918)), $G1918)&gt;0, "OK", "ERROR")))</f>
        <v>OK</v>
      </c>
    </row>
    <row r="1919" spans="1:32" s="240" customFormat="1">
      <c r="A1919" s="48"/>
      <c r="B1919" s="31"/>
      <c r="C1919" s="48"/>
      <c r="D1919" s="47"/>
      <c r="E1919" s="47"/>
      <c r="F1919" s="31"/>
      <c r="G1919" s="31"/>
      <c r="H1919" s="31"/>
      <c r="I1919" s="47"/>
      <c r="J1919" s="31"/>
      <c r="K1919" s="47"/>
      <c r="L1919" s="47"/>
      <c r="M1919" s="47"/>
      <c r="N1919" s="31"/>
      <c r="O1919" s="47"/>
      <c r="P1919" s="31"/>
      <c r="Q1919" s="31"/>
      <c r="R1919" s="31"/>
      <c r="S1919" s="31"/>
      <c r="T1919" s="270">
        <f t="shared" si="232"/>
        <v>0</v>
      </c>
      <c r="U1919" s="270">
        <f t="shared" si="233"/>
        <v>0</v>
      </c>
      <c r="V1919" s="31"/>
      <c r="X1919" s="240" t="str">
        <f t="shared" si="234"/>
        <v>OK</v>
      </c>
      <c r="Y1919" s="240" t="str">
        <f t="shared" si="235"/>
        <v>OK</v>
      </c>
      <c r="Z1919" s="240" t="str">
        <f t="shared" si="236"/>
        <v>OK</v>
      </c>
      <c r="AA1919" s="240" t="str" cm="1">
        <f t="array" ref="AA1919">IF(OR(AND(J1919="Not accepted",N1919:O1919&lt;&gt;"",$S1919=""),AND(J1919="Accepted",S1919="")),"ERROR","OK")</f>
        <v>OK</v>
      </c>
      <c r="AB1919" s="240" t="str">
        <f t="shared" si="237"/>
        <v>OK</v>
      </c>
      <c r="AC1919" s="240" t="str" cm="1">
        <f t="array" ref="AC1919">IF(AND(F1919:H1919&lt;&gt;"",I1919=""),"ERROR","OK")</f>
        <v>OK</v>
      </c>
      <c r="AD1919" s="240" t="str">
        <f t="shared" si="238"/>
        <v>OK</v>
      </c>
      <c r="AE1919" s="240" t="str">
        <f t="shared" si="239"/>
        <v>OK</v>
      </c>
      <c r="AF1919" s="240" t="str" cm="1">
        <f t="array" aca="1" ref="AF1919" ca="1" xml:space="preserve">
IF(AND($G1919&lt;&gt;"",$F1919=""),"ERROR",
IF(OR($F1919:$G1919="",AND($G1919="",$F1919&lt;&gt;"")),"OK",
IF(COUNTIF(INDIRECT(IFERROR(LEFT($F1919,FIND(" ",$F1919)-1),$F1919)), $G1919)&gt;0, "OK", "ERROR")))</f>
        <v>OK</v>
      </c>
    </row>
    <row r="1920" spans="1:32" s="240" customFormat="1">
      <c r="A1920" s="48"/>
      <c r="B1920" s="31"/>
      <c r="C1920" s="48"/>
      <c r="D1920" s="47"/>
      <c r="E1920" s="47"/>
      <c r="F1920" s="31"/>
      <c r="G1920" s="31"/>
      <c r="H1920" s="31"/>
      <c r="I1920" s="47"/>
      <c r="J1920" s="31"/>
      <c r="K1920" s="47"/>
      <c r="L1920" s="47"/>
      <c r="M1920" s="47"/>
      <c r="N1920" s="31"/>
      <c r="O1920" s="47"/>
      <c r="P1920" s="31"/>
      <c r="Q1920" s="31"/>
      <c r="R1920" s="31"/>
      <c r="S1920" s="31"/>
      <c r="T1920" s="270">
        <f t="shared" si="232"/>
        <v>0</v>
      </c>
      <c r="U1920" s="270">
        <f t="shared" si="233"/>
        <v>0</v>
      </c>
      <c r="V1920" s="31"/>
      <c r="X1920" s="240" t="str">
        <f t="shared" si="234"/>
        <v>OK</v>
      </c>
      <c r="Y1920" s="240" t="str">
        <f t="shared" si="235"/>
        <v>OK</v>
      </c>
      <c r="Z1920" s="240" t="str">
        <f t="shared" si="236"/>
        <v>OK</v>
      </c>
      <c r="AA1920" s="240" t="str" cm="1">
        <f t="array" ref="AA1920">IF(OR(AND(J1920="Not accepted",N1920:O1920&lt;&gt;"",$S1920=""),AND(J1920="Accepted",S1920="")),"ERROR","OK")</f>
        <v>OK</v>
      </c>
      <c r="AB1920" s="240" t="str">
        <f t="shared" si="237"/>
        <v>OK</v>
      </c>
      <c r="AC1920" s="240" t="str" cm="1">
        <f t="array" ref="AC1920">IF(AND(F1920:H1920&lt;&gt;"",I1920=""),"ERROR","OK")</f>
        <v>OK</v>
      </c>
      <c r="AD1920" s="240" t="str">
        <f t="shared" si="238"/>
        <v>OK</v>
      </c>
      <c r="AE1920" s="240" t="str">
        <f t="shared" si="239"/>
        <v>OK</v>
      </c>
      <c r="AF1920" s="240" t="str" cm="1">
        <f t="array" aca="1" ref="AF1920" ca="1" xml:space="preserve">
IF(AND($G1920&lt;&gt;"",$F1920=""),"ERROR",
IF(OR($F1920:$G1920="",AND($G1920="",$F1920&lt;&gt;"")),"OK",
IF(COUNTIF(INDIRECT(IFERROR(LEFT($F1920,FIND(" ",$F1920)-1),$F1920)), $G1920)&gt;0, "OK", "ERROR")))</f>
        <v>OK</v>
      </c>
    </row>
    <row r="1921" spans="1:32" s="240" customFormat="1">
      <c r="A1921" s="48"/>
      <c r="B1921" s="31"/>
      <c r="C1921" s="48"/>
      <c r="D1921" s="47"/>
      <c r="E1921" s="47"/>
      <c r="F1921" s="31"/>
      <c r="G1921" s="31"/>
      <c r="H1921" s="31"/>
      <c r="I1921" s="47"/>
      <c r="J1921" s="31"/>
      <c r="K1921" s="47"/>
      <c r="L1921" s="47"/>
      <c r="M1921" s="47"/>
      <c r="N1921" s="31"/>
      <c r="O1921" s="47"/>
      <c r="P1921" s="31"/>
      <c r="Q1921" s="31"/>
      <c r="R1921" s="31"/>
      <c r="S1921" s="31"/>
      <c r="T1921" s="270">
        <f t="shared" si="232"/>
        <v>0</v>
      </c>
      <c r="U1921" s="270">
        <f t="shared" si="233"/>
        <v>0</v>
      </c>
      <c r="V1921" s="31"/>
      <c r="X1921" s="240" t="str">
        <f t="shared" si="234"/>
        <v>OK</v>
      </c>
      <c r="Y1921" s="240" t="str">
        <f t="shared" si="235"/>
        <v>OK</v>
      </c>
      <c r="Z1921" s="240" t="str">
        <f t="shared" si="236"/>
        <v>OK</v>
      </c>
      <c r="AA1921" s="240" t="str" cm="1">
        <f t="array" ref="AA1921">IF(OR(AND(J1921="Not accepted",N1921:O1921&lt;&gt;"",$S1921=""),AND(J1921="Accepted",S1921="")),"ERROR","OK")</f>
        <v>OK</v>
      </c>
      <c r="AB1921" s="240" t="str">
        <f t="shared" si="237"/>
        <v>OK</v>
      </c>
      <c r="AC1921" s="240" t="str" cm="1">
        <f t="array" ref="AC1921">IF(AND(F1921:H1921&lt;&gt;"",I1921=""),"ERROR","OK")</f>
        <v>OK</v>
      </c>
      <c r="AD1921" s="240" t="str">
        <f t="shared" si="238"/>
        <v>OK</v>
      </c>
      <c r="AE1921" s="240" t="str">
        <f t="shared" si="239"/>
        <v>OK</v>
      </c>
      <c r="AF1921" s="240" t="str" cm="1">
        <f t="array" aca="1" ref="AF1921" ca="1" xml:space="preserve">
IF(AND($G1921&lt;&gt;"",$F1921=""),"ERROR",
IF(OR($F1921:$G1921="",AND($G1921="",$F1921&lt;&gt;"")),"OK",
IF(COUNTIF(INDIRECT(IFERROR(LEFT($F1921,FIND(" ",$F1921)-1),$F1921)), $G1921)&gt;0, "OK", "ERROR")))</f>
        <v>OK</v>
      </c>
    </row>
    <row r="1922" spans="1:32" s="240" customFormat="1">
      <c r="A1922" s="48"/>
      <c r="B1922" s="31"/>
      <c r="C1922" s="48"/>
      <c r="D1922" s="47"/>
      <c r="E1922" s="47"/>
      <c r="F1922" s="31"/>
      <c r="G1922" s="31"/>
      <c r="H1922" s="31"/>
      <c r="I1922" s="47"/>
      <c r="J1922" s="31"/>
      <c r="K1922" s="47"/>
      <c r="L1922" s="47"/>
      <c r="M1922" s="47"/>
      <c r="N1922" s="31"/>
      <c r="O1922" s="47"/>
      <c r="P1922" s="31"/>
      <c r="Q1922" s="31"/>
      <c r="R1922" s="31"/>
      <c r="S1922" s="31"/>
      <c r="T1922" s="270">
        <f t="shared" si="232"/>
        <v>0</v>
      </c>
      <c r="U1922" s="270">
        <f t="shared" si="233"/>
        <v>0</v>
      </c>
      <c r="V1922" s="31"/>
      <c r="X1922" s="240" t="str">
        <f t="shared" si="234"/>
        <v>OK</v>
      </c>
      <c r="Y1922" s="240" t="str">
        <f t="shared" si="235"/>
        <v>OK</v>
      </c>
      <c r="Z1922" s="240" t="str">
        <f t="shared" si="236"/>
        <v>OK</v>
      </c>
      <c r="AA1922" s="240" t="str" cm="1">
        <f t="array" ref="AA1922">IF(OR(AND(J1922="Not accepted",N1922:O1922&lt;&gt;"",$S1922=""),AND(J1922="Accepted",S1922="")),"ERROR","OK")</f>
        <v>OK</v>
      </c>
      <c r="AB1922" s="240" t="str">
        <f t="shared" si="237"/>
        <v>OK</v>
      </c>
      <c r="AC1922" s="240" t="str" cm="1">
        <f t="array" ref="AC1922">IF(AND(F1922:H1922&lt;&gt;"",I1922=""),"ERROR","OK")</f>
        <v>OK</v>
      </c>
      <c r="AD1922" s="240" t="str">
        <f t="shared" si="238"/>
        <v>OK</v>
      </c>
      <c r="AE1922" s="240" t="str">
        <f t="shared" si="239"/>
        <v>OK</v>
      </c>
      <c r="AF1922" s="240" t="str" cm="1">
        <f t="array" aca="1" ref="AF1922" ca="1" xml:space="preserve">
IF(AND($G1922&lt;&gt;"",$F1922=""),"ERROR",
IF(OR($F1922:$G1922="",AND($G1922="",$F1922&lt;&gt;"")),"OK",
IF(COUNTIF(INDIRECT(IFERROR(LEFT($F1922,FIND(" ",$F1922)-1),$F1922)), $G1922)&gt;0, "OK", "ERROR")))</f>
        <v>OK</v>
      </c>
    </row>
    <row r="1923" spans="1:32" s="240" customFormat="1">
      <c r="A1923" s="48"/>
      <c r="B1923" s="31"/>
      <c r="C1923" s="48"/>
      <c r="D1923" s="47"/>
      <c r="E1923" s="47"/>
      <c r="F1923" s="31"/>
      <c r="G1923" s="31"/>
      <c r="H1923" s="31"/>
      <c r="I1923" s="47"/>
      <c r="J1923" s="31"/>
      <c r="K1923" s="47"/>
      <c r="L1923" s="47"/>
      <c r="M1923" s="47"/>
      <c r="N1923" s="31"/>
      <c r="O1923" s="47"/>
      <c r="P1923" s="31"/>
      <c r="Q1923" s="31"/>
      <c r="R1923" s="31"/>
      <c r="S1923" s="31"/>
      <c r="T1923" s="270">
        <f t="shared" si="232"/>
        <v>0</v>
      </c>
      <c r="U1923" s="270">
        <f t="shared" si="233"/>
        <v>0</v>
      </c>
      <c r="V1923" s="31"/>
      <c r="X1923" s="240" t="str">
        <f t="shared" si="234"/>
        <v>OK</v>
      </c>
      <c r="Y1923" s="240" t="str">
        <f t="shared" si="235"/>
        <v>OK</v>
      </c>
      <c r="Z1923" s="240" t="str">
        <f t="shared" si="236"/>
        <v>OK</v>
      </c>
      <c r="AA1923" s="240" t="str" cm="1">
        <f t="array" ref="AA1923">IF(OR(AND(J1923="Not accepted",N1923:O1923&lt;&gt;"",$S1923=""),AND(J1923="Accepted",S1923="")),"ERROR","OK")</f>
        <v>OK</v>
      </c>
      <c r="AB1923" s="240" t="str">
        <f t="shared" si="237"/>
        <v>OK</v>
      </c>
      <c r="AC1923" s="240" t="str" cm="1">
        <f t="array" ref="AC1923">IF(AND(F1923:H1923&lt;&gt;"",I1923=""),"ERROR","OK")</f>
        <v>OK</v>
      </c>
      <c r="AD1923" s="240" t="str">
        <f t="shared" si="238"/>
        <v>OK</v>
      </c>
      <c r="AE1923" s="240" t="str">
        <f t="shared" si="239"/>
        <v>OK</v>
      </c>
      <c r="AF1923" s="240" t="str" cm="1">
        <f t="array" aca="1" ref="AF1923" ca="1" xml:space="preserve">
IF(AND($G1923&lt;&gt;"",$F1923=""),"ERROR",
IF(OR($F1923:$G1923="",AND($G1923="",$F1923&lt;&gt;"")),"OK",
IF(COUNTIF(INDIRECT(IFERROR(LEFT($F1923,FIND(" ",$F1923)-1),$F1923)), $G1923)&gt;0, "OK", "ERROR")))</f>
        <v>OK</v>
      </c>
    </row>
    <row r="1924" spans="1:32" s="240" customFormat="1">
      <c r="A1924" s="48"/>
      <c r="B1924" s="31"/>
      <c r="C1924" s="48"/>
      <c r="D1924" s="47"/>
      <c r="E1924" s="47"/>
      <c r="F1924" s="31"/>
      <c r="G1924" s="31"/>
      <c r="H1924" s="31"/>
      <c r="I1924" s="47"/>
      <c r="J1924" s="31"/>
      <c r="K1924" s="47"/>
      <c r="L1924" s="47"/>
      <c r="M1924" s="47"/>
      <c r="N1924" s="31"/>
      <c r="O1924" s="47"/>
      <c r="P1924" s="31"/>
      <c r="Q1924" s="31"/>
      <c r="R1924" s="31"/>
      <c r="S1924" s="31"/>
      <c r="T1924" s="270">
        <f t="shared" si="232"/>
        <v>0</v>
      </c>
      <c r="U1924" s="270">
        <f t="shared" si="233"/>
        <v>0</v>
      </c>
      <c r="V1924" s="31"/>
      <c r="X1924" s="240" t="str">
        <f t="shared" si="234"/>
        <v>OK</v>
      </c>
      <c r="Y1924" s="240" t="str">
        <f t="shared" si="235"/>
        <v>OK</v>
      </c>
      <c r="Z1924" s="240" t="str">
        <f t="shared" si="236"/>
        <v>OK</v>
      </c>
      <c r="AA1924" s="240" t="str" cm="1">
        <f t="array" ref="AA1924">IF(OR(AND(J1924="Not accepted",N1924:O1924&lt;&gt;"",$S1924=""),AND(J1924="Accepted",S1924="")),"ERROR","OK")</f>
        <v>OK</v>
      </c>
      <c r="AB1924" s="240" t="str">
        <f t="shared" si="237"/>
        <v>OK</v>
      </c>
      <c r="AC1924" s="240" t="str" cm="1">
        <f t="array" ref="AC1924">IF(AND(F1924:H1924&lt;&gt;"",I1924=""),"ERROR","OK")</f>
        <v>OK</v>
      </c>
      <c r="AD1924" s="240" t="str">
        <f t="shared" si="238"/>
        <v>OK</v>
      </c>
      <c r="AE1924" s="240" t="str">
        <f t="shared" si="239"/>
        <v>OK</v>
      </c>
      <c r="AF1924" s="240" t="str" cm="1">
        <f t="array" aca="1" ref="AF1924" ca="1" xml:space="preserve">
IF(AND($G1924&lt;&gt;"",$F1924=""),"ERROR",
IF(OR($F1924:$G1924="",AND($G1924="",$F1924&lt;&gt;"")),"OK",
IF(COUNTIF(INDIRECT(IFERROR(LEFT($F1924,FIND(" ",$F1924)-1),$F1924)), $G1924)&gt;0, "OK", "ERROR")))</f>
        <v>OK</v>
      </c>
    </row>
    <row r="1925" spans="1:32" s="240" customFormat="1">
      <c r="A1925" s="48"/>
      <c r="B1925" s="31"/>
      <c r="C1925" s="48"/>
      <c r="D1925" s="47"/>
      <c r="E1925" s="47"/>
      <c r="F1925" s="31"/>
      <c r="G1925" s="31"/>
      <c r="H1925" s="31"/>
      <c r="I1925" s="47"/>
      <c r="J1925" s="31"/>
      <c r="K1925" s="47"/>
      <c r="L1925" s="47"/>
      <c r="M1925" s="47"/>
      <c r="N1925" s="31"/>
      <c r="O1925" s="47"/>
      <c r="P1925" s="31"/>
      <c r="Q1925" s="31"/>
      <c r="R1925" s="31"/>
      <c r="S1925" s="31"/>
      <c r="T1925" s="270">
        <f t="shared" ref="T1925:T1988" si="240">IF(OR($J1925="Accepted",ISBLANK($J1925)),IF(AND($G1925="Legacy Data",$Q1925="Legacy Data"),1,IF(OR($G1925="Legacy Data",$Q1925="Legacy Data"),1,0)),IF(OR($N1925="Agree with original translator",ISBLANK($N1925)),IF(AND($G1925="Source Text Data",$Q1925="Legacy Data"),1,IF(AND($G1925="Legacy Data",$Q1925="Legacy Data"),1,IF($Q1925="Legacy Data",1,0))),IF(AND($G1925="Legacy Data",$Q1925="Legacy Data"),1,IF(OR($Q1925="Legacy Data",ISBLANK($Q1925)),IF($G1925&lt;&gt;"Legacy Data",IF(AND($G1925="Source Text Data",$Q1925="Legacy Data"),1,0),1),0))))</f>
        <v>0</v>
      </c>
      <c r="U1925" s="270">
        <f t="shared" ref="U1925:U1988" si="241">IF(OR($J1925="Accepted",ISBLANK($J1925)),IF(AND($G1925="Source Text Data",$Q1925="Source Text Data"),1,IF(OR($G1925="Source Text Data",$Q1925="Source Text Data"),1,0)),IF(OR($N1925="Agree with original translator",ISBLANK($N1925)),IF(AND($G1925="Legacy Data",$Q1925="Source Text Data"),1,IF(AND($G1925="Source Text Data",$Q1925="Source Text Data"),1,IF($Q1925="Source Text Data",1,0))),IF(AND($G1925="Source Text Data",$Q1925="Source Text Data"),1,IF(OR($Q1925="Source Text Data",ISBLANK($Q1925)),IF($G1925&lt;&gt;"Source Text Data",IF(AND($G1925="Legacy Data",$Q1925="Source Text Data"),1,0),1),0))))</f>
        <v>0</v>
      </c>
      <c r="V1925" s="31"/>
      <c r="X1925" s="240" t="str">
        <f t="shared" ref="X1925:X1988" si="242">IF(AND(COUNTBLANK($F1925:$H1925)&lt;&gt;COLUMNS($F1925:$H1925),COUNTA($F1925:$H1925)&lt;&gt;COLUMNS($F1925:$H1925)),"ERROR","OK")</f>
        <v>OK</v>
      </c>
      <c r="Y1925" s="240" t="str">
        <f t="shared" ref="Y1925:Y1988" si="243">IF(AND($J1925="Not accepted",$K1925=""),"ERROR","OK")</f>
        <v>OK</v>
      </c>
      <c r="Z1925" s="240" t="str">
        <f t="shared" ref="Z1925:Z1988" si="244">IF(AND($F1925&lt;&gt;"",$J1925=""),"ERROR","OK")</f>
        <v>OK</v>
      </c>
      <c r="AA1925" s="240" t="str" cm="1">
        <f t="array" ref="AA1925">IF(OR(AND(J1925="Not accepted",N1925:O1925&lt;&gt;"",$S1925=""),AND(J1925="Accepted",S1925="")),"ERROR","OK")</f>
        <v>OK</v>
      </c>
      <c r="AB1925" s="240" t="str">
        <f t="shared" ref="AB1925:AB1988" si="245">IF(AND($S1925="Not Implemented",$V1925=""),"ERROR","OK")</f>
        <v>OK</v>
      </c>
      <c r="AC1925" s="240" t="str" cm="1">
        <f t="array" ref="AC1925">IF(AND(F1925:H1925&lt;&gt;"",I1925=""),"ERROR","OK")</f>
        <v>OK</v>
      </c>
      <c r="AD1925" s="240" t="str">
        <f t="shared" ref="AD1925:AD1988" si="246">IF(AND($N1925="",$J1925="Not accepted",$K1925&lt;&gt;""),"ERROR","OK")</f>
        <v>OK</v>
      </c>
      <c r="AE1925" s="240" t="str">
        <f t="shared" ref="AE1925:AE1988" si="247">IF(AND($O1925="",$N1925&lt;&gt;""),"ERROR","OK")</f>
        <v>OK</v>
      </c>
      <c r="AF1925" s="240" t="str" cm="1">
        <f t="array" aca="1" ref="AF1925" ca="1" xml:space="preserve">
IF(AND($G1925&lt;&gt;"",$F1925=""),"ERROR",
IF(OR($F1925:$G1925="",AND($G1925="",$F1925&lt;&gt;"")),"OK",
IF(COUNTIF(INDIRECT(IFERROR(LEFT($F1925,FIND(" ",$F1925)-1),$F1925)), $G1925)&gt;0, "OK", "ERROR")))</f>
        <v>OK</v>
      </c>
    </row>
    <row r="1926" spans="1:32" s="240" customFormat="1">
      <c r="A1926" s="48"/>
      <c r="B1926" s="31"/>
      <c r="C1926" s="48"/>
      <c r="D1926" s="47"/>
      <c r="E1926" s="47"/>
      <c r="F1926" s="31"/>
      <c r="G1926" s="31"/>
      <c r="H1926" s="31"/>
      <c r="I1926" s="47"/>
      <c r="J1926" s="31"/>
      <c r="K1926" s="47"/>
      <c r="L1926" s="47"/>
      <c r="M1926" s="47"/>
      <c r="N1926" s="31"/>
      <c r="O1926" s="47"/>
      <c r="P1926" s="31"/>
      <c r="Q1926" s="31"/>
      <c r="R1926" s="31"/>
      <c r="S1926" s="31"/>
      <c r="T1926" s="270">
        <f t="shared" si="240"/>
        <v>0</v>
      </c>
      <c r="U1926" s="270">
        <f t="shared" si="241"/>
        <v>0</v>
      </c>
      <c r="V1926" s="31"/>
      <c r="X1926" s="240" t="str">
        <f t="shared" si="242"/>
        <v>OK</v>
      </c>
      <c r="Y1926" s="240" t="str">
        <f t="shared" si="243"/>
        <v>OK</v>
      </c>
      <c r="Z1926" s="240" t="str">
        <f t="shared" si="244"/>
        <v>OK</v>
      </c>
      <c r="AA1926" s="240" t="str" cm="1">
        <f t="array" ref="AA1926">IF(OR(AND(J1926="Not accepted",N1926:O1926&lt;&gt;"",$S1926=""),AND(J1926="Accepted",S1926="")),"ERROR","OK")</f>
        <v>OK</v>
      </c>
      <c r="AB1926" s="240" t="str">
        <f t="shared" si="245"/>
        <v>OK</v>
      </c>
      <c r="AC1926" s="240" t="str" cm="1">
        <f t="array" ref="AC1926">IF(AND(F1926:H1926&lt;&gt;"",I1926=""),"ERROR","OK")</f>
        <v>OK</v>
      </c>
      <c r="AD1926" s="240" t="str">
        <f t="shared" si="246"/>
        <v>OK</v>
      </c>
      <c r="AE1926" s="240" t="str">
        <f t="shared" si="247"/>
        <v>OK</v>
      </c>
      <c r="AF1926" s="240" t="str" cm="1">
        <f t="array" aca="1" ref="AF1926" ca="1" xml:space="preserve">
IF(AND($G1926&lt;&gt;"",$F1926=""),"ERROR",
IF(OR($F1926:$G1926="",AND($G1926="",$F1926&lt;&gt;"")),"OK",
IF(COUNTIF(INDIRECT(IFERROR(LEFT($F1926,FIND(" ",$F1926)-1),$F1926)), $G1926)&gt;0, "OK", "ERROR")))</f>
        <v>OK</v>
      </c>
    </row>
    <row r="1927" spans="1:32" s="240" customFormat="1">
      <c r="A1927" s="48"/>
      <c r="B1927" s="31"/>
      <c r="C1927" s="48"/>
      <c r="D1927" s="47"/>
      <c r="E1927" s="47"/>
      <c r="F1927" s="31"/>
      <c r="G1927" s="31"/>
      <c r="H1927" s="31"/>
      <c r="I1927" s="47"/>
      <c r="J1927" s="31"/>
      <c r="K1927" s="47"/>
      <c r="L1927" s="47"/>
      <c r="M1927" s="47"/>
      <c r="N1927" s="31"/>
      <c r="O1927" s="47"/>
      <c r="P1927" s="31"/>
      <c r="Q1927" s="31"/>
      <c r="R1927" s="31"/>
      <c r="S1927" s="31"/>
      <c r="T1927" s="270">
        <f t="shared" si="240"/>
        <v>0</v>
      </c>
      <c r="U1927" s="270">
        <f t="shared" si="241"/>
        <v>0</v>
      </c>
      <c r="V1927" s="31"/>
      <c r="X1927" s="240" t="str">
        <f t="shared" si="242"/>
        <v>OK</v>
      </c>
      <c r="Y1927" s="240" t="str">
        <f t="shared" si="243"/>
        <v>OK</v>
      </c>
      <c r="Z1927" s="240" t="str">
        <f t="shared" si="244"/>
        <v>OK</v>
      </c>
      <c r="AA1927" s="240" t="str" cm="1">
        <f t="array" ref="AA1927">IF(OR(AND(J1927="Not accepted",N1927:O1927&lt;&gt;"",$S1927=""),AND(J1927="Accepted",S1927="")),"ERROR","OK")</f>
        <v>OK</v>
      </c>
      <c r="AB1927" s="240" t="str">
        <f t="shared" si="245"/>
        <v>OK</v>
      </c>
      <c r="AC1927" s="240" t="str" cm="1">
        <f t="array" ref="AC1927">IF(AND(F1927:H1927&lt;&gt;"",I1927=""),"ERROR","OK")</f>
        <v>OK</v>
      </c>
      <c r="AD1927" s="240" t="str">
        <f t="shared" si="246"/>
        <v>OK</v>
      </c>
      <c r="AE1927" s="240" t="str">
        <f t="shared" si="247"/>
        <v>OK</v>
      </c>
      <c r="AF1927" s="240" t="str" cm="1">
        <f t="array" aca="1" ref="AF1927" ca="1" xml:space="preserve">
IF(AND($G1927&lt;&gt;"",$F1927=""),"ERROR",
IF(OR($F1927:$G1927="",AND($G1927="",$F1927&lt;&gt;"")),"OK",
IF(COUNTIF(INDIRECT(IFERROR(LEFT($F1927,FIND(" ",$F1927)-1),$F1927)), $G1927)&gt;0, "OK", "ERROR")))</f>
        <v>OK</v>
      </c>
    </row>
    <row r="1928" spans="1:32" s="240" customFormat="1">
      <c r="A1928" s="48"/>
      <c r="B1928" s="31"/>
      <c r="C1928" s="48"/>
      <c r="D1928" s="47"/>
      <c r="E1928" s="47"/>
      <c r="F1928" s="31"/>
      <c r="G1928" s="31"/>
      <c r="H1928" s="31"/>
      <c r="I1928" s="47"/>
      <c r="J1928" s="31"/>
      <c r="K1928" s="47"/>
      <c r="L1928" s="47"/>
      <c r="M1928" s="47"/>
      <c r="N1928" s="31"/>
      <c r="O1928" s="47"/>
      <c r="P1928" s="31"/>
      <c r="Q1928" s="31"/>
      <c r="R1928" s="31"/>
      <c r="S1928" s="31"/>
      <c r="T1928" s="270">
        <f t="shared" si="240"/>
        <v>0</v>
      </c>
      <c r="U1928" s="270">
        <f t="shared" si="241"/>
        <v>0</v>
      </c>
      <c r="V1928" s="31"/>
      <c r="X1928" s="240" t="str">
        <f t="shared" si="242"/>
        <v>OK</v>
      </c>
      <c r="Y1928" s="240" t="str">
        <f t="shared" si="243"/>
        <v>OK</v>
      </c>
      <c r="Z1928" s="240" t="str">
        <f t="shared" si="244"/>
        <v>OK</v>
      </c>
      <c r="AA1928" s="240" t="str" cm="1">
        <f t="array" ref="AA1928">IF(OR(AND(J1928="Not accepted",N1928:O1928&lt;&gt;"",$S1928=""),AND(J1928="Accepted",S1928="")),"ERROR","OK")</f>
        <v>OK</v>
      </c>
      <c r="AB1928" s="240" t="str">
        <f t="shared" si="245"/>
        <v>OK</v>
      </c>
      <c r="AC1928" s="240" t="str" cm="1">
        <f t="array" ref="AC1928">IF(AND(F1928:H1928&lt;&gt;"",I1928=""),"ERROR","OK")</f>
        <v>OK</v>
      </c>
      <c r="AD1928" s="240" t="str">
        <f t="shared" si="246"/>
        <v>OK</v>
      </c>
      <c r="AE1928" s="240" t="str">
        <f t="shared" si="247"/>
        <v>OK</v>
      </c>
      <c r="AF1928" s="240" t="str" cm="1">
        <f t="array" aca="1" ref="AF1928" ca="1" xml:space="preserve">
IF(AND($G1928&lt;&gt;"",$F1928=""),"ERROR",
IF(OR($F1928:$G1928="",AND($G1928="",$F1928&lt;&gt;"")),"OK",
IF(COUNTIF(INDIRECT(IFERROR(LEFT($F1928,FIND(" ",$F1928)-1),$F1928)), $G1928)&gt;0, "OK", "ERROR")))</f>
        <v>OK</v>
      </c>
    </row>
    <row r="1929" spans="1:32" s="240" customFormat="1">
      <c r="A1929" s="48"/>
      <c r="B1929" s="31"/>
      <c r="C1929" s="48"/>
      <c r="D1929" s="47"/>
      <c r="E1929" s="47"/>
      <c r="F1929" s="31"/>
      <c r="G1929" s="31"/>
      <c r="H1929" s="31"/>
      <c r="I1929" s="47"/>
      <c r="J1929" s="31"/>
      <c r="K1929" s="47"/>
      <c r="L1929" s="47"/>
      <c r="M1929" s="47"/>
      <c r="N1929" s="31"/>
      <c r="O1929" s="47"/>
      <c r="P1929" s="31"/>
      <c r="Q1929" s="31"/>
      <c r="R1929" s="31"/>
      <c r="S1929" s="31"/>
      <c r="T1929" s="270">
        <f t="shared" si="240"/>
        <v>0</v>
      </c>
      <c r="U1929" s="270">
        <f t="shared" si="241"/>
        <v>0</v>
      </c>
      <c r="V1929" s="31"/>
      <c r="X1929" s="240" t="str">
        <f t="shared" si="242"/>
        <v>OK</v>
      </c>
      <c r="Y1929" s="240" t="str">
        <f t="shared" si="243"/>
        <v>OK</v>
      </c>
      <c r="Z1929" s="240" t="str">
        <f t="shared" si="244"/>
        <v>OK</v>
      </c>
      <c r="AA1929" s="240" t="str" cm="1">
        <f t="array" ref="AA1929">IF(OR(AND(J1929="Not accepted",N1929:O1929&lt;&gt;"",$S1929=""),AND(J1929="Accepted",S1929="")),"ERROR","OK")</f>
        <v>OK</v>
      </c>
      <c r="AB1929" s="240" t="str">
        <f t="shared" si="245"/>
        <v>OK</v>
      </c>
      <c r="AC1929" s="240" t="str" cm="1">
        <f t="array" ref="AC1929">IF(AND(F1929:H1929&lt;&gt;"",I1929=""),"ERROR","OK")</f>
        <v>OK</v>
      </c>
      <c r="AD1929" s="240" t="str">
        <f t="shared" si="246"/>
        <v>OK</v>
      </c>
      <c r="AE1929" s="240" t="str">
        <f t="shared" si="247"/>
        <v>OK</v>
      </c>
      <c r="AF1929" s="240" t="str" cm="1">
        <f t="array" aca="1" ref="AF1929" ca="1" xml:space="preserve">
IF(AND($G1929&lt;&gt;"",$F1929=""),"ERROR",
IF(OR($F1929:$G1929="",AND($G1929="",$F1929&lt;&gt;"")),"OK",
IF(COUNTIF(INDIRECT(IFERROR(LEFT($F1929,FIND(" ",$F1929)-1),$F1929)), $G1929)&gt;0, "OK", "ERROR")))</f>
        <v>OK</v>
      </c>
    </row>
    <row r="1930" spans="1:32" s="240" customFormat="1">
      <c r="A1930" s="48"/>
      <c r="B1930" s="31"/>
      <c r="C1930" s="48"/>
      <c r="D1930" s="47"/>
      <c r="E1930" s="47"/>
      <c r="F1930" s="31"/>
      <c r="G1930" s="31"/>
      <c r="H1930" s="31"/>
      <c r="I1930" s="47"/>
      <c r="J1930" s="31"/>
      <c r="K1930" s="47"/>
      <c r="L1930" s="47"/>
      <c r="M1930" s="47"/>
      <c r="N1930" s="31"/>
      <c r="O1930" s="47"/>
      <c r="P1930" s="31"/>
      <c r="Q1930" s="31"/>
      <c r="R1930" s="31"/>
      <c r="S1930" s="31"/>
      <c r="T1930" s="270">
        <f t="shared" si="240"/>
        <v>0</v>
      </c>
      <c r="U1930" s="270">
        <f t="shared" si="241"/>
        <v>0</v>
      </c>
      <c r="V1930" s="31"/>
      <c r="X1930" s="240" t="str">
        <f t="shared" si="242"/>
        <v>OK</v>
      </c>
      <c r="Y1930" s="240" t="str">
        <f t="shared" si="243"/>
        <v>OK</v>
      </c>
      <c r="Z1930" s="240" t="str">
        <f t="shared" si="244"/>
        <v>OK</v>
      </c>
      <c r="AA1930" s="240" t="str" cm="1">
        <f t="array" ref="AA1930">IF(OR(AND(J1930="Not accepted",N1930:O1930&lt;&gt;"",$S1930=""),AND(J1930="Accepted",S1930="")),"ERROR","OK")</f>
        <v>OK</v>
      </c>
      <c r="AB1930" s="240" t="str">
        <f t="shared" si="245"/>
        <v>OK</v>
      </c>
      <c r="AC1930" s="240" t="str" cm="1">
        <f t="array" ref="AC1930">IF(AND(F1930:H1930&lt;&gt;"",I1930=""),"ERROR","OK")</f>
        <v>OK</v>
      </c>
      <c r="AD1930" s="240" t="str">
        <f t="shared" si="246"/>
        <v>OK</v>
      </c>
      <c r="AE1930" s="240" t="str">
        <f t="shared" si="247"/>
        <v>OK</v>
      </c>
      <c r="AF1930" s="240" t="str" cm="1">
        <f t="array" aca="1" ref="AF1930" ca="1" xml:space="preserve">
IF(AND($G1930&lt;&gt;"",$F1930=""),"ERROR",
IF(OR($F1930:$G1930="",AND($G1930="",$F1930&lt;&gt;"")),"OK",
IF(COUNTIF(INDIRECT(IFERROR(LEFT($F1930,FIND(" ",$F1930)-1),$F1930)), $G1930)&gt;0, "OK", "ERROR")))</f>
        <v>OK</v>
      </c>
    </row>
    <row r="1931" spans="1:32" s="240" customFormat="1">
      <c r="A1931" s="48"/>
      <c r="B1931" s="31"/>
      <c r="C1931" s="48"/>
      <c r="D1931" s="47"/>
      <c r="E1931" s="47"/>
      <c r="F1931" s="31"/>
      <c r="G1931" s="31"/>
      <c r="H1931" s="31"/>
      <c r="I1931" s="47"/>
      <c r="J1931" s="31"/>
      <c r="K1931" s="47"/>
      <c r="L1931" s="47"/>
      <c r="M1931" s="47"/>
      <c r="N1931" s="31"/>
      <c r="O1931" s="47"/>
      <c r="P1931" s="31"/>
      <c r="Q1931" s="31"/>
      <c r="R1931" s="31"/>
      <c r="S1931" s="31"/>
      <c r="T1931" s="270">
        <f t="shared" si="240"/>
        <v>0</v>
      </c>
      <c r="U1931" s="270">
        <f t="shared" si="241"/>
        <v>0</v>
      </c>
      <c r="V1931" s="31"/>
      <c r="X1931" s="240" t="str">
        <f t="shared" si="242"/>
        <v>OK</v>
      </c>
      <c r="Y1931" s="240" t="str">
        <f t="shared" si="243"/>
        <v>OK</v>
      </c>
      <c r="Z1931" s="240" t="str">
        <f t="shared" si="244"/>
        <v>OK</v>
      </c>
      <c r="AA1931" s="240" t="str" cm="1">
        <f t="array" ref="AA1931">IF(OR(AND(J1931="Not accepted",N1931:O1931&lt;&gt;"",$S1931=""),AND(J1931="Accepted",S1931="")),"ERROR","OK")</f>
        <v>OK</v>
      </c>
      <c r="AB1931" s="240" t="str">
        <f t="shared" si="245"/>
        <v>OK</v>
      </c>
      <c r="AC1931" s="240" t="str" cm="1">
        <f t="array" ref="AC1931">IF(AND(F1931:H1931&lt;&gt;"",I1931=""),"ERROR","OK")</f>
        <v>OK</v>
      </c>
      <c r="AD1931" s="240" t="str">
        <f t="shared" si="246"/>
        <v>OK</v>
      </c>
      <c r="AE1931" s="240" t="str">
        <f t="shared" si="247"/>
        <v>OK</v>
      </c>
      <c r="AF1931" s="240" t="str" cm="1">
        <f t="array" aca="1" ref="AF1931" ca="1" xml:space="preserve">
IF(AND($G1931&lt;&gt;"",$F1931=""),"ERROR",
IF(OR($F1931:$G1931="",AND($G1931="",$F1931&lt;&gt;"")),"OK",
IF(COUNTIF(INDIRECT(IFERROR(LEFT($F1931,FIND(" ",$F1931)-1),$F1931)), $G1931)&gt;0, "OK", "ERROR")))</f>
        <v>OK</v>
      </c>
    </row>
    <row r="1932" spans="1:32" s="240" customFormat="1">
      <c r="A1932" s="48"/>
      <c r="B1932" s="31"/>
      <c r="C1932" s="48"/>
      <c r="D1932" s="47"/>
      <c r="E1932" s="47"/>
      <c r="F1932" s="31"/>
      <c r="G1932" s="31"/>
      <c r="H1932" s="31"/>
      <c r="I1932" s="47"/>
      <c r="J1932" s="31"/>
      <c r="K1932" s="47"/>
      <c r="L1932" s="47"/>
      <c r="M1932" s="47"/>
      <c r="N1932" s="31"/>
      <c r="O1932" s="47"/>
      <c r="P1932" s="31"/>
      <c r="Q1932" s="31"/>
      <c r="R1932" s="31"/>
      <c r="S1932" s="31"/>
      <c r="T1932" s="270">
        <f t="shared" si="240"/>
        <v>0</v>
      </c>
      <c r="U1932" s="270">
        <f t="shared" si="241"/>
        <v>0</v>
      </c>
      <c r="V1932" s="31"/>
      <c r="X1932" s="240" t="str">
        <f t="shared" si="242"/>
        <v>OK</v>
      </c>
      <c r="Y1932" s="240" t="str">
        <f t="shared" si="243"/>
        <v>OK</v>
      </c>
      <c r="Z1932" s="240" t="str">
        <f t="shared" si="244"/>
        <v>OK</v>
      </c>
      <c r="AA1932" s="240" t="str" cm="1">
        <f t="array" ref="AA1932">IF(OR(AND(J1932="Not accepted",N1932:O1932&lt;&gt;"",$S1932=""),AND(J1932="Accepted",S1932="")),"ERROR","OK")</f>
        <v>OK</v>
      </c>
      <c r="AB1932" s="240" t="str">
        <f t="shared" si="245"/>
        <v>OK</v>
      </c>
      <c r="AC1932" s="240" t="str" cm="1">
        <f t="array" ref="AC1932">IF(AND(F1932:H1932&lt;&gt;"",I1932=""),"ERROR","OK")</f>
        <v>OK</v>
      </c>
      <c r="AD1932" s="240" t="str">
        <f t="shared" si="246"/>
        <v>OK</v>
      </c>
      <c r="AE1932" s="240" t="str">
        <f t="shared" si="247"/>
        <v>OK</v>
      </c>
      <c r="AF1932" s="240" t="str" cm="1">
        <f t="array" aca="1" ref="AF1932" ca="1" xml:space="preserve">
IF(AND($G1932&lt;&gt;"",$F1932=""),"ERROR",
IF(OR($F1932:$G1932="",AND($G1932="",$F1932&lt;&gt;"")),"OK",
IF(COUNTIF(INDIRECT(IFERROR(LEFT($F1932,FIND(" ",$F1932)-1),$F1932)), $G1932)&gt;0, "OK", "ERROR")))</f>
        <v>OK</v>
      </c>
    </row>
    <row r="1933" spans="1:32" s="240" customFormat="1">
      <c r="A1933" s="48"/>
      <c r="B1933" s="31"/>
      <c r="C1933" s="48"/>
      <c r="D1933" s="47"/>
      <c r="E1933" s="47"/>
      <c r="F1933" s="31"/>
      <c r="G1933" s="31"/>
      <c r="H1933" s="31"/>
      <c r="I1933" s="47"/>
      <c r="J1933" s="31"/>
      <c r="K1933" s="47"/>
      <c r="L1933" s="47"/>
      <c r="M1933" s="47"/>
      <c r="N1933" s="31"/>
      <c r="O1933" s="47"/>
      <c r="P1933" s="31"/>
      <c r="Q1933" s="31"/>
      <c r="R1933" s="31"/>
      <c r="S1933" s="31"/>
      <c r="T1933" s="270">
        <f t="shared" si="240"/>
        <v>0</v>
      </c>
      <c r="U1933" s="270">
        <f t="shared" si="241"/>
        <v>0</v>
      </c>
      <c r="V1933" s="31"/>
      <c r="X1933" s="240" t="str">
        <f t="shared" si="242"/>
        <v>OK</v>
      </c>
      <c r="Y1933" s="240" t="str">
        <f t="shared" si="243"/>
        <v>OK</v>
      </c>
      <c r="Z1933" s="240" t="str">
        <f t="shared" si="244"/>
        <v>OK</v>
      </c>
      <c r="AA1933" s="240" t="str" cm="1">
        <f t="array" ref="AA1933">IF(OR(AND(J1933="Not accepted",N1933:O1933&lt;&gt;"",$S1933=""),AND(J1933="Accepted",S1933="")),"ERROR","OK")</f>
        <v>OK</v>
      </c>
      <c r="AB1933" s="240" t="str">
        <f t="shared" si="245"/>
        <v>OK</v>
      </c>
      <c r="AC1933" s="240" t="str" cm="1">
        <f t="array" ref="AC1933">IF(AND(F1933:H1933&lt;&gt;"",I1933=""),"ERROR","OK")</f>
        <v>OK</v>
      </c>
      <c r="AD1933" s="240" t="str">
        <f t="shared" si="246"/>
        <v>OK</v>
      </c>
      <c r="AE1933" s="240" t="str">
        <f t="shared" si="247"/>
        <v>OK</v>
      </c>
      <c r="AF1933" s="240" t="str" cm="1">
        <f t="array" aca="1" ref="AF1933" ca="1" xml:space="preserve">
IF(AND($G1933&lt;&gt;"",$F1933=""),"ERROR",
IF(OR($F1933:$G1933="",AND($G1933="",$F1933&lt;&gt;"")),"OK",
IF(COUNTIF(INDIRECT(IFERROR(LEFT($F1933,FIND(" ",$F1933)-1),$F1933)), $G1933)&gt;0, "OK", "ERROR")))</f>
        <v>OK</v>
      </c>
    </row>
    <row r="1934" spans="1:32" s="240" customFormat="1">
      <c r="A1934" s="48"/>
      <c r="B1934" s="31"/>
      <c r="C1934" s="48"/>
      <c r="D1934" s="47"/>
      <c r="E1934" s="47"/>
      <c r="F1934" s="31"/>
      <c r="G1934" s="31"/>
      <c r="H1934" s="31"/>
      <c r="I1934" s="47"/>
      <c r="J1934" s="31"/>
      <c r="K1934" s="47"/>
      <c r="L1934" s="47"/>
      <c r="M1934" s="47"/>
      <c r="N1934" s="31"/>
      <c r="O1934" s="47"/>
      <c r="P1934" s="31"/>
      <c r="Q1934" s="31"/>
      <c r="R1934" s="31"/>
      <c r="S1934" s="31"/>
      <c r="T1934" s="270">
        <f t="shared" si="240"/>
        <v>0</v>
      </c>
      <c r="U1934" s="270">
        <f t="shared" si="241"/>
        <v>0</v>
      </c>
      <c r="V1934" s="31"/>
      <c r="X1934" s="240" t="str">
        <f t="shared" si="242"/>
        <v>OK</v>
      </c>
      <c r="Y1934" s="240" t="str">
        <f t="shared" si="243"/>
        <v>OK</v>
      </c>
      <c r="Z1934" s="240" t="str">
        <f t="shared" si="244"/>
        <v>OK</v>
      </c>
      <c r="AA1934" s="240" t="str" cm="1">
        <f t="array" ref="AA1934">IF(OR(AND(J1934="Not accepted",N1934:O1934&lt;&gt;"",$S1934=""),AND(J1934="Accepted",S1934="")),"ERROR","OK")</f>
        <v>OK</v>
      </c>
      <c r="AB1934" s="240" t="str">
        <f t="shared" si="245"/>
        <v>OK</v>
      </c>
      <c r="AC1934" s="240" t="str" cm="1">
        <f t="array" ref="AC1934">IF(AND(F1934:H1934&lt;&gt;"",I1934=""),"ERROR","OK")</f>
        <v>OK</v>
      </c>
      <c r="AD1934" s="240" t="str">
        <f t="shared" si="246"/>
        <v>OK</v>
      </c>
      <c r="AE1934" s="240" t="str">
        <f t="shared" si="247"/>
        <v>OK</v>
      </c>
      <c r="AF1934" s="240" t="str" cm="1">
        <f t="array" aca="1" ref="AF1934" ca="1" xml:space="preserve">
IF(AND($G1934&lt;&gt;"",$F1934=""),"ERROR",
IF(OR($F1934:$G1934="",AND($G1934="",$F1934&lt;&gt;"")),"OK",
IF(COUNTIF(INDIRECT(IFERROR(LEFT($F1934,FIND(" ",$F1934)-1),$F1934)), $G1934)&gt;0, "OK", "ERROR")))</f>
        <v>OK</v>
      </c>
    </row>
    <row r="1935" spans="1:32" s="240" customFormat="1">
      <c r="A1935" s="48"/>
      <c r="B1935" s="31"/>
      <c r="C1935" s="48"/>
      <c r="D1935" s="47"/>
      <c r="E1935" s="47"/>
      <c r="F1935" s="31"/>
      <c r="G1935" s="31"/>
      <c r="H1935" s="31"/>
      <c r="I1935" s="47"/>
      <c r="J1935" s="31"/>
      <c r="K1935" s="47"/>
      <c r="L1935" s="47"/>
      <c r="M1935" s="47"/>
      <c r="N1935" s="31"/>
      <c r="O1935" s="47"/>
      <c r="P1935" s="31"/>
      <c r="Q1935" s="31"/>
      <c r="R1935" s="31"/>
      <c r="S1935" s="31"/>
      <c r="T1935" s="270">
        <f t="shared" si="240"/>
        <v>0</v>
      </c>
      <c r="U1935" s="270">
        <f t="shared" si="241"/>
        <v>0</v>
      </c>
      <c r="V1935" s="31"/>
      <c r="X1935" s="240" t="str">
        <f t="shared" si="242"/>
        <v>OK</v>
      </c>
      <c r="Y1935" s="240" t="str">
        <f t="shared" si="243"/>
        <v>OK</v>
      </c>
      <c r="Z1935" s="240" t="str">
        <f t="shared" si="244"/>
        <v>OK</v>
      </c>
      <c r="AA1935" s="240" t="str" cm="1">
        <f t="array" ref="AA1935">IF(OR(AND(J1935="Not accepted",N1935:O1935&lt;&gt;"",$S1935=""),AND(J1935="Accepted",S1935="")),"ERROR","OK")</f>
        <v>OK</v>
      </c>
      <c r="AB1935" s="240" t="str">
        <f t="shared" si="245"/>
        <v>OK</v>
      </c>
      <c r="AC1935" s="240" t="str" cm="1">
        <f t="array" ref="AC1935">IF(AND(F1935:H1935&lt;&gt;"",I1935=""),"ERROR","OK")</f>
        <v>OK</v>
      </c>
      <c r="AD1935" s="240" t="str">
        <f t="shared" si="246"/>
        <v>OK</v>
      </c>
      <c r="AE1935" s="240" t="str">
        <f t="shared" si="247"/>
        <v>OK</v>
      </c>
      <c r="AF1935" s="240" t="str" cm="1">
        <f t="array" aca="1" ref="AF1935" ca="1" xml:space="preserve">
IF(AND($G1935&lt;&gt;"",$F1935=""),"ERROR",
IF(OR($F1935:$G1935="",AND($G1935="",$F1935&lt;&gt;"")),"OK",
IF(COUNTIF(INDIRECT(IFERROR(LEFT($F1935,FIND(" ",$F1935)-1),$F1935)), $G1935)&gt;0, "OK", "ERROR")))</f>
        <v>OK</v>
      </c>
    </row>
    <row r="1936" spans="1:32" s="240" customFormat="1">
      <c r="A1936" s="48"/>
      <c r="B1936" s="31"/>
      <c r="C1936" s="48"/>
      <c r="D1936" s="47"/>
      <c r="E1936" s="47"/>
      <c r="F1936" s="31"/>
      <c r="G1936" s="31"/>
      <c r="H1936" s="31"/>
      <c r="I1936" s="47"/>
      <c r="J1936" s="31"/>
      <c r="K1936" s="47"/>
      <c r="L1936" s="47"/>
      <c r="M1936" s="47"/>
      <c r="N1936" s="31"/>
      <c r="O1936" s="47"/>
      <c r="P1936" s="31"/>
      <c r="Q1936" s="31"/>
      <c r="R1936" s="31"/>
      <c r="S1936" s="31"/>
      <c r="T1936" s="270">
        <f t="shared" si="240"/>
        <v>0</v>
      </c>
      <c r="U1936" s="270">
        <f t="shared" si="241"/>
        <v>0</v>
      </c>
      <c r="V1936" s="31"/>
      <c r="X1936" s="240" t="str">
        <f t="shared" si="242"/>
        <v>OK</v>
      </c>
      <c r="Y1936" s="240" t="str">
        <f t="shared" si="243"/>
        <v>OK</v>
      </c>
      <c r="Z1936" s="240" t="str">
        <f t="shared" si="244"/>
        <v>OK</v>
      </c>
      <c r="AA1936" s="240" t="str" cm="1">
        <f t="array" ref="AA1936">IF(OR(AND(J1936="Not accepted",N1936:O1936&lt;&gt;"",$S1936=""),AND(J1936="Accepted",S1936="")),"ERROR","OK")</f>
        <v>OK</v>
      </c>
      <c r="AB1936" s="240" t="str">
        <f t="shared" si="245"/>
        <v>OK</v>
      </c>
      <c r="AC1936" s="240" t="str" cm="1">
        <f t="array" ref="AC1936">IF(AND(F1936:H1936&lt;&gt;"",I1936=""),"ERROR","OK")</f>
        <v>OK</v>
      </c>
      <c r="AD1936" s="240" t="str">
        <f t="shared" si="246"/>
        <v>OK</v>
      </c>
      <c r="AE1936" s="240" t="str">
        <f t="shared" si="247"/>
        <v>OK</v>
      </c>
      <c r="AF1936" s="240" t="str" cm="1">
        <f t="array" aca="1" ref="AF1936" ca="1" xml:space="preserve">
IF(AND($G1936&lt;&gt;"",$F1936=""),"ERROR",
IF(OR($F1936:$G1936="",AND($G1936="",$F1936&lt;&gt;"")),"OK",
IF(COUNTIF(INDIRECT(IFERROR(LEFT($F1936,FIND(" ",$F1936)-1),$F1936)), $G1936)&gt;0, "OK", "ERROR")))</f>
        <v>OK</v>
      </c>
    </row>
    <row r="1937" spans="1:32" s="240" customFormat="1">
      <c r="A1937" s="48"/>
      <c r="B1937" s="31"/>
      <c r="C1937" s="48"/>
      <c r="D1937" s="47"/>
      <c r="E1937" s="47"/>
      <c r="F1937" s="31"/>
      <c r="G1937" s="31"/>
      <c r="H1937" s="31"/>
      <c r="I1937" s="47"/>
      <c r="J1937" s="31"/>
      <c r="K1937" s="47"/>
      <c r="L1937" s="47"/>
      <c r="M1937" s="47"/>
      <c r="N1937" s="31"/>
      <c r="O1937" s="47"/>
      <c r="P1937" s="31"/>
      <c r="Q1937" s="31"/>
      <c r="R1937" s="31"/>
      <c r="S1937" s="31"/>
      <c r="T1937" s="270">
        <f t="shared" si="240"/>
        <v>0</v>
      </c>
      <c r="U1937" s="270">
        <f t="shared" si="241"/>
        <v>0</v>
      </c>
      <c r="V1937" s="31"/>
      <c r="X1937" s="240" t="str">
        <f t="shared" si="242"/>
        <v>OK</v>
      </c>
      <c r="Y1937" s="240" t="str">
        <f t="shared" si="243"/>
        <v>OK</v>
      </c>
      <c r="Z1937" s="240" t="str">
        <f t="shared" si="244"/>
        <v>OK</v>
      </c>
      <c r="AA1937" s="240" t="str" cm="1">
        <f t="array" ref="AA1937">IF(OR(AND(J1937="Not accepted",N1937:O1937&lt;&gt;"",$S1937=""),AND(J1937="Accepted",S1937="")),"ERROR","OK")</f>
        <v>OK</v>
      </c>
      <c r="AB1937" s="240" t="str">
        <f t="shared" si="245"/>
        <v>OK</v>
      </c>
      <c r="AC1937" s="240" t="str" cm="1">
        <f t="array" ref="AC1937">IF(AND(F1937:H1937&lt;&gt;"",I1937=""),"ERROR","OK")</f>
        <v>OK</v>
      </c>
      <c r="AD1937" s="240" t="str">
        <f t="shared" si="246"/>
        <v>OK</v>
      </c>
      <c r="AE1937" s="240" t="str">
        <f t="shared" si="247"/>
        <v>OK</v>
      </c>
      <c r="AF1937" s="240" t="str" cm="1">
        <f t="array" aca="1" ref="AF1937" ca="1" xml:space="preserve">
IF(AND($G1937&lt;&gt;"",$F1937=""),"ERROR",
IF(OR($F1937:$G1937="",AND($G1937="",$F1937&lt;&gt;"")),"OK",
IF(COUNTIF(INDIRECT(IFERROR(LEFT($F1937,FIND(" ",$F1937)-1),$F1937)), $G1937)&gt;0, "OK", "ERROR")))</f>
        <v>OK</v>
      </c>
    </row>
    <row r="1938" spans="1:32" s="240" customFormat="1">
      <c r="A1938" s="48"/>
      <c r="B1938" s="31"/>
      <c r="C1938" s="48"/>
      <c r="D1938" s="47"/>
      <c r="E1938" s="47"/>
      <c r="F1938" s="31"/>
      <c r="G1938" s="31"/>
      <c r="H1938" s="31"/>
      <c r="I1938" s="47"/>
      <c r="J1938" s="31"/>
      <c r="K1938" s="47"/>
      <c r="L1938" s="47"/>
      <c r="M1938" s="47"/>
      <c r="N1938" s="31"/>
      <c r="O1938" s="47"/>
      <c r="P1938" s="31"/>
      <c r="Q1938" s="31"/>
      <c r="R1938" s="31"/>
      <c r="S1938" s="31"/>
      <c r="T1938" s="270">
        <f t="shared" si="240"/>
        <v>0</v>
      </c>
      <c r="U1938" s="270">
        <f t="shared" si="241"/>
        <v>0</v>
      </c>
      <c r="V1938" s="31"/>
      <c r="X1938" s="240" t="str">
        <f t="shared" si="242"/>
        <v>OK</v>
      </c>
      <c r="Y1938" s="240" t="str">
        <f t="shared" si="243"/>
        <v>OK</v>
      </c>
      <c r="Z1938" s="240" t="str">
        <f t="shared" si="244"/>
        <v>OK</v>
      </c>
      <c r="AA1938" s="240" t="str" cm="1">
        <f t="array" ref="AA1938">IF(OR(AND(J1938="Not accepted",N1938:O1938&lt;&gt;"",$S1938=""),AND(J1938="Accepted",S1938="")),"ERROR","OK")</f>
        <v>OK</v>
      </c>
      <c r="AB1938" s="240" t="str">
        <f t="shared" si="245"/>
        <v>OK</v>
      </c>
      <c r="AC1938" s="240" t="str" cm="1">
        <f t="array" ref="AC1938">IF(AND(F1938:H1938&lt;&gt;"",I1938=""),"ERROR","OK")</f>
        <v>OK</v>
      </c>
      <c r="AD1938" s="240" t="str">
        <f t="shared" si="246"/>
        <v>OK</v>
      </c>
      <c r="AE1938" s="240" t="str">
        <f t="shared" si="247"/>
        <v>OK</v>
      </c>
      <c r="AF1938" s="240" t="str" cm="1">
        <f t="array" aca="1" ref="AF1938" ca="1" xml:space="preserve">
IF(AND($G1938&lt;&gt;"",$F1938=""),"ERROR",
IF(OR($F1938:$G1938="",AND($G1938="",$F1938&lt;&gt;"")),"OK",
IF(COUNTIF(INDIRECT(IFERROR(LEFT($F1938,FIND(" ",$F1938)-1),$F1938)), $G1938)&gt;0, "OK", "ERROR")))</f>
        <v>OK</v>
      </c>
    </row>
    <row r="1939" spans="1:32" s="240" customFormat="1">
      <c r="A1939" s="48"/>
      <c r="B1939" s="31"/>
      <c r="C1939" s="48"/>
      <c r="D1939" s="47"/>
      <c r="E1939" s="47"/>
      <c r="F1939" s="31"/>
      <c r="G1939" s="31"/>
      <c r="H1939" s="31"/>
      <c r="I1939" s="47"/>
      <c r="J1939" s="31"/>
      <c r="K1939" s="47"/>
      <c r="L1939" s="47"/>
      <c r="M1939" s="47"/>
      <c r="N1939" s="31"/>
      <c r="O1939" s="47"/>
      <c r="P1939" s="31"/>
      <c r="Q1939" s="31"/>
      <c r="R1939" s="31"/>
      <c r="S1939" s="31"/>
      <c r="T1939" s="270">
        <f t="shared" si="240"/>
        <v>0</v>
      </c>
      <c r="U1939" s="270">
        <f t="shared" si="241"/>
        <v>0</v>
      </c>
      <c r="V1939" s="31"/>
      <c r="X1939" s="240" t="str">
        <f t="shared" si="242"/>
        <v>OK</v>
      </c>
      <c r="Y1939" s="240" t="str">
        <f t="shared" si="243"/>
        <v>OK</v>
      </c>
      <c r="Z1939" s="240" t="str">
        <f t="shared" si="244"/>
        <v>OK</v>
      </c>
      <c r="AA1939" s="240" t="str" cm="1">
        <f t="array" ref="AA1939">IF(OR(AND(J1939="Not accepted",N1939:O1939&lt;&gt;"",$S1939=""),AND(J1939="Accepted",S1939="")),"ERROR","OK")</f>
        <v>OK</v>
      </c>
      <c r="AB1939" s="240" t="str">
        <f t="shared" si="245"/>
        <v>OK</v>
      </c>
      <c r="AC1939" s="240" t="str" cm="1">
        <f t="array" ref="AC1939">IF(AND(F1939:H1939&lt;&gt;"",I1939=""),"ERROR","OK")</f>
        <v>OK</v>
      </c>
      <c r="AD1939" s="240" t="str">
        <f t="shared" si="246"/>
        <v>OK</v>
      </c>
      <c r="AE1939" s="240" t="str">
        <f t="shared" si="247"/>
        <v>OK</v>
      </c>
      <c r="AF1939" s="240" t="str" cm="1">
        <f t="array" aca="1" ref="AF1939" ca="1" xml:space="preserve">
IF(AND($G1939&lt;&gt;"",$F1939=""),"ERROR",
IF(OR($F1939:$G1939="",AND($G1939="",$F1939&lt;&gt;"")),"OK",
IF(COUNTIF(INDIRECT(IFERROR(LEFT($F1939,FIND(" ",$F1939)-1),$F1939)), $G1939)&gt;0, "OK", "ERROR")))</f>
        <v>OK</v>
      </c>
    </row>
    <row r="1940" spans="1:32" s="240" customFormat="1">
      <c r="A1940" s="48"/>
      <c r="B1940" s="31"/>
      <c r="C1940" s="48"/>
      <c r="D1940" s="47"/>
      <c r="E1940" s="47"/>
      <c r="F1940" s="31"/>
      <c r="G1940" s="31"/>
      <c r="H1940" s="31"/>
      <c r="I1940" s="47"/>
      <c r="J1940" s="31"/>
      <c r="K1940" s="47"/>
      <c r="L1940" s="47"/>
      <c r="M1940" s="47"/>
      <c r="N1940" s="31"/>
      <c r="O1940" s="47"/>
      <c r="P1940" s="31"/>
      <c r="Q1940" s="31"/>
      <c r="R1940" s="31"/>
      <c r="S1940" s="31"/>
      <c r="T1940" s="270">
        <f t="shared" si="240"/>
        <v>0</v>
      </c>
      <c r="U1940" s="270">
        <f t="shared" si="241"/>
        <v>0</v>
      </c>
      <c r="V1940" s="31"/>
      <c r="X1940" s="240" t="str">
        <f t="shared" si="242"/>
        <v>OK</v>
      </c>
      <c r="Y1940" s="240" t="str">
        <f t="shared" si="243"/>
        <v>OK</v>
      </c>
      <c r="Z1940" s="240" t="str">
        <f t="shared" si="244"/>
        <v>OK</v>
      </c>
      <c r="AA1940" s="240" t="str" cm="1">
        <f t="array" ref="AA1940">IF(OR(AND(J1940="Not accepted",N1940:O1940&lt;&gt;"",$S1940=""),AND(J1940="Accepted",S1940="")),"ERROR","OK")</f>
        <v>OK</v>
      </c>
      <c r="AB1940" s="240" t="str">
        <f t="shared" si="245"/>
        <v>OK</v>
      </c>
      <c r="AC1940" s="240" t="str" cm="1">
        <f t="array" ref="AC1940">IF(AND(F1940:H1940&lt;&gt;"",I1940=""),"ERROR","OK")</f>
        <v>OK</v>
      </c>
      <c r="AD1940" s="240" t="str">
        <f t="shared" si="246"/>
        <v>OK</v>
      </c>
      <c r="AE1940" s="240" t="str">
        <f t="shared" si="247"/>
        <v>OK</v>
      </c>
      <c r="AF1940" s="240" t="str" cm="1">
        <f t="array" aca="1" ref="AF1940" ca="1" xml:space="preserve">
IF(AND($G1940&lt;&gt;"",$F1940=""),"ERROR",
IF(OR($F1940:$G1940="",AND($G1940="",$F1940&lt;&gt;"")),"OK",
IF(COUNTIF(INDIRECT(IFERROR(LEFT($F1940,FIND(" ",$F1940)-1),$F1940)), $G1940)&gt;0, "OK", "ERROR")))</f>
        <v>OK</v>
      </c>
    </row>
    <row r="1941" spans="1:32" s="240" customFormat="1">
      <c r="A1941" s="48"/>
      <c r="B1941" s="31"/>
      <c r="C1941" s="48"/>
      <c r="D1941" s="47"/>
      <c r="E1941" s="47"/>
      <c r="F1941" s="31"/>
      <c r="G1941" s="31"/>
      <c r="H1941" s="31"/>
      <c r="I1941" s="47"/>
      <c r="J1941" s="31"/>
      <c r="K1941" s="47"/>
      <c r="L1941" s="47"/>
      <c r="M1941" s="47"/>
      <c r="N1941" s="31"/>
      <c r="O1941" s="47"/>
      <c r="P1941" s="31"/>
      <c r="Q1941" s="31"/>
      <c r="R1941" s="31"/>
      <c r="S1941" s="31"/>
      <c r="T1941" s="270">
        <f t="shared" si="240"/>
        <v>0</v>
      </c>
      <c r="U1941" s="270">
        <f t="shared" si="241"/>
        <v>0</v>
      </c>
      <c r="V1941" s="31"/>
      <c r="X1941" s="240" t="str">
        <f t="shared" si="242"/>
        <v>OK</v>
      </c>
      <c r="Y1941" s="240" t="str">
        <f t="shared" si="243"/>
        <v>OK</v>
      </c>
      <c r="Z1941" s="240" t="str">
        <f t="shared" si="244"/>
        <v>OK</v>
      </c>
      <c r="AA1941" s="240" t="str" cm="1">
        <f t="array" ref="AA1941">IF(OR(AND(J1941="Not accepted",N1941:O1941&lt;&gt;"",$S1941=""),AND(J1941="Accepted",S1941="")),"ERROR","OK")</f>
        <v>OK</v>
      </c>
      <c r="AB1941" s="240" t="str">
        <f t="shared" si="245"/>
        <v>OK</v>
      </c>
      <c r="AC1941" s="240" t="str" cm="1">
        <f t="array" ref="AC1941">IF(AND(F1941:H1941&lt;&gt;"",I1941=""),"ERROR","OK")</f>
        <v>OK</v>
      </c>
      <c r="AD1941" s="240" t="str">
        <f t="shared" si="246"/>
        <v>OK</v>
      </c>
      <c r="AE1941" s="240" t="str">
        <f t="shared" si="247"/>
        <v>OK</v>
      </c>
      <c r="AF1941" s="240" t="str" cm="1">
        <f t="array" aca="1" ref="AF1941" ca="1" xml:space="preserve">
IF(AND($G1941&lt;&gt;"",$F1941=""),"ERROR",
IF(OR($F1941:$G1941="",AND($G1941="",$F1941&lt;&gt;"")),"OK",
IF(COUNTIF(INDIRECT(IFERROR(LEFT($F1941,FIND(" ",$F1941)-1),$F1941)), $G1941)&gt;0, "OK", "ERROR")))</f>
        <v>OK</v>
      </c>
    </row>
    <row r="1942" spans="1:32" s="240" customFormat="1">
      <c r="A1942" s="48"/>
      <c r="B1942" s="31"/>
      <c r="C1942" s="48"/>
      <c r="D1942" s="47"/>
      <c r="E1942" s="47"/>
      <c r="F1942" s="31"/>
      <c r="G1942" s="31"/>
      <c r="H1942" s="31"/>
      <c r="I1942" s="47"/>
      <c r="J1942" s="31"/>
      <c r="K1942" s="47"/>
      <c r="L1942" s="47"/>
      <c r="M1942" s="47"/>
      <c r="N1942" s="31"/>
      <c r="O1942" s="47"/>
      <c r="P1942" s="31"/>
      <c r="Q1942" s="31"/>
      <c r="R1942" s="31"/>
      <c r="S1942" s="31"/>
      <c r="T1942" s="270">
        <f t="shared" si="240"/>
        <v>0</v>
      </c>
      <c r="U1942" s="270">
        <f t="shared" si="241"/>
        <v>0</v>
      </c>
      <c r="V1942" s="31"/>
      <c r="X1942" s="240" t="str">
        <f t="shared" si="242"/>
        <v>OK</v>
      </c>
      <c r="Y1942" s="240" t="str">
        <f t="shared" si="243"/>
        <v>OK</v>
      </c>
      <c r="Z1942" s="240" t="str">
        <f t="shared" si="244"/>
        <v>OK</v>
      </c>
      <c r="AA1942" s="240" t="str" cm="1">
        <f t="array" ref="AA1942">IF(OR(AND(J1942="Not accepted",N1942:O1942&lt;&gt;"",$S1942=""),AND(J1942="Accepted",S1942="")),"ERROR","OK")</f>
        <v>OK</v>
      </c>
      <c r="AB1942" s="240" t="str">
        <f t="shared" si="245"/>
        <v>OK</v>
      </c>
      <c r="AC1942" s="240" t="str" cm="1">
        <f t="array" ref="AC1942">IF(AND(F1942:H1942&lt;&gt;"",I1942=""),"ERROR","OK")</f>
        <v>OK</v>
      </c>
      <c r="AD1942" s="240" t="str">
        <f t="shared" si="246"/>
        <v>OK</v>
      </c>
      <c r="AE1942" s="240" t="str">
        <f t="shared" si="247"/>
        <v>OK</v>
      </c>
      <c r="AF1942" s="240" t="str" cm="1">
        <f t="array" aca="1" ref="AF1942" ca="1" xml:space="preserve">
IF(AND($G1942&lt;&gt;"",$F1942=""),"ERROR",
IF(OR($F1942:$G1942="",AND($G1942="",$F1942&lt;&gt;"")),"OK",
IF(COUNTIF(INDIRECT(IFERROR(LEFT($F1942,FIND(" ",$F1942)-1),$F1942)), $G1942)&gt;0, "OK", "ERROR")))</f>
        <v>OK</v>
      </c>
    </row>
    <row r="1943" spans="1:32" s="240" customFormat="1">
      <c r="A1943" s="48"/>
      <c r="B1943" s="31"/>
      <c r="C1943" s="48"/>
      <c r="D1943" s="47"/>
      <c r="E1943" s="47"/>
      <c r="F1943" s="31"/>
      <c r="G1943" s="31"/>
      <c r="H1943" s="31"/>
      <c r="I1943" s="47"/>
      <c r="J1943" s="31"/>
      <c r="K1943" s="47"/>
      <c r="L1943" s="47"/>
      <c r="M1943" s="47"/>
      <c r="N1943" s="31"/>
      <c r="O1943" s="47"/>
      <c r="P1943" s="31"/>
      <c r="Q1943" s="31"/>
      <c r="R1943" s="31"/>
      <c r="S1943" s="31"/>
      <c r="T1943" s="270">
        <f t="shared" si="240"/>
        <v>0</v>
      </c>
      <c r="U1943" s="270">
        <f t="shared" si="241"/>
        <v>0</v>
      </c>
      <c r="V1943" s="31"/>
      <c r="X1943" s="240" t="str">
        <f t="shared" si="242"/>
        <v>OK</v>
      </c>
      <c r="Y1943" s="240" t="str">
        <f t="shared" si="243"/>
        <v>OK</v>
      </c>
      <c r="Z1943" s="240" t="str">
        <f t="shared" si="244"/>
        <v>OK</v>
      </c>
      <c r="AA1943" s="240" t="str" cm="1">
        <f t="array" ref="AA1943">IF(OR(AND(J1943="Not accepted",N1943:O1943&lt;&gt;"",$S1943=""),AND(J1943="Accepted",S1943="")),"ERROR","OK")</f>
        <v>OK</v>
      </c>
      <c r="AB1943" s="240" t="str">
        <f t="shared" si="245"/>
        <v>OK</v>
      </c>
      <c r="AC1943" s="240" t="str" cm="1">
        <f t="array" ref="AC1943">IF(AND(F1943:H1943&lt;&gt;"",I1943=""),"ERROR","OK")</f>
        <v>OK</v>
      </c>
      <c r="AD1943" s="240" t="str">
        <f t="shared" si="246"/>
        <v>OK</v>
      </c>
      <c r="AE1943" s="240" t="str">
        <f t="shared" si="247"/>
        <v>OK</v>
      </c>
      <c r="AF1943" s="240" t="str" cm="1">
        <f t="array" aca="1" ref="AF1943" ca="1" xml:space="preserve">
IF(AND($G1943&lt;&gt;"",$F1943=""),"ERROR",
IF(OR($F1943:$G1943="",AND($G1943="",$F1943&lt;&gt;"")),"OK",
IF(COUNTIF(INDIRECT(IFERROR(LEFT($F1943,FIND(" ",$F1943)-1),$F1943)), $G1943)&gt;0, "OK", "ERROR")))</f>
        <v>OK</v>
      </c>
    </row>
    <row r="1944" spans="1:32" s="240" customFormat="1">
      <c r="A1944" s="48"/>
      <c r="B1944" s="31"/>
      <c r="C1944" s="48"/>
      <c r="D1944" s="47"/>
      <c r="E1944" s="47"/>
      <c r="F1944" s="31"/>
      <c r="G1944" s="31"/>
      <c r="H1944" s="31"/>
      <c r="I1944" s="47"/>
      <c r="J1944" s="31"/>
      <c r="K1944" s="47"/>
      <c r="L1944" s="47"/>
      <c r="M1944" s="47"/>
      <c r="N1944" s="31"/>
      <c r="O1944" s="47"/>
      <c r="P1944" s="31"/>
      <c r="Q1944" s="31"/>
      <c r="R1944" s="31"/>
      <c r="S1944" s="31"/>
      <c r="T1944" s="270">
        <f t="shared" si="240"/>
        <v>0</v>
      </c>
      <c r="U1944" s="270">
        <f t="shared" si="241"/>
        <v>0</v>
      </c>
      <c r="V1944" s="31"/>
      <c r="X1944" s="240" t="str">
        <f t="shared" si="242"/>
        <v>OK</v>
      </c>
      <c r="Y1944" s="240" t="str">
        <f t="shared" si="243"/>
        <v>OK</v>
      </c>
      <c r="Z1944" s="240" t="str">
        <f t="shared" si="244"/>
        <v>OK</v>
      </c>
      <c r="AA1944" s="240" t="str" cm="1">
        <f t="array" ref="AA1944">IF(OR(AND(J1944="Not accepted",N1944:O1944&lt;&gt;"",$S1944=""),AND(J1944="Accepted",S1944="")),"ERROR","OK")</f>
        <v>OK</v>
      </c>
      <c r="AB1944" s="240" t="str">
        <f t="shared" si="245"/>
        <v>OK</v>
      </c>
      <c r="AC1944" s="240" t="str" cm="1">
        <f t="array" ref="AC1944">IF(AND(F1944:H1944&lt;&gt;"",I1944=""),"ERROR","OK")</f>
        <v>OK</v>
      </c>
      <c r="AD1944" s="240" t="str">
        <f t="shared" si="246"/>
        <v>OK</v>
      </c>
      <c r="AE1944" s="240" t="str">
        <f t="shared" si="247"/>
        <v>OK</v>
      </c>
      <c r="AF1944" s="240" t="str" cm="1">
        <f t="array" aca="1" ref="AF1944" ca="1" xml:space="preserve">
IF(AND($G1944&lt;&gt;"",$F1944=""),"ERROR",
IF(OR($F1944:$G1944="",AND($G1944="",$F1944&lt;&gt;"")),"OK",
IF(COUNTIF(INDIRECT(IFERROR(LEFT($F1944,FIND(" ",$F1944)-1),$F1944)), $G1944)&gt;0, "OK", "ERROR")))</f>
        <v>OK</v>
      </c>
    </row>
    <row r="1945" spans="1:32" s="240" customFormat="1">
      <c r="A1945" s="48"/>
      <c r="B1945" s="31"/>
      <c r="C1945" s="48"/>
      <c r="D1945" s="47"/>
      <c r="E1945" s="47"/>
      <c r="F1945" s="31"/>
      <c r="G1945" s="31"/>
      <c r="H1945" s="31"/>
      <c r="I1945" s="47"/>
      <c r="J1945" s="31"/>
      <c r="K1945" s="47"/>
      <c r="L1945" s="47"/>
      <c r="M1945" s="47"/>
      <c r="N1945" s="31"/>
      <c r="O1945" s="47"/>
      <c r="P1945" s="31"/>
      <c r="Q1945" s="31"/>
      <c r="R1945" s="31"/>
      <c r="S1945" s="31"/>
      <c r="T1945" s="270">
        <f t="shared" si="240"/>
        <v>0</v>
      </c>
      <c r="U1945" s="270">
        <f t="shared" si="241"/>
        <v>0</v>
      </c>
      <c r="V1945" s="31"/>
      <c r="X1945" s="240" t="str">
        <f t="shared" si="242"/>
        <v>OK</v>
      </c>
      <c r="Y1945" s="240" t="str">
        <f t="shared" si="243"/>
        <v>OK</v>
      </c>
      <c r="Z1945" s="240" t="str">
        <f t="shared" si="244"/>
        <v>OK</v>
      </c>
      <c r="AA1945" s="240" t="str" cm="1">
        <f t="array" ref="AA1945">IF(OR(AND(J1945="Not accepted",N1945:O1945&lt;&gt;"",$S1945=""),AND(J1945="Accepted",S1945="")),"ERROR","OK")</f>
        <v>OK</v>
      </c>
      <c r="AB1945" s="240" t="str">
        <f t="shared" si="245"/>
        <v>OK</v>
      </c>
      <c r="AC1945" s="240" t="str" cm="1">
        <f t="array" ref="AC1945">IF(AND(F1945:H1945&lt;&gt;"",I1945=""),"ERROR","OK")</f>
        <v>OK</v>
      </c>
      <c r="AD1945" s="240" t="str">
        <f t="shared" si="246"/>
        <v>OK</v>
      </c>
      <c r="AE1945" s="240" t="str">
        <f t="shared" si="247"/>
        <v>OK</v>
      </c>
      <c r="AF1945" s="240" t="str" cm="1">
        <f t="array" aca="1" ref="AF1945" ca="1" xml:space="preserve">
IF(AND($G1945&lt;&gt;"",$F1945=""),"ERROR",
IF(OR($F1945:$G1945="",AND($G1945="",$F1945&lt;&gt;"")),"OK",
IF(COUNTIF(INDIRECT(IFERROR(LEFT($F1945,FIND(" ",$F1945)-1),$F1945)), $G1945)&gt;0, "OK", "ERROR")))</f>
        <v>OK</v>
      </c>
    </row>
    <row r="1946" spans="1:32" s="240" customFormat="1">
      <c r="A1946" s="48"/>
      <c r="B1946" s="31"/>
      <c r="C1946" s="48"/>
      <c r="D1946" s="47"/>
      <c r="E1946" s="47"/>
      <c r="F1946" s="31"/>
      <c r="G1946" s="31"/>
      <c r="H1946" s="31"/>
      <c r="I1946" s="47"/>
      <c r="J1946" s="31"/>
      <c r="K1946" s="47"/>
      <c r="L1946" s="47"/>
      <c r="M1946" s="47"/>
      <c r="N1946" s="31"/>
      <c r="O1946" s="47"/>
      <c r="P1946" s="31"/>
      <c r="Q1946" s="31"/>
      <c r="R1946" s="31"/>
      <c r="S1946" s="31"/>
      <c r="T1946" s="270">
        <f t="shared" si="240"/>
        <v>0</v>
      </c>
      <c r="U1946" s="270">
        <f t="shared" si="241"/>
        <v>0</v>
      </c>
      <c r="V1946" s="31"/>
      <c r="X1946" s="240" t="str">
        <f t="shared" si="242"/>
        <v>OK</v>
      </c>
      <c r="Y1946" s="240" t="str">
        <f t="shared" si="243"/>
        <v>OK</v>
      </c>
      <c r="Z1946" s="240" t="str">
        <f t="shared" si="244"/>
        <v>OK</v>
      </c>
      <c r="AA1946" s="240" t="str" cm="1">
        <f t="array" ref="AA1946">IF(OR(AND(J1946="Not accepted",N1946:O1946&lt;&gt;"",$S1946=""),AND(J1946="Accepted",S1946="")),"ERROR","OK")</f>
        <v>OK</v>
      </c>
      <c r="AB1946" s="240" t="str">
        <f t="shared" si="245"/>
        <v>OK</v>
      </c>
      <c r="AC1946" s="240" t="str" cm="1">
        <f t="array" ref="AC1946">IF(AND(F1946:H1946&lt;&gt;"",I1946=""),"ERROR","OK")</f>
        <v>OK</v>
      </c>
      <c r="AD1946" s="240" t="str">
        <f t="shared" si="246"/>
        <v>OK</v>
      </c>
      <c r="AE1946" s="240" t="str">
        <f t="shared" si="247"/>
        <v>OK</v>
      </c>
      <c r="AF1946" s="240" t="str" cm="1">
        <f t="array" aca="1" ref="AF1946" ca="1" xml:space="preserve">
IF(AND($G1946&lt;&gt;"",$F1946=""),"ERROR",
IF(OR($F1946:$G1946="",AND($G1946="",$F1946&lt;&gt;"")),"OK",
IF(COUNTIF(INDIRECT(IFERROR(LEFT($F1946,FIND(" ",$F1946)-1),$F1946)), $G1946)&gt;0, "OK", "ERROR")))</f>
        <v>OK</v>
      </c>
    </row>
    <row r="1947" spans="1:32" s="240" customFormat="1">
      <c r="A1947" s="48"/>
      <c r="B1947" s="31"/>
      <c r="C1947" s="48"/>
      <c r="D1947" s="47"/>
      <c r="E1947" s="47"/>
      <c r="F1947" s="31"/>
      <c r="G1947" s="31"/>
      <c r="H1947" s="31"/>
      <c r="I1947" s="47"/>
      <c r="J1947" s="31"/>
      <c r="K1947" s="47"/>
      <c r="L1947" s="47"/>
      <c r="M1947" s="47"/>
      <c r="N1947" s="31"/>
      <c r="O1947" s="47"/>
      <c r="P1947" s="31"/>
      <c r="Q1947" s="31"/>
      <c r="R1947" s="31"/>
      <c r="S1947" s="31"/>
      <c r="T1947" s="270">
        <f t="shared" si="240"/>
        <v>0</v>
      </c>
      <c r="U1947" s="270">
        <f t="shared" si="241"/>
        <v>0</v>
      </c>
      <c r="V1947" s="31"/>
      <c r="X1947" s="240" t="str">
        <f t="shared" si="242"/>
        <v>OK</v>
      </c>
      <c r="Y1947" s="240" t="str">
        <f t="shared" si="243"/>
        <v>OK</v>
      </c>
      <c r="Z1947" s="240" t="str">
        <f t="shared" si="244"/>
        <v>OK</v>
      </c>
      <c r="AA1947" s="240" t="str" cm="1">
        <f t="array" ref="AA1947">IF(OR(AND(J1947="Not accepted",N1947:O1947&lt;&gt;"",$S1947=""),AND(J1947="Accepted",S1947="")),"ERROR","OK")</f>
        <v>OK</v>
      </c>
      <c r="AB1947" s="240" t="str">
        <f t="shared" si="245"/>
        <v>OK</v>
      </c>
      <c r="AC1947" s="240" t="str" cm="1">
        <f t="array" ref="AC1947">IF(AND(F1947:H1947&lt;&gt;"",I1947=""),"ERROR","OK")</f>
        <v>OK</v>
      </c>
      <c r="AD1947" s="240" t="str">
        <f t="shared" si="246"/>
        <v>OK</v>
      </c>
      <c r="AE1947" s="240" t="str">
        <f t="shared" si="247"/>
        <v>OK</v>
      </c>
      <c r="AF1947" s="240" t="str" cm="1">
        <f t="array" aca="1" ref="AF1947" ca="1" xml:space="preserve">
IF(AND($G1947&lt;&gt;"",$F1947=""),"ERROR",
IF(OR($F1947:$G1947="",AND($G1947="",$F1947&lt;&gt;"")),"OK",
IF(COUNTIF(INDIRECT(IFERROR(LEFT($F1947,FIND(" ",$F1947)-1),$F1947)), $G1947)&gt;0, "OK", "ERROR")))</f>
        <v>OK</v>
      </c>
    </row>
    <row r="1948" spans="1:32" s="240" customFormat="1">
      <c r="A1948" s="48"/>
      <c r="B1948" s="31"/>
      <c r="C1948" s="48"/>
      <c r="D1948" s="47"/>
      <c r="E1948" s="47"/>
      <c r="F1948" s="31"/>
      <c r="G1948" s="31"/>
      <c r="H1948" s="31"/>
      <c r="I1948" s="47"/>
      <c r="J1948" s="31"/>
      <c r="K1948" s="47"/>
      <c r="L1948" s="47"/>
      <c r="M1948" s="47"/>
      <c r="N1948" s="31"/>
      <c r="O1948" s="47"/>
      <c r="P1948" s="31"/>
      <c r="Q1948" s="31"/>
      <c r="R1948" s="31"/>
      <c r="S1948" s="31"/>
      <c r="T1948" s="270">
        <f t="shared" si="240"/>
        <v>0</v>
      </c>
      <c r="U1948" s="270">
        <f t="shared" si="241"/>
        <v>0</v>
      </c>
      <c r="V1948" s="31"/>
      <c r="X1948" s="240" t="str">
        <f t="shared" si="242"/>
        <v>OK</v>
      </c>
      <c r="Y1948" s="240" t="str">
        <f t="shared" si="243"/>
        <v>OK</v>
      </c>
      <c r="Z1948" s="240" t="str">
        <f t="shared" si="244"/>
        <v>OK</v>
      </c>
      <c r="AA1948" s="240" t="str" cm="1">
        <f t="array" ref="AA1948">IF(OR(AND(J1948="Not accepted",N1948:O1948&lt;&gt;"",$S1948=""),AND(J1948="Accepted",S1948="")),"ERROR","OK")</f>
        <v>OK</v>
      </c>
      <c r="AB1948" s="240" t="str">
        <f t="shared" si="245"/>
        <v>OK</v>
      </c>
      <c r="AC1948" s="240" t="str" cm="1">
        <f t="array" ref="AC1948">IF(AND(F1948:H1948&lt;&gt;"",I1948=""),"ERROR","OK")</f>
        <v>OK</v>
      </c>
      <c r="AD1948" s="240" t="str">
        <f t="shared" si="246"/>
        <v>OK</v>
      </c>
      <c r="AE1948" s="240" t="str">
        <f t="shared" si="247"/>
        <v>OK</v>
      </c>
      <c r="AF1948" s="240" t="str" cm="1">
        <f t="array" aca="1" ref="AF1948" ca="1" xml:space="preserve">
IF(AND($G1948&lt;&gt;"",$F1948=""),"ERROR",
IF(OR($F1948:$G1948="",AND($G1948="",$F1948&lt;&gt;"")),"OK",
IF(COUNTIF(INDIRECT(IFERROR(LEFT($F1948,FIND(" ",$F1948)-1),$F1948)), $G1948)&gt;0, "OK", "ERROR")))</f>
        <v>OK</v>
      </c>
    </row>
    <row r="1949" spans="1:32" s="240" customFormat="1">
      <c r="A1949" s="48"/>
      <c r="B1949" s="31"/>
      <c r="C1949" s="48"/>
      <c r="D1949" s="47"/>
      <c r="E1949" s="47"/>
      <c r="F1949" s="31"/>
      <c r="G1949" s="31"/>
      <c r="H1949" s="31"/>
      <c r="I1949" s="47"/>
      <c r="J1949" s="31"/>
      <c r="K1949" s="47"/>
      <c r="L1949" s="47"/>
      <c r="M1949" s="47"/>
      <c r="N1949" s="31"/>
      <c r="O1949" s="47"/>
      <c r="P1949" s="31"/>
      <c r="Q1949" s="31"/>
      <c r="R1949" s="31"/>
      <c r="S1949" s="31"/>
      <c r="T1949" s="270">
        <f t="shared" si="240"/>
        <v>0</v>
      </c>
      <c r="U1949" s="270">
        <f t="shared" si="241"/>
        <v>0</v>
      </c>
      <c r="V1949" s="31"/>
      <c r="X1949" s="240" t="str">
        <f t="shared" si="242"/>
        <v>OK</v>
      </c>
      <c r="Y1949" s="240" t="str">
        <f t="shared" si="243"/>
        <v>OK</v>
      </c>
      <c r="Z1949" s="240" t="str">
        <f t="shared" si="244"/>
        <v>OK</v>
      </c>
      <c r="AA1949" s="240" t="str" cm="1">
        <f t="array" ref="AA1949">IF(OR(AND(J1949="Not accepted",N1949:O1949&lt;&gt;"",$S1949=""),AND(J1949="Accepted",S1949="")),"ERROR","OK")</f>
        <v>OK</v>
      </c>
      <c r="AB1949" s="240" t="str">
        <f t="shared" si="245"/>
        <v>OK</v>
      </c>
      <c r="AC1949" s="240" t="str" cm="1">
        <f t="array" ref="AC1949">IF(AND(F1949:H1949&lt;&gt;"",I1949=""),"ERROR","OK")</f>
        <v>OK</v>
      </c>
      <c r="AD1949" s="240" t="str">
        <f t="shared" si="246"/>
        <v>OK</v>
      </c>
      <c r="AE1949" s="240" t="str">
        <f t="shared" si="247"/>
        <v>OK</v>
      </c>
      <c r="AF1949" s="240" t="str" cm="1">
        <f t="array" aca="1" ref="AF1949" ca="1" xml:space="preserve">
IF(AND($G1949&lt;&gt;"",$F1949=""),"ERROR",
IF(OR($F1949:$G1949="",AND($G1949="",$F1949&lt;&gt;"")),"OK",
IF(COUNTIF(INDIRECT(IFERROR(LEFT($F1949,FIND(" ",$F1949)-1),$F1949)), $G1949)&gt;0, "OK", "ERROR")))</f>
        <v>OK</v>
      </c>
    </row>
    <row r="1950" spans="1:32" s="240" customFormat="1">
      <c r="A1950" s="48"/>
      <c r="B1950" s="31"/>
      <c r="C1950" s="48"/>
      <c r="D1950" s="47"/>
      <c r="E1950" s="47"/>
      <c r="F1950" s="31"/>
      <c r="G1950" s="31"/>
      <c r="H1950" s="31"/>
      <c r="I1950" s="47"/>
      <c r="J1950" s="31"/>
      <c r="K1950" s="47"/>
      <c r="L1950" s="47"/>
      <c r="M1950" s="47"/>
      <c r="N1950" s="31"/>
      <c r="O1950" s="47"/>
      <c r="P1950" s="31"/>
      <c r="Q1950" s="31"/>
      <c r="R1950" s="31"/>
      <c r="S1950" s="31"/>
      <c r="T1950" s="270">
        <f t="shared" si="240"/>
        <v>0</v>
      </c>
      <c r="U1950" s="270">
        <f t="shared" si="241"/>
        <v>0</v>
      </c>
      <c r="V1950" s="31"/>
      <c r="X1950" s="240" t="str">
        <f t="shared" si="242"/>
        <v>OK</v>
      </c>
      <c r="Y1950" s="240" t="str">
        <f t="shared" si="243"/>
        <v>OK</v>
      </c>
      <c r="Z1950" s="240" t="str">
        <f t="shared" si="244"/>
        <v>OK</v>
      </c>
      <c r="AA1950" s="240" t="str" cm="1">
        <f t="array" ref="AA1950">IF(OR(AND(J1950="Not accepted",N1950:O1950&lt;&gt;"",$S1950=""),AND(J1950="Accepted",S1950="")),"ERROR","OK")</f>
        <v>OK</v>
      </c>
      <c r="AB1950" s="240" t="str">
        <f t="shared" si="245"/>
        <v>OK</v>
      </c>
      <c r="AC1950" s="240" t="str" cm="1">
        <f t="array" ref="AC1950">IF(AND(F1950:H1950&lt;&gt;"",I1950=""),"ERROR","OK")</f>
        <v>OK</v>
      </c>
      <c r="AD1950" s="240" t="str">
        <f t="shared" si="246"/>
        <v>OK</v>
      </c>
      <c r="AE1950" s="240" t="str">
        <f t="shared" si="247"/>
        <v>OK</v>
      </c>
      <c r="AF1950" s="240" t="str" cm="1">
        <f t="array" aca="1" ref="AF1950" ca="1" xml:space="preserve">
IF(AND($G1950&lt;&gt;"",$F1950=""),"ERROR",
IF(OR($F1950:$G1950="",AND($G1950="",$F1950&lt;&gt;"")),"OK",
IF(COUNTIF(INDIRECT(IFERROR(LEFT($F1950,FIND(" ",$F1950)-1),$F1950)), $G1950)&gt;0, "OK", "ERROR")))</f>
        <v>OK</v>
      </c>
    </row>
    <row r="1951" spans="1:32" s="240" customFormat="1">
      <c r="A1951" s="48"/>
      <c r="B1951" s="31"/>
      <c r="C1951" s="48"/>
      <c r="D1951" s="47"/>
      <c r="E1951" s="47"/>
      <c r="F1951" s="31"/>
      <c r="G1951" s="31"/>
      <c r="H1951" s="31"/>
      <c r="I1951" s="47"/>
      <c r="J1951" s="31"/>
      <c r="K1951" s="47"/>
      <c r="L1951" s="47"/>
      <c r="M1951" s="47"/>
      <c r="N1951" s="31"/>
      <c r="O1951" s="47"/>
      <c r="P1951" s="31"/>
      <c r="Q1951" s="31"/>
      <c r="R1951" s="31"/>
      <c r="S1951" s="31"/>
      <c r="T1951" s="270">
        <f t="shared" si="240"/>
        <v>0</v>
      </c>
      <c r="U1951" s="270">
        <f t="shared" si="241"/>
        <v>0</v>
      </c>
      <c r="V1951" s="31"/>
      <c r="X1951" s="240" t="str">
        <f t="shared" si="242"/>
        <v>OK</v>
      </c>
      <c r="Y1951" s="240" t="str">
        <f t="shared" si="243"/>
        <v>OK</v>
      </c>
      <c r="Z1951" s="240" t="str">
        <f t="shared" si="244"/>
        <v>OK</v>
      </c>
      <c r="AA1951" s="240" t="str" cm="1">
        <f t="array" ref="AA1951">IF(OR(AND(J1951="Not accepted",N1951:O1951&lt;&gt;"",$S1951=""),AND(J1951="Accepted",S1951="")),"ERROR","OK")</f>
        <v>OK</v>
      </c>
      <c r="AB1951" s="240" t="str">
        <f t="shared" si="245"/>
        <v>OK</v>
      </c>
      <c r="AC1951" s="240" t="str" cm="1">
        <f t="array" ref="AC1951">IF(AND(F1951:H1951&lt;&gt;"",I1951=""),"ERROR","OK")</f>
        <v>OK</v>
      </c>
      <c r="AD1951" s="240" t="str">
        <f t="shared" si="246"/>
        <v>OK</v>
      </c>
      <c r="AE1951" s="240" t="str">
        <f t="shared" si="247"/>
        <v>OK</v>
      </c>
      <c r="AF1951" s="240" t="str" cm="1">
        <f t="array" aca="1" ref="AF1951" ca="1" xml:space="preserve">
IF(AND($G1951&lt;&gt;"",$F1951=""),"ERROR",
IF(OR($F1951:$G1951="",AND($G1951="",$F1951&lt;&gt;"")),"OK",
IF(COUNTIF(INDIRECT(IFERROR(LEFT($F1951,FIND(" ",$F1951)-1),$F1951)), $G1951)&gt;0, "OK", "ERROR")))</f>
        <v>OK</v>
      </c>
    </row>
    <row r="1952" spans="1:32" s="240" customFormat="1">
      <c r="A1952" s="48"/>
      <c r="B1952" s="31"/>
      <c r="C1952" s="48"/>
      <c r="D1952" s="47"/>
      <c r="E1952" s="47"/>
      <c r="F1952" s="31"/>
      <c r="G1952" s="31"/>
      <c r="H1952" s="31"/>
      <c r="I1952" s="47"/>
      <c r="J1952" s="31"/>
      <c r="K1952" s="47"/>
      <c r="L1952" s="47"/>
      <c r="M1952" s="47"/>
      <c r="N1952" s="31"/>
      <c r="O1952" s="47"/>
      <c r="P1952" s="31"/>
      <c r="Q1952" s="31"/>
      <c r="R1952" s="31"/>
      <c r="S1952" s="31"/>
      <c r="T1952" s="270">
        <f t="shared" si="240"/>
        <v>0</v>
      </c>
      <c r="U1952" s="270">
        <f t="shared" si="241"/>
        <v>0</v>
      </c>
      <c r="V1952" s="31"/>
      <c r="X1952" s="240" t="str">
        <f t="shared" si="242"/>
        <v>OK</v>
      </c>
      <c r="Y1952" s="240" t="str">
        <f t="shared" si="243"/>
        <v>OK</v>
      </c>
      <c r="Z1952" s="240" t="str">
        <f t="shared" si="244"/>
        <v>OK</v>
      </c>
      <c r="AA1952" s="240" t="str" cm="1">
        <f t="array" ref="AA1952">IF(OR(AND(J1952="Not accepted",N1952:O1952&lt;&gt;"",$S1952=""),AND(J1952="Accepted",S1952="")),"ERROR","OK")</f>
        <v>OK</v>
      </c>
      <c r="AB1952" s="240" t="str">
        <f t="shared" si="245"/>
        <v>OK</v>
      </c>
      <c r="AC1952" s="240" t="str" cm="1">
        <f t="array" ref="AC1952">IF(AND(F1952:H1952&lt;&gt;"",I1952=""),"ERROR","OK")</f>
        <v>OK</v>
      </c>
      <c r="AD1952" s="240" t="str">
        <f t="shared" si="246"/>
        <v>OK</v>
      </c>
      <c r="AE1952" s="240" t="str">
        <f t="shared" si="247"/>
        <v>OK</v>
      </c>
      <c r="AF1952" s="240" t="str" cm="1">
        <f t="array" aca="1" ref="AF1952" ca="1" xml:space="preserve">
IF(AND($G1952&lt;&gt;"",$F1952=""),"ERROR",
IF(OR($F1952:$G1952="",AND($G1952="",$F1952&lt;&gt;"")),"OK",
IF(COUNTIF(INDIRECT(IFERROR(LEFT($F1952,FIND(" ",$F1952)-1),$F1952)), $G1952)&gt;0, "OK", "ERROR")))</f>
        <v>OK</v>
      </c>
    </row>
    <row r="1953" spans="1:32" s="240" customFormat="1">
      <c r="A1953" s="48"/>
      <c r="B1953" s="31"/>
      <c r="C1953" s="48"/>
      <c r="D1953" s="47"/>
      <c r="E1953" s="47"/>
      <c r="F1953" s="31"/>
      <c r="G1953" s="31"/>
      <c r="H1953" s="31"/>
      <c r="I1953" s="47"/>
      <c r="J1953" s="31"/>
      <c r="K1953" s="47"/>
      <c r="L1953" s="47"/>
      <c r="M1953" s="47"/>
      <c r="N1953" s="31"/>
      <c r="O1953" s="47"/>
      <c r="P1953" s="31"/>
      <c r="Q1953" s="31"/>
      <c r="R1953" s="31"/>
      <c r="S1953" s="31"/>
      <c r="T1953" s="270">
        <f t="shared" si="240"/>
        <v>0</v>
      </c>
      <c r="U1953" s="270">
        <f t="shared" si="241"/>
        <v>0</v>
      </c>
      <c r="V1953" s="31"/>
      <c r="X1953" s="240" t="str">
        <f t="shared" si="242"/>
        <v>OK</v>
      </c>
      <c r="Y1953" s="240" t="str">
        <f t="shared" si="243"/>
        <v>OK</v>
      </c>
      <c r="Z1953" s="240" t="str">
        <f t="shared" si="244"/>
        <v>OK</v>
      </c>
      <c r="AA1953" s="240" t="str" cm="1">
        <f t="array" ref="AA1953">IF(OR(AND(J1953="Not accepted",N1953:O1953&lt;&gt;"",$S1953=""),AND(J1953="Accepted",S1953="")),"ERROR","OK")</f>
        <v>OK</v>
      </c>
      <c r="AB1953" s="240" t="str">
        <f t="shared" si="245"/>
        <v>OK</v>
      </c>
      <c r="AC1953" s="240" t="str" cm="1">
        <f t="array" ref="AC1953">IF(AND(F1953:H1953&lt;&gt;"",I1953=""),"ERROR","OK")</f>
        <v>OK</v>
      </c>
      <c r="AD1953" s="240" t="str">
        <f t="shared" si="246"/>
        <v>OK</v>
      </c>
      <c r="AE1953" s="240" t="str">
        <f t="shared" si="247"/>
        <v>OK</v>
      </c>
      <c r="AF1953" s="240" t="str" cm="1">
        <f t="array" aca="1" ref="AF1953" ca="1" xml:space="preserve">
IF(AND($G1953&lt;&gt;"",$F1953=""),"ERROR",
IF(OR($F1953:$G1953="",AND($G1953="",$F1953&lt;&gt;"")),"OK",
IF(COUNTIF(INDIRECT(IFERROR(LEFT($F1953,FIND(" ",$F1953)-1),$F1953)), $G1953)&gt;0, "OK", "ERROR")))</f>
        <v>OK</v>
      </c>
    </row>
    <row r="1954" spans="1:32" s="240" customFormat="1">
      <c r="A1954" s="48"/>
      <c r="B1954" s="31"/>
      <c r="C1954" s="48"/>
      <c r="D1954" s="47"/>
      <c r="E1954" s="47"/>
      <c r="F1954" s="31"/>
      <c r="G1954" s="31"/>
      <c r="H1954" s="31"/>
      <c r="I1954" s="47"/>
      <c r="J1954" s="31"/>
      <c r="K1954" s="47"/>
      <c r="L1954" s="47"/>
      <c r="M1954" s="47"/>
      <c r="N1954" s="31"/>
      <c r="O1954" s="47"/>
      <c r="P1954" s="31"/>
      <c r="Q1954" s="31"/>
      <c r="R1954" s="31"/>
      <c r="S1954" s="31"/>
      <c r="T1954" s="270">
        <f t="shared" si="240"/>
        <v>0</v>
      </c>
      <c r="U1954" s="270">
        <f t="shared" si="241"/>
        <v>0</v>
      </c>
      <c r="V1954" s="31"/>
      <c r="X1954" s="240" t="str">
        <f t="shared" si="242"/>
        <v>OK</v>
      </c>
      <c r="Y1954" s="240" t="str">
        <f t="shared" si="243"/>
        <v>OK</v>
      </c>
      <c r="Z1954" s="240" t="str">
        <f t="shared" si="244"/>
        <v>OK</v>
      </c>
      <c r="AA1954" s="240" t="str" cm="1">
        <f t="array" ref="AA1954">IF(OR(AND(J1954="Not accepted",N1954:O1954&lt;&gt;"",$S1954=""),AND(J1954="Accepted",S1954="")),"ERROR","OK")</f>
        <v>OK</v>
      </c>
      <c r="AB1954" s="240" t="str">
        <f t="shared" si="245"/>
        <v>OK</v>
      </c>
      <c r="AC1954" s="240" t="str" cm="1">
        <f t="array" ref="AC1954">IF(AND(F1954:H1954&lt;&gt;"",I1954=""),"ERROR","OK")</f>
        <v>OK</v>
      </c>
      <c r="AD1954" s="240" t="str">
        <f t="shared" si="246"/>
        <v>OK</v>
      </c>
      <c r="AE1954" s="240" t="str">
        <f t="shared" si="247"/>
        <v>OK</v>
      </c>
      <c r="AF1954" s="240" t="str" cm="1">
        <f t="array" aca="1" ref="AF1954" ca="1" xml:space="preserve">
IF(AND($G1954&lt;&gt;"",$F1954=""),"ERROR",
IF(OR($F1954:$G1954="",AND($G1954="",$F1954&lt;&gt;"")),"OK",
IF(COUNTIF(INDIRECT(IFERROR(LEFT($F1954,FIND(" ",$F1954)-1),$F1954)), $G1954)&gt;0, "OK", "ERROR")))</f>
        <v>OK</v>
      </c>
    </row>
    <row r="1955" spans="1:32" s="240" customFormat="1">
      <c r="A1955" s="48"/>
      <c r="B1955" s="31"/>
      <c r="C1955" s="48"/>
      <c r="D1955" s="47"/>
      <c r="E1955" s="47"/>
      <c r="F1955" s="31"/>
      <c r="G1955" s="31"/>
      <c r="H1955" s="31"/>
      <c r="I1955" s="47"/>
      <c r="J1955" s="31"/>
      <c r="K1955" s="47"/>
      <c r="L1955" s="47"/>
      <c r="M1955" s="47"/>
      <c r="N1955" s="31"/>
      <c r="O1955" s="47"/>
      <c r="P1955" s="31"/>
      <c r="Q1955" s="31"/>
      <c r="R1955" s="31"/>
      <c r="S1955" s="31"/>
      <c r="T1955" s="270">
        <f t="shared" si="240"/>
        <v>0</v>
      </c>
      <c r="U1955" s="270">
        <f t="shared" si="241"/>
        <v>0</v>
      </c>
      <c r="V1955" s="31"/>
      <c r="X1955" s="240" t="str">
        <f t="shared" si="242"/>
        <v>OK</v>
      </c>
      <c r="Y1955" s="240" t="str">
        <f t="shared" si="243"/>
        <v>OK</v>
      </c>
      <c r="Z1955" s="240" t="str">
        <f t="shared" si="244"/>
        <v>OK</v>
      </c>
      <c r="AA1955" s="240" t="str" cm="1">
        <f t="array" ref="AA1955">IF(OR(AND(J1955="Not accepted",N1955:O1955&lt;&gt;"",$S1955=""),AND(J1955="Accepted",S1955="")),"ERROR","OK")</f>
        <v>OK</v>
      </c>
      <c r="AB1955" s="240" t="str">
        <f t="shared" si="245"/>
        <v>OK</v>
      </c>
      <c r="AC1955" s="240" t="str" cm="1">
        <f t="array" ref="AC1955">IF(AND(F1955:H1955&lt;&gt;"",I1955=""),"ERROR","OK")</f>
        <v>OK</v>
      </c>
      <c r="AD1955" s="240" t="str">
        <f t="shared" si="246"/>
        <v>OK</v>
      </c>
      <c r="AE1955" s="240" t="str">
        <f t="shared" si="247"/>
        <v>OK</v>
      </c>
      <c r="AF1955" s="240" t="str" cm="1">
        <f t="array" aca="1" ref="AF1955" ca="1" xml:space="preserve">
IF(AND($G1955&lt;&gt;"",$F1955=""),"ERROR",
IF(OR($F1955:$G1955="",AND($G1955="",$F1955&lt;&gt;"")),"OK",
IF(COUNTIF(INDIRECT(IFERROR(LEFT($F1955,FIND(" ",$F1955)-1),$F1955)), $G1955)&gt;0, "OK", "ERROR")))</f>
        <v>OK</v>
      </c>
    </row>
    <row r="1956" spans="1:32" s="240" customFormat="1">
      <c r="A1956" s="48"/>
      <c r="B1956" s="31"/>
      <c r="C1956" s="48"/>
      <c r="D1956" s="47"/>
      <c r="E1956" s="47"/>
      <c r="F1956" s="31"/>
      <c r="G1956" s="31"/>
      <c r="H1956" s="31"/>
      <c r="I1956" s="47"/>
      <c r="J1956" s="31"/>
      <c r="K1956" s="47"/>
      <c r="L1956" s="47"/>
      <c r="M1956" s="47"/>
      <c r="N1956" s="31"/>
      <c r="O1956" s="47"/>
      <c r="P1956" s="31"/>
      <c r="Q1956" s="31"/>
      <c r="R1956" s="31"/>
      <c r="S1956" s="31"/>
      <c r="T1956" s="270">
        <f t="shared" si="240"/>
        <v>0</v>
      </c>
      <c r="U1956" s="270">
        <f t="shared" si="241"/>
        <v>0</v>
      </c>
      <c r="V1956" s="31"/>
      <c r="X1956" s="240" t="str">
        <f t="shared" si="242"/>
        <v>OK</v>
      </c>
      <c r="Y1956" s="240" t="str">
        <f t="shared" si="243"/>
        <v>OK</v>
      </c>
      <c r="Z1956" s="240" t="str">
        <f t="shared" si="244"/>
        <v>OK</v>
      </c>
      <c r="AA1956" s="240" t="str" cm="1">
        <f t="array" ref="AA1956">IF(OR(AND(J1956="Not accepted",N1956:O1956&lt;&gt;"",$S1956=""),AND(J1956="Accepted",S1956="")),"ERROR","OK")</f>
        <v>OK</v>
      </c>
      <c r="AB1956" s="240" t="str">
        <f t="shared" si="245"/>
        <v>OK</v>
      </c>
      <c r="AC1956" s="240" t="str" cm="1">
        <f t="array" ref="AC1956">IF(AND(F1956:H1956&lt;&gt;"",I1956=""),"ERROR","OK")</f>
        <v>OK</v>
      </c>
      <c r="AD1956" s="240" t="str">
        <f t="shared" si="246"/>
        <v>OK</v>
      </c>
      <c r="AE1956" s="240" t="str">
        <f t="shared" si="247"/>
        <v>OK</v>
      </c>
      <c r="AF1956" s="240" t="str" cm="1">
        <f t="array" aca="1" ref="AF1956" ca="1" xml:space="preserve">
IF(AND($G1956&lt;&gt;"",$F1956=""),"ERROR",
IF(OR($F1956:$G1956="",AND($G1956="",$F1956&lt;&gt;"")),"OK",
IF(COUNTIF(INDIRECT(IFERROR(LEFT($F1956,FIND(" ",$F1956)-1),$F1956)), $G1956)&gt;0, "OK", "ERROR")))</f>
        <v>OK</v>
      </c>
    </row>
    <row r="1957" spans="1:32" s="240" customFormat="1">
      <c r="A1957" s="48"/>
      <c r="B1957" s="31"/>
      <c r="C1957" s="48"/>
      <c r="D1957" s="47"/>
      <c r="E1957" s="47"/>
      <c r="F1957" s="31"/>
      <c r="G1957" s="31"/>
      <c r="H1957" s="31"/>
      <c r="I1957" s="47"/>
      <c r="J1957" s="31"/>
      <c r="K1957" s="47"/>
      <c r="L1957" s="47"/>
      <c r="M1957" s="47"/>
      <c r="N1957" s="31"/>
      <c r="O1957" s="47"/>
      <c r="P1957" s="31"/>
      <c r="Q1957" s="31"/>
      <c r="R1957" s="31"/>
      <c r="S1957" s="31"/>
      <c r="T1957" s="270">
        <f t="shared" si="240"/>
        <v>0</v>
      </c>
      <c r="U1957" s="270">
        <f t="shared" si="241"/>
        <v>0</v>
      </c>
      <c r="V1957" s="31"/>
      <c r="X1957" s="240" t="str">
        <f t="shared" si="242"/>
        <v>OK</v>
      </c>
      <c r="Y1957" s="240" t="str">
        <f t="shared" si="243"/>
        <v>OK</v>
      </c>
      <c r="Z1957" s="240" t="str">
        <f t="shared" si="244"/>
        <v>OK</v>
      </c>
      <c r="AA1957" s="240" t="str" cm="1">
        <f t="array" ref="AA1957">IF(OR(AND(J1957="Not accepted",N1957:O1957&lt;&gt;"",$S1957=""),AND(J1957="Accepted",S1957="")),"ERROR","OK")</f>
        <v>OK</v>
      </c>
      <c r="AB1957" s="240" t="str">
        <f t="shared" si="245"/>
        <v>OK</v>
      </c>
      <c r="AC1957" s="240" t="str" cm="1">
        <f t="array" ref="AC1957">IF(AND(F1957:H1957&lt;&gt;"",I1957=""),"ERROR","OK")</f>
        <v>OK</v>
      </c>
      <c r="AD1957" s="240" t="str">
        <f t="shared" si="246"/>
        <v>OK</v>
      </c>
      <c r="AE1957" s="240" t="str">
        <f t="shared" si="247"/>
        <v>OK</v>
      </c>
      <c r="AF1957" s="240" t="str" cm="1">
        <f t="array" aca="1" ref="AF1957" ca="1" xml:space="preserve">
IF(AND($G1957&lt;&gt;"",$F1957=""),"ERROR",
IF(OR($F1957:$G1957="",AND($G1957="",$F1957&lt;&gt;"")),"OK",
IF(COUNTIF(INDIRECT(IFERROR(LEFT($F1957,FIND(" ",$F1957)-1),$F1957)), $G1957)&gt;0, "OK", "ERROR")))</f>
        <v>OK</v>
      </c>
    </row>
    <row r="1958" spans="1:32" s="240" customFormat="1">
      <c r="A1958" s="48"/>
      <c r="B1958" s="31"/>
      <c r="C1958" s="48"/>
      <c r="D1958" s="47"/>
      <c r="E1958" s="47"/>
      <c r="F1958" s="31"/>
      <c r="G1958" s="31"/>
      <c r="H1958" s="31"/>
      <c r="I1958" s="47"/>
      <c r="J1958" s="31"/>
      <c r="K1958" s="47"/>
      <c r="L1958" s="47"/>
      <c r="M1958" s="47"/>
      <c r="N1958" s="31"/>
      <c r="O1958" s="47"/>
      <c r="P1958" s="31"/>
      <c r="Q1958" s="31"/>
      <c r="R1958" s="31"/>
      <c r="S1958" s="31"/>
      <c r="T1958" s="270">
        <f t="shared" si="240"/>
        <v>0</v>
      </c>
      <c r="U1958" s="270">
        <f t="shared" si="241"/>
        <v>0</v>
      </c>
      <c r="V1958" s="31"/>
      <c r="X1958" s="240" t="str">
        <f t="shared" si="242"/>
        <v>OK</v>
      </c>
      <c r="Y1958" s="240" t="str">
        <f t="shared" si="243"/>
        <v>OK</v>
      </c>
      <c r="Z1958" s="240" t="str">
        <f t="shared" si="244"/>
        <v>OK</v>
      </c>
      <c r="AA1958" s="240" t="str" cm="1">
        <f t="array" ref="AA1958">IF(OR(AND(J1958="Not accepted",N1958:O1958&lt;&gt;"",$S1958=""),AND(J1958="Accepted",S1958="")),"ERROR","OK")</f>
        <v>OK</v>
      </c>
      <c r="AB1958" s="240" t="str">
        <f t="shared" si="245"/>
        <v>OK</v>
      </c>
      <c r="AC1958" s="240" t="str" cm="1">
        <f t="array" ref="AC1958">IF(AND(F1958:H1958&lt;&gt;"",I1958=""),"ERROR","OK")</f>
        <v>OK</v>
      </c>
      <c r="AD1958" s="240" t="str">
        <f t="shared" si="246"/>
        <v>OK</v>
      </c>
      <c r="AE1958" s="240" t="str">
        <f t="shared" si="247"/>
        <v>OK</v>
      </c>
      <c r="AF1958" s="240" t="str" cm="1">
        <f t="array" aca="1" ref="AF1958" ca="1" xml:space="preserve">
IF(AND($G1958&lt;&gt;"",$F1958=""),"ERROR",
IF(OR($F1958:$G1958="",AND($G1958="",$F1958&lt;&gt;"")),"OK",
IF(COUNTIF(INDIRECT(IFERROR(LEFT($F1958,FIND(" ",$F1958)-1),$F1958)), $G1958)&gt;0, "OK", "ERROR")))</f>
        <v>OK</v>
      </c>
    </row>
    <row r="1959" spans="1:32" s="240" customFormat="1">
      <c r="A1959" s="48"/>
      <c r="B1959" s="31"/>
      <c r="C1959" s="48"/>
      <c r="D1959" s="47"/>
      <c r="E1959" s="47"/>
      <c r="F1959" s="31"/>
      <c r="G1959" s="31"/>
      <c r="H1959" s="31"/>
      <c r="I1959" s="47"/>
      <c r="J1959" s="31"/>
      <c r="K1959" s="47"/>
      <c r="L1959" s="47"/>
      <c r="M1959" s="47"/>
      <c r="N1959" s="31"/>
      <c r="O1959" s="47"/>
      <c r="P1959" s="31"/>
      <c r="Q1959" s="31"/>
      <c r="R1959" s="31"/>
      <c r="S1959" s="31"/>
      <c r="T1959" s="270">
        <f t="shared" si="240"/>
        <v>0</v>
      </c>
      <c r="U1959" s="270">
        <f t="shared" si="241"/>
        <v>0</v>
      </c>
      <c r="V1959" s="31"/>
      <c r="X1959" s="240" t="str">
        <f t="shared" si="242"/>
        <v>OK</v>
      </c>
      <c r="Y1959" s="240" t="str">
        <f t="shared" si="243"/>
        <v>OK</v>
      </c>
      <c r="Z1959" s="240" t="str">
        <f t="shared" si="244"/>
        <v>OK</v>
      </c>
      <c r="AA1959" s="240" t="str" cm="1">
        <f t="array" ref="AA1959">IF(OR(AND(J1959="Not accepted",N1959:O1959&lt;&gt;"",$S1959=""),AND(J1959="Accepted",S1959="")),"ERROR","OK")</f>
        <v>OK</v>
      </c>
      <c r="AB1959" s="240" t="str">
        <f t="shared" si="245"/>
        <v>OK</v>
      </c>
      <c r="AC1959" s="240" t="str" cm="1">
        <f t="array" ref="AC1959">IF(AND(F1959:H1959&lt;&gt;"",I1959=""),"ERROR","OK")</f>
        <v>OK</v>
      </c>
      <c r="AD1959" s="240" t="str">
        <f t="shared" si="246"/>
        <v>OK</v>
      </c>
      <c r="AE1959" s="240" t="str">
        <f t="shared" si="247"/>
        <v>OK</v>
      </c>
      <c r="AF1959" s="240" t="str" cm="1">
        <f t="array" aca="1" ref="AF1959" ca="1" xml:space="preserve">
IF(AND($G1959&lt;&gt;"",$F1959=""),"ERROR",
IF(OR($F1959:$G1959="",AND($G1959="",$F1959&lt;&gt;"")),"OK",
IF(COUNTIF(INDIRECT(IFERROR(LEFT($F1959,FIND(" ",$F1959)-1),$F1959)), $G1959)&gt;0, "OK", "ERROR")))</f>
        <v>OK</v>
      </c>
    </row>
    <row r="1960" spans="1:32" s="240" customFormat="1">
      <c r="A1960" s="48"/>
      <c r="B1960" s="31"/>
      <c r="C1960" s="48"/>
      <c r="D1960" s="47"/>
      <c r="E1960" s="47"/>
      <c r="F1960" s="31"/>
      <c r="G1960" s="31"/>
      <c r="H1960" s="31"/>
      <c r="I1960" s="47"/>
      <c r="J1960" s="31"/>
      <c r="K1960" s="47"/>
      <c r="L1960" s="47"/>
      <c r="M1960" s="47"/>
      <c r="N1960" s="31"/>
      <c r="O1960" s="47"/>
      <c r="P1960" s="31"/>
      <c r="Q1960" s="31"/>
      <c r="R1960" s="31"/>
      <c r="S1960" s="31"/>
      <c r="T1960" s="270">
        <f t="shared" si="240"/>
        <v>0</v>
      </c>
      <c r="U1960" s="270">
        <f t="shared" si="241"/>
        <v>0</v>
      </c>
      <c r="V1960" s="31"/>
      <c r="X1960" s="240" t="str">
        <f t="shared" si="242"/>
        <v>OK</v>
      </c>
      <c r="Y1960" s="240" t="str">
        <f t="shared" si="243"/>
        <v>OK</v>
      </c>
      <c r="Z1960" s="240" t="str">
        <f t="shared" si="244"/>
        <v>OK</v>
      </c>
      <c r="AA1960" s="240" t="str" cm="1">
        <f t="array" ref="AA1960">IF(OR(AND(J1960="Not accepted",N1960:O1960&lt;&gt;"",$S1960=""),AND(J1960="Accepted",S1960="")),"ERROR","OK")</f>
        <v>OK</v>
      </c>
      <c r="AB1960" s="240" t="str">
        <f t="shared" si="245"/>
        <v>OK</v>
      </c>
      <c r="AC1960" s="240" t="str" cm="1">
        <f t="array" ref="AC1960">IF(AND(F1960:H1960&lt;&gt;"",I1960=""),"ERROR","OK")</f>
        <v>OK</v>
      </c>
      <c r="AD1960" s="240" t="str">
        <f t="shared" si="246"/>
        <v>OK</v>
      </c>
      <c r="AE1960" s="240" t="str">
        <f t="shared" si="247"/>
        <v>OK</v>
      </c>
      <c r="AF1960" s="240" t="str" cm="1">
        <f t="array" aca="1" ref="AF1960" ca="1" xml:space="preserve">
IF(AND($G1960&lt;&gt;"",$F1960=""),"ERROR",
IF(OR($F1960:$G1960="",AND($G1960="",$F1960&lt;&gt;"")),"OK",
IF(COUNTIF(INDIRECT(IFERROR(LEFT($F1960,FIND(" ",$F1960)-1),$F1960)), $G1960)&gt;0, "OK", "ERROR")))</f>
        <v>OK</v>
      </c>
    </row>
    <row r="1961" spans="1:32" s="240" customFormat="1">
      <c r="A1961" s="48"/>
      <c r="B1961" s="31"/>
      <c r="C1961" s="48"/>
      <c r="D1961" s="47"/>
      <c r="E1961" s="47"/>
      <c r="F1961" s="31"/>
      <c r="G1961" s="31"/>
      <c r="H1961" s="31"/>
      <c r="I1961" s="47"/>
      <c r="J1961" s="31"/>
      <c r="K1961" s="47"/>
      <c r="L1961" s="47"/>
      <c r="M1961" s="47"/>
      <c r="N1961" s="31"/>
      <c r="O1961" s="47"/>
      <c r="P1961" s="31"/>
      <c r="Q1961" s="31"/>
      <c r="R1961" s="31"/>
      <c r="S1961" s="31"/>
      <c r="T1961" s="270">
        <f t="shared" si="240"/>
        <v>0</v>
      </c>
      <c r="U1961" s="270">
        <f t="shared" si="241"/>
        <v>0</v>
      </c>
      <c r="V1961" s="31"/>
      <c r="X1961" s="240" t="str">
        <f t="shared" si="242"/>
        <v>OK</v>
      </c>
      <c r="Y1961" s="240" t="str">
        <f t="shared" si="243"/>
        <v>OK</v>
      </c>
      <c r="Z1961" s="240" t="str">
        <f t="shared" si="244"/>
        <v>OK</v>
      </c>
      <c r="AA1961" s="240" t="str" cm="1">
        <f t="array" ref="AA1961">IF(OR(AND(J1961="Not accepted",N1961:O1961&lt;&gt;"",$S1961=""),AND(J1961="Accepted",S1961="")),"ERROR","OK")</f>
        <v>OK</v>
      </c>
      <c r="AB1961" s="240" t="str">
        <f t="shared" si="245"/>
        <v>OK</v>
      </c>
      <c r="AC1961" s="240" t="str" cm="1">
        <f t="array" ref="AC1961">IF(AND(F1961:H1961&lt;&gt;"",I1961=""),"ERROR","OK")</f>
        <v>OK</v>
      </c>
      <c r="AD1961" s="240" t="str">
        <f t="shared" si="246"/>
        <v>OK</v>
      </c>
      <c r="AE1961" s="240" t="str">
        <f t="shared" si="247"/>
        <v>OK</v>
      </c>
      <c r="AF1961" s="240" t="str" cm="1">
        <f t="array" aca="1" ref="AF1961" ca="1" xml:space="preserve">
IF(AND($G1961&lt;&gt;"",$F1961=""),"ERROR",
IF(OR($F1961:$G1961="",AND($G1961="",$F1961&lt;&gt;"")),"OK",
IF(COUNTIF(INDIRECT(IFERROR(LEFT($F1961,FIND(" ",$F1961)-1),$F1961)), $G1961)&gt;0, "OK", "ERROR")))</f>
        <v>OK</v>
      </c>
    </row>
    <row r="1962" spans="1:32" s="240" customFormat="1">
      <c r="A1962" s="48"/>
      <c r="B1962" s="31"/>
      <c r="C1962" s="48"/>
      <c r="D1962" s="47"/>
      <c r="E1962" s="47"/>
      <c r="F1962" s="31"/>
      <c r="G1962" s="31"/>
      <c r="H1962" s="31"/>
      <c r="I1962" s="47"/>
      <c r="J1962" s="31"/>
      <c r="K1962" s="47"/>
      <c r="L1962" s="47"/>
      <c r="M1962" s="47"/>
      <c r="N1962" s="31"/>
      <c r="O1962" s="47"/>
      <c r="P1962" s="31"/>
      <c r="Q1962" s="31"/>
      <c r="R1962" s="31"/>
      <c r="S1962" s="31"/>
      <c r="T1962" s="270">
        <f t="shared" si="240"/>
        <v>0</v>
      </c>
      <c r="U1962" s="270">
        <f t="shared" si="241"/>
        <v>0</v>
      </c>
      <c r="V1962" s="31"/>
      <c r="X1962" s="240" t="str">
        <f t="shared" si="242"/>
        <v>OK</v>
      </c>
      <c r="Y1962" s="240" t="str">
        <f t="shared" si="243"/>
        <v>OK</v>
      </c>
      <c r="Z1962" s="240" t="str">
        <f t="shared" si="244"/>
        <v>OK</v>
      </c>
      <c r="AA1962" s="240" t="str" cm="1">
        <f t="array" ref="AA1962">IF(OR(AND(J1962="Not accepted",N1962:O1962&lt;&gt;"",$S1962=""),AND(J1962="Accepted",S1962="")),"ERROR","OK")</f>
        <v>OK</v>
      </c>
      <c r="AB1962" s="240" t="str">
        <f t="shared" si="245"/>
        <v>OK</v>
      </c>
      <c r="AC1962" s="240" t="str" cm="1">
        <f t="array" ref="AC1962">IF(AND(F1962:H1962&lt;&gt;"",I1962=""),"ERROR","OK")</f>
        <v>OK</v>
      </c>
      <c r="AD1962" s="240" t="str">
        <f t="shared" si="246"/>
        <v>OK</v>
      </c>
      <c r="AE1962" s="240" t="str">
        <f t="shared" si="247"/>
        <v>OK</v>
      </c>
      <c r="AF1962" s="240" t="str" cm="1">
        <f t="array" aca="1" ref="AF1962" ca="1" xml:space="preserve">
IF(AND($G1962&lt;&gt;"",$F1962=""),"ERROR",
IF(OR($F1962:$G1962="",AND($G1962="",$F1962&lt;&gt;"")),"OK",
IF(COUNTIF(INDIRECT(IFERROR(LEFT($F1962,FIND(" ",$F1962)-1),$F1962)), $G1962)&gt;0, "OK", "ERROR")))</f>
        <v>OK</v>
      </c>
    </row>
    <row r="1963" spans="1:32" s="240" customFormat="1">
      <c r="A1963" s="48"/>
      <c r="B1963" s="31"/>
      <c r="C1963" s="48"/>
      <c r="D1963" s="47"/>
      <c r="E1963" s="47"/>
      <c r="F1963" s="31"/>
      <c r="G1963" s="31"/>
      <c r="H1963" s="31"/>
      <c r="I1963" s="47"/>
      <c r="J1963" s="31"/>
      <c r="K1963" s="47"/>
      <c r="L1963" s="47"/>
      <c r="M1963" s="47"/>
      <c r="N1963" s="31"/>
      <c r="O1963" s="47"/>
      <c r="P1963" s="31"/>
      <c r="Q1963" s="31"/>
      <c r="R1963" s="31"/>
      <c r="S1963" s="31"/>
      <c r="T1963" s="270">
        <f t="shared" si="240"/>
        <v>0</v>
      </c>
      <c r="U1963" s="270">
        <f t="shared" si="241"/>
        <v>0</v>
      </c>
      <c r="V1963" s="31"/>
      <c r="X1963" s="240" t="str">
        <f t="shared" si="242"/>
        <v>OK</v>
      </c>
      <c r="Y1963" s="240" t="str">
        <f t="shared" si="243"/>
        <v>OK</v>
      </c>
      <c r="Z1963" s="240" t="str">
        <f t="shared" si="244"/>
        <v>OK</v>
      </c>
      <c r="AA1963" s="240" t="str" cm="1">
        <f t="array" ref="AA1963">IF(OR(AND(J1963="Not accepted",N1963:O1963&lt;&gt;"",$S1963=""),AND(J1963="Accepted",S1963="")),"ERROR","OK")</f>
        <v>OK</v>
      </c>
      <c r="AB1963" s="240" t="str">
        <f t="shared" si="245"/>
        <v>OK</v>
      </c>
      <c r="AC1963" s="240" t="str" cm="1">
        <f t="array" ref="AC1963">IF(AND(F1963:H1963&lt;&gt;"",I1963=""),"ERROR","OK")</f>
        <v>OK</v>
      </c>
      <c r="AD1963" s="240" t="str">
        <f t="shared" si="246"/>
        <v>OK</v>
      </c>
      <c r="AE1963" s="240" t="str">
        <f t="shared" si="247"/>
        <v>OK</v>
      </c>
      <c r="AF1963" s="240" t="str" cm="1">
        <f t="array" aca="1" ref="AF1963" ca="1" xml:space="preserve">
IF(AND($G1963&lt;&gt;"",$F1963=""),"ERROR",
IF(OR($F1963:$G1963="",AND($G1963="",$F1963&lt;&gt;"")),"OK",
IF(COUNTIF(INDIRECT(IFERROR(LEFT($F1963,FIND(" ",$F1963)-1),$F1963)), $G1963)&gt;0, "OK", "ERROR")))</f>
        <v>OK</v>
      </c>
    </row>
    <row r="1964" spans="1:32" s="240" customFormat="1">
      <c r="A1964" s="48"/>
      <c r="B1964" s="31"/>
      <c r="C1964" s="48"/>
      <c r="D1964" s="47"/>
      <c r="E1964" s="47"/>
      <c r="F1964" s="31"/>
      <c r="G1964" s="31"/>
      <c r="H1964" s="31"/>
      <c r="I1964" s="47"/>
      <c r="J1964" s="31"/>
      <c r="K1964" s="47"/>
      <c r="L1964" s="47"/>
      <c r="M1964" s="47"/>
      <c r="N1964" s="31"/>
      <c r="O1964" s="47"/>
      <c r="P1964" s="31"/>
      <c r="Q1964" s="31"/>
      <c r="R1964" s="31"/>
      <c r="S1964" s="31"/>
      <c r="T1964" s="270">
        <f t="shared" si="240"/>
        <v>0</v>
      </c>
      <c r="U1964" s="270">
        <f t="shared" si="241"/>
        <v>0</v>
      </c>
      <c r="V1964" s="31"/>
      <c r="X1964" s="240" t="str">
        <f t="shared" si="242"/>
        <v>OK</v>
      </c>
      <c r="Y1964" s="240" t="str">
        <f t="shared" si="243"/>
        <v>OK</v>
      </c>
      <c r="Z1964" s="240" t="str">
        <f t="shared" si="244"/>
        <v>OK</v>
      </c>
      <c r="AA1964" s="240" t="str" cm="1">
        <f t="array" ref="AA1964">IF(OR(AND(J1964="Not accepted",N1964:O1964&lt;&gt;"",$S1964=""),AND(J1964="Accepted",S1964="")),"ERROR","OK")</f>
        <v>OK</v>
      </c>
      <c r="AB1964" s="240" t="str">
        <f t="shared" si="245"/>
        <v>OK</v>
      </c>
      <c r="AC1964" s="240" t="str" cm="1">
        <f t="array" ref="AC1964">IF(AND(F1964:H1964&lt;&gt;"",I1964=""),"ERROR","OK")</f>
        <v>OK</v>
      </c>
      <c r="AD1964" s="240" t="str">
        <f t="shared" si="246"/>
        <v>OK</v>
      </c>
      <c r="AE1964" s="240" t="str">
        <f t="shared" si="247"/>
        <v>OK</v>
      </c>
      <c r="AF1964" s="240" t="str" cm="1">
        <f t="array" aca="1" ref="AF1964" ca="1" xml:space="preserve">
IF(AND($G1964&lt;&gt;"",$F1964=""),"ERROR",
IF(OR($F1964:$G1964="",AND($G1964="",$F1964&lt;&gt;"")),"OK",
IF(COUNTIF(INDIRECT(IFERROR(LEFT($F1964,FIND(" ",$F1964)-1),$F1964)), $G1964)&gt;0, "OK", "ERROR")))</f>
        <v>OK</v>
      </c>
    </row>
    <row r="1965" spans="1:32" s="240" customFormat="1">
      <c r="A1965" s="48"/>
      <c r="B1965" s="31"/>
      <c r="C1965" s="48"/>
      <c r="D1965" s="47"/>
      <c r="E1965" s="47"/>
      <c r="F1965" s="31"/>
      <c r="G1965" s="31"/>
      <c r="H1965" s="31"/>
      <c r="I1965" s="47"/>
      <c r="J1965" s="31"/>
      <c r="K1965" s="47"/>
      <c r="L1965" s="47"/>
      <c r="M1965" s="47"/>
      <c r="N1965" s="31"/>
      <c r="O1965" s="47"/>
      <c r="P1965" s="31"/>
      <c r="Q1965" s="31"/>
      <c r="R1965" s="31"/>
      <c r="S1965" s="31"/>
      <c r="T1965" s="270">
        <f t="shared" si="240"/>
        <v>0</v>
      </c>
      <c r="U1965" s="270">
        <f t="shared" si="241"/>
        <v>0</v>
      </c>
      <c r="V1965" s="31"/>
      <c r="X1965" s="240" t="str">
        <f t="shared" si="242"/>
        <v>OK</v>
      </c>
      <c r="Y1965" s="240" t="str">
        <f t="shared" si="243"/>
        <v>OK</v>
      </c>
      <c r="Z1965" s="240" t="str">
        <f t="shared" si="244"/>
        <v>OK</v>
      </c>
      <c r="AA1965" s="240" t="str" cm="1">
        <f t="array" ref="AA1965">IF(OR(AND(J1965="Not accepted",N1965:O1965&lt;&gt;"",$S1965=""),AND(J1965="Accepted",S1965="")),"ERROR","OK")</f>
        <v>OK</v>
      </c>
      <c r="AB1965" s="240" t="str">
        <f t="shared" si="245"/>
        <v>OK</v>
      </c>
      <c r="AC1965" s="240" t="str" cm="1">
        <f t="array" ref="AC1965">IF(AND(F1965:H1965&lt;&gt;"",I1965=""),"ERROR","OK")</f>
        <v>OK</v>
      </c>
      <c r="AD1965" s="240" t="str">
        <f t="shared" si="246"/>
        <v>OK</v>
      </c>
      <c r="AE1965" s="240" t="str">
        <f t="shared" si="247"/>
        <v>OK</v>
      </c>
      <c r="AF1965" s="240" t="str" cm="1">
        <f t="array" aca="1" ref="AF1965" ca="1" xml:space="preserve">
IF(AND($G1965&lt;&gt;"",$F1965=""),"ERROR",
IF(OR($F1965:$G1965="",AND($G1965="",$F1965&lt;&gt;"")),"OK",
IF(COUNTIF(INDIRECT(IFERROR(LEFT($F1965,FIND(" ",$F1965)-1),$F1965)), $G1965)&gt;0, "OK", "ERROR")))</f>
        <v>OK</v>
      </c>
    </row>
    <row r="1966" spans="1:32" s="240" customFormat="1">
      <c r="A1966" s="48"/>
      <c r="B1966" s="31"/>
      <c r="C1966" s="48"/>
      <c r="D1966" s="47"/>
      <c r="E1966" s="47"/>
      <c r="F1966" s="31"/>
      <c r="G1966" s="31"/>
      <c r="H1966" s="31"/>
      <c r="I1966" s="47"/>
      <c r="J1966" s="31"/>
      <c r="K1966" s="47"/>
      <c r="L1966" s="47"/>
      <c r="M1966" s="47"/>
      <c r="N1966" s="31"/>
      <c r="O1966" s="47"/>
      <c r="P1966" s="31"/>
      <c r="Q1966" s="31"/>
      <c r="R1966" s="31"/>
      <c r="S1966" s="31"/>
      <c r="T1966" s="270">
        <f t="shared" si="240"/>
        <v>0</v>
      </c>
      <c r="U1966" s="270">
        <f t="shared" si="241"/>
        <v>0</v>
      </c>
      <c r="V1966" s="31"/>
      <c r="X1966" s="240" t="str">
        <f t="shared" si="242"/>
        <v>OK</v>
      </c>
      <c r="Y1966" s="240" t="str">
        <f t="shared" si="243"/>
        <v>OK</v>
      </c>
      <c r="Z1966" s="240" t="str">
        <f t="shared" si="244"/>
        <v>OK</v>
      </c>
      <c r="AA1966" s="240" t="str" cm="1">
        <f t="array" ref="AA1966">IF(OR(AND(J1966="Not accepted",N1966:O1966&lt;&gt;"",$S1966=""),AND(J1966="Accepted",S1966="")),"ERROR","OK")</f>
        <v>OK</v>
      </c>
      <c r="AB1966" s="240" t="str">
        <f t="shared" si="245"/>
        <v>OK</v>
      </c>
      <c r="AC1966" s="240" t="str" cm="1">
        <f t="array" ref="AC1966">IF(AND(F1966:H1966&lt;&gt;"",I1966=""),"ERROR","OK")</f>
        <v>OK</v>
      </c>
      <c r="AD1966" s="240" t="str">
        <f t="shared" si="246"/>
        <v>OK</v>
      </c>
      <c r="AE1966" s="240" t="str">
        <f t="shared" si="247"/>
        <v>OK</v>
      </c>
      <c r="AF1966" s="240" t="str" cm="1">
        <f t="array" aca="1" ref="AF1966" ca="1" xml:space="preserve">
IF(AND($G1966&lt;&gt;"",$F1966=""),"ERROR",
IF(OR($F1966:$G1966="",AND($G1966="",$F1966&lt;&gt;"")),"OK",
IF(COUNTIF(INDIRECT(IFERROR(LEFT($F1966,FIND(" ",$F1966)-1),$F1966)), $G1966)&gt;0, "OK", "ERROR")))</f>
        <v>OK</v>
      </c>
    </row>
    <row r="1967" spans="1:32" s="240" customFormat="1">
      <c r="A1967" s="48"/>
      <c r="B1967" s="31"/>
      <c r="C1967" s="48"/>
      <c r="D1967" s="47"/>
      <c r="E1967" s="47"/>
      <c r="F1967" s="31"/>
      <c r="G1967" s="31"/>
      <c r="H1967" s="31"/>
      <c r="I1967" s="47"/>
      <c r="J1967" s="31"/>
      <c r="K1967" s="47"/>
      <c r="L1967" s="47"/>
      <c r="M1967" s="47"/>
      <c r="N1967" s="31"/>
      <c r="O1967" s="47"/>
      <c r="P1967" s="31"/>
      <c r="Q1967" s="31"/>
      <c r="R1967" s="31"/>
      <c r="S1967" s="31"/>
      <c r="T1967" s="270">
        <f t="shared" si="240"/>
        <v>0</v>
      </c>
      <c r="U1967" s="270">
        <f t="shared" si="241"/>
        <v>0</v>
      </c>
      <c r="V1967" s="31"/>
      <c r="X1967" s="240" t="str">
        <f t="shared" si="242"/>
        <v>OK</v>
      </c>
      <c r="Y1967" s="240" t="str">
        <f t="shared" si="243"/>
        <v>OK</v>
      </c>
      <c r="Z1967" s="240" t="str">
        <f t="shared" si="244"/>
        <v>OK</v>
      </c>
      <c r="AA1967" s="240" t="str" cm="1">
        <f t="array" ref="AA1967">IF(OR(AND(J1967="Not accepted",N1967:O1967&lt;&gt;"",$S1967=""),AND(J1967="Accepted",S1967="")),"ERROR","OK")</f>
        <v>OK</v>
      </c>
      <c r="AB1967" s="240" t="str">
        <f t="shared" si="245"/>
        <v>OK</v>
      </c>
      <c r="AC1967" s="240" t="str" cm="1">
        <f t="array" ref="AC1967">IF(AND(F1967:H1967&lt;&gt;"",I1967=""),"ERROR","OK")</f>
        <v>OK</v>
      </c>
      <c r="AD1967" s="240" t="str">
        <f t="shared" si="246"/>
        <v>OK</v>
      </c>
      <c r="AE1967" s="240" t="str">
        <f t="shared" si="247"/>
        <v>OK</v>
      </c>
      <c r="AF1967" s="240" t="str" cm="1">
        <f t="array" aca="1" ref="AF1967" ca="1" xml:space="preserve">
IF(AND($G1967&lt;&gt;"",$F1967=""),"ERROR",
IF(OR($F1967:$G1967="",AND($G1967="",$F1967&lt;&gt;"")),"OK",
IF(COUNTIF(INDIRECT(IFERROR(LEFT($F1967,FIND(" ",$F1967)-1),$F1967)), $G1967)&gt;0, "OK", "ERROR")))</f>
        <v>OK</v>
      </c>
    </row>
    <row r="1968" spans="1:32" s="240" customFormat="1">
      <c r="A1968" s="48"/>
      <c r="B1968" s="31"/>
      <c r="C1968" s="48"/>
      <c r="D1968" s="47"/>
      <c r="E1968" s="47"/>
      <c r="F1968" s="31"/>
      <c r="G1968" s="31"/>
      <c r="H1968" s="31"/>
      <c r="I1968" s="47"/>
      <c r="J1968" s="31"/>
      <c r="K1968" s="47"/>
      <c r="L1968" s="47"/>
      <c r="M1968" s="47"/>
      <c r="N1968" s="31"/>
      <c r="O1968" s="47"/>
      <c r="P1968" s="31"/>
      <c r="Q1968" s="31"/>
      <c r="R1968" s="31"/>
      <c r="S1968" s="31"/>
      <c r="T1968" s="270">
        <f t="shared" si="240"/>
        <v>0</v>
      </c>
      <c r="U1968" s="270">
        <f t="shared" si="241"/>
        <v>0</v>
      </c>
      <c r="V1968" s="31"/>
      <c r="X1968" s="240" t="str">
        <f t="shared" si="242"/>
        <v>OK</v>
      </c>
      <c r="Y1968" s="240" t="str">
        <f t="shared" si="243"/>
        <v>OK</v>
      </c>
      <c r="Z1968" s="240" t="str">
        <f t="shared" si="244"/>
        <v>OK</v>
      </c>
      <c r="AA1968" s="240" t="str" cm="1">
        <f t="array" ref="AA1968">IF(OR(AND(J1968="Not accepted",N1968:O1968&lt;&gt;"",$S1968=""),AND(J1968="Accepted",S1968="")),"ERROR","OK")</f>
        <v>OK</v>
      </c>
      <c r="AB1968" s="240" t="str">
        <f t="shared" si="245"/>
        <v>OK</v>
      </c>
      <c r="AC1968" s="240" t="str" cm="1">
        <f t="array" ref="AC1968">IF(AND(F1968:H1968&lt;&gt;"",I1968=""),"ERROR","OK")</f>
        <v>OK</v>
      </c>
      <c r="AD1968" s="240" t="str">
        <f t="shared" si="246"/>
        <v>OK</v>
      </c>
      <c r="AE1968" s="240" t="str">
        <f t="shared" si="247"/>
        <v>OK</v>
      </c>
      <c r="AF1968" s="240" t="str" cm="1">
        <f t="array" aca="1" ref="AF1968" ca="1" xml:space="preserve">
IF(AND($G1968&lt;&gt;"",$F1968=""),"ERROR",
IF(OR($F1968:$G1968="",AND($G1968="",$F1968&lt;&gt;"")),"OK",
IF(COUNTIF(INDIRECT(IFERROR(LEFT($F1968,FIND(" ",$F1968)-1),$F1968)), $G1968)&gt;0, "OK", "ERROR")))</f>
        <v>OK</v>
      </c>
    </row>
    <row r="1969" spans="1:32" s="240" customFormat="1">
      <c r="A1969" s="48"/>
      <c r="B1969" s="31"/>
      <c r="C1969" s="48"/>
      <c r="D1969" s="47"/>
      <c r="E1969" s="47"/>
      <c r="F1969" s="31"/>
      <c r="G1969" s="31"/>
      <c r="H1969" s="31"/>
      <c r="I1969" s="47"/>
      <c r="J1969" s="31"/>
      <c r="K1969" s="47"/>
      <c r="L1969" s="47"/>
      <c r="M1969" s="47"/>
      <c r="N1969" s="31"/>
      <c r="O1969" s="47"/>
      <c r="P1969" s="31"/>
      <c r="Q1969" s="31"/>
      <c r="R1969" s="31"/>
      <c r="S1969" s="31"/>
      <c r="T1969" s="270">
        <f t="shared" si="240"/>
        <v>0</v>
      </c>
      <c r="U1969" s="270">
        <f t="shared" si="241"/>
        <v>0</v>
      </c>
      <c r="V1969" s="31"/>
      <c r="X1969" s="240" t="str">
        <f t="shared" si="242"/>
        <v>OK</v>
      </c>
      <c r="Y1969" s="240" t="str">
        <f t="shared" si="243"/>
        <v>OK</v>
      </c>
      <c r="Z1969" s="240" t="str">
        <f t="shared" si="244"/>
        <v>OK</v>
      </c>
      <c r="AA1969" s="240" t="str" cm="1">
        <f t="array" ref="AA1969">IF(OR(AND(J1969="Not accepted",N1969:O1969&lt;&gt;"",$S1969=""),AND(J1969="Accepted",S1969="")),"ERROR","OK")</f>
        <v>OK</v>
      </c>
      <c r="AB1969" s="240" t="str">
        <f t="shared" si="245"/>
        <v>OK</v>
      </c>
      <c r="AC1969" s="240" t="str" cm="1">
        <f t="array" ref="AC1969">IF(AND(F1969:H1969&lt;&gt;"",I1969=""),"ERROR","OK")</f>
        <v>OK</v>
      </c>
      <c r="AD1969" s="240" t="str">
        <f t="shared" si="246"/>
        <v>OK</v>
      </c>
      <c r="AE1969" s="240" t="str">
        <f t="shared" si="247"/>
        <v>OK</v>
      </c>
      <c r="AF1969" s="240" t="str" cm="1">
        <f t="array" aca="1" ref="AF1969" ca="1" xml:space="preserve">
IF(AND($G1969&lt;&gt;"",$F1969=""),"ERROR",
IF(OR($F1969:$G1969="",AND($G1969="",$F1969&lt;&gt;"")),"OK",
IF(COUNTIF(INDIRECT(IFERROR(LEFT($F1969,FIND(" ",$F1969)-1),$F1969)), $G1969)&gt;0, "OK", "ERROR")))</f>
        <v>OK</v>
      </c>
    </row>
    <row r="1970" spans="1:32" s="240" customFormat="1">
      <c r="A1970" s="48"/>
      <c r="B1970" s="31"/>
      <c r="C1970" s="48"/>
      <c r="D1970" s="47"/>
      <c r="E1970" s="47"/>
      <c r="F1970" s="31"/>
      <c r="G1970" s="31"/>
      <c r="H1970" s="31"/>
      <c r="I1970" s="47"/>
      <c r="J1970" s="31"/>
      <c r="K1970" s="47"/>
      <c r="L1970" s="47"/>
      <c r="M1970" s="47"/>
      <c r="N1970" s="31"/>
      <c r="O1970" s="47"/>
      <c r="P1970" s="31"/>
      <c r="Q1970" s="31"/>
      <c r="R1970" s="31"/>
      <c r="S1970" s="31"/>
      <c r="T1970" s="270">
        <f t="shared" si="240"/>
        <v>0</v>
      </c>
      <c r="U1970" s="270">
        <f t="shared" si="241"/>
        <v>0</v>
      </c>
      <c r="V1970" s="31"/>
      <c r="X1970" s="240" t="str">
        <f t="shared" si="242"/>
        <v>OK</v>
      </c>
      <c r="Y1970" s="240" t="str">
        <f t="shared" si="243"/>
        <v>OK</v>
      </c>
      <c r="Z1970" s="240" t="str">
        <f t="shared" si="244"/>
        <v>OK</v>
      </c>
      <c r="AA1970" s="240" t="str" cm="1">
        <f t="array" ref="AA1970">IF(OR(AND(J1970="Not accepted",N1970:O1970&lt;&gt;"",$S1970=""),AND(J1970="Accepted",S1970="")),"ERROR","OK")</f>
        <v>OK</v>
      </c>
      <c r="AB1970" s="240" t="str">
        <f t="shared" si="245"/>
        <v>OK</v>
      </c>
      <c r="AC1970" s="240" t="str" cm="1">
        <f t="array" ref="AC1970">IF(AND(F1970:H1970&lt;&gt;"",I1970=""),"ERROR","OK")</f>
        <v>OK</v>
      </c>
      <c r="AD1970" s="240" t="str">
        <f t="shared" si="246"/>
        <v>OK</v>
      </c>
      <c r="AE1970" s="240" t="str">
        <f t="shared" si="247"/>
        <v>OK</v>
      </c>
      <c r="AF1970" s="240" t="str" cm="1">
        <f t="array" aca="1" ref="AF1970" ca="1" xml:space="preserve">
IF(AND($G1970&lt;&gt;"",$F1970=""),"ERROR",
IF(OR($F1970:$G1970="",AND($G1970="",$F1970&lt;&gt;"")),"OK",
IF(COUNTIF(INDIRECT(IFERROR(LEFT($F1970,FIND(" ",$F1970)-1),$F1970)), $G1970)&gt;0, "OK", "ERROR")))</f>
        <v>OK</v>
      </c>
    </row>
    <row r="1971" spans="1:32" s="240" customFormat="1">
      <c r="A1971" s="48"/>
      <c r="B1971" s="31"/>
      <c r="C1971" s="48"/>
      <c r="D1971" s="47"/>
      <c r="E1971" s="47"/>
      <c r="F1971" s="31"/>
      <c r="G1971" s="31"/>
      <c r="H1971" s="31"/>
      <c r="I1971" s="47"/>
      <c r="J1971" s="31"/>
      <c r="K1971" s="47"/>
      <c r="L1971" s="47"/>
      <c r="M1971" s="47"/>
      <c r="N1971" s="31"/>
      <c r="O1971" s="47"/>
      <c r="P1971" s="31"/>
      <c r="Q1971" s="31"/>
      <c r="R1971" s="31"/>
      <c r="S1971" s="31"/>
      <c r="T1971" s="270">
        <f t="shared" si="240"/>
        <v>0</v>
      </c>
      <c r="U1971" s="270">
        <f t="shared" si="241"/>
        <v>0</v>
      </c>
      <c r="V1971" s="31"/>
      <c r="X1971" s="240" t="str">
        <f t="shared" si="242"/>
        <v>OK</v>
      </c>
      <c r="Y1971" s="240" t="str">
        <f t="shared" si="243"/>
        <v>OK</v>
      </c>
      <c r="Z1971" s="240" t="str">
        <f t="shared" si="244"/>
        <v>OK</v>
      </c>
      <c r="AA1971" s="240" t="str" cm="1">
        <f t="array" ref="AA1971">IF(OR(AND(J1971="Not accepted",N1971:O1971&lt;&gt;"",$S1971=""),AND(J1971="Accepted",S1971="")),"ERROR","OK")</f>
        <v>OK</v>
      </c>
      <c r="AB1971" s="240" t="str">
        <f t="shared" si="245"/>
        <v>OK</v>
      </c>
      <c r="AC1971" s="240" t="str" cm="1">
        <f t="array" ref="AC1971">IF(AND(F1971:H1971&lt;&gt;"",I1971=""),"ERROR","OK")</f>
        <v>OK</v>
      </c>
      <c r="AD1971" s="240" t="str">
        <f t="shared" si="246"/>
        <v>OK</v>
      </c>
      <c r="AE1971" s="240" t="str">
        <f t="shared" si="247"/>
        <v>OK</v>
      </c>
      <c r="AF1971" s="240" t="str" cm="1">
        <f t="array" aca="1" ref="AF1971" ca="1" xml:space="preserve">
IF(AND($G1971&lt;&gt;"",$F1971=""),"ERROR",
IF(OR($F1971:$G1971="",AND($G1971="",$F1971&lt;&gt;"")),"OK",
IF(COUNTIF(INDIRECT(IFERROR(LEFT($F1971,FIND(" ",$F1971)-1),$F1971)), $G1971)&gt;0, "OK", "ERROR")))</f>
        <v>OK</v>
      </c>
    </row>
    <row r="1972" spans="1:32" s="240" customFormat="1">
      <c r="A1972" s="48"/>
      <c r="B1972" s="31"/>
      <c r="C1972" s="48"/>
      <c r="D1972" s="47"/>
      <c r="E1972" s="47"/>
      <c r="F1972" s="31"/>
      <c r="G1972" s="31"/>
      <c r="H1972" s="31"/>
      <c r="I1972" s="47"/>
      <c r="J1972" s="31"/>
      <c r="K1972" s="47"/>
      <c r="L1972" s="47"/>
      <c r="M1972" s="47"/>
      <c r="N1972" s="31"/>
      <c r="O1972" s="47"/>
      <c r="P1972" s="31"/>
      <c r="Q1972" s="31"/>
      <c r="R1972" s="31"/>
      <c r="S1972" s="31"/>
      <c r="T1972" s="270">
        <f t="shared" si="240"/>
        <v>0</v>
      </c>
      <c r="U1972" s="270">
        <f t="shared" si="241"/>
        <v>0</v>
      </c>
      <c r="V1972" s="31"/>
      <c r="X1972" s="240" t="str">
        <f t="shared" si="242"/>
        <v>OK</v>
      </c>
      <c r="Y1972" s="240" t="str">
        <f t="shared" si="243"/>
        <v>OK</v>
      </c>
      <c r="Z1972" s="240" t="str">
        <f t="shared" si="244"/>
        <v>OK</v>
      </c>
      <c r="AA1972" s="240" t="str" cm="1">
        <f t="array" ref="AA1972">IF(OR(AND(J1972="Not accepted",N1972:O1972&lt;&gt;"",$S1972=""),AND(J1972="Accepted",S1972="")),"ERROR","OK")</f>
        <v>OK</v>
      </c>
      <c r="AB1972" s="240" t="str">
        <f t="shared" si="245"/>
        <v>OK</v>
      </c>
      <c r="AC1972" s="240" t="str" cm="1">
        <f t="array" ref="AC1972">IF(AND(F1972:H1972&lt;&gt;"",I1972=""),"ERROR","OK")</f>
        <v>OK</v>
      </c>
      <c r="AD1972" s="240" t="str">
        <f t="shared" si="246"/>
        <v>OK</v>
      </c>
      <c r="AE1972" s="240" t="str">
        <f t="shared" si="247"/>
        <v>OK</v>
      </c>
      <c r="AF1972" s="240" t="str" cm="1">
        <f t="array" aca="1" ref="AF1972" ca="1" xml:space="preserve">
IF(AND($G1972&lt;&gt;"",$F1972=""),"ERROR",
IF(OR($F1972:$G1972="",AND($G1972="",$F1972&lt;&gt;"")),"OK",
IF(COUNTIF(INDIRECT(IFERROR(LEFT($F1972,FIND(" ",$F1972)-1),$F1972)), $G1972)&gt;0, "OK", "ERROR")))</f>
        <v>OK</v>
      </c>
    </row>
    <row r="1973" spans="1:32" s="240" customFormat="1">
      <c r="A1973" s="48"/>
      <c r="B1973" s="31"/>
      <c r="C1973" s="48"/>
      <c r="D1973" s="47"/>
      <c r="E1973" s="47"/>
      <c r="F1973" s="31"/>
      <c r="G1973" s="31"/>
      <c r="H1973" s="31"/>
      <c r="I1973" s="47"/>
      <c r="J1973" s="31"/>
      <c r="K1973" s="47"/>
      <c r="L1973" s="47"/>
      <c r="M1973" s="47"/>
      <c r="N1973" s="31"/>
      <c r="O1973" s="47"/>
      <c r="P1973" s="31"/>
      <c r="Q1973" s="31"/>
      <c r="R1973" s="31"/>
      <c r="S1973" s="31"/>
      <c r="T1973" s="270">
        <f t="shared" si="240"/>
        <v>0</v>
      </c>
      <c r="U1973" s="270">
        <f t="shared" si="241"/>
        <v>0</v>
      </c>
      <c r="V1973" s="31"/>
      <c r="X1973" s="240" t="str">
        <f t="shared" si="242"/>
        <v>OK</v>
      </c>
      <c r="Y1973" s="240" t="str">
        <f t="shared" si="243"/>
        <v>OK</v>
      </c>
      <c r="Z1973" s="240" t="str">
        <f t="shared" si="244"/>
        <v>OK</v>
      </c>
      <c r="AA1973" s="240" t="str" cm="1">
        <f t="array" ref="AA1973">IF(OR(AND(J1973="Not accepted",N1973:O1973&lt;&gt;"",$S1973=""),AND(J1973="Accepted",S1973="")),"ERROR","OK")</f>
        <v>OK</v>
      </c>
      <c r="AB1973" s="240" t="str">
        <f t="shared" si="245"/>
        <v>OK</v>
      </c>
      <c r="AC1973" s="240" t="str" cm="1">
        <f t="array" ref="AC1973">IF(AND(F1973:H1973&lt;&gt;"",I1973=""),"ERROR","OK")</f>
        <v>OK</v>
      </c>
      <c r="AD1973" s="240" t="str">
        <f t="shared" si="246"/>
        <v>OK</v>
      </c>
      <c r="AE1973" s="240" t="str">
        <f t="shared" si="247"/>
        <v>OK</v>
      </c>
      <c r="AF1973" s="240" t="str" cm="1">
        <f t="array" aca="1" ref="AF1973" ca="1" xml:space="preserve">
IF(AND($G1973&lt;&gt;"",$F1973=""),"ERROR",
IF(OR($F1973:$G1973="",AND($G1973="",$F1973&lt;&gt;"")),"OK",
IF(COUNTIF(INDIRECT(IFERROR(LEFT($F1973,FIND(" ",$F1973)-1),$F1973)), $G1973)&gt;0, "OK", "ERROR")))</f>
        <v>OK</v>
      </c>
    </row>
    <row r="1974" spans="1:32" s="240" customFormat="1">
      <c r="A1974" s="48"/>
      <c r="B1974" s="31"/>
      <c r="C1974" s="48"/>
      <c r="D1974" s="47"/>
      <c r="E1974" s="47"/>
      <c r="F1974" s="31"/>
      <c r="G1974" s="31"/>
      <c r="H1974" s="31"/>
      <c r="I1974" s="47"/>
      <c r="J1974" s="31"/>
      <c r="K1974" s="47"/>
      <c r="L1974" s="47"/>
      <c r="M1974" s="47"/>
      <c r="N1974" s="31"/>
      <c r="O1974" s="47"/>
      <c r="P1974" s="31"/>
      <c r="Q1974" s="31"/>
      <c r="R1974" s="31"/>
      <c r="S1974" s="31"/>
      <c r="T1974" s="270">
        <f t="shared" si="240"/>
        <v>0</v>
      </c>
      <c r="U1974" s="270">
        <f t="shared" si="241"/>
        <v>0</v>
      </c>
      <c r="V1974" s="31"/>
      <c r="X1974" s="240" t="str">
        <f t="shared" si="242"/>
        <v>OK</v>
      </c>
      <c r="Y1974" s="240" t="str">
        <f t="shared" si="243"/>
        <v>OK</v>
      </c>
      <c r="Z1974" s="240" t="str">
        <f t="shared" si="244"/>
        <v>OK</v>
      </c>
      <c r="AA1974" s="240" t="str" cm="1">
        <f t="array" ref="AA1974">IF(OR(AND(J1974="Not accepted",N1974:O1974&lt;&gt;"",$S1974=""),AND(J1974="Accepted",S1974="")),"ERROR","OK")</f>
        <v>OK</v>
      </c>
      <c r="AB1974" s="240" t="str">
        <f t="shared" si="245"/>
        <v>OK</v>
      </c>
      <c r="AC1974" s="240" t="str" cm="1">
        <f t="array" ref="AC1974">IF(AND(F1974:H1974&lt;&gt;"",I1974=""),"ERROR","OK")</f>
        <v>OK</v>
      </c>
      <c r="AD1974" s="240" t="str">
        <f t="shared" si="246"/>
        <v>OK</v>
      </c>
      <c r="AE1974" s="240" t="str">
        <f t="shared" si="247"/>
        <v>OK</v>
      </c>
      <c r="AF1974" s="240" t="str" cm="1">
        <f t="array" aca="1" ref="AF1974" ca="1" xml:space="preserve">
IF(AND($G1974&lt;&gt;"",$F1974=""),"ERROR",
IF(OR($F1974:$G1974="",AND($G1974="",$F1974&lt;&gt;"")),"OK",
IF(COUNTIF(INDIRECT(IFERROR(LEFT($F1974,FIND(" ",$F1974)-1),$F1974)), $G1974)&gt;0, "OK", "ERROR")))</f>
        <v>OK</v>
      </c>
    </row>
    <row r="1975" spans="1:32" s="240" customFormat="1">
      <c r="A1975" s="48"/>
      <c r="B1975" s="31"/>
      <c r="C1975" s="48"/>
      <c r="D1975" s="47"/>
      <c r="E1975" s="47"/>
      <c r="F1975" s="31"/>
      <c r="G1975" s="31"/>
      <c r="H1975" s="31"/>
      <c r="I1975" s="47"/>
      <c r="J1975" s="31"/>
      <c r="K1975" s="47"/>
      <c r="L1975" s="47"/>
      <c r="M1975" s="47"/>
      <c r="N1975" s="31"/>
      <c r="O1975" s="47"/>
      <c r="P1975" s="31"/>
      <c r="Q1975" s="31"/>
      <c r="R1975" s="31"/>
      <c r="S1975" s="31"/>
      <c r="T1975" s="270">
        <f t="shared" si="240"/>
        <v>0</v>
      </c>
      <c r="U1975" s="270">
        <f t="shared" si="241"/>
        <v>0</v>
      </c>
      <c r="V1975" s="31"/>
      <c r="X1975" s="240" t="str">
        <f t="shared" si="242"/>
        <v>OK</v>
      </c>
      <c r="Y1975" s="240" t="str">
        <f t="shared" si="243"/>
        <v>OK</v>
      </c>
      <c r="Z1975" s="240" t="str">
        <f t="shared" si="244"/>
        <v>OK</v>
      </c>
      <c r="AA1975" s="240" t="str" cm="1">
        <f t="array" ref="AA1975">IF(OR(AND(J1975="Not accepted",N1975:O1975&lt;&gt;"",$S1975=""),AND(J1975="Accepted",S1975="")),"ERROR","OK")</f>
        <v>OK</v>
      </c>
      <c r="AB1975" s="240" t="str">
        <f t="shared" si="245"/>
        <v>OK</v>
      </c>
      <c r="AC1975" s="240" t="str" cm="1">
        <f t="array" ref="AC1975">IF(AND(F1975:H1975&lt;&gt;"",I1975=""),"ERROR","OK")</f>
        <v>OK</v>
      </c>
      <c r="AD1975" s="240" t="str">
        <f t="shared" si="246"/>
        <v>OK</v>
      </c>
      <c r="AE1975" s="240" t="str">
        <f t="shared" si="247"/>
        <v>OK</v>
      </c>
      <c r="AF1975" s="240" t="str" cm="1">
        <f t="array" aca="1" ref="AF1975" ca="1" xml:space="preserve">
IF(AND($G1975&lt;&gt;"",$F1975=""),"ERROR",
IF(OR($F1975:$G1975="",AND($G1975="",$F1975&lt;&gt;"")),"OK",
IF(COUNTIF(INDIRECT(IFERROR(LEFT($F1975,FIND(" ",$F1975)-1),$F1975)), $G1975)&gt;0, "OK", "ERROR")))</f>
        <v>OK</v>
      </c>
    </row>
    <row r="1976" spans="1:32" s="240" customFormat="1">
      <c r="A1976" s="48"/>
      <c r="B1976" s="31"/>
      <c r="C1976" s="48"/>
      <c r="D1976" s="47"/>
      <c r="E1976" s="47"/>
      <c r="F1976" s="31"/>
      <c r="G1976" s="31"/>
      <c r="H1976" s="31"/>
      <c r="I1976" s="47"/>
      <c r="J1976" s="31"/>
      <c r="K1976" s="47"/>
      <c r="L1976" s="47"/>
      <c r="M1976" s="47"/>
      <c r="N1976" s="31"/>
      <c r="O1976" s="47"/>
      <c r="P1976" s="31"/>
      <c r="Q1976" s="31"/>
      <c r="R1976" s="31"/>
      <c r="S1976" s="31"/>
      <c r="T1976" s="270">
        <f t="shared" si="240"/>
        <v>0</v>
      </c>
      <c r="U1976" s="270">
        <f t="shared" si="241"/>
        <v>0</v>
      </c>
      <c r="V1976" s="31"/>
      <c r="X1976" s="240" t="str">
        <f t="shared" si="242"/>
        <v>OK</v>
      </c>
      <c r="Y1976" s="240" t="str">
        <f t="shared" si="243"/>
        <v>OK</v>
      </c>
      <c r="Z1976" s="240" t="str">
        <f t="shared" si="244"/>
        <v>OK</v>
      </c>
      <c r="AA1976" s="240" t="str" cm="1">
        <f t="array" ref="AA1976">IF(OR(AND(J1976="Not accepted",N1976:O1976&lt;&gt;"",$S1976=""),AND(J1976="Accepted",S1976="")),"ERROR","OK")</f>
        <v>OK</v>
      </c>
      <c r="AB1976" s="240" t="str">
        <f t="shared" si="245"/>
        <v>OK</v>
      </c>
      <c r="AC1976" s="240" t="str" cm="1">
        <f t="array" ref="AC1976">IF(AND(F1976:H1976&lt;&gt;"",I1976=""),"ERROR","OK")</f>
        <v>OK</v>
      </c>
      <c r="AD1976" s="240" t="str">
        <f t="shared" si="246"/>
        <v>OK</v>
      </c>
      <c r="AE1976" s="240" t="str">
        <f t="shared" si="247"/>
        <v>OK</v>
      </c>
      <c r="AF1976" s="240" t="str" cm="1">
        <f t="array" aca="1" ref="AF1976" ca="1" xml:space="preserve">
IF(AND($G1976&lt;&gt;"",$F1976=""),"ERROR",
IF(OR($F1976:$G1976="",AND($G1976="",$F1976&lt;&gt;"")),"OK",
IF(COUNTIF(INDIRECT(IFERROR(LEFT($F1976,FIND(" ",$F1976)-1),$F1976)), $G1976)&gt;0, "OK", "ERROR")))</f>
        <v>OK</v>
      </c>
    </row>
    <row r="1977" spans="1:32" s="240" customFormat="1">
      <c r="A1977" s="48"/>
      <c r="B1977" s="31"/>
      <c r="C1977" s="48"/>
      <c r="D1977" s="47"/>
      <c r="E1977" s="47"/>
      <c r="F1977" s="31"/>
      <c r="G1977" s="31"/>
      <c r="H1977" s="31"/>
      <c r="I1977" s="47"/>
      <c r="J1977" s="31"/>
      <c r="K1977" s="47"/>
      <c r="L1977" s="47"/>
      <c r="M1977" s="47"/>
      <c r="N1977" s="31"/>
      <c r="O1977" s="47"/>
      <c r="P1977" s="31"/>
      <c r="Q1977" s="31"/>
      <c r="R1977" s="31"/>
      <c r="S1977" s="31"/>
      <c r="T1977" s="270">
        <f t="shared" si="240"/>
        <v>0</v>
      </c>
      <c r="U1977" s="270">
        <f t="shared" si="241"/>
        <v>0</v>
      </c>
      <c r="V1977" s="31"/>
      <c r="X1977" s="240" t="str">
        <f t="shared" si="242"/>
        <v>OK</v>
      </c>
      <c r="Y1977" s="240" t="str">
        <f t="shared" si="243"/>
        <v>OK</v>
      </c>
      <c r="Z1977" s="240" t="str">
        <f t="shared" si="244"/>
        <v>OK</v>
      </c>
      <c r="AA1977" s="240" t="str" cm="1">
        <f t="array" ref="AA1977">IF(OR(AND(J1977="Not accepted",N1977:O1977&lt;&gt;"",$S1977=""),AND(J1977="Accepted",S1977="")),"ERROR","OK")</f>
        <v>OK</v>
      </c>
      <c r="AB1977" s="240" t="str">
        <f t="shared" si="245"/>
        <v>OK</v>
      </c>
      <c r="AC1977" s="240" t="str" cm="1">
        <f t="array" ref="AC1977">IF(AND(F1977:H1977&lt;&gt;"",I1977=""),"ERROR","OK")</f>
        <v>OK</v>
      </c>
      <c r="AD1977" s="240" t="str">
        <f t="shared" si="246"/>
        <v>OK</v>
      </c>
      <c r="AE1977" s="240" t="str">
        <f t="shared" si="247"/>
        <v>OK</v>
      </c>
      <c r="AF1977" s="240" t="str" cm="1">
        <f t="array" aca="1" ref="AF1977" ca="1" xml:space="preserve">
IF(AND($G1977&lt;&gt;"",$F1977=""),"ERROR",
IF(OR($F1977:$G1977="",AND($G1977="",$F1977&lt;&gt;"")),"OK",
IF(COUNTIF(INDIRECT(IFERROR(LEFT($F1977,FIND(" ",$F1977)-1),$F1977)), $G1977)&gt;0, "OK", "ERROR")))</f>
        <v>OK</v>
      </c>
    </row>
    <row r="1978" spans="1:32" s="240" customFormat="1">
      <c r="A1978" s="48"/>
      <c r="B1978" s="31"/>
      <c r="C1978" s="48"/>
      <c r="D1978" s="47"/>
      <c r="E1978" s="47"/>
      <c r="F1978" s="31"/>
      <c r="G1978" s="31"/>
      <c r="H1978" s="31"/>
      <c r="I1978" s="47"/>
      <c r="J1978" s="31"/>
      <c r="K1978" s="47"/>
      <c r="L1978" s="47"/>
      <c r="M1978" s="47"/>
      <c r="N1978" s="31"/>
      <c r="O1978" s="47"/>
      <c r="P1978" s="31"/>
      <c r="Q1978" s="31"/>
      <c r="R1978" s="31"/>
      <c r="S1978" s="31"/>
      <c r="T1978" s="270">
        <f t="shared" si="240"/>
        <v>0</v>
      </c>
      <c r="U1978" s="270">
        <f t="shared" si="241"/>
        <v>0</v>
      </c>
      <c r="V1978" s="31"/>
      <c r="X1978" s="240" t="str">
        <f t="shared" si="242"/>
        <v>OK</v>
      </c>
      <c r="Y1978" s="240" t="str">
        <f t="shared" si="243"/>
        <v>OK</v>
      </c>
      <c r="Z1978" s="240" t="str">
        <f t="shared" si="244"/>
        <v>OK</v>
      </c>
      <c r="AA1978" s="240" t="str" cm="1">
        <f t="array" ref="AA1978">IF(OR(AND(J1978="Not accepted",N1978:O1978&lt;&gt;"",$S1978=""),AND(J1978="Accepted",S1978="")),"ERROR","OK")</f>
        <v>OK</v>
      </c>
      <c r="AB1978" s="240" t="str">
        <f t="shared" si="245"/>
        <v>OK</v>
      </c>
      <c r="AC1978" s="240" t="str" cm="1">
        <f t="array" ref="AC1978">IF(AND(F1978:H1978&lt;&gt;"",I1978=""),"ERROR","OK")</f>
        <v>OK</v>
      </c>
      <c r="AD1978" s="240" t="str">
        <f t="shared" si="246"/>
        <v>OK</v>
      </c>
      <c r="AE1978" s="240" t="str">
        <f t="shared" si="247"/>
        <v>OK</v>
      </c>
      <c r="AF1978" s="240" t="str" cm="1">
        <f t="array" aca="1" ref="AF1978" ca="1" xml:space="preserve">
IF(AND($G1978&lt;&gt;"",$F1978=""),"ERROR",
IF(OR($F1978:$G1978="",AND($G1978="",$F1978&lt;&gt;"")),"OK",
IF(COUNTIF(INDIRECT(IFERROR(LEFT($F1978,FIND(" ",$F1978)-1),$F1978)), $G1978)&gt;0, "OK", "ERROR")))</f>
        <v>OK</v>
      </c>
    </row>
    <row r="1979" spans="1:32" s="240" customFormat="1">
      <c r="A1979" s="48"/>
      <c r="B1979" s="31"/>
      <c r="C1979" s="48"/>
      <c r="D1979" s="47"/>
      <c r="E1979" s="47"/>
      <c r="F1979" s="31"/>
      <c r="G1979" s="31"/>
      <c r="H1979" s="31"/>
      <c r="I1979" s="47"/>
      <c r="J1979" s="31"/>
      <c r="K1979" s="47"/>
      <c r="L1979" s="47"/>
      <c r="M1979" s="47"/>
      <c r="N1979" s="31"/>
      <c r="O1979" s="47"/>
      <c r="P1979" s="31"/>
      <c r="Q1979" s="31"/>
      <c r="R1979" s="31"/>
      <c r="S1979" s="31"/>
      <c r="T1979" s="270">
        <f t="shared" si="240"/>
        <v>0</v>
      </c>
      <c r="U1979" s="270">
        <f t="shared" si="241"/>
        <v>0</v>
      </c>
      <c r="V1979" s="31"/>
      <c r="X1979" s="240" t="str">
        <f t="shared" si="242"/>
        <v>OK</v>
      </c>
      <c r="Y1979" s="240" t="str">
        <f t="shared" si="243"/>
        <v>OK</v>
      </c>
      <c r="Z1979" s="240" t="str">
        <f t="shared" si="244"/>
        <v>OK</v>
      </c>
      <c r="AA1979" s="240" t="str" cm="1">
        <f t="array" ref="AA1979">IF(OR(AND(J1979="Not accepted",N1979:O1979&lt;&gt;"",$S1979=""),AND(J1979="Accepted",S1979="")),"ERROR","OK")</f>
        <v>OK</v>
      </c>
      <c r="AB1979" s="240" t="str">
        <f t="shared" si="245"/>
        <v>OK</v>
      </c>
      <c r="AC1979" s="240" t="str" cm="1">
        <f t="array" ref="AC1979">IF(AND(F1979:H1979&lt;&gt;"",I1979=""),"ERROR","OK")</f>
        <v>OK</v>
      </c>
      <c r="AD1979" s="240" t="str">
        <f t="shared" si="246"/>
        <v>OK</v>
      </c>
      <c r="AE1979" s="240" t="str">
        <f t="shared" si="247"/>
        <v>OK</v>
      </c>
      <c r="AF1979" s="240" t="str" cm="1">
        <f t="array" aca="1" ref="AF1979" ca="1" xml:space="preserve">
IF(AND($G1979&lt;&gt;"",$F1979=""),"ERROR",
IF(OR($F1979:$G1979="",AND($G1979="",$F1979&lt;&gt;"")),"OK",
IF(COUNTIF(INDIRECT(IFERROR(LEFT($F1979,FIND(" ",$F1979)-1),$F1979)), $G1979)&gt;0, "OK", "ERROR")))</f>
        <v>OK</v>
      </c>
    </row>
    <row r="1980" spans="1:32" s="240" customFormat="1">
      <c r="A1980" s="48"/>
      <c r="B1980" s="31"/>
      <c r="C1980" s="48"/>
      <c r="D1980" s="47"/>
      <c r="E1980" s="47"/>
      <c r="F1980" s="31"/>
      <c r="G1980" s="31"/>
      <c r="H1980" s="31"/>
      <c r="I1980" s="47"/>
      <c r="J1980" s="31"/>
      <c r="K1980" s="47"/>
      <c r="L1980" s="47"/>
      <c r="M1980" s="47"/>
      <c r="N1980" s="31"/>
      <c r="O1980" s="47"/>
      <c r="P1980" s="31"/>
      <c r="Q1980" s="31"/>
      <c r="R1980" s="31"/>
      <c r="S1980" s="31"/>
      <c r="T1980" s="270">
        <f t="shared" si="240"/>
        <v>0</v>
      </c>
      <c r="U1980" s="270">
        <f t="shared" si="241"/>
        <v>0</v>
      </c>
      <c r="V1980" s="31"/>
      <c r="X1980" s="240" t="str">
        <f t="shared" si="242"/>
        <v>OK</v>
      </c>
      <c r="Y1980" s="240" t="str">
        <f t="shared" si="243"/>
        <v>OK</v>
      </c>
      <c r="Z1980" s="240" t="str">
        <f t="shared" si="244"/>
        <v>OK</v>
      </c>
      <c r="AA1980" s="240" t="str" cm="1">
        <f t="array" ref="AA1980">IF(OR(AND(J1980="Not accepted",N1980:O1980&lt;&gt;"",$S1980=""),AND(J1980="Accepted",S1980="")),"ERROR","OK")</f>
        <v>OK</v>
      </c>
      <c r="AB1980" s="240" t="str">
        <f t="shared" si="245"/>
        <v>OK</v>
      </c>
      <c r="AC1980" s="240" t="str" cm="1">
        <f t="array" ref="AC1980">IF(AND(F1980:H1980&lt;&gt;"",I1980=""),"ERROR","OK")</f>
        <v>OK</v>
      </c>
      <c r="AD1980" s="240" t="str">
        <f t="shared" si="246"/>
        <v>OK</v>
      </c>
      <c r="AE1980" s="240" t="str">
        <f t="shared" si="247"/>
        <v>OK</v>
      </c>
      <c r="AF1980" s="240" t="str" cm="1">
        <f t="array" aca="1" ref="AF1980" ca="1" xml:space="preserve">
IF(AND($G1980&lt;&gt;"",$F1980=""),"ERROR",
IF(OR($F1980:$G1980="",AND($G1980="",$F1980&lt;&gt;"")),"OK",
IF(COUNTIF(INDIRECT(IFERROR(LEFT($F1980,FIND(" ",$F1980)-1),$F1980)), $G1980)&gt;0, "OK", "ERROR")))</f>
        <v>OK</v>
      </c>
    </row>
    <row r="1981" spans="1:32" s="240" customFormat="1">
      <c r="A1981" s="48"/>
      <c r="B1981" s="31"/>
      <c r="C1981" s="48"/>
      <c r="D1981" s="47"/>
      <c r="E1981" s="47"/>
      <c r="F1981" s="31"/>
      <c r="G1981" s="31"/>
      <c r="H1981" s="31"/>
      <c r="I1981" s="47"/>
      <c r="J1981" s="31"/>
      <c r="K1981" s="47"/>
      <c r="L1981" s="47"/>
      <c r="M1981" s="47"/>
      <c r="N1981" s="31"/>
      <c r="O1981" s="47"/>
      <c r="P1981" s="31"/>
      <c r="Q1981" s="31"/>
      <c r="R1981" s="31"/>
      <c r="S1981" s="31"/>
      <c r="T1981" s="270">
        <f t="shared" si="240"/>
        <v>0</v>
      </c>
      <c r="U1981" s="270">
        <f t="shared" si="241"/>
        <v>0</v>
      </c>
      <c r="V1981" s="31"/>
      <c r="X1981" s="240" t="str">
        <f t="shared" si="242"/>
        <v>OK</v>
      </c>
      <c r="Y1981" s="240" t="str">
        <f t="shared" si="243"/>
        <v>OK</v>
      </c>
      <c r="Z1981" s="240" t="str">
        <f t="shared" si="244"/>
        <v>OK</v>
      </c>
      <c r="AA1981" s="240" t="str" cm="1">
        <f t="array" ref="AA1981">IF(OR(AND(J1981="Not accepted",N1981:O1981&lt;&gt;"",$S1981=""),AND(J1981="Accepted",S1981="")),"ERROR","OK")</f>
        <v>OK</v>
      </c>
      <c r="AB1981" s="240" t="str">
        <f t="shared" si="245"/>
        <v>OK</v>
      </c>
      <c r="AC1981" s="240" t="str" cm="1">
        <f t="array" ref="AC1981">IF(AND(F1981:H1981&lt;&gt;"",I1981=""),"ERROR","OK")</f>
        <v>OK</v>
      </c>
      <c r="AD1981" s="240" t="str">
        <f t="shared" si="246"/>
        <v>OK</v>
      </c>
      <c r="AE1981" s="240" t="str">
        <f t="shared" si="247"/>
        <v>OK</v>
      </c>
      <c r="AF1981" s="240" t="str" cm="1">
        <f t="array" aca="1" ref="AF1981" ca="1" xml:space="preserve">
IF(AND($G1981&lt;&gt;"",$F1981=""),"ERROR",
IF(OR($F1981:$G1981="",AND($G1981="",$F1981&lt;&gt;"")),"OK",
IF(COUNTIF(INDIRECT(IFERROR(LEFT($F1981,FIND(" ",$F1981)-1),$F1981)), $G1981)&gt;0, "OK", "ERROR")))</f>
        <v>OK</v>
      </c>
    </row>
    <row r="1982" spans="1:32" s="240" customFormat="1">
      <c r="A1982" s="48"/>
      <c r="B1982" s="31"/>
      <c r="C1982" s="48"/>
      <c r="D1982" s="47"/>
      <c r="E1982" s="47"/>
      <c r="F1982" s="31"/>
      <c r="G1982" s="31"/>
      <c r="H1982" s="31"/>
      <c r="I1982" s="47"/>
      <c r="J1982" s="31"/>
      <c r="K1982" s="47"/>
      <c r="L1982" s="47"/>
      <c r="M1982" s="47"/>
      <c r="N1982" s="31"/>
      <c r="O1982" s="47"/>
      <c r="P1982" s="31"/>
      <c r="Q1982" s="31"/>
      <c r="R1982" s="31"/>
      <c r="S1982" s="31"/>
      <c r="T1982" s="270">
        <f t="shared" si="240"/>
        <v>0</v>
      </c>
      <c r="U1982" s="270">
        <f t="shared" si="241"/>
        <v>0</v>
      </c>
      <c r="V1982" s="31"/>
      <c r="X1982" s="240" t="str">
        <f t="shared" si="242"/>
        <v>OK</v>
      </c>
      <c r="Y1982" s="240" t="str">
        <f t="shared" si="243"/>
        <v>OK</v>
      </c>
      <c r="Z1982" s="240" t="str">
        <f t="shared" si="244"/>
        <v>OK</v>
      </c>
      <c r="AA1982" s="240" t="str" cm="1">
        <f t="array" ref="AA1982">IF(OR(AND(J1982="Not accepted",N1982:O1982&lt;&gt;"",$S1982=""),AND(J1982="Accepted",S1982="")),"ERROR","OK")</f>
        <v>OK</v>
      </c>
      <c r="AB1982" s="240" t="str">
        <f t="shared" si="245"/>
        <v>OK</v>
      </c>
      <c r="AC1982" s="240" t="str" cm="1">
        <f t="array" ref="AC1982">IF(AND(F1982:H1982&lt;&gt;"",I1982=""),"ERROR","OK")</f>
        <v>OK</v>
      </c>
      <c r="AD1982" s="240" t="str">
        <f t="shared" si="246"/>
        <v>OK</v>
      </c>
      <c r="AE1982" s="240" t="str">
        <f t="shared" si="247"/>
        <v>OK</v>
      </c>
      <c r="AF1982" s="240" t="str" cm="1">
        <f t="array" aca="1" ref="AF1982" ca="1" xml:space="preserve">
IF(AND($G1982&lt;&gt;"",$F1982=""),"ERROR",
IF(OR($F1982:$G1982="",AND($G1982="",$F1982&lt;&gt;"")),"OK",
IF(COUNTIF(INDIRECT(IFERROR(LEFT($F1982,FIND(" ",$F1982)-1),$F1982)), $G1982)&gt;0, "OK", "ERROR")))</f>
        <v>OK</v>
      </c>
    </row>
    <row r="1983" spans="1:32" s="240" customFormat="1">
      <c r="A1983" s="48"/>
      <c r="B1983" s="31"/>
      <c r="C1983" s="48"/>
      <c r="D1983" s="47"/>
      <c r="E1983" s="47"/>
      <c r="F1983" s="31"/>
      <c r="G1983" s="31"/>
      <c r="H1983" s="31"/>
      <c r="I1983" s="47"/>
      <c r="J1983" s="31"/>
      <c r="K1983" s="47"/>
      <c r="L1983" s="47"/>
      <c r="M1983" s="47"/>
      <c r="N1983" s="31"/>
      <c r="O1983" s="47"/>
      <c r="P1983" s="31"/>
      <c r="Q1983" s="31"/>
      <c r="R1983" s="31"/>
      <c r="S1983" s="31"/>
      <c r="T1983" s="270">
        <f t="shared" si="240"/>
        <v>0</v>
      </c>
      <c r="U1983" s="270">
        <f t="shared" si="241"/>
        <v>0</v>
      </c>
      <c r="V1983" s="31"/>
      <c r="X1983" s="240" t="str">
        <f t="shared" si="242"/>
        <v>OK</v>
      </c>
      <c r="Y1983" s="240" t="str">
        <f t="shared" si="243"/>
        <v>OK</v>
      </c>
      <c r="Z1983" s="240" t="str">
        <f t="shared" si="244"/>
        <v>OK</v>
      </c>
      <c r="AA1983" s="240" t="str" cm="1">
        <f t="array" ref="AA1983">IF(OR(AND(J1983="Not accepted",N1983:O1983&lt;&gt;"",$S1983=""),AND(J1983="Accepted",S1983="")),"ERROR","OK")</f>
        <v>OK</v>
      </c>
      <c r="AB1983" s="240" t="str">
        <f t="shared" si="245"/>
        <v>OK</v>
      </c>
      <c r="AC1983" s="240" t="str" cm="1">
        <f t="array" ref="AC1983">IF(AND(F1983:H1983&lt;&gt;"",I1983=""),"ERROR","OK")</f>
        <v>OK</v>
      </c>
      <c r="AD1983" s="240" t="str">
        <f t="shared" si="246"/>
        <v>OK</v>
      </c>
      <c r="AE1983" s="240" t="str">
        <f t="shared" si="247"/>
        <v>OK</v>
      </c>
      <c r="AF1983" s="240" t="str" cm="1">
        <f t="array" aca="1" ref="AF1983" ca="1" xml:space="preserve">
IF(AND($G1983&lt;&gt;"",$F1983=""),"ERROR",
IF(OR($F1983:$G1983="",AND($G1983="",$F1983&lt;&gt;"")),"OK",
IF(COUNTIF(INDIRECT(IFERROR(LEFT($F1983,FIND(" ",$F1983)-1),$F1983)), $G1983)&gt;0, "OK", "ERROR")))</f>
        <v>OK</v>
      </c>
    </row>
    <row r="1984" spans="1:32" s="240" customFormat="1">
      <c r="A1984" s="48"/>
      <c r="B1984" s="31"/>
      <c r="C1984" s="48"/>
      <c r="D1984" s="47"/>
      <c r="E1984" s="47"/>
      <c r="F1984" s="31"/>
      <c r="G1984" s="31"/>
      <c r="H1984" s="31"/>
      <c r="I1984" s="47"/>
      <c r="J1984" s="31"/>
      <c r="K1984" s="47"/>
      <c r="L1984" s="47"/>
      <c r="M1984" s="47"/>
      <c r="N1984" s="31"/>
      <c r="O1984" s="47"/>
      <c r="P1984" s="31"/>
      <c r="Q1984" s="31"/>
      <c r="R1984" s="31"/>
      <c r="S1984" s="31"/>
      <c r="T1984" s="270">
        <f t="shared" si="240"/>
        <v>0</v>
      </c>
      <c r="U1984" s="270">
        <f t="shared" si="241"/>
        <v>0</v>
      </c>
      <c r="V1984" s="31"/>
      <c r="X1984" s="240" t="str">
        <f t="shared" si="242"/>
        <v>OK</v>
      </c>
      <c r="Y1984" s="240" t="str">
        <f t="shared" si="243"/>
        <v>OK</v>
      </c>
      <c r="Z1984" s="240" t="str">
        <f t="shared" si="244"/>
        <v>OK</v>
      </c>
      <c r="AA1984" s="240" t="str" cm="1">
        <f t="array" ref="AA1984">IF(OR(AND(J1984="Not accepted",N1984:O1984&lt;&gt;"",$S1984=""),AND(J1984="Accepted",S1984="")),"ERROR","OK")</f>
        <v>OK</v>
      </c>
      <c r="AB1984" s="240" t="str">
        <f t="shared" si="245"/>
        <v>OK</v>
      </c>
      <c r="AC1984" s="240" t="str" cm="1">
        <f t="array" ref="AC1984">IF(AND(F1984:H1984&lt;&gt;"",I1984=""),"ERROR","OK")</f>
        <v>OK</v>
      </c>
      <c r="AD1984" s="240" t="str">
        <f t="shared" si="246"/>
        <v>OK</v>
      </c>
      <c r="AE1984" s="240" t="str">
        <f t="shared" si="247"/>
        <v>OK</v>
      </c>
      <c r="AF1984" s="240" t="str" cm="1">
        <f t="array" aca="1" ref="AF1984" ca="1" xml:space="preserve">
IF(AND($G1984&lt;&gt;"",$F1984=""),"ERROR",
IF(OR($F1984:$G1984="",AND($G1984="",$F1984&lt;&gt;"")),"OK",
IF(COUNTIF(INDIRECT(IFERROR(LEFT($F1984,FIND(" ",$F1984)-1),$F1984)), $G1984)&gt;0, "OK", "ERROR")))</f>
        <v>OK</v>
      </c>
    </row>
    <row r="1985" spans="1:32" s="240" customFormat="1">
      <c r="A1985" s="48"/>
      <c r="B1985" s="31"/>
      <c r="C1985" s="48"/>
      <c r="D1985" s="47"/>
      <c r="E1985" s="47"/>
      <c r="F1985" s="31"/>
      <c r="G1985" s="31"/>
      <c r="H1985" s="31"/>
      <c r="I1985" s="47"/>
      <c r="J1985" s="31"/>
      <c r="K1985" s="47"/>
      <c r="L1985" s="47"/>
      <c r="M1985" s="47"/>
      <c r="N1985" s="31"/>
      <c r="O1985" s="47"/>
      <c r="P1985" s="31"/>
      <c r="Q1985" s="31"/>
      <c r="R1985" s="31"/>
      <c r="S1985" s="31"/>
      <c r="T1985" s="270">
        <f t="shared" si="240"/>
        <v>0</v>
      </c>
      <c r="U1985" s="270">
        <f t="shared" si="241"/>
        <v>0</v>
      </c>
      <c r="V1985" s="31"/>
      <c r="X1985" s="240" t="str">
        <f t="shared" si="242"/>
        <v>OK</v>
      </c>
      <c r="Y1985" s="240" t="str">
        <f t="shared" si="243"/>
        <v>OK</v>
      </c>
      <c r="Z1985" s="240" t="str">
        <f t="shared" si="244"/>
        <v>OK</v>
      </c>
      <c r="AA1985" s="240" t="str" cm="1">
        <f t="array" ref="AA1985">IF(OR(AND(J1985="Not accepted",N1985:O1985&lt;&gt;"",$S1985=""),AND(J1985="Accepted",S1985="")),"ERROR","OK")</f>
        <v>OK</v>
      </c>
      <c r="AB1985" s="240" t="str">
        <f t="shared" si="245"/>
        <v>OK</v>
      </c>
      <c r="AC1985" s="240" t="str" cm="1">
        <f t="array" ref="AC1985">IF(AND(F1985:H1985&lt;&gt;"",I1985=""),"ERROR","OK")</f>
        <v>OK</v>
      </c>
      <c r="AD1985" s="240" t="str">
        <f t="shared" si="246"/>
        <v>OK</v>
      </c>
      <c r="AE1985" s="240" t="str">
        <f t="shared" si="247"/>
        <v>OK</v>
      </c>
      <c r="AF1985" s="240" t="str" cm="1">
        <f t="array" aca="1" ref="AF1985" ca="1" xml:space="preserve">
IF(AND($G1985&lt;&gt;"",$F1985=""),"ERROR",
IF(OR($F1985:$G1985="",AND($G1985="",$F1985&lt;&gt;"")),"OK",
IF(COUNTIF(INDIRECT(IFERROR(LEFT($F1985,FIND(" ",$F1985)-1),$F1985)), $G1985)&gt;0, "OK", "ERROR")))</f>
        <v>OK</v>
      </c>
    </row>
    <row r="1986" spans="1:32" s="240" customFormat="1">
      <c r="A1986" s="48"/>
      <c r="B1986" s="31"/>
      <c r="C1986" s="48"/>
      <c r="D1986" s="47"/>
      <c r="E1986" s="47"/>
      <c r="F1986" s="31"/>
      <c r="G1986" s="31"/>
      <c r="H1986" s="31"/>
      <c r="I1986" s="47"/>
      <c r="J1986" s="31"/>
      <c r="K1986" s="47"/>
      <c r="L1986" s="47"/>
      <c r="M1986" s="47"/>
      <c r="N1986" s="31"/>
      <c r="O1986" s="47"/>
      <c r="P1986" s="31"/>
      <c r="Q1986" s="31"/>
      <c r="R1986" s="31"/>
      <c r="S1986" s="31"/>
      <c r="T1986" s="270">
        <f t="shared" si="240"/>
        <v>0</v>
      </c>
      <c r="U1986" s="270">
        <f t="shared" si="241"/>
        <v>0</v>
      </c>
      <c r="V1986" s="31"/>
      <c r="X1986" s="240" t="str">
        <f t="shared" si="242"/>
        <v>OK</v>
      </c>
      <c r="Y1986" s="240" t="str">
        <f t="shared" si="243"/>
        <v>OK</v>
      </c>
      <c r="Z1986" s="240" t="str">
        <f t="shared" si="244"/>
        <v>OK</v>
      </c>
      <c r="AA1986" s="240" t="str" cm="1">
        <f t="array" ref="AA1986">IF(OR(AND(J1986="Not accepted",N1986:O1986&lt;&gt;"",$S1986=""),AND(J1986="Accepted",S1986="")),"ERROR","OK")</f>
        <v>OK</v>
      </c>
      <c r="AB1986" s="240" t="str">
        <f t="shared" si="245"/>
        <v>OK</v>
      </c>
      <c r="AC1986" s="240" t="str" cm="1">
        <f t="array" ref="AC1986">IF(AND(F1986:H1986&lt;&gt;"",I1986=""),"ERROR","OK")</f>
        <v>OK</v>
      </c>
      <c r="AD1986" s="240" t="str">
        <f t="shared" si="246"/>
        <v>OK</v>
      </c>
      <c r="AE1986" s="240" t="str">
        <f t="shared" si="247"/>
        <v>OK</v>
      </c>
      <c r="AF1986" s="240" t="str" cm="1">
        <f t="array" aca="1" ref="AF1986" ca="1" xml:space="preserve">
IF(AND($G1986&lt;&gt;"",$F1986=""),"ERROR",
IF(OR($F1986:$G1986="",AND($G1986="",$F1986&lt;&gt;"")),"OK",
IF(COUNTIF(INDIRECT(IFERROR(LEFT($F1986,FIND(" ",$F1986)-1),$F1986)), $G1986)&gt;0, "OK", "ERROR")))</f>
        <v>OK</v>
      </c>
    </row>
    <row r="1987" spans="1:32" s="240" customFormat="1">
      <c r="A1987" s="48"/>
      <c r="B1987" s="31"/>
      <c r="C1987" s="48"/>
      <c r="D1987" s="47"/>
      <c r="E1987" s="47"/>
      <c r="F1987" s="31"/>
      <c r="G1987" s="31"/>
      <c r="H1987" s="31"/>
      <c r="I1987" s="47"/>
      <c r="J1987" s="31"/>
      <c r="K1987" s="47"/>
      <c r="L1987" s="47"/>
      <c r="M1987" s="47"/>
      <c r="N1987" s="31"/>
      <c r="O1987" s="47"/>
      <c r="P1987" s="31"/>
      <c r="Q1987" s="31"/>
      <c r="R1987" s="31"/>
      <c r="S1987" s="31"/>
      <c r="T1987" s="270">
        <f t="shared" si="240"/>
        <v>0</v>
      </c>
      <c r="U1987" s="270">
        <f t="shared" si="241"/>
        <v>0</v>
      </c>
      <c r="V1987" s="31"/>
      <c r="X1987" s="240" t="str">
        <f t="shared" si="242"/>
        <v>OK</v>
      </c>
      <c r="Y1987" s="240" t="str">
        <f t="shared" si="243"/>
        <v>OK</v>
      </c>
      <c r="Z1987" s="240" t="str">
        <f t="shared" si="244"/>
        <v>OK</v>
      </c>
      <c r="AA1987" s="240" t="str" cm="1">
        <f t="array" ref="AA1987">IF(OR(AND(J1987="Not accepted",N1987:O1987&lt;&gt;"",$S1987=""),AND(J1987="Accepted",S1987="")),"ERROR","OK")</f>
        <v>OK</v>
      </c>
      <c r="AB1987" s="240" t="str">
        <f t="shared" si="245"/>
        <v>OK</v>
      </c>
      <c r="AC1987" s="240" t="str" cm="1">
        <f t="array" ref="AC1987">IF(AND(F1987:H1987&lt;&gt;"",I1987=""),"ERROR","OK")</f>
        <v>OK</v>
      </c>
      <c r="AD1987" s="240" t="str">
        <f t="shared" si="246"/>
        <v>OK</v>
      </c>
      <c r="AE1987" s="240" t="str">
        <f t="shared" si="247"/>
        <v>OK</v>
      </c>
      <c r="AF1987" s="240" t="str" cm="1">
        <f t="array" aca="1" ref="AF1987" ca="1" xml:space="preserve">
IF(AND($G1987&lt;&gt;"",$F1987=""),"ERROR",
IF(OR($F1987:$G1987="",AND($G1987="",$F1987&lt;&gt;"")),"OK",
IF(COUNTIF(INDIRECT(IFERROR(LEFT($F1987,FIND(" ",$F1987)-1),$F1987)), $G1987)&gt;0, "OK", "ERROR")))</f>
        <v>OK</v>
      </c>
    </row>
    <row r="1988" spans="1:32" s="240" customFormat="1">
      <c r="A1988" s="48"/>
      <c r="B1988" s="31"/>
      <c r="C1988" s="48"/>
      <c r="D1988" s="47"/>
      <c r="E1988" s="47"/>
      <c r="F1988" s="31"/>
      <c r="G1988" s="31"/>
      <c r="H1988" s="31"/>
      <c r="I1988" s="47"/>
      <c r="J1988" s="31"/>
      <c r="K1988" s="47"/>
      <c r="L1988" s="47"/>
      <c r="M1988" s="47"/>
      <c r="N1988" s="31"/>
      <c r="O1988" s="47"/>
      <c r="P1988" s="31"/>
      <c r="Q1988" s="31"/>
      <c r="R1988" s="31"/>
      <c r="S1988" s="31"/>
      <c r="T1988" s="270">
        <f t="shared" si="240"/>
        <v>0</v>
      </c>
      <c r="U1988" s="270">
        <f t="shared" si="241"/>
        <v>0</v>
      </c>
      <c r="V1988" s="31"/>
      <c r="X1988" s="240" t="str">
        <f t="shared" si="242"/>
        <v>OK</v>
      </c>
      <c r="Y1988" s="240" t="str">
        <f t="shared" si="243"/>
        <v>OK</v>
      </c>
      <c r="Z1988" s="240" t="str">
        <f t="shared" si="244"/>
        <v>OK</v>
      </c>
      <c r="AA1988" s="240" t="str" cm="1">
        <f t="array" ref="AA1988">IF(OR(AND(J1988="Not accepted",N1988:O1988&lt;&gt;"",$S1988=""),AND(J1988="Accepted",S1988="")),"ERROR","OK")</f>
        <v>OK</v>
      </c>
      <c r="AB1988" s="240" t="str">
        <f t="shared" si="245"/>
        <v>OK</v>
      </c>
      <c r="AC1988" s="240" t="str" cm="1">
        <f t="array" ref="AC1988">IF(AND(F1988:H1988&lt;&gt;"",I1988=""),"ERROR","OK")</f>
        <v>OK</v>
      </c>
      <c r="AD1988" s="240" t="str">
        <f t="shared" si="246"/>
        <v>OK</v>
      </c>
      <c r="AE1988" s="240" t="str">
        <f t="shared" si="247"/>
        <v>OK</v>
      </c>
      <c r="AF1988" s="240" t="str" cm="1">
        <f t="array" aca="1" ref="AF1988" ca="1" xml:space="preserve">
IF(AND($G1988&lt;&gt;"",$F1988=""),"ERROR",
IF(OR($F1988:$G1988="",AND($G1988="",$F1988&lt;&gt;"")),"OK",
IF(COUNTIF(INDIRECT(IFERROR(LEFT($F1988,FIND(" ",$F1988)-1),$F1988)), $G1988)&gt;0, "OK", "ERROR")))</f>
        <v>OK</v>
      </c>
    </row>
    <row r="1989" spans="1:32" s="240" customFormat="1">
      <c r="A1989" s="48"/>
      <c r="B1989" s="31"/>
      <c r="C1989" s="48"/>
      <c r="D1989" s="47"/>
      <c r="E1989" s="47"/>
      <c r="F1989" s="31"/>
      <c r="G1989" s="31"/>
      <c r="H1989" s="31"/>
      <c r="I1989" s="47"/>
      <c r="J1989" s="31"/>
      <c r="K1989" s="47"/>
      <c r="L1989" s="47"/>
      <c r="M1989" s="47"/>
      <c r="N1989" s="31"/>
      <c r="O1989" s="47"/>
      <c r="P1989" s="31"/>
      <c r="Q1989" s="31"/>
      <c r="R1989" s="31"/>
      <c r="S1989" s="31"/>
      <c r="T1989" s="270">
        <f t="shared" ref="T1989:T2000" si="248">IF(OR($J1989="Accepted",ISBLANK($J1989)),IF(AND($G1989="Legacy Data",$Q1989="Legacy Data"),1,IF(OR($G1989="Legacy Data",$Q1989="Legacy Data"),1,0)),IF(OR($N1989="Agree with original translator",ISBLANK($N1989)),IF(AND($G1989="Source Text Data",$Q1989="Legacy Data"),1,IF(AND($G1989="Legacy Data",$Q1989="Legacy Data"),1,IF($Q1989="Legacy Data",1,0))),IF(AND($G1989="Legacy Data",$Q1989="Legacy Data"),1,IF(OR($Q1989="Legacy Data",ISBLANK($Q1989)),IF($G1989&lt;&gt;"Legacy Data",IF(AND($G1989="Source Text Data",$Q1989="Legacy Data"),1,0),1),0))))</f>
        <v>0</v>
      </c>
      <c r="U1989" s="270">
        <f t="shared" ref="U1989:U2000" si="249">IF(OR($J1989="Accepted",ISBLANK($J1989)),IF(AND($G1989="Source Text Data",$Q1989="Source Text Data"),1,IF(OR($G1989="Source Text Data",$Q1989="Source Text Data"),1,0)),IF(OR($N1989="Agree with original translator",ISBLANK($N1989)),IF(AND($G1989="Legacy Data",$Q1989="Source Text Data"),1,IF(AND($G1989="Source Text Data",$Q1989="Source Text Data"),1,IF($Q1989="Source Text Data",1,0))),IF(AND($G1989="Source Text Data",$Q1989="Source Text Data"),1,IF(OR($Q1989="Source Text Data",ISBLANK($Q1989)),IF($G1989&lt;&gt;"Source Text Data",IF(AND($G1989="Legacy Data",$Q1989="Source Text Data"),1,0),1),0))))</f>
        <v>0</v>
      </c>
      <c r="V1989" s="31"/>
      <c r="X1989" s="240" t="str">
        <f t="shared" ref="X1989:X2000" si="250">IF(AND(COUNTBLANK($F1989:$H1989)&lt;&gt;COLUMNS($F1989:$H1989),COUNTA($F1989:$H1989)&lt;&gt;COLUMNS($F1989:$H1989)),"ERROR","OK")</f>
        <v>OK</v>
      </c>
      <c r="Y1989" s="240" t="str">
        <f t="shared" ref="Y1989:Y2000" si="251">IF(AND($J1989="Not accepted",$K1989=""),"ERROR","OK")</f>
        <v>OK</v>
      </c>
      <c r="Z1989" s="240" t="str">
        <f t="shared" ref="Z1989:Z2000" si="252">IF(AND($F1989&lt;&gt;"",$J1989=""),"ERROR","OK")</f>
        <v>OK</v>
      </c>
      <c r="AA1989" s="240" t="str" cm="1">
        <f t="array" ref="AA1989">IF(OR(AND(J1989="Not accepted",N1989:O1989&lt;&gt;"",$S1989=""),AND(J1989="Accepted",S1989="")),"ERROR","OK")</f>
        <v>OK</v>
      </c>
      <c r="AB1989" s="240" t="str">
        <f t="shared" ref="AB1989:AB2000" si="253">IF(AND($S1989="Not Implemented",$V1989=""),"ERROR","OK")</f>
        <v>OK</v>
      </c>
      <c r="AC1989" s="240" t="str" cm="1">
        <f t="array" ref="AC1989">IF(AND(F1989:H1989&lt;&gt;"",I1989=""),"ERROR","OK")</f>
        <v>OK</v>
      </c>
      <c r="AD1989" s="240" t="str">
        <f t="shared" ref="AD1989:AD2000" si="254">IF(AND($N1989="",$J1989="Not accepted",$K1989&lt;&gt;""),"ERROR","OK")</f>
        <v>OK</v>
      </c>
      <c r="AE1989" s="240" t="str">
        <f t="shared" ref="AE1989:AE2000" si="255">IF(AND($O1989="",$N1989&lt;&gt;""),"ERROR","OK")</f>
        <v>OK</v>
      </c>
      <c r="AF1989" s="240" t="str" cm="1">
        <f t="array" aca="1" ref="AF1989" ca="1" xml:space="preserve">
IF(AND($G1989&lt;&gt;"",$F1989=""),"ERROR",
IF(OR($F1989:$G1989="",AND($G1989="",$F1989&lt;&gt;"")),"OK",
IF(COUNTIF(INDIRECT(IFERROR(LEFT($F1989,FIND(" ",$F1989)-1),$F1989)), $G1989)&gt;0, "OK", "ERROR")))</f>
        <v>OK</v>
      </c>
    </row>
    <row r="1990" spans="1:32" s="240" customFormat="1">
      <c r="A1990" s="48"/>
      <c r="B1990" s="31"/>
      <c r="C1990" s="48"/>
      <c r="D1990" s="47"/>
      <c r="E1990" s="47"/>
      <c r="F1990" s="31"/>
      <c r="G1990" s="31"/>
      <c r="H1990" s="31"/>
      <c r="I1990" s="47"/>
      <c r="J1990" s="31"/>
      <c r="K1990" s="47"/>
      <c r="L1990" s="47"/>
      <c r="M1990" s="47"/>
      <c r="N1990" s="31"/>
      <c r="O1990" s="47"/>
      <c r="P1990" s="31"/>
      <c r="Q1990" s="31"/>
      <c r="R1990" s="31"/>
      <c r="S1990" s="31"/>
      <c r="T1990" s="270">
        <f t="shared" si="248"/>
        <v>0</v>
      </c>
      <c r="U1990" s="270">
        <f t="shared" si="249"/>
        <v>0</v>
      </c>
      <c r="V1990" s="31"/>
      <c r="X1990" s="240" t="str">
        <f t="shared" si="250"/>
        <v>OK</v>
      </c>
      <c r="Y1990" s="240" t="str">
        <f t="shared" si="251"/>
        <v>OK</v>
      </c>
      <c r="Z1990" s="240" t="str">
        <f t="shared" si="252"/>
        <v>OK</v>
      </c>
      <c r="AA1990" s="240" t="str" cm="1">
        <f t="array" ref="AA1990">IF(OR(AND(J1990="Not accepted",N1990:O1990&lt;&gt;"",$S1990=""),AND(J1990="Accepted",S1990="")),"ERROR","OK")</f>
        <v>OK</v>
      </c>
      <c r="AB1990" s="240" t="str">
        <f t="shared" si="253"/>
        <v>OK</v>
      </c>
      <c r="AC1990" s="240" t="str" cm="1">
        <f t="array" ref="AC1990">IF(AND(F1990:H1990&lt;&gt;"",I1990=""),"ERROR","OK")</f>
        <v>OK</v>
      </c>
      <c r="AD1990" s="240" t="str">
        <f t="shared" si="254"/>
        <v>OK</v>
      </c>
      <c r="AE1990" s="240" t="str">
        <f t="shared" si="255"/>
        <v>OK</v>
      </c>
      <c r="AF1990" s="240" t="str" cm="1">
        <f t="array" aca="1" ref="AF1990" ca="1" xml:space="preserve">
IF(AND($G1990&lt;&gt;"",$F1990=""),"ERROR",
IF(OR($F1990:$G1990="",AND($G1990="",$F1990&lt;&gt;"")),"OK",
IF(COUNTIF(INDIRECT(IFERROR(LEFT($F1990,FIND(" ",$F1990)-1),$F1990)), $G1990)&gt;0, "OK", "ERROR")))</f>
        <v>OK</v>
      </c>
    </row>
    <row r="1991" spans="1:32" s="240" customFormat="1">
      <c r="A1991" s="48"/>
      <c r="B1991" s="31"/>
      <c r="C1991" s="48"/>
      <c r="D1991" s="47"/>
      <c r="E1991" s="47"/>
      <c r="F1991" s="31"/>
      <c r="G1991" s="31"/>
      <c r="H1991" s="31"/>
      <c r="I1991" s="47"/>
      <c r="J1991" s="31"/>
      <c r="K1991" s="47"/>
      <c r="L1991" s="47"/>
      <c r="M1991" s="47"/>
      <c r="N1991" s="31"/>
      <c r="O1991" s="47"/>
      <c r="P1991" s="31"/>
      <c r="Q1991" s="31"/>
      <c r="R1991" s="31"/>
      <c r="S1991" s="31"/>
      <c r="T1991" s="270">
        <f t="shared" si="248"/>
        <v>0</v>
      </c>
      <c r="U1991" s="270">
        <f t="shared" si="249"/>
        <v>0</v>
      </c>
      <c r="V1991" s="31"/>
      <c r="X1991" s="240" t="str">
        <f t="shared" si="250"/>
        <v>OK</v>
      </c>
      <c r="Y1991" s="240" t="str">
        <f t="shared" si="251"/>
        <v>OK</v>
      </c>
      <c r="Z1991" s="240" t="str">
        <f t="shared" si="252"/>
        <v>OK</v>
      </c>
      <c r="AA1991" s="240" t="str" cm="1">
        <f t="array" ref="AA1991">IF(OR(AND(J1991="Not accepted",N1991:O1991&lt;&gt;"",$S1991=""),AND(J1991="Accepted",S1991="")),"ERROR","OK")</f>
        <v>OK</v>
      </c>
      <c r="AB1991" s="240" t="str">
        <f t="shared" si="253"/>
        <v>OK</v>
      </c>
      <c r="AC1991" s="240" t="str" cm="1">
        <f t="array" ref="AC1991">IF(AND(F1991:H1991&lt;&gt;"",I1991=""),"ERROR","OK")</f>
        <v>OK</v>
      </c>
      <c r="AD1991" s="240" t="str">
        <f t="shared" si="254"/>
        <v>OK</v>
      </c>
      <c r="AE1991" s="240" t="str">
        <f t="shared" si="255"/>
        <v>OK</v>
      </c>
      <c r="AF1991" s="240" t="str" cm="1">
        <f t="array" aca="1" ref="AF1991" ca="1" xml:space="preserve">
IF(AND($G1991&lt;&gt;"",$F1991=""),"ERROR",
IF(OR($F1991:$G1991="",AND($G1991="",$F1991&lt;&gt;"")),"OK",
IF(COUNTIF(INDIRECT(IFERROR(LEFT($F1991,FIND(" ",$F1991)-1),$F1991)), $G1991)&gt;0, "OK", "ERROR")))</f>
        <v>OK</v>
      </c>
    </row>
    <row r="1992" spans="1:32" s="240" customFormat="1">
      <c r="A1992" s="48"/>
      <c r="B1992" s="31"/>
      <c r="C1992" s="48"/>
      <c r="D1992" s="47"/>
      <c r="E1992" s="47"/>
      <c r="F1992" s="31"/>
      <c r="G1992" s="31"/>
      <c r="H1992" s="31"/>
      <c r="I1992" s="47"/>
      <c r="J1992" s="31"/>
      <c r="K1992" s="47"/>
      <c r="L1992" s="47"/>
      <c r="M1992" s="47"/>
      <c r="N1992" s="31"/>
      <c r="O1992" s="47"/>
      <c r="P1992" s="31"/>
      <c r="Q1992" s="31"/>
      <c r="R1992" s="31"/>
      <c r="S1992" s="31"/>
      <c r="T1992" s="270">
        <f t="shared" si="248"/>
        <v>0</v>
      </c>
      <c r="U1992" s="270">
        <f t="shared" si="249"/>
        <v>0</v>
      </c>
      <c r="V1992" s="31"/>
      <c r="X1992" s="240" t="str">
        <f t="shared" si="250"/>
        <v>OK</v>
      </c>
      <c r="Y1992" s="240" t="str">
        <f t="shared" si="251"/>
        <v>OK</v>
      </c>
      <c r="Z1992" s="240" t="str">
        <f t="shared" si="252"/>
        <v>OK</v>
      </c>
      <c r="AA1992" s="240" t="str" cm="1">
        <f t="array" ref="AA1992">IF(OR(AND(J1992="Not accepted",N1992:O1992&lt;&gt;"",$S1992=""),AND(J1992="Accepted",S1992="")),"ERROR","OK")</f>
        <v>OK</v>
      </c>
      <c r="AB1992" s="240" t="str">
        <f t="shared" si="253"/>
        <v>OK</v>
      </c>
      <c r="AC1992" s="240" t="str" cm="1">
        <f t="array" ref="AC1992">IF(AND(F1992:H1992&lt;&gt;"",I1992=""),"ERROR","OK")</f>
        <v>OK</v>
      </c>
      <c r="AD1992" s="240" t="str">
        <f t="shared" si="254"/>
        <v>OK</v>
      </c>
      <c r="AE1992" s="240" t="str">
        <f t="shared" si="255"/>
        <v>OK</v>
      </c>
      <c r="AF1992" s="240" t="str" cm="1">
        <f t="array" aca="1" ref="AF1992" ca="1" xml:space="preserve">
IF(AND($G1992&lt;&gt;"",$F1992=""),"ERROR",
IF(OR($F1992:$G1992="",AND($G1992="",$F1992&lt;&gt;"")),"OK",
IF(COUNTIF(INDIRECT(IFERROR(LEFT($F1992,FIND(" ",$F1992)-1),$F1992)), $G1992)&gt;0, "OK", "ERROR")))</f>
        <v>OK</v>
      </c>
    </row>
    <row r="1993" spans="1:32" s="240" customFormat="1">
      <c r="A1993" s="48"/>
      <c r="B1993" s="31"/>
      <c r="C1993" s="48"/>
      <c r="D1993" s="47"/>
      <c r="E1993" s="47"/>
      <c r="F1993" s="31"/>
      <c r="G1993" s="31"/>
      <c r="H1993" s="31"/>
      <c r="I1993" s="47"/>
      <c r="J1993" s="31"/>
      <c r="K1993" s="47"/>
      <c r="L1993" s="47"/>
      <c r="M1993" s="47"/>
      <c r="N1993" s="31"/>
      <c r="O1993" s="47"/>
      <c r="P1993" s="31"/>
      <c r="Q1993" s="31"/>
      <c r="R1993" s="31"/>
      <c r="S1993" s="31"/>
      <c r="T1993" s="270">
        <f t="shared" si="248"/>
        <v>0</v>
      </c>
      <c r="U1993" s="270">
        <f t="shared" si="249"/>
        <v>0</v>
      </c>
      <c r="V1993" s="31"/>
      <c r="X1993" s="240" t="str">
        <f t="shared" si="250"/>
        <v>OK</v>
      </c>
      <c r="Y1993" s="240" t="str">
        <f t="shared" si="251"/>
        <v>OK</v>
      </c>
      <c r="Z1993" s="240" t="str">
        <f t="shared" si="252"/>
        <v>OK</v>
      </c>
      <c r="AA1993" s="240" t="str" cm="1">
        <f t="array" ref="AA1993">IF(OR(AND(J1993="Not accepted",N1993:O1993&lt;&gt;"",$S1993=""),AND(J1993="Accepted",S1993="")),"ERROR","OK")</f>
        <v>OK</v>
      </c>
      <c r="AB1993" s="240" t="str">
        <f t="shared" si="253"/>
        <v>OK</v>
      </c>
      <c r="AC1993" s="240" t="str" cm="1">
        <f t="array" ref="AC1993">IF(AND(F1993:H1993&lt;&gt;"",I1993=""),"ERROR","OK")</f>
        <v>OK</v>
      </c>
      <c r="AD1993" s="240" t="str">
        <f t="shared" si="254"/>
        <v>OK</v>
      </c>
      <c r="AE1993" s="240" t="str">
        <f t="shared" si="255"/>
        <v>OK</v>
      </c>
      <c r="AF1993" s="240" t="str" cm="1">
        <f t="array" aca="1" ref="AF1993" ca="1" xml:space="preserve">
IF(AND($G1993&lt;&gt;"",$F1993=""),"ERROR",
IF(OR($F1993:$G1993="",AND($G1993="",$F1993&lt;&gt;"")),"OK",
IF(COUNTIF(INDIRECT(IFERROR(LEFT($F1993,FIND(" ",$F1993)-1),$F1993)), $G1993)&gt;0, "OK", "ERROR")))</f>
        <v>OK</v>
      </c>
    </row>
    <row r="1994" spans="1:32" s="240" customFormat="1">
      <c r="A1994" s="48"/>
      <c r="B1994" s="31"/>
      <c r="C1994" s="48"/>
      <c r="D1994" s="47"/>
      <c r="E1994" s="47"/>
      <c r="F1994" s="31"/>
      <c r="G1994" s="31"/>
      <c r="H1994" s="31"/>
      <c r="I1994" s="47"/>
      <c r="J1994" s="31"/>
      <c r="K1994" s="47"/>
      <c r="L1994" s="47"/>
      <c r="M1994" s="47"/>
      <c r="N1994" s="31"/>
      <c r="O1994" s="47"/>
      <c r="P1994" s="31"/>
      <c r="Q1994" s="31"/>
      <c r="R1994" s="31"/>
      <c r="S1994" s="31"/>
      <c r="T1994" s="270">
        <f t="shared" si="248"/>
        <v>0</v>
      </c>
      <c r="U1994" s="270">
        <f t="shared" si="249"/>
        <v>0</v>
      </c>
      <c r="V1994" s="31"/>
      <c r="X1994" s="240" t="str">
        <f t="shared" si="250"/>
        <v>OK</v>
      </c>
      <c r="Y1994" s="240" t="str">
        <f t="shared" si="251"/>
        <v>OK</v>
      </c>
      <c r="Z1994" s="240" t="str">
        <f t="shared" si="252"/>
        <v>OK</v>
      </c>
      <c r="AA1994" s="240" t="str" cm="1">
        <f t="array" ref="AA1994">IF(OR(AND(J1994="Not accepted",N1994:O1994&lt;&gt;"",$S1994=""),AND(J1994="Accepted",S1994="")),"ERROR","OK")</f>
        <v>OK</v>
      </c>
      <c r="AB1994" s="240" t="str">
        <f t="shared" si="253"/>
        <v>OK</v>
      </c>
      <c r="AC1994" s="240" t="str" cm="1">
        <f t="array" ref="AC1994">IF(AND(F1994:H1994&lt;&gt;"",I1994=""),"ERROR","OK")</f>
        <v>OK</v>
      </c>
      <c r="AD1994" s="240" t="str">
        <f t="shared" si="254"/>
        <v>OK</v>
      </c>
      <c r="AE1994" s="240" t="str">
        <f t="shared" si="255"/>
        <v>OK</v>
      </c>
      <c r="AF1994" s="240" t="str" cm="1">
        <f t="array" aca="1" ref="AF1994" ca="1" xml:space="preserve">
IF(AND($G1994&lt;&gt;"",$F1994=""),"ERROR",
IF(OR($F1994:$G1994="",AND($G1994="",$F1994&lt;&gt;"")),"OK",
IF(COUNTIF(INDIRECT(IFERROR(LEFT($F1994,FIND(" ",$F1994)-1),$F1994)), $G1994)&gt;0, "OK", "ERROR")))</f>
        <v>OK</v>
      </c>
    </row>
    <row r="1995" spans="1:32" s="240" customFormat="1">
      <c r="A1995" s="48"/>
      <c r="B1995" s="31"/>
      <c r="C1995" s="48"/>
      <c r="D1995" s="47"/>
      <c r="E1995" s="47"/>
      <c r="F1995" s="31"/>
      <c r="G1995" s="31"/>
      <c r="H1995" s="31"/>
      <c r="I1995" s="47"/>
      <c r="J1995" s="31"/>
      <c r="K1995" s="47"/>
      <c r="L1995" s="47"/>
      <c r="M1995" s="47"/>
      <c r="N1995" s="31"/>
      <c r="O1995" s="47"/>
      <c r="P1995" s="31"/>
      <c r="Q1995" s="31"/>
      <c r="R1995" s="31"/>
      <c r="S1995" s="31"/>
      <c r="T1995" s="270">
        <f t="shared" si="248"/>
        <v>0</v>
      </c>
      <c r="U1995" s="270">
        <f t="shared" si="249"/>
        <v>0</v>
      </c>
      <c r="V1995" s="31"/>
      <c r="X1995" s="240" t="str">
        <f t="shared" si="250"/>
        <v>OK</v>
      </c>
      <c r="Y1995" s="240" t="str">
        <f t="shared" si="251"/>
        <v>OK</v>
      </c>
      <c r="Z1995" s="240" t="str">
        <f t="shared" si="252"/>
        <v>OK</v>
      </c>
      <c r="AA1995" s="240" t="str" cm="1">
        <f t="array" ref="AA1995">IF(OR(AND(J1995="Not accepted",N1995:O1995&lt;&gt;"",$S1995=""),AND(J1995="Accepted",S1995="")),"ERROR","OK")</f>
        <v>OK</v>
      </c>
      <c r="AB1995" s="240" t="str">
        <f t="shared" si="253"/>
        <v>OK</v>
      </c>
      <c r="AC1995" s="240" t="str" cm="1">
        <f t="array" ref="AC1995">IF(AND(F1995:H1995&lt;&gt;"",I1995=""),"ERROR","OK")</f>
        <v>OK</v>
      </c>
      <c r="AD1995" s="240" t="str">
        <f t="shared" si="254"/>
        <v>OK</v>
      </c>
      <c r="AE1995" s="240" t="str">
        <f t="shared" si="255"/>
        <v>OK</v>
      </c>
      <c r="AF1995" s="240" t="str" cm="1">
        <f t="array" aca="1" ref="AF1995" ca="1" xml:space="preserve">
IF(AND($G1995&lt;&gt;"",$F1995=""),"ERROR",
IF(OR($F1995:$G1995="",AND($G1995="",$F1995&lt;&gt;"")),"OK",
IF(COUNTIF(INDIRECT(IFERROR(LEFT($F1995,FIND(" ",$F1995)-1),$F1995)), $G1995)&gt;0, "OK", "ERROR")))</f>
        <v>OK</v>
      </c>
    </row>
    <row r="1996" spans="1:32" s="240" customFormat="1">
      <c r="A1996" s="48"/>
      <c r="B1996" s="31"/>
      <c r="C1996" s="48"/>
      <c r="D1996" s="47"/>
      <c r="E1996" s="47"/>
      <c r="F1996" s="31"/>
      <c r="G1996" s="31"/>
      <c r="H1996" s="31"/>
      <c r="I1996" s="47"/>
      <c r="J1996" s="31"/>
      <c r="K1996" s="47"/>
      <c r="L1996" s="47"/>
      <c r="M1996" s="47"/>
      <c r="N1996" s="31"/>
      <c r="O1996" s="47"/>
      <c r="P1996" s="31"/>
      <c r="Q1996" s="31"/>
      <c r="R1996" s="31"/>
      <c r="S1996" s="31"/>
      <c r="T1996" s="270">
        <f t="shared" si="248"/>
        <v>0</v>
      </c>
      <c r="U1996" s="270">
        <f t="shared" si="249"/>
        <v>0</v>
      </c>
      <c r="V1996" s="31"/>
      <c r="X1996" s="240" t="str">
        <f t="shared" si="250"/>
        <v>OK</v>
      </c>
      <c r="Y1996" s="240" t="str">
        <f t="shared" si="251"/>
        <v>OK</v>
      </c>
      <c r="Z1996" s="240" t="str">
        <f t="shared" si="252"/>
        <v>OK</v>
      </c>
      <c r="AA1996" s="240" t="str" cm="1">
        <f t="array" ref="AA1996">IF(OR(AND(J1996="Not accepted",N1996:O1996&lt;&gt;"",$S1996=""),AND(J1996="Accepted",S1996="")),"ERROR","OK")</f>
        <v>OK</v>
      </c>
      <c r="AB1996" s="240" t="str">
        <f t="shared" si="253"/>
        <v>OK</v>
      </c>
      <c r="AC1996" s="240" t="str" cm="1">
        <f t="array" ref="AC1996">IF(AND(F1996:H1996&lt;&gt;"",I1996=""),"ERROR","OK")</f>
        <v>OK</v>
      </c>
      <c r="AD1996" s="240" t="str">
        <f t="shared" si="254"/>
        <v>OK</v>
      </c>
      <c r="AE1996" s="240" t="str">
        <f t="shared" si="255"/>
        <v>OK</v>
      </c>
      <c r="AF1996" s="240" t="str" cm="1">
        <f t="array" aca="1" ref="AF1996" ca="1" xml:space="preserve">
IF(AND($G1996&lt;&gt;"",$F1996=""),"ERROR",
IF(OR($F1996:$G1996="",AND($G1996="",$F1996&lt;&gt;"")),"OK",
IF(COUNTIF(INDIRECT(IFERROR(LEFT($F1996,FIND(" ",$F1996)-1),$F1996)), $G1996)&gt;0, "OK", "ERROR")))</f>
        <v>OK</v>
      </c>
    </row>
    <row r="1997" spans="1:32" s="240" customFormat="1">
      <c r="A1997" s="48"/>
      <c r="B1997" s="31"/>
      <c r="C1997" s="48"/>
      <c r="D1997" s="47"/>
      <c r="E1997" s="47"/>
      <c r="F1997" s="31"/>
      <c r="G1997" s="31"/>
      <c r="H1997" s="31"/>
      <c r="I1997" s="47"/>
      <c r="J1997" s="31"/>
      <c r="K1997" s="47"/>
      <c r="L1997" s="47"/>
      <c r="M1997" s="47"/>
      <c r="N1997" s="31"/>
      <c r="O1997" s="47"/>
      <c r="P1997" s="31"/>
      <c r="Q1997" s="31"/>
      <c r="R1997" s="31"/>
      <c r="S1997" s="31"/>
      <c r="T1997" s="270">
        <f t="shared" si="248"/>
        <v>0</v>
      </c>
      <c r="U1997" s="270">
        <f t="shared" si="249"/>
        <v>0</v>
      </c>
      <c r="V1997" s="31"/>
      <c r="X1997" s="240" t="str">
        <f t="shared" si="250"/>
        <v>OK</v>
      </c>
      <c r="Y1997" s="240" t="str">
        <f t="shared" si="251"/>
        <v>OK</v>
      </c>
      <c r="Z1997" s="240" t="str">
        <f t="shared" si="252"/>
        <v>OK</v>
      </c>
      <c r="AA1997" s="240" t="str" cm="1">
        <f t="array" ref="AA1997">IF(OR(AND(J1997="Not accepted",N1997:O1997&lt;&gt;"",$S1997=""),AND(J1997="Accepted",S1997="")),"ERROR","OK")</f>
        <v>OK</v>
      </c>
      <c r="AB1997" s="240" t="str">
        <f t="shared" si="253"/>
        <v>OK</v>
      </c>
      <c r="AC1997" s="240" t="str" cm="1">
        <f t="array" ref="AC1997">IF(AND(F1997:H1997&lt;&gt;"",I1997=""),"ERROR","OK")</f>
        <v>OK</v>
      </c>
      <c r="AD1997" s="240" t="str">
        <f t="shared" si="254"/>
        <v>OK</v>
      </c>
      <c r="AE1997" s="240" t="str">
        <f t="shared" si="255"/>
        <v>OK</v>
      </c>
      <c r="AF1997" s="240" t="str" cm="1">
        <f t="array" aca="1" ref="AF1997" ca="1" xml:space="preserve">
IF(AND($G1997&lt;&gt;"",$F1997=""),"ERROR",
IF(OR($F1997:$G1997="",AND($G1997="",$F1997&lt;&gt;"")),"OK",
IF(COUNTIF(INDIRECT(IFERROR(LEFT($F1997,FIND(" ",$F1997)-1),$F1997)), $G1997)&gt;0, "OK", "ERROR")))</f>
        <v>OK</v>
      </c>
    </row>
    <row r="1998" spans="1:32" s="240" customFormat="1">
      <c r="A1998" s="48"/>
      <c r="B1998" s="31"/>
      <c r="C1998" s="48"/>
      <c r="D1998" s="47"/>
      <c r="E1998" s="47"/>
      <c r="F1998" s="31"/>
      <c r="G1998" s="31"/>
      <c r="H1998" s="31"/>
      <c r="I1998" s="47"/>
      <c r="J1998" s="31"/>
      <c r="K1998" s="47"/>
      <c r="L1998" s="47"/>
      <c r="M1998" s="47"/>
      <c r="N1998" s="31"/>
      <c r="O1998" s="47"/>
      <c r="P1998" s="31"/>
      <c r="Q1998" s="31"/>
      <c r="R1998" s="31"/>
      <c r="S1998" s="31"/>
      <c r="T1998" s="270">
        <f t="shared" si="248"/>
        <v>0</v>
      </c>
      <c r="U1998" s="270">
        <f t="shared" si="249"/>
        <v>0</v>
      </c>
      <c r="V1998" s="31"/>
      <c r="X1998" s="240" t="str">
        <f t="shared" si="250"/>
        <v>OK</v>
      </c>
      <c r="Y1998" s="240" t="str">
        <f t="shared" si="251"/>
        <v>OK</v>
      </c>
      <c r="Z1998" s="240" t="str">
        <f t="shared" si="252"/>
        <v>OK</v>
      </c>
      <c r="AA1998" s="240" t="str" cm="1">
        <f t="array" ref="AA1998">IF(OR(AND(J1998="Not accepted",N1998:O1998&lt;&gt;"",$S1998=""),AND(J1998="Accepted",S1998="")),"ERROR","OK")</f>
        <v>OK</v>
      </c>
      <c r="AB1998" s="240" t="str">
        <f t="shared" si="253"/>
        <v>OK</v>
      </c>
      <c r="AC1998" s="240" t="str" cm="1">
        <f t="array" ref="AC1998">IF(AND(F1998:H1998&lt;&gt;"",I1998=""),"ERROR","OK")</f>
        <v>OK</v>
      </c>
      <c r="AD1998" s="240" t="str">
        <f t="shared" si="254"/>
        <v>OK</v>
      </c>
      <c r="AE1998" s="240" t="str">
        <f t="shared" si="255"/>
        <v>OK</v>
      </c>
      <c r="AF1998" s="240" t="str" cm="1">
        <f t="array" aca="1" ref="AF1998" ca="1" xml:space="preserve">
IF(AND($G1998&lt;&gt;"",$F1998=""),"ERROR",
IF(OR($F1998:$G1998="",AND($G1998="",$F1998&lt;&gt;"")),"OK",
IF(COUNTIF(INDIRECT(IFERROR(LEFT($F1998,FIND(" ",$F1998)-1),$F1998)), $G1998)&gt;0, "OK", "ERROR")))</f>
        <v>OK</v>
      </c>
    </row>
    <row r="1999" spans="1:32" s="240" customFormat="1">
      <c r="A1999" s="48"/>
      <c r="B1999" s="31"/>
      <c r="C1999" s="48"/>
      <c r="D1999" s="47"/>
      <c r="E1999" s="47"/>
      <c r="F1999" s="31"/>
      <c r="G1999" s="31"/>
      <c r="H1999" s="31"/>
      <c r="I1999" s="47"/>
      <c r="J1999" s="31"/>
      <c r="K1999" s="47"/>
      <c r="L1999" s="47"/>
      <c r="M1999" s="47"/>
      <c r="N1999" s="31"/>
      <c r="O1999" s="47"/>
      <c r="P1999" s="31"/>
      <c r="Q1999" s="31"/>
      <c r="R1999" s="31"/>
      <c r="S1999" s="31"/>
      <c r="T1999" s="270">
        <f t="shared" si="248"/>
        <v>0</v>
      </c>
      <c r="U1999" s="270">
        <f t="shared" si="249"/>
        <v>0</v>
      </c>
      <c r="V1999" s="31"/>
      <c r="X1999" s="240" t="str">
        <f t="shared" si="250"/>
        <v>OK</v>
      </c>
      <c r="Y1999" s="240" t="str">
        <f t="shared" si="251"/>
        <v>OK</v>
      </c>
      <c r="Z1999" s="240" t="str">
        <f t="shared" si="252"/>
        <v>OK</v>
      </c>
      <c r="AA1999" s="240" t="str" cm="1">
        <f t="array" ref="AA1999">IF(OR(AND(J1999="Not accepted",N1999:O1999&lt;&gt;"",$S1999=""),AND(J1999="Accepted",S1999="")),"ERROR","OK")</f>
        <v>OK</v>
      </c>
      <c r="AB1999" s="240" t="str">
        <f t="shared" si="253"/>
        <v>OK</v>
      </c>
      <c r="AC1999" s="240" t="str" cm="1">
        <f t="array" ref="AC1999">IF(AND(F1999:H1999&lt;&gt;"",I1999=""),"ERROR","OK")</f>
        <v>OK</v>
      </c>
      <c r="AD1999" s="240" t="str">
        <f t="shared" si="254"/>
        <v>OK</v>
      </c>
      <c r="AE1999" s="240" t="str">
        <f t="shared" si="255"/>
        <v>OK</v>
      </c>
      <c r="AF1999" s="240" t="str" cm="1">
        <f t="array" aca="1" ref="AF1999" ca="1" xml:space="preserve">
IF(AND($G1999&lt;&gt;"",$F1999=""),"ERROR",
IF(OR($F1999:$G1999="",AND($G1999="",$F1999&lt;&gt;"")),"OK",
IF(COUNTIF(INDIRECT(IFERROR(LEFT($F1999,FIND(" ",$F1999)-1),$F1999)), $G1999)&gt;0, "OK", "ERROR")))</f>
        <v>OK</v>
      </c>
    </row>
    <row r="2000" spans="1:32" s="240" customFormat="1">
      <c r="A2000" s="48"/>
      <c r="B2000" s="31"/>
      <c r="C2000" s="48"/>
      <c r="D2000" s="47"/>
      <c r="E2000" s="47"/>
      <c r="F2000" s="31"/>
      <c r="G2000" s="31"/>
      <c r="H2000" s="31"/>
      <c r="I2000" s="47"/>
      <c r="J2000" s="31"/>
      <c r="K2000" s="47"/>
      <c r="L2000" s="47"/>
      <c r="M2000" s="47"/>
      <c r="N2000" s="31"/>
      <c r="O2000" s="47"/>
      <c r="P2000" s="31"/>
      <c r="Q2000" s="31"/>
      <c r="R2000" s="31"/>
      <c r="S2000" s="31"/>
      <c r="T2000" s="270">
        <f t="shared" si="248"/>
        <v>0</v>
      </c>
      <c r="U2000" s="270">
        <f t="shared" si="249"/>
        <v>0</v>
      </c>
      <c r="V2000" s="31"/>
      <c r="X2000" s="240" t="str">
        <f t="shared" si="250"/>
        <v>OK</v>
      </c>
      <c r="Y2000" s="240" t="str">
        <f t="shared" si="251"/>
        <v>OK</v>
      </c>
      <c r="Z2000" s="240" t="str">
        <f t="shared" si="252"/>
        <v>OK</v>
      </c>
      <c r="AA2000" s="240" t="str" cm="1">
        <f t="array" ref="AA2000">IF(OR(AND(J2000="Not accepted",N2000:O2000&lt;&gt;"",$S2000=""),AND(J2000="Accepted",S2000="")),"ERROR","OK")</f>
        <v>OK</v>
      </c>
      <c r="AB2000" s="240" t="str">
        <f t="shared" si="253"/>
        <v>OK</v>
      </c>
      <c r="AC2000" s="240" t="str" cm="1">
        <f t="array" ref="AC2000">IF(AND(F2000:H2000&lt;&gt;"",I2000=""),"ERROR","OK")</f>
        <v>OK</v>
      </c>
      <c r="AD2000" s="240" t="str">
        <f t="shared" si="254"/>
        <v>OK</v>
      </c>
      <c r="AE2000" s="240" t="str">
        <f t="shared" si="255"/>
        <v>OK</v>
      </c>
      <c r="AF2000" s="240" t="str" cm="1">
        <f t="array" aca="1" ref="AF2000" ca="1" xml:space="preserve">
IF(AND($G2000&lt;&gt;"",$F2000=""),"ERROR",
IF(OR($F2000:$G2000="",AND($G2000="",$F2000&lt;&gt;"")),"OK",
IF(COUNTIF(INDIRECT(IFERROR(LEFT($F2000,FIND(" ",$F2000)-1),$F2000)), $G2000)&gt;0, "OK", "ERROR")))</f>
        <v>OK</v>
      </c>
    </row>
  </sheetData>
  <sheetProtection algorithmName="SHA-512" hashValue="/NmFke6qlMWpMRkXjNyxxNlfMtxAnruztsO0v93tNKzP9ZBlHTR3KfQ7uVj2zDl2G4Foosv8MvT774qDzMF0Dw==" saltValue="Z8PmXkGg8fePXAfjUjeDXg==" spinCount="100000" sheet="1" formatCells="0" formatRows="0" insertRows="0" deleteRows="0" selectLockedCells="1"/>
  <dataConsolidate link="1"/>
  <mergeCells count="2">
    <mergeCell ref="P2:R2"/>
    <mergeCell ref="A1:V1"/>
  </mergeCells>
  <conditionalFormatting sqref="A4:V2000">
    <cfRule type="expression" dxfId="26" priority="26">
      <formula>OR($H4="Neutral",$H4="Repeated",$R4="Neutral",$R4="Repeated",$S4="Invalid")</formula>
    </cfRule>
  </conditionalFormatting>
  <conditionalFormatting sqref="A4:B2000 D4:D2000">
    <cfRule type="expression" dxfId="25" priority="25">
      <formula>AND($C4&lt;&gt;"",$A4="",$B4="")</formula>
    </cfRule>
  </conditionalFormatting>
  <conditionalFormatting sqref="B4:B2000">
    <cfRule type="expression" dxfId="24" priority="24">
      <formula>AND($A4&lt;&gt;"",$B4="")</formula>
    </cfRule>
  </conditionalFormatting>
  <conditionalFormatting sqref="C4:C2000">
    <cfRule type="expression" dxfId="23" priority="23">
      <formula>AND($B4&lt;&gt;"",$C4="")</formula>
    </cfRule>
  </conditionalFormatting>
  <conditionalFormatting sqref="D4:D2000">
    <cfRule type="expression" dxfId="22" priority="21">
      <formula>AND($C4&lt;&gt;"",$D4="")</formula>
    </cfRule>
  </conditionalFormatting>
  <conditionalFormatting sqref="E4:E2000">
    <cfRule type="expression" dxfId="21" priority="20">
      <formula>AND($D4&lt;&gt;"",$E4="")</formula>
    </cfRule>
  </conditionalFormatting>
  <conditionalFormatting sqref="F4:F2000">
    <cfRule type="expression" dxfId="20" priority="19">
      <formula>AND($E4&lt;&gt;"",$F4="")</formula>
    </cfRule>
  </conditionalFormatting>
  <conditionalFormatting sqref="G4:G2000">
    <cfRule type="expression" dxfId="19" priority="6">
      <formula>$AF4="ERROR"</formula>
    </cfRule>
    <cfRule type="expression" dxfId="18" priority="18">
      <formula>AND($F4&lt;&gt;"",$G4="")</formula>
    </cfRule>
  </conditionalFormatting>
  <conditionalFormatting sqref="H4:H2000">
    <cfRule type="expression" dxfId="17" priority="17">
      <formula>AND($G4&lt;&gt;"",$H4="")</formula>
    </cfRule>
  </conditionalFormatting>
  <conditionalFormatting sqref="I4:I2000">
    <cfRule type="expression" dxfId="16" priority="16">
      <formula>AND($H4&lt;&gt;"",$I4="")</formula>
    </cfRule>
  </conditionalFormatting>
  <conditionalFormatting sqref="J4:J2000">
    <cfRule type="expression" dxfId="15" priority="15">
      <formula>AND($I4&lt;&gt;"",$J4="")</formula>
    </cfRule>
  </conditionalFormatting>
  <conditionalFormatting sqref="K4:K2000">
    <cfRule type="expression" dxfId="14" priority="14">
      <formula>AND($J4="Not accepted",$K4="")</formula>
    </cfRule>
  </conditionalFormatting>
  <conditionalFormatting sqref="S4:S2000">
    <cfRule type="expression" dxfId="13" priority="13">
      <formula>$AA4="ERROR"</formula>
    </cfRule>
  </conditionalFormatting>
  <conditionalFormatting sqref="V4:V2000">
    <cfRule type="expression" dxfId="12" priority="11">
      <formula>$AB4="ERROR"</formula>
    </cfRule>
  </conditionalFormatting>
  <conditionalFormatting sqref="O4:O2000">
    <cfRule type="expression" dxfId="11" priority="10">
      <formula>$AE4="ERROR"</formula>
    </cfRule>
  </conditionalFormatting>
  <conditionalFormatting sqref="N4:N2000">
    <cfRule type="expression" dxfId="10" priority="9">
      <formula>$AD4="ERROR"</formula>
    </cfRule>
  </conditionalFormatting>
  <conditionalFormatting sqref="Q4:Q2000">
    <cfRule type="expression" dxfId="9" priority="8">
      <formula>AND($P4&lt;&gt;"",$Q4="")</formula>
    </cfRule>
  </conditionalFormatting>
  <conditionalFormatting sqref="R4:R2000">
    <cfRule type="expression" dxfId="8" priority="7">
      <formula>AND($Q4&lt;&gt;"",$R4="")</formula>
    </cfRule>
  </conditionalFormatting>
  <conditionalFormatting sqref="I11:I2000">
    <cfRule type="expression" dxfId="7" priority="5">
      <formula>$AE11="ERROR"</formula>
    </cfRule>
  </conditionalFormatting>
  <conditionalFormatting sqref="A4:A200">
    <cfRule type="expression" dxfId="6" priority="1">
      <formula>AND($B4&lt;&gt;"",$A4="")</formula>
    </cfRule>
  </conditionalFormatting>
  <dataValidations count="11">
    <dataValidation type="list" allowBlank="1" showInputMessage="1" showErrorMessage="1" sqref="S4:S2000" xr:uid="{00000000-0002-0000-0200-000000000000}">
      <formula1>"Implemented, Not implemented, Invalid"</formula1>
    </dataValidation>
    <dataValidation type="list" allowBlank="1" showInputMessage="1" showErrorMessage="1" sqref="N4:N13 N15:N2000" xr:uid="{00000000-0002-0000-0200-000001000000}">
      <formula1>"Agree with original translator,Disagree with original translator"</formula1>
    </dataValidation>
    <dataValidation type="list" allowBlank="1" showInputMessage="1" showErrorMessage="1" sqref="J4:J2000" xr:uid="{00000000-0002-0000-0200-000002000000}">
      <formula1>"Accepted,Not accepted"</formula1>
    </dataValidation>
    <dataValidation type="list" allowBlank="1" showInputMessage="1" showErrorMessage="1" sqref="F4:F2000" xr:uid="{00000000-0002-0000-0200-000003000000}">
      <formula1>aLevel2</formula1>
    </dataValidation>
    <dataValidation type="list" allowBlank="1" showInputMessage="1" showErrorMessage="1" sqref="P4:P2000" xr:uid="{00000000-0002-0000-0200-000004000000}">
      <formula1>IF($J4="Accepted",BlankList,aLevel2)</formula1>
    </dataValidation>
    <dataValidation type="list" allowBlank="1" showInputMessage="1" showErrorMessage="1" sqref="V4:V2000" xr:uid="{00000000-0002-0000-0200-000006000000}">
      <formula1>IF($S4="Not Implemented",NotImp,"")</formula1>
    </dataValidation>
    <dataValidation type="list" allowBlank="1" showInputMessage="1" showErrorMessage="1" sqref="G4:G2000" xr:uid="{CEAE3BD1-AD51-47F9-89B7-57779FFE847C}">
      <formula1>INDIRECT(IFERROR(LEFT($F4,FIND(" ",$F4)-1),$F4))</formula1>
    </dataValidation>
    <dataValidation type="list" allowBlank="1" showInputMessage="1" showErrorMessage="1" sqref="H4:H2000" xr:uid="{837FCB83-F553-4DC7-931C-1C363ACCD0AF}">
      <formula1>IF($G4&lt;&gt;"",Severities)</formula1>
    </dataValidation>
    <dataValidation type="list" allowBlank="1" showInputMessage="1" showErrorMessage="1" sqref="Q4:Q2000" xr:uid="{B02D369F-7F45-4D78-B6AB-58F862EE8D87}">
      <formula1>INDIRECT(IFERROR(LEFT($P4,FIND(" ",$P4)-1),$P4))</formula1>
    </dataValidation>
    <dataValidation type="list" allowBlank="1" showInputMessage="1" showErrorMessage="1" sqref="R4:R2000" xr:uid="{D89FE6CF-1430-46CE-B4E8-7A5C081ECF76}">
      <formula1>IF($Q4&lt;&gt;"",Severities)</formula1>
    </dataValidation>
    <dataValidation allowBlank="1" showInputMessage="1" showErrorMessage="1" prompt="Please be sure to enter a short comment in English, to explain your revision._x000a__x000a_Please provide objective and factual justification, so the reasons for your revision are clear._x000a_" sqref="I4:I13" xr:uid="{3702C6FD-3744-4450-8CC9-083D0ABEC2E9}"/>
  </dataValidations>
  <printOptions horizontalCentered="1"/>
  <pageMargins left="0.59055118110236227" right="0.47244094488188981" top="0.70866141732283472" bottom="0.55118110236220474" header="0.31496062992125984" footer="0.19685039370078741"/>
  <pageSetup paperSize="9" scale="27" fitToHeight="0" orientation="landscape" r:id="rId1"/>
  <headerFooter alignWithMargins="0">
    <oddFooter>&amp;L&amp;"Noto Sans,Regular"&amp;9&amp;F&amp;C&amp;"Noto Sans,Regular"&amp;9Page &amp;P of &amp;N&amp;R&amp;"Noto Sans,Regular"&amp;9Uncontrolled when in use</oddFooter>
  </headerFooter>
  <drawing r:id="rId2"/>
  <legacyDrawing r:id="rId3"/>
  <controls>
    <mc:AlternateContent xmlns:mc="http://schemas.openxmlformats.org/markup-compatibility/2006">
      <mc:Choice Requires="x14">
        <control shapeId="11281" r:id="rId4" name="ComboBox2">
          <controlPr defaultSize="0" autoLine="0" autoPict="0" r:id="rId5">
            <anchor moveWithCells="1">
              <from>
                <xdr:col>13</xdr:col>
                <xdr:colOff>438150</xdr:colOff>
                <xdr:row>1</xdr:row>
                <xdr:rowOff>676275</xdr:rowOff>
              </from>
              <to>
                <xdr:col>13</xdr:col>
                <xdr:colOff>2009775</xdr:colOff>
                <xdr:row>1</xdr:row>
                <xdr:rowOff>895350</xdr:rowOff>
              </to>
            </anchor>
          </controlPr>
        </control>
      </mc:Choice>
      <mc:Fallback>
        <control shapeId="11281" r:id="rId4" name="ComboBox2"/>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 id="{980C0446-3D7E-4477-BC5F-F4CEC134DAC6}">
            <xm:f>OR($H4=Setup!$E$4,$H4=Setup!$E$5)</xm:f>
            <x14:dxf>
              <font>
                <b/>
                <i val="0"/>
              </font>
              <fill>
                <patternFill patternType="none">
                  <bgColor auto="1"/>
                </patternFill>
              </fill>
            </x14:dxf>
          </x14:cfRule>
          <xm:sqref>H4:H2000</xm:sqref>
        </x14:conditionalFormatting>
        <x14:conditionalFormatting xmlns:xm="http://schemas.microsoft.com/office/excel/2006/main">
          <x14:cfRule type="expression" priority="2" id="{820975F6-337D-4D03-97E8-F5E2E5C53C2F}">
            <xm:f>OR($R4=Setup!$E$4,$R4=Setup!$E$5)</xm:f>
            <x14:dxf>
              <font>
                <b/>
                <i val="0"/>
              </font>
              <fill>
                <patternFill patternType="none">
                  <bgColor auto="1"/>
                </patternFill>
              </fill>
            </x14:dxf>
          </x14:cfRule>
          <xm:sqref>R4:R2000</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3A9978-D78E-4464-9E3B-28FCE49D0842}">
  <sheetPr codeName="Sheet8">
    <tabColor rgb="FF003C7F"/>
  </sheetPr>
  <dimension ref="A1:N135"/>
  <sheetViews>
    <sheetView zoomScale="70" zoomScaleNormal="70" workbookViewId="0">
      <selection activeCell="B2" sqref="B2"/>
    </sheetView>
  </sheetViews>
  <sheetFormatPr defaultRowHeight="20.25"/>
  <cols>
    <col min="1" max="1" width="14.5703125" style="249" customWidth="1"/>
    <col min="2" max="2" width="68.140625" style="244" customWidth="1"/>
    <col min="3" max="3" width="10.5703125" style="244" bestFit="1" customWidth="1"/>
  </cols>
  <sheetData>
    <row r="1" spans="1:14" s="244" customFormat="1" ht="29.25" customHeight="1" thickTop="1" thickBot="1">
      <c r="A1" s="242" t="s">
        <v>602</v>
      </c>
      <c r="B1" s="271" t="s">
        <v>603</v>
      </c>
      <c r="C1" s="272"/>
      <c r="D1" s="277"/>
      <c r="E1" s="276"/>
      <c r="F1" s="276"/>
      <c r="G1" s="273"/>
      <c r="H1" s="274"/>
    </row>
    <row r="2" spans="1:14" s="244" customFormat="1" ht="90" customHeight="1" thickTop="1" thickBot="1">
      <c r="A2" s="245">
        <v>1</v>
      </c>
      <c r="B2" s="282"/>
      <c r="C2" s="275"/>
      <c r="D2" s="546" t="s">
        <v>623</v>
      </c>
      <c r="E2" s="546"/>
      <c r="F2" s="546"/>
      <c r="G2" s="546"/>
      <c r="H2" s="546"/>
      <c r="I2" s="546"/>
      <c r="J2" s="546"/>
      <c r="K2" s="546"/>
      <c r="L2" s="546"/>
      <c r="M2" s="546"/>
      <c r="N2" s="547"/>
    </row>
    <row r="3" spans="1:14" s="244" customFormat="1" ht="90" customHeight="1" thickTop="1" thickBot="1">
      <c r="A3" s="246">
        <v>2</v>
      </c>
      <c r="B3" s="279"/>
      <c r="C3" s="243"/>
    </row>
    <row r="4" spans="1:14" s="244" customFormat="1" ht="90" customHeight="1" thickTop="1" thickBot="1">
      <c r="A4" s="246">
        <v>3</v>
      </c>
      <c r="B4" s="279"/>
      <c r="C4" s="243"/>
    </row>
    <row r="5" spans="1:14" s="244" customFormat="1" ht="90" customHeight="1" thickTop="1" thickBot="1">
      <c r="A5" s="245">
        <v>4</v>
      </c>
      <c r="B5" s="279"/>
      <c r="C5" s="243"/>
    </row>
    <row r="6" spans="1:14" s="244" customFormat="1" ht="90" customHeight="1" thickTop="1" thickBot="1">
      <c r="A6" s="246">
        <v>5</v>
      </c>
      <c r="B6" s="279"/>
      <c r="C6" s="243"/>
    </row>
    <row r="7" spans="1:14" s="244" customFormat="1" ht="90" customHeight="1" thickTop="1" thickBot="1">
      <c r="A7" s="247">
        <v>6</v>
      </c>
      <c r="B7" s="280"/>
      <c r="C7" s="243"/>
    </row>
    <row r="8" spans="1:14" s="244" customFormat="1" ht="90" customHeight="1" thickTop="1" thickBot="1">
      <c r="A8" s="247">
        <v>7</v>
      </c>
      <c r="B8" s="279"/>
      <c r="C8" s="243"/>
    </row>
    <row r="9" spans="1:14" s="244" customFormat="1" ht="90" customHeight="1" thickTop="1" thickBot="1">
      <c r="A9" s="248">
        <v>8</v>
      </c>
      <c r="B9" s="281"/>
      <c r="C9" s="243"/>
    </row>
    <row r="10" spans="1:14" s="244" customFormat="1" ht="90" customHeight="1" thickTop="1" thickBot="1">
      <c r="A10" s="247">
        <v>9</v>
      </c>
      <c r="B10" s="279"/>
      <c r="C10" s="243"/>
    </row>
    <row r="11" spans="1:14" s="244" customFormat="1" ht="90" customHeight="1" thickTop="1" thickBot="1">
      <c r="A11" s="247">
        <v>10</v>
      </c>
      <c r="B11" s="279"/>
    </row>
    <row r="12" spans="1:14" s="244" customFormat="1" ht="21" thickTop="1">
      <c r="A12" s="249"/>
    </row>
    <row r="13" spans="1:14" s="244" customFormat="1">
      <c r="A13" s="249"/>
    </row>
    <row r="14" spans="1:14" s="244" customFormat="1">
      <c r="A14" s="249"/>
    </row>
    <row r="15" spans="1:14" s="244" customFormat="1">
      <c r="A15" s="249"/>
    </row>
    <row r="16" spans="1:14" s="244" customFormat="1">
      <c r="A16" s="249"/>
    </row>
    <row r="17" spans="1:1" s="244" customFormat="1">
      <c r="A17" s="249"/>
    </row>
    <row r="18" spans="1:1" s="244" customFormat="1">
      <c r="A18" s="249"/>
    </row>
    <row r="19" spans="1:1" s="244" customFormat="1">
      <c r="A19" s="249"/>
    </row>
    <row r="20" spans="1:1" s="244" customFormat="1">
      <c r="A20" s="249"/>
    </row>
    <row r="21" spans="1:1" s="244" customFormat="1">
      <c r="A21" s="249"/>
    </row>
    <row r="22" spans="1:1" s="244" customFormat="1">
      <c r="A22" s="249"/>
    </row>
    <row r="23" spans="1:1" s="244" customFormat="1">
      <c r="A23" s="249"/>
    </row>
    <row r="24" spans="1:1" s="244" customFormat="1">
      <c r="A24" s="249"/>
    </row>
    <row r="25" spans="1:1" s="244" customFormat="1">
      <c r="A25" s="249"/>
    </row>
    <row r="26" spans="1:1" s="244" customFormat="1">
      <c r="A26" s="249"/>
    </row>
    <row r="27" spans="1:1" s="244" customFormat="1">
      <c r="A27" s="249"/>
    </row>
    <row r="28" spans="1:1" s="244" customFormat="1">
      <c r="A28" s="249"/>
    </row>
    <row r="29" spans="1:1" s="244" customFormat="1">
      <c r="A29" s="249"/>
    </row>
    <row r="30" spans="1:1" s="244" customFormat="1">
      <c r="A30" s="249"/>
    </row>
    <row r="31" spans="1:1" s="244" customFormat="1">
      <c r="A31" s="249"/>
    </row>
    <row r="32" spans="1:1" s="244" customFormat="1">
      <c r="A32" s="249"/>
    </row>
    <row r="33" spans="1:1" s="244" customFormat="1">
      <c r="A33" s="249"/>
    </row>
    <row r="34" spans="1:1" s="244" customFormat="1">
      <c r="A34" s="249"/>
    </row>
    <row r="35" spans="1:1" s="244" customFormat="1">
      <c r="A35" s="249"/>
    </row>
    <row r="36" spans="1:1" s="244" customFormat="1">
      <c r="A36" s="249"/>
    </row>
    <row r="37" spans="1:1" s="244" customFormat="1">
      <c r="A37" s="249"/>
    </row>
    <row r="38" spans="1:1" s="244" customFormat="1">
      <c r="A38" s="249"/>
    </row>
    <row r="39" spans="1:1" s="244" customFormat="1">
      <c r="A39" s="249"/>
    </row>
    <row r="40" spans="1:1" s="244" customFormat="1">
      <c r="A40" s="249"/>
    </row>
    <row r="41" spans="1:1" s="244" customFormat="1">
      <c r="A41" s="249"/>
    </row>
    <row r="42" spans="1:1" s="244" customFormat="1">
      <c r="A42" s="249"/>
    </row>
    <row r="43" spans="1:1" s="244" customFormat="1">
      <c r="A43" s="249"/>
    </row>
    <row r="44" spans="1:1" s="244" customFormat="1">
      <c r="A44" s="249"/>
    </row>
    <row r="45" spans="1:1" s="244" customFormat="1">
      <c r="A45" s="249"/>
    </row>
    <row r="46" spans="1:1" s="244" customFormat="1">
      <c r="A46" s="249"/>
    </row>
    <row r="47" spans="1:1" s="244" customFormat="1">
      <c r="A47" s="249"/>
    </row>
    <row r="48" spans="1:1" s="244" customFormat="1">
      <c r="A48" s="249"/>
    </row>
    <row r="49" spans="1:1" s="244" customFormat="1">
      <c r="A49" s="249"/>
    </row>
    <row r="50" spans="1:1" s="244" customFormat="1">
      <c r="A50" s="249"/>
    </row>
    <row r="51" spans="1:1" s="244" customFormat="1">
      <c r="A51" s="249"/>
    </row>
    <row r="52" spans="1:1" s="244" customFormat="1">
      <c r="A52" s="249"/>
    </row>
    <row r="53" spans="1:1" s="244" customFormat="1">
      <c r="A53" s="249"/>
    </row>
    <row r="54" spans="1:1" s="244" customFormat="1">
      <c r="A54" s="249"/>
    </row>
    <row r="55" spans="1:1" s="244" customFormat="1">
      <c r="A55" s="249"/>
    </row>
    <row r="56" spans="1:1" s="244" customFormat="1">
      <c r="A56" s="249"/>
    </row>
    <row r="57" spans="1:1" s="244" customFormat="1">
      <c r="A57" s="249"/>
    </row>
    <row r="58" spans="1:1" s="244" customFormat="1">
      <c r="A58" s="249"/>
    </row>
    <row r="59" spans="1:1" s="244" customFormat="1">
      <c r="A59" s="249"/>
    </row>
    <row r="60" spans="1:1" s="244" customFormat="1">
      <c r="A60" s="249"/>
    </row>
    <row r="61" spans="1:1" s="244" customFormat="1">
      <c r="A61" s="249"/>
    </row>
    <row r="62" spans="1:1" s="244" customFormat="1">
      <c r="A62" s="249"/>
    </row>
    <row r="63" spans="1:1" s="244" customFormat="1">
      <c r="A63" s="249"/>
    </row>
    <row r="64" spans="1:1" s="244" customFormat="1">
      <c r="A64" s="249"/>
    </row>
    <row r="65" spans="1:1" s="244" customFormat="1">
      <c r="A65" s="249"/>
    </row>
    <row r="66" spans="1:1" s="244" customFormat="1">
      <c r="A66" s="249"/>
    </row>
    <row r="67" spans="1:1" s="244" customFormat="1">
      <c r="A67" s="249"/>
    </row>
    <row r="68" spans="1:1" s="244" customFormat="1">
      <c r="A68" s="249"/>
    </row>
    <row r="69" spans="1:1" s="244" customFormat="1">
      <c r="A69" s="249"/>
    </row>
    <row r="70" spans="1:1" s="244" customFormat="1">
      <c r="A70" s="249"/>
    </row>
    <row r="71" spans="1:1" s="244" customFormat="1">
      <c r="A71" s="249"/>
    </row>
    <row r="72" spans="1:1" s="244" customFormat="1">
      <c r="A72" s="249"/>
    </row>
    <row r="73" spans="1:1" s="244" customFormat="1">
      <c r="A73" s="249"/>
    </row>
    <row r="74" spans="1:1" s="244" customFormat="1">
      <c r="A74" s="249"/>
    </row>
    <row r="75" spans="1:1" s="244" customFormat="1">
      <c r="A75" s="249"/>
    </row>
    <row r="76" spans="1:1" s="244" customFormat="1">
      <c r="A76" s="249"/>
    </row>
    <row r="77" spans="1:1" s="244" customFormat="1">
      <c r="A77" s="249"/>
    </row>
    <row r="78" spans="1:1" s="244" customFormat="1">
      <c r="A78" s="249"/>
    </row>
    <row r="79" spans="1:1" s="244" customFormat="1">
      <c r="A79" s="249"/>
    </row>
    <row r="80" spans="1:1" s="244" customFormat="1">
      <c r="A80" s="249"/>
    </row>
    <row r="81" spans="1:1" s="244" customFormat="1">
      <c r="A81" s="249"/>
    </row>
    <row r="82" spans="1:1" s="244" customFormat="1">
      <c r="A82" s="249"/>
    </row>
    <row r="83" spans="1:1" s="244" customFormat="1">
      <c r="A83" s="249"/>
    </row>
    <row r="84" spans="1:1" s="244" customFormat="1">
      <c r="A84" s="249"/>
    </row>
    <row r="85" spans="1:1" s="244" customFormat="1">
      <c r="A85" s="249"/>
    </row>
    <row r="86" spans="1:1" s="244" customFormat="1">
      <c r="A86" s="249"/>
    </row>
    <row r="87" spans="1:1" s="244" customFormat="1">
      <c r="A87" s="249"/>
    </row>
    <row r="88" spans="1:1" s="244" customFormat="1">
      <c r="A88" s="249"/>
    </row>
    <row r="89" spans="1:1" s="244" customFormat="1">
      <c r="A89" s="249"/>
    </row>
    <row r="90" spans="1:1" s="244" customFormat="1">
      <c r="A90" s="249"/>
    </row>
    <row r="91" spans="1:1" s="244" customFormat="1">
      <c r="A91" s="249"/>
    </row>
    <row r="92" spans="1:1" s="244" customFormat="1">
      <c r="A92" s="249"/>
    </row>
    <row r="93" spans="1:1" s="244" customFormat="1">
      <c r="A93" s="249"/>
    </row>
    <row r="94" spans="1:1" s="244" customFormat="1">
      <c r="A94" s="249"/>
    </row>
    <row r="95" spans="1:1" s="244" customFormat="1">
      <c r="A95" s="249"/>
    </row>
    <row r="96" spans="1:1" s="244" customFormat="1">
      <c r="A96" s="249"/>
    </row>
    <row r="97" spans="1:1" s="244" customFormat="1">
      <c r="A97" s="249"/>
    </row>
    <row r="98" spans="1:1" s="244" customFormat="1">
      <c r="A98" s="249"/>
    </row>
    <row r="99" spans="1:1" s="244" customFormat="1">
      <c r="A99" s="249"/>
    </row>
    <row r="100" spans="1:1" s="244" customFormat="1">
      <c r="A100" s="249"/>
    </row>
    <row r="101" spans="1:1" s="244" customFormat="1">
      <c r="A101" s="249"/>
    </row>
    <row r="102" spans="1:1" s="244" customFormat="1">
      <c r="A102" s="249"/>
    </row>
    <row r="103" spans="1:1" s="244" customFormat="1">
      <c r="A103" s="249"/>
    </row>
    <row r="104" spans="1:1" s="244" customFormat="1">
      <c r="A104" s="249"/>
    </row>
    <row r="105" spans="1:1" s="244" customFormat="1">
      <c r="A105" s="249"/>
    </row>
    <row r="106" spans="1:1" s="244" customFormat="1">
      <c r="A106" s="249"/>
    </row>
    <row r="107" spans="1:1" s="244" customFormat="1">
      <c r="A107" s="249"/>
    </row>
    <row r="108" spans="1:1" s="244" customFormat="1">
      <c r="A108" s="249"/>
    </row>
    <row r="109" spans="1:1" s="244" customFormat="1">
      <c r="A109" s="249"/>
    </row>
    <row r="110" spans="1:1" s="244" customFormat="1">
      <c r="A110" s="249"/>
    </row>
    <row r="111" spans="1:1" s="244" customFormat="1">
      <c r="A111" s="249"/>
    </row>
    <row r="112" spans="1:1" s="244" customFormat="1">
      <c r="A112" s="249"/>
    </row>
    <row r="113" spans="1:1" s="244" customFormat="1">
      <c r="A113" s="249"/>
    </row>
    <row r="114" spans="1:1" s="244" customFormat="1">
      <c r="A114" s="249"/>
    </row>
    <row r="115" spans="1:1" s="244" customFormat="1">
      <c r="A115" s="249"/>
    </row>
    <row r="116" spans="1:1" s="244" customFormat="1">
      <c r="A116" s="249"/>
    </row>
    <row r="117" spans="1:1" s="244" customFormat="1">
      <c r="A117" s="249"/>
    </row>
    <row r="118" spans="1:1" s="244" customFormat="1">
      <c r="A118" s="249"/>
    </row>
    <row r="119" spans="1:1" s="244" customFormat="1">
      <c r="A119" s="249"/>
    </row>
    <row r="120" spans="1:1" s="244" customFormat="1">
      <c r="A120" s="249"/>
    </row>
    <row r="121" spans="1:1" s="244" customFormat="1">
      <c r="A121" s="249"/>
    </row>
    <row r="122" spans="1:1" s="244" customFormat="1">
      <c r="A122" s="249"/>
    </row>
    <row r="123" spans="1:1" s="244" customFormat="1">
      <c r="A123" s="249"/>
    </row>
    <row r="124" spans="1:1" s="244" customFormat="1">
      <c r="A124" s="249"/>
    </row>
    <row r="125" spans="1:1" s="244" customFormat="1">
      <c r="A125" s="249"/>
    </row>
    <row r="126" spans="1:1" s="244" customFormat="1">
      <c r="A126" s="249"/>
    </row>
    <row r="127" spans="1:1" s="244" customFormat="1">
      <c r="A127" s="249"/>
    </row>
    <row r="128" spans="1:1" s="244" customFormat="1">
      <c r="A128" s="249"/>
    </row>
    <row r="129" spans="1:3" s="244" customFormat="1">
      <c r="A129" s="249"/>
    </row>
    <row r="130" spans="1:3" s="244" customFormat="1">
      <c r="A130" s="249"/>
    </row>
    <row r="131" spans="1:3" s="244" customFormat="1">
      <c r="A131" s="249"/>
    </row>
    <row r="132" spans="1:3" s="244" customFormat="1">
      <c r="A132" s="249"/>
    </row>
    <row r="133" spans="1:3" s="244" customFormat="1">
      <c r="A133" s="249"/>
    </row>
    <row r="134" spans="1:3" s="244" customFormat="1">
      <c r="A134" s="249"/>
    </row>
    <row r="135" spans="1:3">
      <c r="C135" s="250"/>
    </row>
  </sheetData>
  <sheetProtection algorithmName="SHA-512" hashValue="iH0nolTHKh06evWV2qq57RjFbFfsjq//rQuDEgN2IbUKaQFp5ZvwIDUleLen191T1H1b7sjbAkgy6+FtUi4/xQ==" saltValue="72nR8SG9magJTNngPNHtbg==" spinCount="100000" sheet="1" scenarios="1"/>
  <mergeCells count="1">
    <mergeCell ref="D2:N2"/>
  </mergeCells>
  <pageMargins left="0.7" right="0.7" top="0.75" bottom="0.75" header="0.3" footer="0.3"/>
  <pageSetup paperSize="9" orientation="portrait" r:id="rId1"/>
  <headerFooter>
    <oddFooter>&amp;L&amp;F&amp;CPage &amp;P of &amp;N&amp;RUncontrolled when in use</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DB3A99-3C4A-42E6-8D29-E56E70AE87D2}">
  <sheetPr codeName="Sheet5">
    <tabColor rgb="FFB1A0C7"/>
  </sheetPr>
  <dimension ref="A1:C25"/>
  <sheetViews>
    <sheetView topLeftCell="B1" zoomScaleNormal="100" workbookViewId="0">
      <selection activeCell="C9" sqref="C9:H9"/>
    </sheetView>
  </sheetViews>
  <sheetFormatPr defaultRowHeight="12.75"/>
  <cols>
    <col min="1" max="1" width="2.85546875" style="288" customWidth="1"/>
    <col min="2" max="2" width="171.5703125" style="288" customWidth="1"/>
    <col min="3" max="3" width="2.85546875" style="288" customWidth="1"/>
    <col min="4" max="16384" width="9.140625" style="288"/>
  </cols>
  <sheetData>
    <row r="1" spans="1:3">
      <c r="B1" s="291"/>
    </row>
    <row r="2" spans="1:3" ht="22.5" customHeight="1">
      <c r="A2" s="289"/>
      <c r="B2" s="287" t="str">
        <f>"Items that may require your attention: "</f>
        <v xml:space="preserve">Items that may require your attention: </v>
      </c>
      <c r="C2" s="290"/>
    </row>
    <row r="3" spans="1:3">
      <c r="B3" s="293"/>
    </row>
    <row r="4" spans="1:3" ht="22.5" customHeight="1">
      <c r="A4" s="289"/>
      <c r="B4" s="294" t="str">
        <f>IFERROR(INDEX('Validation setup'!$N$2:$N$23,MATCH(ROWS(Checklist!$B$4:$B4),'Validation setup'!$F$2:$F$23,0)),"")</f>
        <v>Word count is missing! ('Evaluation Report_Initial' sheet)</v>
      </c>
      <c r="C4" s="290"/>
    </row>
    <row r="5" spans="1:3" ht="22.5" customHeight="1">
      <c r="A5" s="289"/>
      <c r="B5" s="295" t="str">
        <f>IFERROR(INDEX('Validation setup'!$N$2:$N$23,MATCH(ROWS(Checklist!$B$4:$B5),'Validation setup'!$F$2:$F$23,0)),"")</f>
        <v>RWS cost code is missing! ('Evaluation Report_Initial' sheet) [Note: this field is not required for evaluations by IPS]</v>
      </c>
      <c r="C5" s="290"/>
    </row>
    <row r="6" spans="1:3" ht="22.5" customHeight="1">
      <c r="A6" s="289"/>
      <c r="B6" s="295" t="str">
        <f>IFERROR(INDEX('Validation setup'!$N$2:$N$23,MATCH(ROWS(Checklist!$B$4:$B6),'Validation setup'!$F$2:$F$23,0)),"")</f>
        <v>Date is missing! ('Evaluation Report_Initial' sheet)</v>
      </c>
      <c r="C6" s="290"/>
    </row>
    <row r="7" spans="1:3" ht="22.5" customHeight="1">
      <c r="A7" s="289"/>
      <c r="B7" s="295" t="str">
        <f>IFERROR(INDEX('Validation setup'!$N$2:$N$23,MATCH(ROWS(Checklist!$B$4:$B7),'Validation setup'!$F$2:$F$23,0)),"")</f>
        <v>Client name is missing. ('Evaluation Report_Initial' sheet)</v>
      </c>
      <c r="C7" s="290"/>
    </row>
    <row r="8" spans="1:3" ht="22.5" customHeight="1">
      <c r="A8" s="289"/>
      <c r="B8" s="295" t="str">
        <f>IFERROR(INDEX('Validation setup'!$N$2:$N$23,MATCH(ROWS(Checklist!$B$4:$B8),'Validation setup'!$F$2:$F$23,0)),"")</f>
        <v>Job ID is missing. Enter if applicable or specified. ('Evaluation Report_Initial' sheet) [Note: this field is required for evaluations by IPS]</v>
      </c>
      <c r="C8" s="290"/>
    </row>
    <row r="9" spans="1:3" ht="22.5" customHeight="1">
      <c r="A9" s="289"/>
      <c r="B9" s="295" t="str">
        <f>IFERROR(INDEX('Validation setup'!$N$2:$N$23,MATCH(ROWS(Checklist!$B$4:$B9),'Validation setup'!$F$2:$F$23,0)),"")</f>
        <v>Project name is missing. Enter if applicable or specified. ('Evaluation Report_Initial' sheet)</v>
      </c>
      <c r="C9" s="290"/>
    </row>
    <row r="10" spans="1:3" ht="22.5" customHeight="1">
      <c r="A10" s="289"/>
      <c r="B10" s="295" t="str">
        <f ca="1">IFERROR(INDEX('Validation setup'!$N$2:$N$23,MATCH(ROWS(Checklist!$B$4:$B10),'Validation setup'!$F$2:$F$23,0)),"")</f>
        <v>Evaluator task: Comment in the 'Overall Impression' section is missing.</v>
      </c>
      <c r="C10" s="290"/>
    </row>
    <row r="11" spans="1:3" ht="22.5" customHeight="1">
      <c r="A11" s="289"/>
      <c r="B11" s="295" t="str">
        <f ca="1">IFERROR(INDEX('Validation setup'!$N$2:$N$23,MATCH(ROWS(Checklist!$B$4:$B11),'Validation setup'!$F$2:$F$23,0)),"")</f>
        <v>Evaluator task: Grade in the 'Overall Impression' section is missing.</v>
      </c>
      <c r="C11" s="290"/>
    </row>
    <row r="12" spans="1:3" ht="22.5" customHeight="1">
      <c r="A12" s="289"/>
      <c r="B12" s="295" t="str">
        <f ca="1">IFERROR(INDEX('Validation setup'!$N$2:$N$23,MATCH(ROWS(Checklist!$B$4:$B12),'Validation setup'!$F$2:$F$23,0)),"")</f>
        <v/>
      </c>
      <c r="C12" s="290"/>
    </row>
    <row r="13" spans="1:3" ht="22.5" customHeight="1">
      <c r="A13" s="289"/>
      <c r="B13" s="295" t="str">
        <f ca="1">IFERROR(INDEX('Validation setup'!$N$2:$N$23,MATCH(ROWS(Checklist!$B$4:$B13),'Validation setup'!$F$2:$F$23,0)),"")</f>
        <v/>
      </c>
      <c r="C13" s="290"/>
    </row>
    <row r="14" spans="1:3" ht="22.5" customHeight="1">
      <c r="A14" s="289"/>
      <c r="B14" s="295" t="str">
        <f ca="1">IFERROR(INDEX('Validation setup'!$N$2:$N$23,MATCH(ROWS(Checklist!$B$4:$B14),'Validation setup'!$F$2:$F$23,0)),"")</f>
        <v/>
      </c>
      <c r="C14" s="290"/>
    </row>
    <row r="15" spans="1:3" ht="22.5" customHeight="1">
      <c r="A15" s="289"/>
      <c r="B15" s="295" t="str">
        <f ca="1">IFERROR(INDEX('Validation setup'!$N$2:$N$23,MATCH(ROWS(Checklist!$B$4:$B15),'Validation setup'!$F$2:$F$23,0)),"")</f>
        <v/>
      </c>
      <c r="C15" s="290"/>
    </row>
    <row r="16" spans="1:3" ht="22.5" customHeight="1">
      <c r="A16" s="289"/>
      <c r="B16" s="295" t="str">
        <f ca="1">IFERROR(INDEX('Validation setup'!$N$2:$N$23,MATCH(ROWS(Checklist!$B$4:$B16),'Validation setup'!$F$2:$F$23,0)),"")</f>
        <v/>
      </c>
      <c r="C16" s="290"/>
    </row>
    <row r="17" spans="1:3" ht="22.5" customHeight="1">
      <c r="A17" s="289"/>
      <c r="B17" s="295" t="str">
        <f ca="1">IFERROR(INDEX('Validation setup'!$N$2:$N$23,MATCH(ROWS(Checklist!$B$4:$B17),'Validation setup'!$F$2:$F$23,0)),"")</f>
        <v/>
      </c>
      <c r="C17" s="290"/>
    </row>
    <row r="18" spans="1:3" ht="22.5" customHeight="1">
      <c r="A18" s="289"/>
      <c r="B18" s="295" t="str">
        <f ca="1">IFERROR(INDEX('Validation setup'!$N$2:$N$23,MATCH(ROWS(Checklist!$B$4:$B18),'Validation setup'!$F$2:$F$23,0)),"")</f>
        <v/>
      </c>
      <c r="C18" s="290"/>
    </row>
    <row r="19" spans="1:3" ht="22.5" customHeight="1">
      <c r="A19" s="289"/>
      <c r="B19" s="295" t="str">
        <f ca="1">IFERROR(INDEX('Validation setup'!$N$2:$N$23,MATCH(ROWS(Checklist!$B$4:$B19),'Validation setup'!$F$2:$F$23,0)),"")</f>
        <v/>
      </c>
      <c r="C19" s="290"/>
    </row>
    <row r="20" spans="1:3" ht="22.5" customHeight="1">
      <c r="A20" s="289"/>
      <c r="B20" s="295" t="str">
        <f ca="1">IFERROR(INDEX('Validation setup'!$N$2:$N$23,MATCH(ROWS(Checklist!$B$4:$B20),'Validation setup'!$F$2:$F$23,0)),"")</f>
        <v/>
      </c>
      <c r="C20" s="290"/>
    </row>
    <row r="21" spans="1:3" ht="22.5" customHeight="1">
      <c r="A21" s="289"/>
      <c r="B21" s="295" t="str">
        <f ca="1">IFERROR(INDEX('Validation setup'!$N$2:$N$23,MATCH(ROWS(Checklist!$B$4:$B21),'Validation setup'!$F$2:$F$23,0)),"")</f>
        <v/>
      </c>
      <c r="C21" s="290"/>
    </row>
    <row r="22" spans="1:3" ht="22.5" customHeight="1">
      <c r="A22" s="289"/>
      <c r="B22" s="295" t="str">
        <f ca="1">IFERROR(INDEX('Validation setup'!$N$2:$N$23,MATCH(ROWS(Checklist!$B$4:$B22),'Validation setup'!$F$2:$F$23,0)),"")</f>
        <v/>
      </c>
      <c r="C22" s="290"/>
    </row>
    <row r="23" spans="1:3" ht="22.5" customHeight="1">
      <c r="A23" s="289"/>
      <c r="B23" s="295" t="str">
        <f ca="1">IFERROR(INDEX('Validation setup'!$N$2:$N$23,MATCH(ROWS(Checklist!$B$4:$B23),'Validation setup'!$F$2:$F$23,0)),"")</f>
        <v/>
      </c>
      <c r="C23" s="290"/>
    </row>
    <row r="24" spans="1:3" ht="22.5" customHeight="1">
      <c r="A24" s="289"/>
      <c r="B24" s="296" t="str">
        <f ca="1">IFERROR(INDEX('Validation setup'!$N$2:$N$23,MATCH(ROWS(Checklist!$B$4:$B24),'Validation setup'!$F$2:$F$23,0)),"")</f>
        <v/>
      </c>
      <c r="C24" s="290"/>
    </row>
    <row r="25" spans="1:3">
      <c r="B25" s="292"/>
    </row>
  </sheetData>
  <sheetProtection algorithmName="SHA-512" hashValue="TWEnhOAWkQtDoOMlb9lSI+UBmPat2REGM3lYohYNEQU1oYc/DEOtC3iPnrTRlgXPxXcMb6ur5QwkmCToNLu6Sw==" saltValue="GgbxCRL8/Df1vRMeDJmvEA==" spinCount="100000" sheet="1" selectLockedCells="1"/>
  <conditionalFormatting sqref="B4:B24">
    <cfRule type="containsText" dxfId="3" priority="1" operator="containsText" text="!">
      <formula>NOT(ISERROR(SEARCH("!",B4)))</formula>
    </cfRule>
    <cfRule type="expression" dxfId="2" priority="2">
      <formula>$B4&lt;&gt;""</formula>
    </cfRule>
  </conditionalFormatting>
  <pageMargins left="0.7" right="0.7" top="0.75" bottom="0.75" header="0.3" footer="0.3"/>
  <pageSetup paperSize="9" orientation="portrait" r:id="rId1"/>
  <headerFooter>
    <oddFooter>&amp;L&amp;F&amp;CPage &amp;P of &amp;N&amp;R
Uncontrolled when in use</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tabColor theme="0" tint="-0.34998626667073579"/>
    <pageSetUpPr fitToPage="1"/>
  </sheetPr>
  <dimension ref="A1:G399"/>
  <sheetViews>
    <sheetView showGridLines="0" topLeftCell="B1" zoomScaleNormal="100" zoomScaleSheetLayoutView="50" workbookViewId="0">
      <selection activeCell="B9" sqref="B9:H9"/>
    </sheetView>
  </sheetViews>
  <sheetFormatPr defaultColWidth="9.140625" defaultRowHeight="12.75"/>
  <cols>
    <col min="1" max="1" width="3.28515625" style="25" hidden="1" customWidth="1"/>
    <col min="2" max="2" width="9.140625" style="25" customWidth="1"/>
    <col min="3" max="3" width="20" style="25" customWidth="1"/>
    <col min="4" max="5" width="16" style="25" customWidth="1"/>
    <col min="6" max="6" width="55.5703125" style="25" customWidth="1"/>
    <col min="7" max="7" width="27" style="25" customWidth="1"/>
    <col min="8" max="16384" width="9.140625" style="25"/>
  </cols>
  <sheetData>
    <row r="1" spans="1:7" s="26" customFormat="1" ht="54" customHeight="1" thickTop="1" thickBot="1">
      <c r="A1" s="119"/>
      <c r="B1" s="577" t="s">
        <v>514</v>
      </c>
      <c r="C1" s="578"/>
      <c r="D1" s="578"/>
      <c r="E1" s="578"/>
      <c r="F1" s="578"/>
      <c r="G1" s="25"/>
    </row>
    <row r="2" spans="1:7" ht="13.5" thickTop="1"/>
    <row r="3" spans="1:7" ht="47.45" customHeight="1">
      <c r="B3" s="579" t="s">
        <v>346</v>
      </c>
      <c r="C3" s="579"/>
      <c r="D3" s="579"/>
      <c r="E3" s="579"/>
      <c r="F3" s="579"/>
    </row>
    <row r="5" spans="1:7" ht="15.75">
      <c r="B5" s="551" t="s">
        <v>308</v>
      </c>
      <c r="C5" s="551"/>
      <c r="D5" s="551"/>
      <c r="E5" s="551"/>
      <c r="F5" s="551"/>
    </row>
    <row r="6" spans="1:7" ht="15.75">
      <c r="B6" s="559" t="s">
        <v>510</v>
      </c>
      <c r="C6" s="559"/>
      <c r="D6" s="559"/>
      <c r="E6" s="133"/>
      <c r="F6" s="133"/>
    </row>
    <row r="7" spans="1:7" ht="15.75" customHeight="1">
      <c r="B7" s="549" t="str">
        <f>"A. " &amp;Setup!J2</f>
        <v>A. Terminology</v>
      </c>
      <c r="C7" s="549"/>
      <c r="D7" s="549"/>
      <c r="E7" s="133"/>
      <c r="F7" s="133"/>
    </row>
    <row r="8" spans="1:7" ht="15.75">
      <c r="B8" s="550" t="str">
        <f>Setup!J3</f>
        <v>Inconsistent with terminology resource</v>
      </c>
      <c r="C8" s="550"/>
      <c r="D8" s="550"/>
      <c r="E8" s="133"/>
      <c r="F8" s="133"/>
    </row>
    <row r="9" spans="1:7" ht="15.75">
      <c r="B9" s="550" t="str">
        <f>Setup!J4</f>
        <v>Inconsistent use of terminology</v>
      </c>
      <c r="C9" s="550"/>
      <c r="D9" s="550"/>
      <c r="E9" s="133"/>
      <c r="F9" s="133"/>
    </row>
    <row r="10" spans="1:7" ht="15.75">
      <c r="B10" s="550" t="str">
        <f xml:space="preserve"> Setup!J5</f>
        <v>Wrong term</v>
      </c>
      <c r="C10" s="550"/>
      <c r="D10" s="550"/>
      <c r="E10" s="133"/>
      <c r="F10" s="133"/>
    </row>
    <row r="11" spans="1:7" ht="15.75">
      <c r="B11" s="550" t="str">
        <f>Setup!J6</f>
        <v>Other</v>
      </c>
      <c r="C11" s="550"/>
      <c r="D11" s="550"/>
      <c r="E11" s="133"/>
      <c r="F11" s="133"/>
    </row>
    <row r="12" spans="1:7" ht="15.6" customHeight="1">
      <c r="B12" s="549" t="str">
        <f>"B. " &amp;Setup!K2</f>
        <v>B. Accuracy</v>
      </c>
      <c r="C12" s="549"/>
      <c r="D12" s="549"/>
      <c r="E12" s="50"/>
      <c r="F12" s="50"/>
    </row>
    <row r="13" spans="1:7" ht="15.75">
      <c r="B13" s="550" t="str">
        <f>Setup!K3</f>
        <v>Mistranslation</v>
      </c>
      <c r="C13" s="550"/>
      <c r="D13" s="550"/>
      <c r="E13" s="50"/>
      <c r="F13" s="50"/>
    </row>
    <row r="14" spans="1:7" ht="15.75">
      <c r="B14" s="550" t="str">
        <f>Setup!K4</f>
        <v>Over-translation</v>
      </c>
      <c r="C14" s="550"/>
      <c r="D14" s="550"/>
      <c r="E14" s="50"/>
      <c r="F14" s="50"/>
    </row>
    <row r="15" spans="1:7" ht="15.75">
      <c r="B15" s="550" t="str">
        <f>Setup!K5</f>
        <v>Under-translation</v>
      </c>
      <c r="C15" s="550"/>
      <c r="D15" s="550"/>
      <c r="E15" s="50"/>
      <c r="F15" s="50"/>
    </row>
    <row r="16" spans="1:7" ht="15.75">
      <c r="B16" s="550" t="str">
        <f>Setup!K6</f>
        <v>Addition</v>
      </c>
      <c r="C16" s="550"/>
      <c r="D16" s="550"/>
      <c r="E16" s="50"/>
      <c r="F16" s="50"/>
    </row>
    <row r="17" spans="2:6" ht="15.75">
      <c r="B17" s="550" t="str">
        <f>Setup!K7</f>
        <v>Omission</v>
      </c>
      <c r="C17" s="550"/>
      <c r="D17" s="550"/>
      <c r="E17" s="50"/>
      <c r="F17" s="50"/>
    </row>
    <row r="18" spans="2:6" ht="15.75">
      <c r="B18" s="550" t="str">
        <f>Setup!K8</f>
        <v>Do not translate (DNT)</v>
      </c>
      <c r="C18" s="550"/>
      <c r="D18" s="550"/>
      <c r="E18" s="50"/>
      <c r="F18" s="50"/>
    </row>
    <row r="19" spans="2:6" ht="15.75">
      <c r="B19" s="550" t="str">
        <f>Setup!K9</f>
        <v>Untranslated</v>
      </c>
      <c r="C19" s="550"/>
      <c r="D19" s="550"/>
      <c r="E19" s="50"/>
      <c r="F19" s="50"/>
    </row>
    <row r="20" spans="2:6" ht="15.75">
      <c r="B20" s="550" t="str">
        <f>Setup!K10</f>
        <v>Other</v>
      </c>
      <c r="C20" s="550"/>
      <c r="D20" s="550"/>
      <c r="E20" s="50"/>
      <c r="F20" s="50"/>
    </row>
    <row r="21" spans="2:6" ht="15.6" customHeight="1">
      <c r="B21" s="549" t="str">
        <f>"C. " &amp;Setup!L2</f>
        <v>C. Linguistic conventions</v>
      </c>
      <c r="C21" s="549"/>
      <c r="D21" s="549"/>
      <c r="E21" s="50"/>
      <c r="F21" s="50"/>
    </row>
    <row r="22" spans="2:6" ht="15.75">
      <c r="B22" s="550" t="str">
        <f>Setup!L3</f>
        <v>Grammar</v>
      </c>
      <c r="C22" s="550"/>
      <c r="D22" s="550"/>
      <c r="E22" s="50"/>
      <c r="F22" s="50"/>
    </row>
    <row r="23" spans="2:6" ht="15.75">
      <c r="B23" s="550" t="str">
        <f>Setup!L4</f>
        <v>Punctuation</v>
      </c>
      <c r="C23" s="550"/>
      <c r="D23" s="550"/>
      <c r="E23" s="50"/>
      <c r="F23" s="50"/>
    </row>
    <row r="24" spans="2:6" ht="15.75">
      <c r="B24" s="550" t="str">
        <f>Setup!L5</f>
        <v>Spelling</v>
      </c>
      <c r="C24" s="550"/>
      <c r="D24" s="550"/>
      <c r="E24" s="50"/>
      <c r="F24" s="50"/>
    </row>
    <row r="25" spans="2:6" ht="15.75">
      <c r="B25" s="550" t="str">
        <f>Setup!L6</f>
        <v>Unintelligible</v>
      </c>
      <c r="C25" s="550"/>
      <c r="D25" s="550"/>
      <c r="E25" s="50"/>
      <c r="F25" s="50"/>
    </row>
    <row r="26" spans="2:6" ht="15.75">
      <c r="B26" s="550" t="str">
        <f>Setup!L7</f>
        <v>Character encoding</v>
      </c>
      <c r="C26" s="550"/>
      <c r="D26" s="550"/>
      <c r="E26" s="50"/>
      <c r="F26" s="50"/>
    </row>
    <row r="27" spans="2:6" ht="15.75">
      <c r="B27" s="550" t="str">
        <f>Setup!L8</f>
        <v>Other</v>
      </c>
      <c r="C27" s="550"/>
      <c r="D27" s="550"/>
      <c r="E27" s="50"/>
      <c r="F27" s="50"/>
    </row>
    <row r="28" spans="2:6" ht="15.75">
      <c r="B28" s="549" t="str">
        <f>"D. " &amp;Setup!M2</f>
        <v>D. Style</v>
      </c>
      <c r="C28" s="549"/>
      <c r="D28" s="549"/>
      <c r="E28" s="50"/>
      <c r="F28" s="50"/>
    </row>
    <row r="29" spans="2:6" ht="15.75">
      <c r="B29" s="550" t="str">
        <f>Setup!M3</f>
        <v>Organizational style</v>
      </c>
      <c r="C29" s="550"/>
      <c r="D29" s="550"/>
      <c r="E29" s="50"/>
      <c r="F29" s="50"/>
    </row>
    <row r="30" spans="2:6" ht="15.75">
      <c r="B30" s="550" t="str">
        <f>Setup!M4</f>
        <v>Third-party style</v>
      </c>
      <c r="C30" s="550"/>
      <c r="D30" s="550"/>
      <c r="E30" s="50"/>
      <c r="F30" s="50"/>
    </row>
    <row r="31" spans="2:6" ht="15.75">
      <c r="B31" s="550" t="str">
        <f>Setup!M5</f>
        <v>Inconsistent with external reference</v>
      </c>
      <c r="C31" s="550"/>
      <c r="D31" s="550"/>
      <c r="E31" s="50"/>
      <c r="F31" s="50"/>
    </row>
    <row r="32" spans="2:6" ht="15.75">
      <c r="B32" s="550" t="str">
        <f>Setup!M6</f>
        <v>Register</v>
      </c>
      <c r="C32" s="550"/>
      <c r="D32" s="550"/>
      <c r="E32" s="50"/>
      <c r="F32" s="50"/>
    </row>
    <row r="33" spans="2:6" ht="15.75">
      <c r="B33" s="550" t="str">
        <f>Setup!M7</f>
        <v>Awkward style</v>
      </c>
      <c r="C33" s="550"/>
      <c r="D33" s="550"/>
      <c r="E33" s="50"/>
      <c r="F33" s="50"/>
    </row>
    <row r="34" spans="2:6" ht="15.75">
      <c r="B34" s="550" t="str">
        <f>Setup!M8</f>
        <v>Unidiomatic style</v>
      </c>
      <c r="C34" s="550"/>
      <c r="D34" s="550"/>
      <c r="E34" s="50"/>
      <c r="F34" s="50"/>
    </row>
    <row r="35" spans="2:6" ht="15.75">
      <c r="B35" s="550" t="str">
        <f>Setup!M9</f>
        <v>Inconsistent style</v>
      </c>
      <c r="C35" s="550"/>
      <c r="D35" s="550"/>
      <c r="E35" s="50"/>
      <c r="F35" s="50"/>
    </row>
    <row r="36" spans="2:6" ht="15.75">
      <c r="B36" s="550" t="str">
        <f>Setup!M10</f>
        <v>Other</v>
      </c>
      <c r="C36" s="550"/>
      <c r="D36" s="550"/>
      <c r="E36" s="50"/>
      <c r="F36" s="50"/>
    </row>
    <row r="37" spans="2:6" ht="15.6" customHeight="1">
      <c r="B37" s="549" t="str">
        <f>"E. "&amp;Setup!N2</f>
        <v>E. Locale conventions</v>
      </c>
      <c r="C37" s="549"/>
      <c r="D37" s="549"/>
      <c r="E37" s="50"/>
      <c r="F37" s="50"/>
    </row>
    <row r="38" spans="2:6" ht="15.75">
      <c r="B38" s="550" t="str">
        <f>Setup!N3</f>
        <v>Number format</v>
      </c>
      <c r="C38" s="550"/>
      <c r="D38" s="550"/>
      <c r="E38" s="50"/>
      <c r="F38" s="50"/>
    </row>
    <row r="39" spans="2:6" ht="15.75">
      <c r="B39" s="550" t="str">
        <f>Setup!N4</f>
        <v>Currency format</v>
      </c>
      <c r="C39" s="550"/>
      <c r="D39" s="550"/>
      <c r="E39" s="50"/>
      <c r="F39" s="50"/>
    </row>
    <row r="40" spans="2:6" ht="15.75">
      <c r="B40" s="550" t="str">
        <f>Setup!N5</f>
        <v>Measurement format</v>
      </c>
      <c r="C40" s="550"/>
      <c r="D40" s="550"/>
      <c r="E40" s="50"/>
      <c r="F40" s="50"/>
    </row>
    <row r="41" spans="2:6" ht="15.75">
      <c r="B41" s="550" t="str">
        <f>Setup!N6</f>
        <v>Time format</v>
      </c>
      <c r="C41" s="550"/>
      <c r="D41" s="550"/>
      <c r="E41" s="50"/>
      <c r="F41" s="50"/>
    </row>
    <row r="42" spans="2:6" ht="15.75">
      <c r="B42" s="550" t="str">
        <f>Setup!N7</f>
        <v>Date format</v>
      </c>
      <c r="C42" s="550"/>
      <c r="D42" s="550"/>
      <c r="E42" s="50"/>
      <c r="F42" s="50"/>
    </row>
    <row r="43" spans="2:6" ht="15.75">
      <c r="B43" s="550" t="str">
        <f>Setup!N8</f>
        <v>Address format</v>
      </c>
      <c r="C43" s="550"/>
      <c r="D43" s="550"/>
      <c r="E43" s="50"/>
      <c r="F43" s="50"/>
    </row>
    <row r="44" spans="2:6" ht="15.75">
      <c r="B44" s="550" t="str">
        <f>Setup!N9</f>
        <v>Telephone format</v>
      </c>
      <c r="C44" s="550"/>
      <c r="D44" s="550"/>
      <c r="E44" s="50"/>
      <c r="F44" s="50"/>
    </row>
    <row r="45" spans="2:6" ht="15.75">
      <c r="B45" s="550" t="str">
        <f>Setup!N10</f>
        <v>Shortcut key</v>
      </c>
      <c r="C45" s="550"/>
      <c r="D45" s="550"/>
      <c r="E45" s="50"/>
      <c r="F45" s="50"/>
    </row>
    <row r="46" spans="2:6" ht="15.75">
      <c r="B46" s="550" t="str">
        <f>Setup!N11</f>
        <v>Other</v>
      </c>
      <c r="C46" s="550"/>
      <c r="D46" s="550"/>
      <c r="E46" s="50"/>
      <c r="F46" s="50"/>
    </row>
    <row r="47" spans="2:6" ht="15.6" customHeight="1">
      <c r="B47" s="549" t="str">
        <f>"F. " &amp;Setup!O2</f>
        <v>F. Audience appropriateness</v>
      </c>
      <c r="C47" s="549"/>
      <c r="D47" s="549"/>
      <c r="E47" s="50"/>
      <c r="F47" s="50"/>
    </row>
    <row r="48" spans="2:6" ht="15.75">
      <c r="B48" s="550" t="str">
        <f>Setup!O3</f>
        <v>Culture-specific reference</v>
      </c>
      <c r="C48" s="550"/>
      <c r="D48" s="550"/>
      <c r="E48" s="50"/>
      <c r="F48" s="50"/>
    </row>
    <row r="49" spans="2:6" ht="15.75">
      <c r="B49" s="550" t="str">
        <f>Setup!O4</f>
        <v>Other</v>
      </c>
      <c r="C49" s="550"/>
      <c r="D49" s="550"/>
      <c r="E49" s="50"/>
      <c r="F49" s="50"/>
    </row>
    <row r="50" spans="2:6" ht="15.6" customHeight="1">
      <c r="B50" s="549" t="str">
        <f>"G. " &amp;Setup!P2</f>
        <v>G. Design and markup</v>
      </c>
      <c r="C50" s="549"/>
      <c r="D50" s="549"/>
      <c r="E50" s="50"/>
      <c r="F50" s="50"/>
    </row>
    <row r="51" spans="2:6" ht="15.6" customHeight="1">
      <c r="B51" s="550" t="str">
        <f>Setup!P3</f>
        <v>Character formatting</v>
      </c>
      <c r="C51" s="550"/>
      <c r="D51" s="550"/>
      <c r="E51" s="50"/>
      <c r="F51" s="50"/>
    </row>
    <row r="52" spans="2:6" ht="15.6" customHeight="1">
      <c r="B52" s="550" t="str">
        <f>Setup!P4</f>
        <v>Layout</v>
      </c>
      <c r="C52" s="550"/>
      <c r="D52" s="550"/>
      <c r="E52" s="50"/>
      <c r="F52" s="50"/>
    </row>
    <row r="53" spans="2:6" ht="15.6" customHeight="1">
      <c r="B53" s="550" t="str">
        <f>Setup!P5</f>
        <v>Markup tag</v>
      </c>
      <c r="C53" s="550"/>
      <c r="D53" s="550"/>
      <c r="E53" s="50"/>
      <c r="F53" s="50"/>
    </row>
    <row r="54" spans="2:6" ht="15.6" customHeight="1">
      <c r="B54" s="550" t="str">
        <f>Setup!P6</f>
        <v>Truncation/text expansion</v>
      </c>
      <c r="C54" s="550"/>
      <c r="D54" s="550"/>
      <c r="E54" s="50"/>
      <c r="F54" s="50"/>
    </row>
    <row r="55" spans="2:6" ht="15.6" customHeight="1">
      <c r="B55" s="550" t="str">
        <f>Setup!P7</f>
        <v>Missing text</v>
      </c>
      <c r="C55" s="550"/>
      <c r="D55" s="550"/>
      <c r="E55" s="50"/>
      <c r="F55" s="50"/>
    </row>
    <row r="56" spans="2:6" ht="15.6" customHeight="1">
      <c r="B56" s="550" t="str">
        <f>Setup!P8</f>
        <v>Link/cross-reference</v>
      </c>
      <c r="C56" s="550"/>
      <c r="D56" s="550"/>
      <c r="E56" s="50"/>
      <c r="F56" s="50"/>
    </row>
    <row r="57" spans="2:6" ht="15.75">
      <c r="B57" s="550" t="str">
        <f>Setup!P9</f>
        <v>Other</v>
      </c>
      <c r="C57" s="550"/>
      <c r="D57" s="550"/>
      <c r="E57" s="50"/>
      <c r="F57" s="50"/>
    </row>
    <row r="58" spans="2:6" ht="15.75">
      <c r="B58" s="549" t="str">
        <f>"H. " &amp;Setup!Q2</f>
        <v>H. Other</v>
      </c>
      <c r="C58" s="549"/>
      <c r="D58" s="549"/>
      <c r="E58" s="50"/>
      <c r="F58" s="50"/>
    </row>
    <row r="59" spans="2:6" ht="15.75">
      <c r="B59" s="550" t="str">
        <f>Setup!Q3</f>
        <v>Legacy data</v>
      </c>
      <c r="C59" s="550"/>
      <c r="D59" s="550"/>
      <c r="E59" s="50"/>
      <c r="F59" s="50"/>
    </row>
    <row r="60" spans="2:6" ht="15.75">
      <c r="B60" s="550" t="str">
        <f>Setup!Q4</f>
        <v>Source text data</v>
      </c>
      <c r="C60" s="550"/>
      <c r="D60" s="550"/>
      <c r="E60" s="50"/>
      <c r="F60" s="50"/>
    </row>
    <row r="61" spans="2:6" ht="15.75">
      <c r="B61" s="550" t="str">
        <f>Setup!Q5</f>
        <v>Other</v>
      </c>
      <c r="C61" s="550"/>
      <c r="D61" s="550"/>
      <c r="E61" s="50"/>
      <c r="F61" s="50"/>
    </row>
    <row r="62" spans="2:6" ht="15.75">
      <c r="B62" s="132"/>
      <c r="C62" s="136"/>
      <c r="D62" s="136"/>
      <c r="E62" s="50"/>
      <c r="F62" s="50"/>
    </row>
    <row r="63" spans="2:6" s="26" customFormat="1" ht="15.75">
      <c r="B63" s="65"/>
      <c r="C63" s="65"/>
      <c r="D63" s="65"/>
      <c r="E63" s="65"/>
      <c r="F63" s="65"/>
    </row>
    <row r="64" spans="2:6" s="26" customFormat="1" ht="15.75">
      <c r="B64" s="551" t="s">
        <v>215</v>
      </c>
      <c r="C64" s="551"/>
      <c r="D64" s="551"/>
      <c r="E64" s="551"/>
      <c r="F64" s="551"/>
    </row>
    <row r="65" spans="2:7" s="26" customFormat="1" ht="15.75">
      <c r="B65" s="558" t="s">
        <v>511</v>
      </c>
      <c r="C65" s="558"/>
      <c r="D65" s="558"/>
      <c r="E65" s="65"/>
      <c r="F65" s="65"/>
      <c r="G65" s="65"/>
    </row>
    <row r="66" spans="2:7" s="26" customFormat="1" ht="15.75">
      <c r="B66" s="571" t="s">
        <v>28</v>
      </c>
      <c r="C66" s="571"/>
      <c r="D66" s="571"/>
      <c r="E66" s="65"/>
      <c r="F66" s="65"/>
    </row>
    <row r="67" spans="2:7" s="26" customFormat="1" ht="15.75">
      <c r="B67" s="571" t="s">
        <v>288</v>
      </c>
      <c r="C67" s="571"/>
      <c r="D67" s="571"/>
      <c r="E67" s="65"/>
      <c r="F67" s="65"/>
    </row>
    <row r="68" spans="2:7" s="26" customFormat="1" ht="15.75">
      <c r="B68" s="571" t="s">
        <v>214</v>
      </c>
      <c r="C68" s="571"/>
      <c r="D68" s="571"/>
      <c r="E68" s="65"/>
      <c r="F68" s="65"/>
    </row>
    <row r="69" spans="2:7" s="26" customFormat="1" ht="15.75">
      <c r="B69" s="571" t="s">
        <v>328</v>
      </c>
      <c r="C69" s="571"/>
      <c r="D69" s="571"/>
      <c r="E69" s="65"/>
      <c r="F69" s="65"/>
    </row>
    <row r="70" spans="2:7" s="26" customFormat="1" ht="15.75">
      <c r="B70" s="571" t="s">
        <v>216</v>
      </c>
      <c r="C70" s="571"/>
      <c r="D70" s="571"/>
      <c r="E70" s="65"/>
      <c r="F70" s="65"/>
    </row>
    <row r="71" spans="2:7" s="26" customFormat="1" ht="15.75">
      <c r="E71" s="65"/>
      <c r="F71" s="65"/>
    </row>
    <row r="72" spans="2:7" s="26" customFormat="1" ht="15.75">
      <c r="B72" s="65"/>
      <c r="C72" s="65"/>
      <c r="D72" s="65"/>
      <c r="E72" s="65"/>
      <c r="F72" s="65"/>
    </row>
    <row r="73" spans="2:7" s="49" customFormat="1" ht="20.100000000000001" customHeight="1">
      <c r="B73" s="551" t="s">
        <v>308</v>
      </c>
      <c r="C73" s="551"/>
      <c r="D73" s="551"/>
      <c r="E73" s="551"/>
      <c r="F73" s="551"/>
    </row>
    <row r="74" spans="2:7" ht="15.75">
      <c r="B74" s="50"/>
      <c r="C74" s="50"/>
      <c r="D74" s="50"/>
      <c r="E74" s="50"/>
      <c r="F74" s="50"/>
    </row>
    <row r="75" spans="2:7" s="26" customFormat="1" ht="15.75" customHeight="1">
      <c r="B75" s="560" t="str">
        <f>B7&amp;":"</f>
        <v>A. Terminology:</v>
      </c>
      <c r="C75" s="561"/>
      <c r="D75" s="561"/>
      <c r="E75" s="561"/>
      <c r="F75" s="561"/>
    </row>
    <row r="76" spans="2:7" s="26" customFormat="1"/>
    <row r="77" spans="2:7" s="26" customFormat="1" ht="14.1" customHeight="1">
      <c r="B77" s="576" t="s">
        <v>379</v>
      </c>
      <c r="C77" s="576"/>
      <c r="D77" s="576"/>
      <c r="E77" s="576"/>
      <c r="F77" s="576"/>
    </row>
    <row r="78" spans="2:7" s="26" customFormat="1" ht="14.1" customHeight="1">
      <c r="B78" s="576"/>
      <c r="C78" s="576"/>
      <c r="D78" s="576"/>
      <c r="E78" s="576"/>
      <c r="F78" s="576"/>
    </row>
    <row r="79" spans="2:7" s="26" customFormat="1" ht="15">
      <c r="B79" s="135"/>
      <c r="C79" s="135"/>
      <c r="D79" s="135"/>
      <c r="E79" s="135"/>
      <c r="F79" s="135"/>
    </row>
    <row r="80" spans="2:7" s="26" customFormat="1" ht="15.75">
      <c r="B80" s="549" t="s">
        <v>380</v>
      </c>
      <c r="C80" s="554"/>
      <c r="D80" s="554"/>
      <c r="E80" s="554"/>
      <c r="F80" s="554"/>
    </row>
    <row r="81" spans="2:6" s="26" customFormat="1">
      <c r="B81" s="555" t="s">
        <v>381</v>
      </c>
      <c r="C81" s="555"/>
      <c r="D81" s="555"/>
      <c r="E81" s="555"/>
      <c r="F81" s="555"/>
    </row>
    <row r="82" spans="2:6" s="26" customFormat="1" ht="12.75" customHeight="1">
      <c r="B82" s="556" t="s">
        <v>382</v>
      </c>
      <c r="C82" s="557"/>
      <c r="D82" s="557"/>
      <c r="E82" s="557"/>
      <c r="F82" s="557"/>
    </row>
    <row r="83" spans="2:6" s="26" customFormat="1">
      <c r="B83" s="557"/>
      <c r="C83" s="557"/>
      <c r="D83" s="557"/>
      <c r="E83" s="557"/>
      <c r="F83" s="557"/>
    </row>
    <row r="84" spans="2:6" s="26" customFormat="1">
      <c r="B84" s="557"/>
      <c r="C84" s="557"/>
      <c r="D84" s="557"/>
      <c r="E84" s="557"/>
      <c r="F84" s="557"/>
    </row>
    <row r="85" spans="2:6" s="26" customFormat="1">
      <c r="B85" s="557"/>
      <c r="C85" s="557"/>
      <c r="D85" s="557"/>
      <c r="E85" s="557"/>
      <c r="F85" s="557"/>
    </row>
    <row r="86" spans="2:6" s="26" customFormat="1" ht="15">
      <c r="B86" s="135"/>
      <c r="C86" s="135"/>
      <c r="D86" s="135"/>
      <c r="E86" s="135"/>
      <c r="F86" s="135"/>
    </row>
    <row r="87" spans="2:6" s="26" customFormat="1" ht="15.75">
      <c r="B87" s="549" t="s">
        <v>383</v>
      </c>
      <c r="C87" s="554"/>
      <c r="D87" s="554"/>
      <c r="E87" s="554"/>
      <c r="F87" s="554"/>
    </row>
    <row r="88" spans="2:6" s="26" customFormat="1">
      <c r="B88" s="555" t="s">
        <v>384</v>
      </c>
      <c r="C88" s="555"/>
      <c r="D88" s="555"/>
      <c r="E88" s="555"/>
      <c r="F88" s="555"/>
    </row>
    <row r="89" spans="2:6" s="26" customFormat="1" ht="25.5" customHeight="1">
      <c r="B89" s="556" t="s">
        <v>385</v>
      </c>
      <c r="C89" s="557"/>
      <c r="D89" s="557"/>
      <c r="E89" s="557"/>
      <c r="F89" s="557"/>
    </row>
    <row r="90" spans="2:6" s="26" customFormat="1" ht="15">
      <c r="B90" s="135"/>
      <c r="C90" s="135"/>
      <c r="D90" s="135"/>
      <c r="E90" s="135"/>
      <c r="F90" s="135"/>
    </row>
    <row r="91" spans="2:6" s="26" customFormat="1" ht="15.75">
      <c r="B91" s="549" t="s">
        <v>386</v>
      </c>
      <c r="C91" s="554"/>
      <c r="D91" s="554"/>
      <c r="E91" s="554"/>
      <c r="F91" s="554"/>
    </row>
    <row r="92" spans="2:6" s="26" customFormat="1">
      <c r="B92" s="555" t="s">
        <v>387</v>
      </c>
      <c r="C92" s="555"/>
      <c r="D92" s="555"/>
      <c r="E92" s="555"/>
      <c r="F92" s="555"/>
    </row>
    <row r="93" spans="2:6" s="26" customFormat="1" ht="26.1" customHeight="1">
      <c r="B93" s="556" t="s">
        <v>388</v>
      </c>
      <c r="C93" s="557"/>
      <c r="D93" s="557"/>
      <c r="E93" s="557"/>
      <c r="F93" s="557"/>
    </row>
    <row r="94" spans="2:6" s="26" customFormat="1" ht="14.25" customHeight="1">
      <c r="B94" s="135"/>
      <c r="C94" s="135"/>
      <c r="D94" s="135"/>
      <c r="E94" s="135"/>
      <c r="F94" s="135"/>
    </row>
    <row r="95" spans="2:6" s="26" customFormat="1" ht="14.25" customHeight="1">
      <c r="B95" s="549" t="s">
        <v>316</v>
      </c>
      <c r="C95" s="554"/>
      <c r="D95" s="554"/>
      <c r="E95" s="554"/>
      <c r="F95" s="554"/>
    </row>
    <row r="96" spans="2:6" s="26" customFormat="1">
      <c r="B96" s="555" t="s">
        <v>389</v>
      </c>
      <c r="C96" s="555"/>
      <c r="D96" s="555"/>
      <c r="E96" s="555"/>
      <c r="F96" s="555"/>
    </row>
    <row r="97" spans="2:6" s="26" customFormat="1" ht="14.25" customHeight="1">
      <c r="B97" s="557"/>
      <c r="C97" s="557"/>
      <c r="D97" s="557"/>
      <c r="E97" s="557"/>
      <c r="F97" s="557"/>
    </row>
    <row r="98" spans="2:6" s="26" customFormat="1" ht="14.25" customHeight="1">
      <c r="B98" s="552" t="s">
        <v>217</v>
      </c>
      <c r="C98" s="552"/>
      <c r="D98" s="552"/>
      <c r="E98" s="552"/>
      <c r="F98" s="552"/>
    </row>
    <row r="99" spans="2:6" s="26" customFormat="1" ht="14.25" customHeight="1">
      <c r="B99" s="135"/>
      <c r="C99" s="135"/>
      <c r="D99" s="135"/>
      <c r="E99" s="135"/>
      <c r="F99" s="135"/>
    </row>
    <row r="100" spans="2:6" s="26" customFormat="1" ht="14.25" customHeight="1">
      <c r="B100" s="560" t="str">
        <f>B12&amp;":"</f>
        <v>B. Accuracy:</v>
      </c>
      <c r="C100" s="561"/>
      <c r="D100" s="561"/>
      <c r="E100" s="561"/>
      <c r="F100" s="561"/>
    </row>
    <row r="101" spans="2:6" s="26" customFormat="1" ht="14.25" customHeight="1">
      <c r="B101" s="137"/>
      <c r="C101" s="50"/>
      <c r="D101" s="50"/>
      <c r="E101" s="50"/>
      <c r="F101" s="50"/>
    </row>
    <row r="102" spans="2:6" s="26" customFormat="1" ht="14.25" customHeight="1">
      <c r="B102" s="576" t="s">
        <v>390</v>
      </c>
      <c r="C102" s="576"/>
      <c r="D102" s="576"/>
      <c r="E102" s="576"/>
      <c r="F102" s="576"/>
    </row>
    <row r="103" spans="2:6" s="26" customFormat="1" ht="14.25" customHeight="1">
      <c r="B103" s="576"/>
      <c r="C103" s="576"/>
      <c r="D103" s="576"/>
      <c r="E103" s="576"/>
      <c r="F103" s="576"/>
    </row>
    <row r="104" spans="2:6" s="26" customFormat="1" ht="14.25" customHeight="1">
      <c r="B104" s="137"/>
      <c r="C104" s="50"/>
      <c r="D104" s="50"/>
      <c r="E104" s="50"/>
      <c r="F104" s="50"/>
    </row>
    <row r="105" spans="2:6" s="26" customFormat="1" ht="14.25" customHeight="1">
      <c r="B105" s="549" t="s">
        <v>391</v>
      </c>
      <c r="C105" s="554"/>
      <c r="D105" s="554"/>
      <c r="E105" s="554"/>
      <c r="F105" s="554"/>
    </row>
    <row r="106" spans="2:6" s="26" customFormat="1" ht="14.25" customHeight="1">
      <c r="B106" s="555" t="s">
        <v>392</v>
      </c>
      <c r="C106" s="555"/>
      <c r="D106" s="555"/>
      <c r="E106" s="555"/>
      <c r="F106" s="555"/>
    </row>
    <row r="107" spans="2:6" s="26" customFormat="1" ht="26.45" customHeight="1">
      <c r="B107" s="556" t="s">
        <v>393</v>
      </c>
      <c r="C107" s="557"/>
      <c r="D107" s="557"/>
      <c r="E107" s="557"/>
      <c r="F107" s="557"/>
    </row>
    <row r="108" spans="2:6" s="26" customFormat="1" ht="14.25" customHeight="1"/>
    <row r="109" spans="2:6" s="26" customFormat="1" ht="14.25" customHeight="1">
      <c r="B109" s="549" t="s">
        <v>394</v>
      </c>
      <c r="C109" s="554"/>
      <c r="D109" s="554"/>
      <c r="E109" s="554"/>
      <c r="F109" s="554"/>
    </row>
    <row r="110" spans="2:6" s="26" customFormat="1" ht="14.25" customHeight="1">
      <c r="B110" s="555" t="s">
        <v>395</v>
      </c>
      <c r="C110" s="555"/>
      <c r="D110" s="555"/>
      <c r="E110" s="555"/>
      <c r="F110" s="555"/>
    </row>
    <row r="111" spans="2:6" s="26" customFormat="1" ht="25.5" customHeight="1">
      <c r="B111" s="556" t="s">
        <v>396</v>
      </c>
      <c r="C111" s="557"/>
      <c r="D111" s="557"/>
      <c r="E111" s="557"/>
      <c r="F111" s="557"/>
    </row>
    <row r="112" spans="2:6" s="26" customFormat="1" ht="14.25" customHeight="1"/>
    <row r="113" spans="2:6" s="26" customFormat="1" ht="14.25" customHeight="1">
      <c r="B113" s="549" t="s">
        <v>397</v>
      </c>
      <c r="C113" s="554"/>
      <c r="D113" s="554"/>
      <c r="E113" s="554"/>
      <c r="F113" s="554"/>
    </row>
    <row r="114" spans="2:6" s="26" customFormat="1" ht="14.25" customHeight="1">
      <c r="B114" s="555" t="s">
        <v>398</v>
      </c>
      <c r="C114" s="555"/>
      <c r="D114" s="555"/>
      <c r="E114" s="555"/>
      <c r="F114" s="555"/>
    </row>
    <row r="115" spans="2:6" s="26" customFormat="1" ht="12.75" customHeight="1">
      <c r="B115" s="556" t="s">
        <v>399</v>
      </c>
      <c r="C115" s="556"/>
      <c r="D115" s="556"/>
      <c r="E115" s="556"/>
      <c r="F115" s="556"/>
    </row>
    <row r="116" spans="2:6" s="26" customFormat="1">
      <c r="B116" s="556"/>
      <c r="C116" s="556"/>
      <c r="D116" s="556"/>
      <c r="E116" s="556"/>
      <c r="F116" s="556"/>
    </row>
    <row r="117" spans="2:6" s="26" customFormat="1">
      <c r="B117" s="553"/>
      <c r="C117" s="553"/>
      <c r="D117" s="62"/>
      <c r="E117" s="53"/>
      <c r="F117" s="53"/>
    </row>
    <row r="118" spans="2:6" s="26" customFormat="1" ht="15.75">
      <c r="B118" s="549" t="s">
        <v>400</v>
      </c>
      <c r="C118" s="554"/>
      <c r="D118" s="554"/>
      <c r="E118" s="554"/>
      <c r="F118" s="554"/>
    </row>
    <row r="119" spans="2:6" s="26" customFormat="1">
      <c r="B119" s="555" t="s">
        <v>401</v>
      </c>
      <c r="C119" s="555"/>
      <c r="D119" s="555"/>
      <c r="E119" s="555"/>
      <c r="F119" s="555"/>
    </row>
    <row r="120" spans="2:6" s="26" customFormat="1">
      <c r="B120" s="556" t="s">
        <v>402</v>
      </c>
      <c r="C120" s="557"/>
      <c r="D120" s="557"/>
      <c r="E120" s="557"/>
      <c r="F120" s="557"/>
    </row>
    <row r="121" spans="2:6" s="26" customFormat="1">
      <c r="B121" s="553"/>
      <c r="C121" s="553"/>
      <c r="D121" s="62"/>
      <c r="E121" s="53"/>
      <c r="F121" s="53"/>
    </row>
    <row r="122" spans="2:6" s="26" customFormat="1" ht="15.75">
      <c r="B122" s="549" t="s">
        <v>403</v>
      </c>
      <c r="C122" s="554"/>
      <c r="D122" s="554"/>
      <c r="E122" s="554"/>
      <c r="F122" s="554"/>
    </row>
    <row r="123" spans="2:6" s="26" customFormat="1">
      <c r="B123" s="555" t="s">
        <v>404</v>
      </c>
      <c r="C123" s="555"/>
      <c r="D123" s="555"/>
      <c r="E123" s="555"/>
      <c r="F123" s="555"/>
    </row>
    <row r="124" spans="2:6" s="26" customFormat="1">
      <c r="B124" s="556" t="s">
        <v>405</v>
      </c>
      <c r="C124" s="557"/>
      <c r="D124" s="557"/>
      <c r="E124" s="557"/>
      <c r="F124" s="557"/>
    </row>
    <row r="125" spans="2:6" s="26" customFormat="1">
      <c r="B125" s="553"/>
      <c r="C125" s="553"/>
      <c r="D125" s="62"/>
      <c r="E125" s="53"/>
      <c r="F125" s="53"/>
    </row>
    <row r="126" spans="2:6" s="26" customFormat="1" ht="15.75">
      <c r="B126" s="549" t="s">
        <v>406</v>
      </c>
      <c r="C126" s="554"/>
      <c r="D126" s="554"/>
      <c r="E126" s="554"/>
      <c r="F126" s="554"/>
    </row>
    <row r="127" spans="2:6" s="26" customFormat="1">
      <c r="B127" s="557" t="s">
        <v>407</v>
      </c>
      <c r="C127" s="557"/>
      <c r="D127" s="557"/>
      <c r="E127" s="557"/>
      <c r="F127" s="557"/>
    </row>
    <row r="128" spans="2:6" s="26" customFormat="1">
      <c r="B128" s="557"/>
      <c r="C128" s="557"/>
      <c r="D128" s="557"/>
      <c r="E128" s="557"/>
      <c r="F128" s="557"/>
    </row>
    <row r="129" spans="2:6" s="26" customFormat="1" ht="26.1" customHeight="1">
      <c r="B129" s="556" t="s">
        <v>408</v>
      </c>
      <c r="C129" s="557"/>
      <c r="D129" s="557"/>
      <c r="E129" s="557"/>
      <c r="F129" s="557"/>
    </row>
    <row r="130" spans="2:6" s="26" customFormat="1" ht="15.75">
      <c r="B130" s="549" t="s">
        <v>409</v>
      </c>
      <c r="C130" s="554"/>
      <c r="D130" s="554"/>
      <c r="E130" s="554"/>
      <c r="F130" s="554"/>
    </row>
    <row r="131" spans="2:6" s="26" customFormat="1">
      <c r="B131" s="555" t="s">
        <v>410</v>
      </c>
      <c r="C131" s="555"/>
      <c r="D131" s="555"/>
      <c r="E131" s="555"/>
      <c r="F131" s="555"/>
    </row>
    <row r="132" spans="2:6" s="26" customFormat="1">
      <c r="B132" s="556" t="s">
        <v>411</v>
      </c>
      <c r="C132" s="557"/>
      <c r="D132" s="557"/>
      <c r="E132" s="557"/>
      <c r="F132" s="557"/>
    </row>
    <row r="133" spans="2:6" s="26" customFormat="1">
      <c r="B133" s="216"/>
      <c r="C133" s="134"/>
      <c r="D133" s="134"/>
      <c r="E133" s="134"/>
      <c r="F133" s="134"/>
    </row>
    <row r="134" spans="2:6" s="26" customFormat="1" ht="15.75">
      <c r="B134" s="549" t="s">
        <v>316</v>
      </c>
      <c r="C134" s="554"/>
      <c r="D134" s="554"/>
      <c r="E134" s="554"/>
      <c r="F134" s="554"/>
    </row>
    <row r="135" spans="2:6" s="26" customFormat="1">
      <c r="B135" s="555" t="s">
        <v>412</v>
      </c>
      <c r="C135" s="555"/>
      <c r="D135" s="555"/>
      <c r="E135" s="555"/>
      <c r="F135" s="555"/>
    </row>
    <row r="136" spans="2:6" s="26" customFormat="1">
      <c r="B136" s="556"/>
      <c r="C136" s="557"/>
      <c r="D136" s="557"/>
      <c r="E136" s="557"/>
      <c r="F136" s="557"/>
    </row>
    <row r="137" spans="2:6" s="26" customFormat="1" ht="15">
      <c r="B137" s="552" t="s">
        <v>217</v>
      </c>
      <c r="C137" s="552"/>
      <c r="D137" s="552"/>
      <c r="E137" s="552"/>
      <c r="F137" s="552"/>
    </row>
    <row r="138" spans="2:6" s="26" customFormat="1"/>
    <row r="139" spans="2:6" s="26" customFormat="1" ht="15.75">
      <c r="B139" s="560" t="str">
        <f>B21&amp;":"</f>
        <v>C. Linguistic conventions:</v>
      </c>
      <c r="C139" s="561"/>
      <c r="D139" s="561"/>
      <c r="E139" s="561"/>
      <c r="F139" s="561"/>
    </row>
    <row r="140" spans="2:6" s="26" customFormat="1">
      <c r="B140" s="548"/>
      <c r="C140" s="548"/>
      <c r="D140" s="548"/>
      <c r="E140" s="548"/>
      <c r="F140" s="548"/>
    </row>
    <row r="141" spans="2:6" s="26" customFormat="1">
      <c r="B141" s="575" t="s">
        <v>413</v>
      </c>
      <c r="C141" s="575"/>
      <c r="D141" s="575"/>
      <c r="E141" s="575"/>
      <c r="F141" s="575"/>
    </row>
    <row r="142" spans="2:6" s="26" customFormat="1">
      <c r="B142" s="215"/>
      <c r="C142" s="215"/>
      <c r="D142" s="215"/>
      <c r="E142" s="215"/>
      <c r="F142" s="215"/>
    </row>
    <row r="143" spans="2:6" s="26" customFormat="1" ht="15.75">
      <c r="B143" s="549" t="s">
        <v>414</v>
      </c>
      <c r="C143" s="554"/>
      <c r="D143" s="554"/>
      <c r="E143" s="554"/>
      <c r="F143" s="554"/>
    </row>
    <row r="144" spans="2:6" s="26" customFormat="1">
      <c r="B144" s="555" t="s">
        <v>415</v>
      </c>
      <c r="C144" s="555"/>
      <c r="D144" s="555"/>
      <c r="E144" s="555"/>
      <c r="F144" s="555"/>
    </row>
    <row r="145" spans="2:7" s="26" customFormat="1">
      <c r="B145" s="556" t="s">
        <v>416</v>
      </c>
      <c r="C145" s="557"/>
      <c r="D145" s="557"/>
      <c r="E145" s="557"/>
      <c r="F145" s="557"/>
    </row>
    <row r="146" spans="2:7" s="26" customFormat="1">
      <c r="B146" s="557"/>
      <c r="C146" s="557"/>
      <c r="D146" s="557"/>
      <c r="E146" s="557"/>
      <c r="F146" s="557"/>
    </row>
    <row r="147" spans="2:7" s="26" customFormat="1" ht="15.75">
      <c r="B147" s="549" t="s">
        <v>417</v>
      </c>
      <c r="C147" s="554"/>
      <c r="D147" s="554"/>
      <c r="E147" s="554"/>
      <c r="F147" s="554"/>
    </row>
    <row r="148" spans="2:7" s="26" customFormat="1">
      <c r="B148" s="555" t="s">
        <v>418</v>
      </c>
      <c r="C148" s="555"/>
      <c r="D148" s="555"/>
      <c r="E148" s="555"/>
      <c r="F148" s="555"/>
    </row>
    <row r="149" spans="2:7" s="26" customFormat="1" ht="15.6" customHeight="1">
      <c r="B149" s="556" t="s">
        <v>419</v>
      </c>
      <c r="C149" s="557"/>
      <c r="D149" s="557"/>
      <c r="E149" s="557"/>
      <c r="F149" s="557"/>
    </row>
    <row r="150" spans="2:7" s="26" customFormat="1">
      <c r="B150" s="553"/>
      <c r="C150" s="553"/>
      <c r="D150" s="62"/>
      <c r="E150" s="53"/>
      <c r="F150" s="53"/>
    </row>
    <row r="151" spans="2:7" s="26" customFormat="1" ht="15.75">
      <c r="B151" s="549" t="s">
        <v>420</v>
      </c>
      <c r="C151" s="554"/>
      <c r="D151" s="554"/>
      <c r="E151" s="554"/>
      <c r="F151" s="554"/>
    </row>
    <row r="152" spans="2:7" s="26" customFormat="1" ht="12.6" customHeight="1">
      <c r="B152" s="555" t="s">
        <v>421</v>
      </c>
      <c r="C152" s="555"/>
      <c r="D152" s="555"/>
      <c r="E152" s="555"/>
      <c r="F152" s="555"/>
    </row>
    <row r="153" spans="2:7" s="26" customFormat="1">
      <c r="B153" s="556" t="s">
        <v>422</v>
      </c>
      <c r="C153" s="557"/>
      <c r="D153" s="557"/>
      <c r="E153" s="557"/>
      <c r="F153" s="557"/>
      <c r="G153" s="51"/>
    </row>
    <row r="154" spans="2:7" s="26" customFormat="1">
      <c r="B154" s="134"/>
      <c r="C154" s="134"/>
      <c r="D154" s="134"/>
      <c r="E154" s="134"/>
      <c r="F154" s="134"/>
    </row>
    <row r="155" spans="2:7" s="64" customFormat="1" ht="15.75">
      <c r="B155" s="549" t="s">
        <v>423</v>
      </c>
      <c r="C155" s="554"/>
      <c r="D155" s="554"/>
      <c r="E155" s="554"/>
      <c r="F155" s="554"/>
      <c r="G155" s="52"/>
    </row>
    <row r="156" spans="2:7" s="26" customFormat="1">
      <c r="B156" s="555" t="s">
        <v>424</v>
      </c>
      <c r="C156" s="555"/>
      <c r="D156" s="555"/>
      <c r="E156" s="555"/>
      <c r="F156" s="555"/>
    </row>
    <row r="157" spans="2:7" s="26" customFormat="1">
      <c r="B157" s="556" t="s">
        <v>425</v>
      </c>
      <c r="C157" s="557"/>
      <c r="D157" s="557"/>
      <c r="E157" s="557"/>
      <c r="F157" s="557"/>
    </row>
    <row r="158" spans="2:7" s="26" customFormat="1">
      <c r="B158" s="553"/>
      <c r="C158" s="553"/>
      <c r="D158" s="62"/>
      <c r="E158" s="53"/>
      <c r="F158" s="53"/>
      <c r="G158" s="51"/>
    </row>
    <row r="159" spans="2:7" s="26" customFormat="1" ht="15.75">
      <c r="B159" s="549" t="s">
        <v>426</v>
      </c>
      <c r="C159" s="554"/>
      <c r="D159" s="554"/>
      <c r="E159" s="554"/>
      <c r="F159" s="554"/>
      <c r="G159" s="51"/>
    </row>
    <row r="160" spans="2:7" s="26" customFormat="1">
      <c r="B160" s="555" t="s">
        <v>427</v>
      </c>
      <c r="C160" s="555"/>
      <c r="D160" s="555"/>
      <c r="E160" s="555"/>
      <c r="F160" s="555"/>
      <c r="G160" s="51"/>
    </row>
    <row r="161" spans="2:7" s="26" customFormat="1">
      <c r="B161" s="556" t="s">
        <v>428</v>
      </c>
      <c r="C161" s="557"/>
      <c r="D161" s="557"/>
      <c r="E161" s="557"/>
      <c r="F161" s="557"/>
    </row>
    <row r="162" spans="2:7" s="26" customFormat="1">
      <c r="B162" s="216"/>
      <c r="C162" s="134"/>
      <c r="D162" s="134"/>
      <c r="E162" s="134"/>
      <c r="F162" s="134"/>
    </row>
    <row r="163" spans="2:7" s="26" customFormat="1" ht="15.75">
      <c r="B163" s="549" t="s">
        <v>316</v>
      </c>
      <c r="C163" s="554"/>
      <c r="D163" s="554"/>
      <c r="E163" s="554"/>
      <c r="F163" s="554"/>
    </row>
    <row r="164" spans="2:7" s="26" customFormat="1">
      <c r="B164" s="555" t="s">
        <v>429</v>
      </c>
      <c r="C164" s="555"/>
      <c r="D164" s="555"/>
      <c r="E164" s="555"/>
      <c r="F164" s="555"/>
    </row>
    <row r="165" spans="2:7" s="26" customFormat="1">
      <c r="B165" s="216"/>
      <c r="C165" s="134"/>
      <c r="D165" s="134"/>
      <c r="E165" s="134"/>
      <c r="F165" s="134"/>
    </row>
    <row r="166" spans="2:7" s="26" customFormat="1" ht="15">
      <c r="B166" s="552" t="s">
        <v>217</v>
      </c>
      <c r="C166" s="552"/>
      <c r="D166" s="552"/>
      <c r="E166" s="552"/>
      <c r="F166" s="552"/>
      <c r="G166" s="51"/>
    </row>
    <row r="167" spans="2:7" s="26" customFormat="1">
      <c r="B167" s="54"/>
      <c r="C167" s="54"/>
      <c r="D167" s="54"/>
      <c r="E167" s="54"/>
      <c r="F167" s="54"/>
    </row>
    <row r="168" spans="2:7" s="26" customFormat="1" ht="15.75">
      <c r="B168" s="560" t="str">
        <f>B28&amp;":"</f>
        <v>D. Style:</v>
      </c>
      <c r="C168" s="561"/>
      <c r="D168" s="561"/>
      <c r="E168" s="561"/>
      <c r="F168" s="561"/>
    </row>
    <row r="169" spans="2:7" s="26" customFormat="1" ht="15.75">
      <c r="B169" s="137"/>
      <c r="C169" s="50"/>
      <c r="D169" s="50"/>
      <c r="E169" s="50"/>
      <c r="F169" s="50"/>
    </row>
    <row r="170" spans="2:7" s="26" customFormat="1" ht="15.75" customHeight="1">
      <c r="B170" s="576" t="s">
        <v>430</v>
      </c>
      <c r="C170" s="576"/>
      <c r="D170" s="576"/>
      <c r="E170" s="576"/>
      <c r="F170" s="576"/>
    </row>
    <row r="171" spans="2:7" s="26" customFormat="1" ht="15.75" customHeight="1">
      <c r="B171" s="576"/>
      <c r="C171" s="576"/>
      <c r="D171" s="576"/>
      <c r="E171" s="576"/>
      <c r="F171" s="576"/>
    </row>
    <row r="172" spans="2:7" s="26" customFormat="1" ht="15.75">
      <c r="B172" s="137"/>
      <c r="C172" s="50"/>
      <c r="D172" s="50"/>
      <c r="E172" s="50"/>
      <c r="F172" s="50"/>
    </row>
    <row r="173" spans="2:7" s="26" customFormat="1" ht="15.75">
      <c r="B173" s="549" t="s">
        <v>431</v>
      </c>
      <c r="C173" s="554"/>
      <c r="D173" s="554"/>
      <c r="E173" s="554"/>
      <c r="F173" s="554"/>
    </row>
    <row r="174" spans="2:7" s="26" customFormat="1">
      <c r="B174" s="555" t="s">
        <v>432</v>
      </c>
      <c r="C174" s="555"/>
      <c r="D174" s="555"/>
      <c r="E174" s="555"/>
      <c r="F174" s="555"/>
    </row>
    <row r="175" spans="2:7" s="26" customFormat="1">
      <c r="B175" s="556" t="s">
        <v>433</v>
      </c>
      <c r="C175" s="557"/>
      <c r="D175" s="557"/>
      <c r="E175" s="557"/>
      <c r="F175" s="557"/>
    </row>
    <row r="176" spans="2:7" s="26" customFormat="1">
      <c r="B176" s="70"/>
      <c r="C176" s="69"/>
      <c r="D176" s="62"/>
      <c r="E176" s="53"/>
      <c r="F176" s="53"/>
    </row>
    <row r="177" spans="2:7" s="26" customFormat="1" ht="15.75">
      <c r="B177" s="549" t="s">
        <v>434</v>
      </c>
      <c r="C177" s="554"/>
      <c r="D177" s="554"/>
      <c r="E177" s="554"/>
      <c r="F177" s="554"/>
    </row>
    <row r="178" spans="2:7" s="26" customFormat="1">
      <c r="B178" s="555" t="s">
        <v>435</v>
      </c>
      <c r="C178" s="555"/>
      <c r="D178" s="555"/>
      <c r="E178" s="555"/>
      <c r="F178" s="555"/>
    </row>
    <row r="179" spans="2:7" s="26" customFormat="1">
      <c r="B179" s="556" t="s">
        <v>436</v>
      </c>
      <c r="C179" s="557"/>
      <c r="D179" s="557"/>
      <c r="E179" s="557"/>
      <c r="F179" s="557"/>
    </row>
    <row r="180" spans="2:7" s="26" customFormat="1">
      <c r="B180" s="70"/>
      <c r="C180" s="69"/>
      <c r="D180" s="62"/>
      <c r="E180" s="53"/>
      <c r="F180" s="53"/>
    </row>
    <row r="181" spans="2:7" s="26" customFormat="1" ht="15.75">
      <c r="B181" s="549" t="s">
        <v>437</v>
      </c>
      <c r="C181" s="554"/>
      <c r="D181" s="554"/>
      <c r="E181" s="554"/>
      <c r="F181" s="554"/>
    </row>
    <row r="182" spans="2:7" s="26" customFormat="1">
      <c r="B182" s="555" t="s">
        <v>438</v>
      </c>
      <c r="C182" s="555"/>
      <c r="D182" s="555"/>
      <c r="E182" s="555"/>
      <c r="F182" s="555"/>
    </row>
    <row r="183" spans="2:7" s="26" customFormat="1" ht="12.75" customHeight="1">
      <c r="B183" s="556" t="s">
        <v>515</v>
      </c>
      <c r="C183" s="556"/>
      <c r="D183" s="556"/>
      <c r="E183" s="556"/>
      <c r="F183" s="556"/>
      <c r="G183" s="54"/>
    </row>
    <row r="184" spans="2:7" s="26" customFormat="1">
      <c r="B184" s="54"/>
      <c r="C184" s="54"/>
      <c r="D184" s="54"/>
      <c r="E184" s="54"/>
      <c r="F184" s="54"/>
      <c r="G184" s="54"/>
    </row>
    <row r="185" spans="2:7" s="26" customFormat="1" ht="15.75">
      <c r="B185" s="549" t="s">
        <v>439</v>
      </c>
      <c r="C185" s="554"/>
      <c r="D185" s="554"/>
      <c r="E185" s="554"/>
      <c r="F185" s="554"/>
      <c r="G185" s="54"/>
    </row>
    <row r="186" spans="2:7" s="26" customFormat="1">
      <c r="B186" s="557" t="s">
        <v>440</v>
      </c>
      <c r="C186" s="557"/>
      <c r="D186" s="557"/>
      <c r="E186" s="557"/>
      <c r="F186" s="557"/>
      <c r="G186" s="54"/>
    </row>
    <row r="187" spans="2:7" s="26" customFormat="1">
      <c r="B187" s="557"/>
      <c r="C187" s="557"/>
      <c r="D187" s="557"/>
      <c r="E187" s="557"/>
      <c r="F187" s="557"/>
      <c r="G187" s="54"/>
    </row>
    <row r="188" spans="2:7" s="26" customFormat="1" ht="26.45" customHeight="1">
      <c r="B188" s="556" t="s">
        <v>441</v>
      </c>
      <c r="C188" s="557"/>
      <c r="D188" s="557"/>
      <c r="E188" s="557"/>
      <c r="F188" s="557"/>
      <c r="G188" s="54"/>
    </row>
    <row r="189" spans="2:7" s="26" customFormat="1">
      <c r="B189" s="580"/>
      <c r="C189" s="580"/>
      <c r="D189" s="580"/>
      <c r="E189" s="580"/>
      <c r="F189" s="580"/>
      <c r="G189" s="54"/>
    </row>
    <row r="190" spans="2:7" s="26" customFormat="1" ht="15.75">
      <c r="B190" s="549" t="s">
        <v>442</v>
      </c>
      <c r="C190" s="554"/>
      <c r="D190" s="554"/>
      <c r="E190" s="554"/>
      <c r="F190" s="554"/>
      <c r="G190" s="54"/>
    </row>
    <row r="191" spans="2:7" s="26" customFormat="1">
      <c r="B191" s="557" t="s">
        <v>443</v>
      </c>
      <c r="C191" s="557"/>
      <c r="D191" s="557"/>
      <c r="E191" s="557"/>
      <c r="F191" s="557"/>
      <c r="G191" s="54"/>
    </row>
    <row r="192" spans="2:7" s="26" customFormat="1">
      <c r="B192" s="557"/>
      <c r="C192" s="557"/>
      <c r="D192" s="557"/>
      <c r="E192" s="557"/>
      <c r="F192" s="557"/>
      <c r="G192" s="54"/>
    </row>
    <row r="193" spans="2:7" s="26" customFormat="1" ht="12.6" customHeight="1">
      <c r="B193" s="556" t="s">
        <v>444</v>
      </c>
      <c r="C193" s="556"/>
      <c r="D193" s="556"/>
      <c r="E193" s="556"/>
      <c r="F193" s="556"/>
      <c r="G193" s="54"/>
    </row>
    <row r="194" spans="2:7" s="26" customFormat="1" ht="12.6" customHeight="1">
      <c r="B194" s="556"/>
      <c r="C194" s="556"/>
      <c r="D194" s="556"/>
      <c r="E194" s="556"/>
      <c r="F194" s="556"/>
      <c r="G194" s="54"/>
    </row>
    <row r="195" spans="2:7" s="26" customFormat="1">
      <c r="B195" s="54"/>
      <c r="C195" s="54"/>
      <c r="D195" s="54"/>
      <c r="E195" s="54"/>
      <c r="F195" s="54"/>
      <c r="G195" s="54"/>
    </row>
    <row r="196" spans="2:7" s="26" customFormat="1" ht="15.75">
      <c r="B196" s="549" t="s">
        <v>445</v>
      </c>
      <c r="C196" s="554"/>
      <c r="D196" s="554"/>
      <c r="E196" s="554"/>
      <c r="F196" s="554"/>
      <c r="G196" s="54"/>
    </row>
    <row r="197" spans="2:7" s="26" customFormat="1">
      <c r="B197" s="555" t="s">
        <v>446</v>
      </c>
      <c r="C197" s="555"/>
      <c r="D197" s="555"/>
      <c r="E197" s="555"/>
      <c r="F197" s="555"/>
      <c r="G197" s="54"/>
    </row>
    <row r="198" spans="2:7" s="26" customFormat="1" ht="12.75" customHeight="1">
      <c r="B198" s="556" t="s">
        <v>447</v>
      </c>
      <c r="C198" s="556"/>
      <c r="D198" s="556"/>
      <c r="E198" s="556"/>
      <c r="F198" s="556"/>
      <c r="G198" s="54"/>
    </row>
    <row r="199" spans="2:7" s="26" customFormat="1">
      <c r="B199" s="556"/>
      <c r="C199" s="556"/>
      <c r="D199" s="556"/>
      <c r="E199" s="556"/>
      <c r="F199" s="556"/>
      <c r="G199" s="54"/>
    </row>
    <row r="200" spans="2:7" s="26" customFormat="1">
      <c r="B200" s="216"/>
      <c r="C200" s="216"/>
      <c r="D200" s="216"/>
      <c r="E200" s="216"/>
      <c r="F200" s="216"/>
      <c r="G200" s="54"/>
    </row>
    <row r="201" spans="2:7" s="26" customFormat="1" ht="15.75">
      <c r="B201" s="549" t="s">
        <v>448</v>
      </c>
      <c r="C201" s="554"/>
      <c r="D201" s="554"/>
      <c r="E201" s="554"/>
      <c r="F201" s="554"/>
      <c r="G201" s="54"/>
    </row>
    <row r="202" spans="2:7" s="26" customFormat="1">
      <c r="B202" s="555" t="s">
        <v>449</v>
      </c>
      <c r="C202" s="555"/>
      <c r="D202" s="555"/>
      <c r="E202" s="555"/>
      <c r="F202" s="555"/>
      <c r="G202" s="54"/>
    </row>
    <row r="203" spans="2:7" s="26" customFormat="1">
      <c r="B203" s="556" t="s">
        <v>450</v>
      </c>
      <c r="C203" s="557"/>
      <c r="D203" s="557"/>
      <c r="E203" s="557"/>
      <c r="F203" s="557"/>
      <c r="G203" s="54"/>
    </row>
    <row r="204" spans="2:7" s="26" customFormat="1">
      <c r="B204" s="54"/>
      <c r="C204" s="54"/>
      <c r="D204" s="54"/>
      <c r="E204" s="54"/>
      <c r="F204" s="54"/>
      <c r="G204" s="54"/>
    </row>
    <row r="205" spans="2:7" s="26" customFormat="1" ht="15.75">
      <c r="B205" s="549" t="s">
        <v>316</v>
      </c>
      <c r="C205" s="554"/>
      <c r="D205" s="554"/>
      <c r="E205" s="554"/>
      <c r="F205" s="554"/>
      <c r="G205" s="54"/>
    </row>
    <row r="206" spans="2:7" s="26" customFormat="1">
      <c r="B206" s="555" t="s">
        <v>451</v>
      </c>
      <c r="C206" s="555"/>
      <c r="D206" s="555"/>
      <c r="E206" s="555"/>
      <c r="F206" s="555"/>
      <c r="G206" s="54"/>
    </row>
    <row r="207" spans="2:7" s="26" customFormat="1">
      <c r="B207" s="557"/>
      <c r="C207" s="557"/>
      <c r="D207" s="557"/>
      <c r="E207" s="557"/>
      <c r="F207" s="557"/>
      <c r="G207" s="54"/>
    </row>
    <row r="208" spans="2:7" s="26" customFormat="1" ht="15">
      <c r="B208" s="552" t="s">
        <v>217</v>
      </c>
      <c r="C208" s="552"/>
      <c r="D208" s="552"/>
      <c r="E208" s="552"/>
      <c r="F208" s="552"/>
      <c r="G208" s="54"/>
    </row>
    <row r="209" spans="2:7" s="26" customFormat="1">
      <c r="B209" s="553"/>
      <c r="C209" s="553"/>
      <c r="D209" s="62"/>
      <c r="E209" s="53"/>
      <c r="F209" s="53"/>
      <c r="G209" s="54"/>
    </row>
    <row r="210" spans="2:7" s="26" customFormat="1" ht="15.6" customHeight="1">
      <c r="B210" s="560" t="str">
        <f>B37&amp;":"</f>
        <v>E. Locale conventions:</v>
      </c>
      <c r="C210" s="560"/>
      <c r="D210" s="560"/>
      <c r="E210" s="560"/>
      <c r="F210" s="560"/>
      <c r="G210" s="54"/>
    </row>
    <row r="211" spans="2:7" s="26" customFormat="1" ht="15.75">
      <c r="B211" s="137"/>
      <c r="C211" s="137"/>
      <c r="D211" s="137"/>
      <c r="E211" s="137"/>
      <c r="F211" s="137"/>
      <c r="G211" s="54"/>
    </row>
    <row r="212" spans="2:7" s="26" customFormat="1">
      <c r="B212" s="572" t="s">
        <v>452</v>
      </c>
      <c r="C212" s="572"/>
      <c r="D212" s="572"/>
      <c r="E212" s="572"/>
      <c r="F212" s="572"/>
      <c r="G212" s="54"/>
    </row>
    <row r="213" spans="2:7" s="26" customFormat="1" ht="15.75" customHeight="1">
      <c r="B213" s="134"/>
      <c r="C213" s="134"/>
      <c r="D213" s="134"/>
      <c r="E213" s="134"/>
      <c r="F213" s="134"/>
      <c r="G213" s="54"/>
    </row>
    <row r="214" spans="2:7" s="26" customFormat="1" ht="15.6" customHeight="1">
      <c r="B214" s="549" t="s">
        <v>453</v>
      </c>
      <c r="C214" s="549"/>
      <c r="D214" s="549"/>
      <c r="E214" s="549"/>
      <c r="F214" s="549"/>
      <c r="G214" s="54"/>
    </row>
    <row r="215" spans="2:7" s="26" customFormat="1">
      <c r="B215" s="555" t="s">
        <v>454</v>
      </c>
      <c r="C215" s="555"/>
      <c r="D215" s="555"/>
      <c r="E215" s="555"/>
      <c r="F215" s="555"/>
      <c r="G215" s="54"/>
    </row>
    <row r="216" spans="2:7" s="26" customFormat="1">
      <c r="B216" s="556" t="s">
        <v>455</v>
      </c>
      <c r="C216" s="557"/>
      <c r="D216" s="557"/>
      <c r="E216" s="557"/>
      <c r="F216" s="557"/>
      <c r="G216" s="54"/>
    </row>
    <row r="217" spans="2:7" s="26" customFormat="1" ht="15">
      <c r="B217" s="135"/>
      <c r="C217" s="135"/>
      <c r="D217" s="135"/>
      <c r="E217" s="135"/>
      <c r="F217" s="135"/>
      <c r="G217" s="54"/>
    </row>
    <row r="218" spans="2:7" s="26" customFormat="1" ht="15.6" customHeight="1">
      <c r="B218" s="549" t="s">
        <v>310</v>
      </c>
      <c r="C218" s="549"/>
      <c r="D218" s="549"/>
      <c r="E218" s="549"/>
      <c r="F218" s="549"/>
      <c r="G218" s="54"/>
    </row>
    <row r="219" spans="2:7" s="26" customFormat="1">
      <c r="B219" s="555" t="s">
        <v>456</v>
      </c>
      <c r="C219" s="555"/>
      <c r="D219" s="555"/>
      <c r="E219" s="555"/>
      <c r="F219" s="555"/>
      <c r="G219" s="54"/>
    </row>
    <row r="220" spans="2:7" s="64" customFormat="1" ht="12.6" customHeight="1">
      <c r="B220" s="556" t="s">
        <v>457</v>
      </c>
      <c r="C220" s="556"/>
      <c r="D220" s="556"/>
      <c r="E220" s="556"/>
      <c r="F220" s="556"/>
      <c r="G220" s="56"/>
    </row>
    <row r="221" spans="2:7" s="64" customFormat="1" ht="12.6" customHeight="1">
      <c r="B221" s="556"/>
      <c r="C221" s="556"/>
      <c r="D221" s="556"/>
      <c r="E221" s="556"/>
      <c r="F221" s="556"/>
      <c r="G221" s="56"/>
    </row>
    <row r="222" spans="2:7" s="64" customFormat="1" ht="15">
      <c r="B222" s="135"/>
      <c r="C222" s="135"/>
      <c r="D222" s="135"/>
      <c r="E222" s="135"/>
      <c r="F222" s="135"/>
      <c r="G222" s="56"/>
    </row>
    <row r="223" spans="2:7" s="26" customFormat="1" ht="15.6" customHeight="1">
      <c r="B223" s="549" t="s">
        <v>312</v>
      </c>
      <c r="C223" s="549"/>
      <c r="D223" s="549"/>
      <c r="E223" s="549"/>
      <c r="F223" s="549"/>
      <c r="G223" s="54"/>
    </row>
    <row r="224" spans="2:7" s="26" customFormat="1">
      <c r="B224" s="555" t="s">
        <v>458</v>
      </c>
      <c r="C224" s="555"/>
      <c r="D224" s="555"/>
      <c r="E224" s="555"/>
      <c r="F224" s="555"/>
      <c r="G224" s="54"/>
    </row>
    <row r="225" spans="2:7" s="26" customFormat="1" ht="12.6" customHeight="1">
      <c r="B225" s="556" t="s">
        <v>459</v>
      </c>
      <c r="C225" s="557"/>
      <c r="D225" s="557"/>
      <c r="E225" s="557"/>
      <c r="F225" s="557"/>
      <c r="G225" s="54"/>
    </row>
    <row r="226" spans="2:7" s="26" customFormat="1" ht="15">
      <c r="B226" s="135"/>
      <c r="C226" s="135"/>
      <c r="D226" s="135"/>
      <c r="E226" s="135"/>
      <c r="F226" s="135"/>
      <c r="G226" s="54"/>
    </row>
    <row r="227" spans="2:7" s="26" customFormat="1" ht="15.6" customHeight="1">
      <c r="B227" s="549" t="s">
        <v>460</v>
      </c>
      <c r="C227" s="549"/>
      <c r="D227" s="549"/>
      <c r="E227" s="549"/>
      <c r="F227" s="549"/>
      <c r="G227" s="54"/>
    </row>
    <row r="228" spans="2:7" s="26" customFormat="1">
      <c r="B228" s="555" t="s">
        <v>461</v>
      </c>
      <c r="C228" s="555"/>
      <c r="D228" s="555"/>
      <c r="E228" s="555"/>
      <c r="F228" s="555"/>
      <c r="G228" s="54"/>
    </row>
    <row r="229" spans="2:7" s="26" customFormat="1" ht="27" customHeight="1">
      <c r="B229" s="556" t="s">
        <v>462</v>
      </c>
      <c r="C229" s="557"/>
      <c r="D229" s="557"/>
      <c r="E229" s="557"/>
      <c r="F229" s="557"/>
      <c r="G229" s="54"/>
    </row>
    <row r="230" spans="2:7" s="26" customFormat="1" ht="15">
      <c r="B230" s="135"/>
      <c r="C230" s="135"/>
      <c r="D230" s="135"/>
      <c r="E230" s="135"/>
      <c r="F230" s="135"/>
      <c r="G230" s="54"/>
    </row>
    <row r="231" spans="2:7" s="26" customFormat="1" ht="15.6" customHeight="1">
      <c r="B231" s="549" t="s">
        <v>311</v>
      </c>
      <c r="C231" s="549"/>
      <c r="D231" s="549"/>
      <c r="E231" s="549"/>
      <c r="F231" s="549"/>
      <c r="G231" s="54"/>
    </row>
    <row r="232" spans="2:7" s="26" customFormat="1">
      <c r="B232" s="555" t="s">
        <v>463</v>
      </c>
      <c r="C232" s="555"/>
      <c r="D232" s="555"/>
      <c r="E232" s="555"/>
      <c r="F232" s="555"/>
      <c r="G232" s="54"/>
    </row>
    <row r="233" spans="2:7" s="26" customFormat="1" ht="12.6" customHeight="1">
      <c r="B233" s="556" t="s">
        <v>464</v>
      </c>
      <c r="C233" s="557"/>
      <c r="D233" s="557"/>
      <c r="E233" s="557"/>
      <c r="F233" s="557"/>
      <c r="G233" s="54"/>
    </row>
    <row r="234" spans="2:7" s="26" customFormat="1" ht="12.6" customHeight="1">
      <c r="B234" s="216"/>
      <c r="C234" s="134"/>
      <c r="D234" s="134"/>
      <c r="E234" s="134"/>
      <c r="F234" s="134"/>
      <c r="G234" s="54"/>
    </row>
    <row r="235" spans="2:7" s="26" customFormat="1" ht="15.75">
      <c r="B235" s="549" t="s">
        <v>309</v>
      </c>
      <c r="C235" s="549"/>
      <c r="D235" s="549"/>
      <c r="E235" s="549"/>
      <c r="F235" s="549"/>
      <c r="G235" s="54"/>
    </row>
    <row r="236" spans="2:7" s="26" customFormat="1" ht="12.6" customHeight="1">
      <c r="B236" s="555" t="s">
        <v>465</v>
      </c>
      <c r="C236" s="555"/>
      <c r="D236" s="555"/>
      <c r="E236" s="555"/>
      <c r="F236" s="555"/>
      <c r="G236" s="54"/>
    </row>
    <row r="237" spans="2:7" s="26" customFormat="1" ht="12.6" customHeight="1">
      <c r="B237" s="556" t="s">
        <v>466</v>
      </c>
      <c r="C237" s="556"/>
      <c r="D237" s="556"/>
      <c r="E237" s="556"/>
      <c r="F237" s="556"/>
      <c r="G237" s="54"/>
    </row>
    <row r="238" spans="2:7" s="26" customFormat="1" ht="15" customHeight="1">
      <c r="B238" s="556"/>
      <c r="C238" s="556"/>
      <c r="D238" s="556"/>
      <c r="E238" s="556"/>
      <c r="F238" s="556"/>
      <c r="G238" s="54"/>
    </row>
    <row r="239" spans="2:7" s="26" customFormat="1" ht="15" customHeight="1">
      <c r="B239" s="216"/>
      <c r="C239" s="216"/>
      <c r="D239" s="216"/>
      <c r="E239" s="216"/>
      <c r="F239" s="216"/>
      <c r="G239" s="54"/>
    </row>
    <row r="240" spans="2:7" s="26" customFormat="1" ht="15" customHeight="1">
      <c r="B240" s="549" t="s">
        <v>467</v>
      </c>
      <c r="C240" s="549"/>
      <c r="D240" s="549"/>
      <c r="E240" s="549"/>
      <c r="F240" s="549"/>
      <c r="G240" s="54"/>
    </row>
    <row r="241" spans="2:7" s="26" customFormat="1" ht="15" customHeight="1">
      <c r="B241" s="555" t="s">
        <v>468</v>
      </c>
      <c r="C241" s="555"/>
      <c r="D241" s="555"/>
      <c r="E241" s="555"/>
      <c r="F241" s="555"/>
      <c r="G241" s="54"/>
    </row>
    <row r="242" spans="2:7" s="26" customFormat="1" ht="15" customHeight="1">
      <c r="B242" s="556" t="s">
        <v>469</v>
      </c>
      <c r="C242" s="556"/>
      <c r="D242" s="556"/>
      <c r="E242" s="556"/>
      <c r="F242" s="556"/>
      <c r="G242" s="54"/>
    </row>
    <row r="243" spans="2:7" s="26" customFormat="1" ht="15" customHeight="1">
      <c r="B243" s="556"/>
      <c r="C243" s="556"/>
      <c r="D243" s="556"/>
      <c r="E243" s="556"/>
      <c r="F243" s="556"/>
      <c r="G243" s="54"/>
    </row>
    <row r="244" spans="2:7" s="26" customFormat="1" ht="15" customHeight="1">
      <c r="B244" s="134"/>
      <c r="C244" s="134"/>
      <c r="D244" s="134"/>
      <c r="E244" s="134"/>
      <c r="F244" s="134"/>
      <c r="G244" s="54"/>
    </row>
    <row r="245" spans="2:7" s="26" customFormat="1" ht="15" customHeight="1">
      <c r="B245" s="549" t="s">
        <v>470</v>
      </c>
      <c r="C245" s="549"/>
      <c r="D245" s="549"/>
      <c r="E245" s="549"/>
      <c r="F245" s="549"/>
      <c r="G245" s="54"/>
    </row>
    <row r="246" spans="2:7" s="26" customFormat="1" ht="15" customHeight="1">
      <c r="B246" s="555" t="s">
        <v>471</v>
      </c>
      <c r="C246" s="555"/>
      <c r="D246" s="555"/>
      <c r="E246" s="555"/>
      <c r="F246" s="555"/>
      <c r="G246" s="54"/>
    </row>
    <row r="247" spans="2:7" s="26" customFormat="1" ht="15" customHeight="1">
      <c r="B247" s="556" t="s">
        <v>472</v>
      </c>
      <c r="C247" s="557"/>
      <c r="D247" s="557"/>
      <c r="E247" s="557"/>
      <c r="F247" s="557"/>
      <c r="G247" s="54"/>
    </row>
    <row r="248" spans="2:7" s="26" customFormat="1" ht="15">
      <c r="B248" s="135"/>
      <c r="C248" s="135"/>
      <c r="D248" s="135"/>
      <c r="E248" s="135"/>
      <c r="F248" s="135"/>
      <c r="G248" s="54"/>
    </row>
    <row r="249" spans="2:7" s="26" customFormat="1" ht="15.6" customHeight="1">
      <c r="B249" s="549" t="s">
        <v>316</v>
      </c>
      <c r="C249" s="549"/>
      <c r="D249" s="549"/>
      <c r="E249" s="549"/>
      <c r="F249" s="549"/>
      <c r="G249" s="54"/>
    </row>
    <row r="250" spans="2:7" s="26" customFormat="1">
      <c r="B250" s="555" t="s">
        <v>473</v>
      </c>
      <c r="C250" s="555"/>
      <c r="D250" s="555"/>
      <c r="E250" s="555"/>
      <c r="F250" s="555"/>
      <c r="G250" s="54"/>
    </row>
    <row r="251" spans="2:7" s="26" customFormat="1" ht="12.95" customHeight="1">
      <c r="B251" s="557"/>
      <c r="C251" s="557"/>
      <c r="D251" s="557"/>
      <c r="E251" s="557"/>
      <c r="F251" s="557"/>
      <c r="G251" s="54"/>
    </row>
    <row r="252" spans="2:7" s="26" customFormat="1" ht="12.95" customHeight="1">
      <c r="B252" s="552" t="s">
        <v>217</v>
      </c>
      <c r="C252" s="552"/>
      <c r="D252" s="552"/>
      <c r="E252" s="552"/>
      <c r="F252" s="552"/>
      <c r="G252" s="54"/>
    </row>
    <row r="253" spans="2:7" s="26" customFormat="1" ht="12.95" customHeight="1">
      <c r="B253" s="135"/>
      <c r="C253" s="135"/>
      <c r="D253" s="135"/>
      <c r="E253" s="135"/>
      <c r="F253" s="135"/>
      <c r="G253" s="54"/>
    </row>
    <row r="254" spans="2:7" s="26" customFormat="1" ht="12.95" customHeight="1">
      <c r="B254" s="560" t="str">
        <f>B47&amp;":"</f>
        <v>F. Audience appropriateness:</v>
      </c>
      <c r="C254" s="560"/>
      <c r="D254" s="560"/>
      <c r="E254" s="560"/>
      <c r="F254" s="560"/>
      <c r="G254" s="54"/>
    </row>
    <row r="255" spans="2:7" s="26" customFormat="1" ht="12.95" customHeight="1">
      <c r="B255" s="135"/>
      <c r="C255" s="135"/>
      <c r="D255" s="135"/>
      <c r="E255" s="135"/>
      <c r="F255" s="135"/>
      <c r="G255" s="54"/>
    </row>
    <row r="256" spans="2:7" s="26" customFormat="1" ht="12.95" customHeight="1">
      <c r="B256" s="573" t="s">
        <v>474</v>
      </c>
      <c r="C256" s="573"/>
      <c r="D256" s="573"/>
      <c r="E256" s="573"/>
      <c r="F256" s="573"/>
      <c r="G256" s="54"/>
    </row>
    <row r="257" spans="2:7" s="26" customFormat="1" ht="12.95" customHeight="1">
      <c r="B257" s="135"/>
      <c r="C257" s="135"/>
      <c r="D257" s="135"/>
      <c r="E257" s="135"/>
      <c r="F257" s="135"/>
      <c r="G257" s="54"/>
    </row>
    <row r="258" spans="2:7" s="26" customFormat="1" ht="12.95" customHeight="1">
      <c r="B258" s="549" t="s">
        <v>475</v>
      </c>
      <c r="C258" s="549"/>
      <c r="D258" s="549"/>
      <c r="E258" s="549"/>
      <c r="F258" s="549"/>
      <c r="G258" s="54"/>
    </row>
    <row r="259" spans="2:7" s="26" customFormat="1" ht="12.95" customHeight="1">
      <c r="B259" s="555" t="s">
        <v>476</v>
      </c>
      <c r="C259" s="555"/>
      <c r="D259" s="555"/>
      <c r="E259" s="555"/>
      <c r="F259" s="555"/>
      <c r="G259" s="54"/>
    </row>
    <row r="260" spans="2:7" s="26" customFormat="1" ht="12.75" customHeight="1">
      <c r="B260" s="556" t="s">
        <v>477</v>
      </c>
      <c r="C260" s="556"/>
      <c r="D260" s="556"/>
      <c r="E260" s="556"/>
      <c r="F260" s="556"/>
      <c r="G260" s="54"/>
    </row>
    <row r="261" spans="2:7" s="26" customFormat="1">
      <c r="B261" s="556"/>
      <c r="C261" s="556"/>
      <c r="D261" s="556"/>
      <c r="E261" s="556"/>
      <c r="F261" s="556"/>
      <c r="G261" s="54"/>
    </row>
    <row r="262" spans="2:7" s="26" customFormat="1" ht="12.95" customHeight="1">
      <c r="B262" s="135"/>
      <c r="C262" s="135"/>
      <c r="D262" s="135"/>
      <c r="E262" s="135"/>
      <c r="F262" s="135"/>
      <c r="G262" s="54"/>
    </row>
    <row r="263" spans="2:7" s="26" customFormat="1" ht="12.95" customHeight="1">
      <c r="B263" s="549" t="s">
        <v>316</v>
      </c>
      <c r="C263" s="549"/>
      <c r="D263" s="549"/>
      <c r="E263" s="549"/>
      <c r="F263" s="549"/>
      <c r="G263" s="54"/>
    </row>
    <row r="264" spans="2:7" s="26" customFormat="1" ht="12.95" customHeight="1">
      <c r="B264" s="555" t="s">
        <v>478</v>
      </c>
      <c r="C264" s="555"/>
      <c r="D264" s="555"/>
      <c r="E264" s="555"/>
      <c r="F264" s="555"/>
      <c r="G264" s="54"/>
    </row>
    <row r="265" spans="2:7" s="26" customFormat="1">
      <c r="B265" s="557"/>
      <c r="C265" s="557"/>
      <c r="D265" s="557"/>
      <c r="E265" s="557"/>
      <c r="F265" s="557"/>
      <c r="G265" s="54"/>
    </row>
    <row r="266" spans="2:7" s="26" customFormat="1" ht="15">
      <c r="B266" s="552" t="s">
        <v>217</v>
      </c>
      <c r="C266" s="552"/>
      <c r="D266" s="552"/>
      <c r="E266" s="552"/>
      <c r="F266" s="552"/>
      <c r="G266" s="54"/>
    </row>
    <row r="267" spans="2:7" s="26" customFormat="1" ht="12.95" customHeight="1">
      <c r="B267" s="135"/>
      <c r="C267" s="135"/>
      <c r="D267" s="135"/>
      <c r="E267" s="135"/>
      <c r="F267" s="135"/>
      <c r="G267" s="54"/>
    </row>
    <row r="268" spans="2:7" s="26" customFormat="1" ht="12.95" customHeight="1">
      <c r="B268" s="560" t="str">
        <f>B50&amp;":"</f>
        <v>G. Design and markup:</v>
      </c>
      <c r="C268" s="560"/>
      <c r="D268" s="560"/>
      <c r="E268" s="560"/>
      <c r="F268" s="560"/>
      <c r="G268" s="54"/>
    </row>
    <row r="269" spans="2:7" s="26" customFormat="1" ht="12.95" customHeight="1">
      <c r="B269" s="137"/>
      <c r="C269" s="137"/>
      <c r="D269" s="137"/>
      <c r="E269" s="137"/>
      <c r="F269" s="137"/>
      <c r="G269" s="54"/>
    </row>
    <row r="270" spans="2:7" s="26" customFormat="1" ht="12.95" customHeight="1">
      <c r="B270" s="574" t="s">
        <v>479</v>
      </c>
      <c r="C270" s="574"/>
      <c r="D270" s="574"/>
      <c r="E270" s="574"/>
      <c r="F270" s="574"/>
    </row>
    <row r="271" spans="2:7" s="26" customFormat="1" ht="12.95" customHeight="1">
      <c r="B271" s="574"/>
      <c r="C271" s="574"/>
      <c r="D271" s="574"/>
      <c r="E271" s="574"/>
      <c r="F271" s="574"/>
    </row>
    <row r="272" spans="2:7" s="26" customFormat="1" ht="12.95" customHeight="1">
      <c r="B272" s="217"/>
      <c r="C272" s="217"/>
      <c r="D272" s="217"/>
      <c r="E272" s="217"/>
      <c r="F272" s="217"/>
    </row>
    <row r="273" spans="2:6" s="26" customFormat="1" ht="12.95" customHeight="1">
      <c r="B273" s="549" t="s">
        <v>480</v>
      </c>
      <c r="C273" s="549"/>
      <c r="D273" s="549"/>
      <c r="E273" s="549"/>
      <c r="F273" s="549"/>
    </row>
    <row r="274" spans="2:6" s="26" customFormat="1" ht="12.95" customHeight="1">
      <c r="B274" s="557" t="s">
        <v>481</v>
      </c>
      <c r="C274" s="557"/>
      <c r="D274" s="557"/>
      <c r="E274" s="557"/>
      <c r="F274" s="557"/>
    </row>
    <row r="275" spans="2:6" s="26" customFormat="1" ht="12.95" customHeight="1">
      <c r="B275" s="557"/>
      <c r="C275" s="557"/>
      <c r="D275" s="557"/>
      <c r="E275" s="557"/>
      <c r="F275" s="557"/>
    </row>
    <row r="276" spans="2:6" s="26" customFormat="1" ht="12.95" customHeight="1">
      <c r="B276" s="556" t="s">
        <v>482</v>
      </c>
      <c r="C276" s="556"/>
      <c r="D276" s="556"/>
      <c r="E276" s="556"/>
      <c r="F276" s="556"/>
    </row>
    <row r="277" spans="2:6" s="26" customFormat="1" ht="12.95" customHeight="1">
      <c r="B277" s="556"/>
      <c r="C277" s="556"/>
      <c r="D277" s="556"/>
      <c r="E277" s="556"/>
      <c r="F277" s="556"/>
    </row>
    <row r="278" spans="2:6" s="26" customFormat="1" ht="12.95" customHeight="1">
      <c r="B278" s="556"/>
      <c r="C278" s="556"/>
      <c r="D278" s="556"/>
      <c r="E278" s="556"/>
      <c r="F278" s="556"/>
    </row>
    <row r="279" spans="2:6" s="26" customFormat="1" ht="12.95" customHeight="1">
      <c r="B279" s="217"/>
      <c r="C279" s="217"/>
      <c r="D279" s="217"/>
      <c r="E279" s="217"/>
      <c r="F279" s="217"/>
    </row>
    <row r="280" spans="2:6" s="26" customFormat="1" ht="12.95" customHeight="1">
      <c r="B280" s="549" t="s">
        <v>377</v>
      </c>
      <c r="C280" s="549"/>
      <c r="D280" s="549"/>
      <c r="E280" s="549"/>
      <c r="F280" s="549"/>
    </row>
    <row r="281" spans="2:6" s="26" customFormat="1" ht="12.95" customHeight="1">
      <c r="B281" s="557" t="s">
        <v>483</v>
      </c>
      <c r="C281" s="557"/>
      <c r="D281" s="557"/>
      <c r="E281" s="557"/>
      <c r="F281" s="557"/>
    </row>
    <row r="282" spans="2:6" s="26" customFormat="1" ht="12.95" customHeight="1">
      <c r="B282" s="557"/>
      <c r="C282" s="557"/>
      <c r="D282" s="557"/>
      <c r="E282" s="557"/>
      <c r="F282" s="557"/>
    </row>
    <row r="283" spans="2:6" s="26" customFormat="1" ht="12.95" customHeight="1">
      <c r="B283" s="556" t="s">
        <v>484</v>
      </c>
      <c r="C283" s="556"/>
      <c r="D283" s="556"/>
      <c r="E283" s="556"/>
      <c r="F283" s="556"/>
    </row>
    <row r="284" spans="2:6" s="26" customFormat="1" ht="14.25" customHeight="1">
      <c r="B284" s="556"/>
      <c r="C284" s="556"/>
      <c r="D284" s="556"/>
      <c r="E284" s="556"/>
      <c r="F284" s="556"/>
    </row>
    <row r="285" spans="2:6" s="26" customFormat="1" ht="12.95" customHeight="1">
      <c r="B285" s="217"/>
      <c r="C285" s="217"/>
      <c r="D285" s="217"/>
      <c r="E285" s="217"/>
      <c r="F285" s="217"/>
    </row>
    <row r="286" spans="2:6" s="26" customFormat="1" ht="12.95" customHeight="1">
      <c r="B286" s="549" t="s">
        <v>485</v>
      </c>
      <c r="C286" s="549"/>
      <c r="D286" s="549"/>
      <c r="E286" s="549"/>
      <c r="F286" s="549"/>
    </row>
    <row r="287" spans="2:6" s="26" customFormat="1" ht="12.95" customHeight="1">
      <c r="B287" s="555" t="s">
        <v>486</v>
      </c>
      <c r="C287" s="555"/>
      <c r="D287" s="555"/>
      <c r="E287" s="555"/>
      <c r="F287" s="555"/>
    </row>
    <row r="288" spans="2:6" s="26" customFormat="1" ht="12.95" customHeight="1">
      <c r="B288" s="556" t="s">
        <v>487</v>
      </c>
      <c r="C288" s="557"/>
      <c r="D288" s="557"/>
      <c r="E288" s="557"/>
      <c r="F288" s="557"/>
    </row>
    <row r="289" spans="2:6" s="26" customFormat="1" ht="12.95" customHeight="1">
      <c r="B289" s="217"/>
      <c r="C289" s="217"/>
      <c r="D289" s="217"/>
      <c r="E289" s="217"/>
      <c r="F289" s="217"/>
    </row>
    <row r="290" spans="2:6" s="26" customFormat="1" ht="12.95" customHeight="1">
      <c r="B290" s="549" t="s">
        <v>302</v>
      </c>
      <c r="C290" s="549"/>
      <c r="D290" s="549"/>
      <c r="E290" s="549"/>
      <c r="F290" s="549"/>
    </row>
    <row r="291" spans="2:6" s="26" customFormat="1" ht="12.95" customHeight="1">
      <c r="B291" s="557" t="s">
        <v>488</v>
      </c>
      <c r="C291" s="557"/>
      <c r="D291" s="557"/>
      <c r="E291" s="557"/>
      <c r="F291" s="557"/>
    </row>
    <row r="292" spans="2:6" s="26" customFormat="1" ht="12.95" customHeight="1">
      <c r="B292" s="557"/>
      <c r="C292" s="557"/>
      <c r="D292" s="557"/>
      <c r="E292" s="557"/>
      <c r="F292" s="557"/>
    </row>
    <row r="293" spans="2:6" s="26" customFormat="1" ht="12.95" customHeight="1">
      <c r="B293" s="556" t="s">
        <v>489</v>
      </c>
      <c r="C293" s="556"/>
      <c r="D293" s="556"/>
      <c r="E293" s="556"/>
      <c r="F293" s="556"/>
    </row>
    <row r="294" spans="2:6" s="26" customFormat="1" ht="12.95" customHeight="1">
      <c r="B294" s="556"/>
      <c r="C294" s="556"/>
      <c r="D294" s="556"/>
      <c r="E294" s="556"/>
      <c r="F294" s="556"/>
    </row>
    <row r="295" spans="2:6" s="26" customFormat="1" ht="12.95" customHeight="1">
      <c r="B295" s="556"/>
      <c r="C295" s="556"/>
      <c r="D295" s="556"/>
      <c r="E295" s="556"/>
      <c r="F295" s="556"/>
    </row>
    <row r="296" spans="2:6" s="26" customFormat="1" ht="12.95" customHeight="1">
      <c r="B296" s="217"/>
      <c r="C296" s="217"/>
      <c r="D296" s="217"/>
      <c r="E296" s="217"/>
      <c r="F296" s="217"/>
    </row>
    <row r="297" spans="2:6" s="26" customFormat="1" ht="12.95" customHeight="1">
      <c r="B297" s="549" t="s">
        <v>490</v>
      </c>
      <c r="C297" s="549"/>
      <c r="D297" s="549"/>
      <c r="E297" s="549"/>
      <c r="F297" s="549"/>
    </row>
    <row r="298" spans="2:6" s="26" customFormat="1" ht="12.95" customHeight="1">
      <c r="B298" s="555" t="s">
        <v>491</v>
      </c>
      <c r="C298" s="555"/>
      <c r="D298" s="555"/>
      <c r="E298" s="555"/>
      <c r="F298" s="555"/>
    </row>
    <row r="299" spans="2:6" s="26" customFormat="1" ht="12.95" customHeight="1">
      <c r="B299" s="556" t="s">
        <v>492</v>
      </c>
      <c r="C299" s="556"/>
      <c r="D299" s="556"/>
      <c r="E299" s="556"/>
      <c r="F299" s="556"/>
    </row>
    <row r="300" spans="2:6" s="26" customFormat="1" ht="12.95" customHeight="1">
      <c r="B300" s="556"/>
      <c r="C300" s="556"/>
      <c r="D300" s="556"/>
      <c r="E300" s="556"/>
      <c r="F300" s="556"/>
    </row>
    <row r="301" spans="2:6" s="26" customFormat="1" ht="12.95" customHeight="1">
      <c r="B301" s="217"/>
      <c r="C301" s="217"/>
      <c r="D301" s="217"/>
      <c r="E301" s="217"/>
      <c r="F301" s="217"/>
    </row>
    <row r="302" spans="2:6" s="26" customFormat="1" ht="12.95" customHeight="1">
      <c r="B302" s="549" t="s">
        <v>493</v>
      </c>
      <c r="C302" s="549"/>
      <c r="D302" s="549"/>
      <c r="E302" s="549"/>
      <c r="F302" s="549"/>
    </row>
    <row r="303" spans="2:6" s="26" customFormat="1" ht="12.95" customHeight="1">
      <c r="B303" s="555" t="s">
        <v>494</v>
      </c>
      <c r="C303" s="555"/>
      <c r="D303" s="555"/>
      <c r="E303" s="555"/>
      <c r="F303" s="555"/>
    </row>
    <row r="304" spans="2:6" s="26" customFormat="1" ht="12.95" customHeight="1">
      <c r="B304" s="556" t="s">
        <v>495</v>
      </c>
      <c r="C304" s="556"/>
      <c r="D304" s="556"/>
      <c r="E304" s="556"/>
      <c r="F304" s="556"/>
    </row>
    <row r="305" spans="2:7" s="26" customFormat="1" ht="12.95" customHeight="1">
      <c r="B305" s="556"/>
      <c r="C305" s="556"/>
      <c r="D305" s="556"/>
      <c r="E305" s="556"/>
      <c r="F305" s="556"/>
    </row>
    <row r="306" spans="2:7" s="26" customFormat="1" ht="12.95" customHeight="1">
      <c r="B306" s="135"/>
      <c r="C306" s="135"/>
      <c r="D306" s="135"/>
      <c r="E306" s="135"/>
      <c r="F306" s="135"/>
      <c r="G306" s="54"/>
    </row>
    <row r="307" spans="2:7" s="26" customFormat="1" ht="12.95" customHeight="1">
      <c r="B307" s="549" t="s">
        <v>316</v>
      </c>
      <c r="C307" s="549"/>
      <c r="D307" s="549"/>
      <c r="E307" s="549"/>
      <c r="F307" s="549"/>
      <c r="G307" s="54"/>
    </row>
    <row r="308" spans="2:7" s="26" customFormat="1" ht="12.95" customHeight="1">
      <c r="B308" s="555" t="s">
        <v>496</v>
      </c>
      <c r="C308" s="555"/>
      <c r="D308" s="555"/>
      <c r="E308" s="555"/>
      <c r="F308" s="555"/>
    </row>
    <row r="309" spans="2:7" s="26" customFormat="1">
      <c r="B309" s="557"/>
      <c r="C309" s="557"/>
      <c r="D309" s="557"/>
      <c r="E309" s="557"/>
      <c r="F309" s="557"/>
    </row>
    <row r="310" spans="2:7" s="26" customFormat="1" ht="12.95" customHeight="1">
      <c r="B310" s="552" t="s">
        <v>217</v>
      </c>
      <c r="C310" s="552"/>
      <c r="D310" s="552"/>
      <c r="E310" s="552"/>
      <c r="F310" s="552"/>
      <c r="G310" s="54"/>
    </row>
    <row r="311" spans="2:7" s="26" customFormat="1" ht="12.95" customHeight="1">
      <c r="B311" s="135"/>
      <c r="C311" s="135"/>
      <c r="D311" s="135"/>
      <c r="E311" s="135"/>
      <c r="F311" s="135"/>
      <c r="G311" s="54"/>
    </row>
    <row r="312" spans="2:7" s="26" customFormat="1" ht="12.95" customHeight="1">
      <c r="B312" s="560" t="str">
        <f>B58&amp;":"</f>
        <v>H. Other:</v>
      </c>
      <c r="C312" s="560"/>
      <c r="D312" s="560"/>
      <c r="E312" s="560"/>
      <c r="F312" s="560"/>
      <c r="G312" s="54"/>
    </row>
    <row r="313" spans="2:7" s="26" customFormat="1" ht="12.95" customHeight="1">
      <c r="B313" s="137"/>
      <c r="C313" s="137"/>
      <c r="D313" s="137"/>
      <c r="E313" s="137"/>
      <c r="F313" s="137"/>
      <c r="G313" s="54"/>
    </row>
    <row r="314" spans="2:7" s="26" customFormat="1" ht="12.95" customHeight="1">
      <c r="B314" s="574"/>
      <c r="C314" s="574"/>
      <c r="D314" s="574"/>
      <c r="E314" s="574"/>
      <c r="F314" s="574"/>
      <c r="G314" s="54"/>
    </row>
    <row r="315" spans="2:7" s="26" customFormat="1" ht="12.95" customHeight="1">
      <c r="B315" s="574"/>
      <c r="C315" s="574"/>
      <c r="D315" s="574"/>
      <c r="E315" s="574"/>
      <c r="F315" s="574"/>
      <c r="G315" s="54"/>
    </row>
    <row r="316" spans="2:7" s="26" customFormat="1" ht="12.75" customHeight="1">
      <c r="B316" s="217"/>
      <c r="C316" s="217"/>
      <c r="D316" s="217"/>
      <c r="E316" s="217"/>
      <c r="F316" s="217"/>
      <c r="G316" s="54"/>
    </row>
    <row r="317" spans="2:7" s="26" customFormat="1" ht="12.75" customHeight="1">
      <c r="B317" s="549" t="s">
        <v>317</v>
      </c>
      <c r="C317" s="549"/>
      <c r="D317" s="549"/>
      <c r="E317" s="549"/>
      <c r="F317" s="549"/>
      <c r="G317" s="54"/>
    </row>
    <row r="318" spans="2:7" s="26" customFormat="1" ht="12.75" customHeight="1">
      <c r="B318" s="557" t="s">
        <v>497</v>
      </c>
      <c r="C318" s="557"/>
      <c r="D318" s="557"/>
      <c r="E318" s="557"/>
      <c r="F318" s="557"/>
      <c r="G318" s="54"/>
    </row>
    <row r="319" spans="2:7" s="26" customFormat="1" ht="12.75" customHeight="1">
      <c r="B319" s="557"/>
      <c r="C319" s="557"/>
      <c r="D319" s="557"/>
      <c r="E319" s="557"/>
      <c r="F319" s="557"/>
      <c r="G319" s="54"/>
    </row>
    <row r="320" spans="2:7" s="26" customFormat="1" ht="12.75" customHeight="1">
      <c r="B320" s="217"/>
      <c r="C320" s="217"/>
      <c r="D320" s="217"/>
      <c r="E320" s="217"/>
      <c r="F320" s="217"/>
      <c r="G320" s="54"/>
    </row>
    <row r="321" spans="2:7" s="26" customFormat="1" ht="12.75" customHeight="1">
      <c r="B321" s="549" t="s">
        <v>318</v>
      </c>
      <c r="C321" s="549"/>
      <c r="D321" s="549"/>
      <c r="E321" s="549"/>
      <c r="F321" s="549"/>
      <c r="G321" s="54"/>
    </row>
    <row r="322" spans="2:7" s="26" customFormat="1" ht="12.75" customHeight="1">
      <c r="B322" s="557" t="s">
        <v>498</v>
      </c>
      <c r="C322" s="557"/>
      <c r="D322" s="557"/>
      <c r="E322" s="557"/>
      <c r="F322" s="557"/>
      <c r="G322" s="54"/>
    </row>
    <row r="323" spans="2:7" s="26" customFormat="1" ht="12.75" customHeight="1">
      <c r="B323" s="217"/>
      <c r="C323" s="217"/>
      <c r="D323" s="217"/>
      <c r="E323" s="217"/>
      <c r="F323" s="217"/>
      <c r="G323" s="54"/>
    </row>
    <row r="324" spans="2:7" s="26" customFormat="1" ht="12.95" customHeight="1">
      <c r="B324" s="549" t="s">
        <v>316</v>
      </c>
      <c r="C324" s="549"/>
      <c r="D324" s="549"/>
      <c r="E324" s="549"/>
      <c r="F324" s="549"/>
      <c r="G324" s="54"/>
    </row>
    <row r="325" spans="2:7" s="26" customFormat="1" ht="12.95" customHeight="1">
      <c r="B325" s="557" t="s">
        <v>499</v>
      </c>
      <c r="C325" s="557"/>
      <c r="D325" s="557"/>
      <c r="E325" s="557"/>
      <c r="F325" s="557"/>
      <c r="G325" s="54"/>
    </row>
    <row r="326" spans="2:7" s="26" customFormat="1" ht="12.95" customHeight="1">
      <c r="B326" s="557"/>
      <c r="C326" s="557"/>
      <c r="D326" s="557"/>
      <c r="E326" s="557"/>
      <c r="F326" s="557"/>
      <c r="G326" s="54"/>
    </row>
    <row r="327" spans="2:7" s="26" customFormat="1" ht="12.95" customHeight="1">
      <c r="B327" s="216"/>
      <c r="C327" s="216"/>
      <c r="D327" s="216"/>
      <c r="E327" s="216"/>
      <c r="F327" s="216"/>
      <c r="G327" s="54"/>
    </row>
    <row r="328" spans="2:7" s="26" customFormat="1" ht="12.95" customHeight="1">
      <c r="B328" s="552" t="s">
        <v>217</v>
      </c>
      <c r="C328" s="552"/>
      <c r="D328" s="552"/>
      <c r="E328" s="552"/>
      <c r="F328" s="552"/>
      <c r="G328" s="54"/>
    </row>
    <row r="329" spans="2:7" s="26" customFormat="1" ht="12.95" customHeight="1">
      <c r="B329" s="216"/>
      <c r="C329" s="216"/>
      <c r="D329" s="216"/>
      <c r="E329" s="216"/>
      <c r="F329" s="216"/>
      <c r="G329" s="54"/>
    </row>
    <row r="330" spans="2:7" s="26" customFormat="1" ht="12.95" customHeight="1">
      <c r="B330" s="551" t="s">
        <v>215</v>
      </c>
      <c r="C330" s="551"/>
      <c r="D330" s="551"/>
      <c r="E330" s="551"/>
      <c r="F330" s="551"/>
      <c r="G330" s="54"/>
    </row>
    <row r="331" spans="2:7" s="26" customFormat="1" ht="12.95" customHeight="1">
      <c r="B331" s="65"/>
      <c r="C331" s="65"/>
      <c r="D331" s="65"/>
      <c r="E331" s="65"/>
      <c r="F331" s="65"/>
      <c r="G331" s="54"/>
    </row>
    <row r="332" spans="2:7" s="26" customFormat="1" ht="12.95" customHeight="1">
      <c r="B332" s="218" t="s">
        <v>28</v>
      </c>
      <c r="C332" s="219"/>
      <c r="D332" s="219"/>
      <c r="E332" s="219"/>
      <c r="F332" s="220" t="s">
        <v>217</v>
      </c>
      <c r="G332" s="54"/>
    </row>
    <row r="333" spans="2:7" s="26" customFormat="1" ht="36.950000000000003" customHeight="1">
      <c r="B333" s="568" t="s">
        <v>506</v>
      </c>
      <c r="C333" s="569"/>
      <c r="D333" s="569"/>
      <c r="E333" s="569"/>
      <c r="F333" s="570"/>
      <c r="G333" s="54"/>
    </row>
    <row r="334" spans="2:7" s="26" customFormat="1" ht="15">
      <c r="B334" s="218" t="s">
        <v>288</v>
      </c>
      <c r="C334" s="219"/>
      <c r="D334" s="219"/>
      <c r="E334" s="219"/>
      <c r="F334" s="220" t="s">
        <v>217</v>
      </c>
      <c r="G334" s="54"/>
    </row>
    <row r="335" spans="2:7" s="26" customFormat="1" ht="71.25" customHeight="1">
      <c r="B335" s="563" t="s">
        <v>508</v>
      </c>
      <c r="C335" s="563"/>
      <c r="D335" s="563"/>
      <c r="E335" s="563"/>
      <c r="F335" s="564"/>
      <c r="G335" s="54"/>
    </row>
    <row r="336" spans="2:7" s="26" customFormat="1" ht="15">
      <c r="B336" s="218" t="s">
        <v>214</v>
      </c>
      <c r="C336" s="219"/>
      <c r="D336" s="219"/>
      <c r="E336" s="219"/>
      <c r="F336" s="220" t="s">
        <v>217</v>
      </c>
      <c r="G336" s="54"/>
    </row>
    <row r="337" spans="2:7" s="26" customFormat="1" ht="12.75" customHeight="1">
      <c r="B337" s="581" t="s">
        <v>507</v>
      </c>
      <c r="C337" s="582"/>
      <c r="D337" s="582"/>
      <c r="E337" s="582"/>
      <c r="F337" s="583"/>
      <c r="G337" s="54"/>
    </row>
    <row r="338" spans="2:7" s="26" customFormat="1">
      <c r="B338" s="584"/>
      <c r="C338" s="585"/>
      <c r="D338" s="585"/>
      <c r="E338" s="585"/>
      <c r="F338" s="586"/>
      <c r="G338" s="54"/>
    </row>
    <row r="339" spans="2:7" s="26" customFormat="1" ht="12.6" customHeight="1">
      <c r="B339" s="584"/>
      <c r="C339" s="585"/>
      <c r="D339" s="585"/>
      <c r="E339" s="585"/>
      <c r="F339" s="586"/>
      <c r="G339" s="54"/>
    </row>
    <row r="340" spans="2:7" s="26" customFormat="1">
      <c r="B340" s="584"/>
      <c r="C340" s="585"/>
      <c r="D340" s="585"/>
      <c r="E340" s="585"/>
      <c r="F340" s="586"/>
      <c r="G340" s="54"/>
    </row>
    <row r="341" spans="2:7" s="26" customFormat="1">
      <c r="B341" s="584"/>
      <c r="C341" s="585"/>
      <c r="D341" s="585"/>
      <c r="E341" s="585"/>
      <c r="F341" s="586"/>
      <c r="G341" s="54"/>
    </row>
    <row r="342" spans="2:7" s="26" customFormat="1">
      <c r="B342" s="584"/>
      <c r="C342" s="585"/>
      <c r="D342" s="585"/>
      <c r="E342" s="585"/>
      <c r="F342" s="586"/>
      <c r="G342" s="54"/>
    </row>
    <row r="343" spans="2:7" s="26" customFormat="1">
      <c r="B343" s="584"/>
      <c r="C343" s="585"/>
      <c r="D343" s="585"/>
      <c r="E343" s="585"/>
      <c r="F343" s="586"/>
      <c r="G343" s="54"/>
    </row>
    <row r="344" spans="2:7" s="26" customFormat="1">
      <c r="B344" s="584"/>
      <c r="C344" s="585"/>
      <c r="D344" s="585"/>
      <c r="E344" s="585"/>
      <c r="F344" s="586"/>
      <c r="G344" s="54"/>
    </row>
    <row r="345" spans="2:7" s="26" customFormat="1">
      <c r="B345" s="584"/>
      <c r="C345" s="585"/>
      <c r="D345" s="585"/>
      <c r="E345" s="585"/>
      <c r="F345" s="586"/>
      <c r="G345" s="54"/>
    </row>
    <row r="346" spans="2:7" s="26" customFormat="1">
      <c r="B346" s="584"/>
      <c r="C346" s="585"/>
      <c r="D346" s="585"/>
      <c r="E346" s="585"/>
      <c r="F346" s="586"/>
      <c r="G346" s="54"/>
    </row>
    <row r="347" spans="2:7" s="26" customFormat="1" ht="12.6" customHeight="1">
      <c r="B347" s="584"/>
      <c r="C347" s="585"/>
      <c r="D347" s="585"/>
      <c r="E347" s="585"/>
      <c r="F347" s="586"/>
      <c r="G347" s="54"/>
    </row>
    <row r="348" spans="2:7" s="26" customFormat="1">
      <c r="B348" s="584"/>
      <c r="C348" s="585"/>
      <c r="D348" s="585"/>
      <c r="E348" s="585"/>
      <c r="F348" s="586"/>
      <c r="G348" s="54"/>
    </row>
    <row r="349" spans="2:7" s="26" customFormat="1">
      <c r="B349" s="584"/>
      <c r="C349" s="585"/>
      <c r="D349" s="585"/>
      <c r="E349" s="585"/>
      <c r="F349" s="586"/>
      <c r="G349" s="54"/>
    </row>
    <row r="350" spans="2:7" s="26" customFormat="1">
      <c r="B350" s="584"/>
      <c r="C350" s="585"/>
      <c r="D350" s="585"/>
      <c r="E350" s="585"/>
      <c r="F350" s="586"/>
      <c r="G350" s="54"/>
    </row>
    <row r="351" spans="2:7" s="60" customFormat="1">
      <c r="B351" s="584"/>
      <c r="C351" s="585"/>
      <c r="D351" s="585"/>
      <c r="E351" s="585"/>
      <c r="F351" s="586"/>
      <c r="G351" s="59"/>
    </row>
    <row r="352" spans="2:7" s="60" customFormat="1">
      <c r="B352" s="584"/>
      <c r="C352" s="585"/>
      <c r="D352" s="585"/>
      <c r="E352" s="585"/>
      <c r="F352" s="586"/>
      <c r="G352" s="59"/>
    </row>
    <row r="353" spans="2:7" s="60" customFormat="1">
      <c r="B353" s="584"/>
      <c r="C353" s="585"/>
      <c r="D353" s="585"/>
      <c r="E353" s="585"/>
      <c r="F353" s="586"/>
      <c r="G353" s="59"/>
    </row>
    <row r="354" spans="2:7" ht="28.5" customHeight="1">
      <c r="B354" s="587"/>
      <c r="C354" s="588"/>
      <c r="D354" s="588"/>
      <c r="E354" s="588"/>
      <c r="F354" s="589"/>
      <c r="G354" s="54"/>
    </row>
    <row r="355" spans="2:7" ht="15">
      <c r="B355" s="218" t="s">
        <v>328</v>
      </c>
      <c r="C355" s="219"/>
      <c r="D355" s="219"/>
      <c r="E355" s="219"/>
      <c r="F355" s="220" t="s">
        <v>217</v>
      </c>
      <c r="G355" s="54"/>
    </row>
    <row r="356" spans="2:7" ht="45.75" customHeight="1">
      <c r="B356" s="568" t="s">
        <v>509</v>
      </c>
      <c r="C356" s="569"/>
      <c r="D356" s="569"/>
      <c r="E356" s="569"/>
      <c r="F356" s="570"/>
      <c r="G356" s="54"/>
    </row>
    <row r="357" spans="2:7" ht="15">
      <c r="B357" s="218" t="s">
        <v>216</v>
      </c>
      <c r="C357" s="219"/>
      <c r="D357" s="219"/>
      <c r="E357" s="219"/>
      <c r="F357" s="220" t="s">
        <v>217</v>
      </c>
      <c r="G357" s="54"/>
    </row>
    <row r="358" spans="2:7" ht="72.75" customHeight="1">
      <c r="B358" s="562" t="s">
        <v>512</v>
      </c>
      <c r="C358" s="563"/>
      <c r="D358" s="563"/>
      <c r="E358" s="563"/>
      <c r="F358" s="564"/>
      <c r="G358" s="54"/>
    </row>
    <row r="359" spans="2:7" ht="275.25" customHeight="1">
      <c r="B359" s="565"/>
      <c r="C359" s="566"/>
      <c r="D359" s="566"/>
      <c r="E359" s="566"/>
      <c r="F359" s="567"/>
      <c r="G359" s="54"/>
    </row>
    <row r="360" spans="2:7" ht="30.95" customHeight="1">
      <c r="G360" s="54"/>
    </row>
    <row r="361" spans="2:7">
      <c r="B361" s="54"/>
      <c r="C361" s="54"/>
      <c r="D361" s="54"/>
      <c r="E361" s="54"/>
      <c r="F361" s="54"/>
      <c r="G361" s="54"/>
    </row>
    <row r="362" spans="2:7">
      <c r="B362" s="54"/>
    </row>
    <row r="363" spans="2:7">
      <c r="B363" s="54"/>
    </row>
    <row r="364" spans="2:7" ht="26.25" customHeight="1">
      <c r="B364" s="54"/>
    </row>
    <row r="365" spans="2:7" ht="12.6" customHeight="1">
      <c r="B365" s="54"/>
      <c r="C365" s="54"/>
      <c r="D365" s="54"/>
      <c r="E365" s="54"/>
      <c r="F365" s="54"/>
      <c r="G365" s="54"/>
    </row>
    <row r="366" spans="2:7">
      <c r="B366" s="54"/>
      <c r="C366" s="54"/>
      <c r="D366" s="54"/>
      <c r="E366" s="54"/>
      <c r="F366" s="54"/>
      <c r="G366" s="54"/>
    </row>
    <row r="367" spans="2:7">
      <c r="B367" s="54"/>
      <c r="C367" s="54"/>
      <c r="D367" s="54"/>
      <c r="E367" s="54"/>
      <c r="F367" s="54"/>
      <c r="G367" s="54"/>
    </row>
    <row r="368" spans="2:7">
      <c r="G368" s="54"/>
    </row>
    <row r="369" spans="2:7">
      <c r="G369" s="54"/>
    </row>
    <row r="370" spans="2:7">
      <c r="G370" s="54"/>
    </row>
    <row r="371" spans="2:7">
      <c r="G371" s="54"/>
    </row>
    <row r="372" spans="2:7" ht="28.5" customHeight="1">
      <c r="G372" s="54"/>
    </row>
    <row r="373" spans="2:7" ht="12.6" customHeight="1">
      <c r="G373" s="54"/>
    </row>
    <row r="374" spans="2:7">
      <c r="G374" s="54"/>
    </row>
    <row r="375" spans="2:7">
      <c r="G375" s="54"/>
    </row>
    <row r="376" spans="2:7">
      <c r="G376" s="54"/>
    </row>
    <row r="377" spans="2:7">
      <c r="G377" s="54"/>
    </row>
    <row r="378" spans="2:7">
      <c r="G378" s="54"/>
    </row>
    <row r="379" spans="2:7" s="58" customFormat="1" ht="28.5" customHeight="1">
      <c r="B379" s="25"/>
      <c r="C379" s="25"/>
      <c r="D379" s="25"/>
      <c r="E379" s="25"/>
      <c r="F379" s="25"/>
      <c r="G379" s="57"/>
    </row>
    <row r="380" spans="2:7" s="58" customFormat="1" ht="12.6" customHeight="1">
      <c r="B380" s="25"/>
      <c r="C380" s="25"/>
      <c r="D380" s="25"/>
      <c r="E380" s="25"/>
      <c r="F380" s="25"/>
      <c r="G380" s="57"/>
    </row>
    <row r="381" spans="2:7" s="58" customFormat="1">
      <c r="B381" s="25"/>
      <c r="C381" s="25"/>
      <c r="D381" s="25"/>
      <c r="E381" s="25"/>
      <c r="F381" s="25"/>
      <c r="G381" s="57"/>
    </row>
    <row r="382" spans="2:7">
      <c r="G382" s="54"/>
    </row>
    <row r="383" spans="2:7">
      <c r="G383" s="54"/>
    </row>
    <row r="384" spans="2:7" ht="48.75" customHeight="1">
      <c r="G384" s="54"/>
    </row>
    <row r="385" spans="2:7" s="61" customFormat="1" ht="290.25" customHeight="1">
      <c r="B385" s="25"/>
      <c r="C385" s="25"/>
      <c r="D385" s="25"/>
      <c r="E385" s="25"/>
      <c r="F385" s="25"/>
      <c r="G385" s="55"/>
    </row>
    <row r="386" spans="2:7" ht="12.6" customHeight="1">
      <c r="G386" s="54"/>
    </row>
    <row r="387" spans="2:7">
      <c r="G387" s="54"/>
    </row>
    <row r="388" spans="2:7">
      <c r="G388" s="54"/>
    </row>
    <row r="389" spans="2:7">
      <c r="G389" s="54"/>
    </row>
    <row r="390" spans="2:7" ht="28.5" customHeight="1">
      <c r="G390" s="54"/>
    </row>
    <row r="391" spans="2:7" ht="12.6" customHeight="1">
      <c r="G391" s="54"/>
    </row>
    <row r="392" spans="2:7">
      <c r="G392" s="54"/>
    </row>
    <row r="393" spans="2:7">
      <c r="G393" s="54"/>
    </row>
    <row r="394" spans="2:7">
      <c r="G394" s="54"/>
    </row>
    <row r="395" spans="2:7">
      <c r="G395" s="54"/>
    </row>
    <row r="396" spans="2:7">
      <c r="G396" s="54"/>
    </row>
    <row r="397" spans="2:7">
      <c r="G397" s="54"/>
    </row>
    <row r="398" spans="2:7">
      <c r="G398" s="54"/>
    </row>
    <row r="399" spans="2:7">
      <c r="G399" s="54"/>
    </row>
  </sheetData>
  <sheetProtection algorithmName="SHA-512" hashValue="FjThYiSOTFzhqgsYv52f0q+snxcud1hgqB1OnIoEfAH1EJWhvPSdJkywLHCS+sdfoQN4+ktUiFa9PqiXNDOIyQ==" saltValue="wX436AA79VMX8C+cHzohpQ==" spinCount="100000" sheet="1" objects="1" scenarios="1"/>
  <mergeCells count="243">
    <mergeCell ref="B337:F354"/>
    <mergeCell ref="B335:F335"/>
    <mergeCell ref="B263:F263"/>
    <mergeCell ref="B51:D51"/>
    <mergeCell ref="B52:D52"/>
    <mergeCell ref="B53:D53"/>
    <mergeCell ref="B54:D54"/>
    <mergeCell ref="B55:D55"/>
    <mergeCell ref="B56:D56"/>
    <mergeCell ref="B77:F78"/>
    <mergeCell ref="B82:F85"/>
    <mergeCell ref="B227:F227"/>
    <mergeCell ref="B159:F159"/>
    <mergeCell ref="B161:F161"/>
    <mergeCell ref="B175:F175"/>
    <mergeCell ref="B177:F177"/>
    <mergeCell ref="B178:F178"/>
    <mergeCell ref="B179:F179"/>
    <mergeCell ref="B196:F196"/>
    <mergeCell ref="B166:F166"/>
    <mergeCell ref="B185:F185"/>
    <mergeCell ref="B205:F205"/>
    <mergeCell ref="B197:F197"/>
    <mergeCell ref="B190:F190"/>
    <mergeCell ref="B203:F203"/>
    <mergeCell ref="B182:F182"/>
    <mergeCell ref="B160:F160"/>
    <mergeCell ref="B163:F163"/>
    <mergeCell ref="B164:F164"/>
    <mergeCell ref="B170:F171"/>
    <mergeCell ref="B183:F183"/>
    <mergeCell ref="B186:F187"/>
    <mergeCell ref="B191:F192"/>
    <mergeCell ref="B193:F194"/>
    <mergeCell ref="B188:F188"/>
    <mergeCell ref="B189:F189"/>
    <mergeCell ref="B5:F5"/>
    <mergeCell ref="B1:F1"/>
    <mergeCell ref="B3:F3"/>
    <mergeCell ref="B12:D12"/>
    <mergeCell ref="B13:D13"/>
    <mergeCell ref="B14:D14"/>
    <mergeCell ref="B18:D18"/>
    <mergeCell ref="B19:D19"/>
    <mergeCell ref="B20:D20"/>
    <mergeCell ref="B8:D8"/>
    <mergeCell ref="B9:D9"/>
    <mergeCell ref="B15:D15"/>
    <mergeCell ref="B16:D16"/>
    <mergeCell ref="B17:D17"/>
    <mergeCell ref="B31:D31"/>
    <mergeCell ref="B42:D42"/>
    <mergeCell ref="B43:D43"/>
    <mergeCell ref="B44:D44"/>
    <mergeCell ref="B49:D49"/>
    <mergeCell ref="B22:D22"/>
    <mergeCell ref="B23:D23"/>
    <mergeCell ref="B24:D24"/>
    <mergeCell ref="B25:D25"/>
    <mergeCell ref="B26:D26"/>
    <mergeCell ref="B27:D27"/>
    <mergeCell ref="B29:D29"/>
    <mergeCell ref="B30:D30"/>
    <mergeCell ref="B32:D32"/>
    <mergeCell ref="B150:C150"/>
    <mergeCell ref="B144:F144"/>
    <mergeCell ref="B57:D57"/>
    <mergeCell ref="B66:D66"/>
    <mergeCell ref="B67:D67"/>
    <mergeCell ref="B98:F98"/>
    <mergeCell ref="B73:F73"/>
    <mergeCell ref="B75:F75"/>
    <mergeCell ref="B96:F96"/>
    <mergeCell ref="B97:F97"/>
    <mergeCell ref="B91:F91"/>
    <mergeCell ref="B93:F93"/>
    <mergeCell ref="B87:F87"/>
    <mergeCell ref="B89:F89"/>
    <mergeCell ref="B88:F88"/>
    <mergeCell ref="B92:F92"/>
    <mergeCell ref="B81:F81"/>
    <mergeCell ref="B146:F146"/>
    <mergeCell ref="B102:F103"/>
    <mergeCell ref="B129:F129"/>
    <mergeCell ref="B143:F143"/>
    <mergeCell ref="B148:F148"/>
    <mergeCell ref="B105:F105"/>
    <mergeCell ref="B135:F135"/>
    <mergeCell ref="B324:F324"/>
    <mergeCell ref="B325:F326"/>
    <mergeCell ref="B328:F328"/>
    <mergeCell ref="B291:F292"/>
    <mergeCell ref="B147:F147"/>
    <mergeCell ref="B149:F149"/>
    <mergeCell ref="B181:F181"/>
    <mergeCell ref="B136:F136"/>
    <mergeCell ref="B141:F141"/>
    <mergeCell ref="B145:F145"/>
    <mergeCell ref="B157:F157"/>
    <mergeCell ref="B168:F168"/>
    <mergeCell ref="B173:F173"/>
    <mergeCell ref="B174:F174"/>
    <mergeCell ref="B158:C158"/>
    <mergeCell ref="B153:F153"/>
    <mergeCell ref="B151:F151"/>
    <mergeCell ref="B152:F152"/>
    <mergeCell ref="B155:F155"/>
    <mergeCell ref="B156:F156"/>
    <mergeCell ref="B206:F206"/>
    <mergeCell ref="B198:F199"/>
    <mergeCell ref="B201:F201"/>
    <mergeCell ref="B202:F202"/>
    <mergeCell ref="B247:F247"/>
    <mergeCell ref="B242:F243"/>
    <mergeCell ref="B256:F256"/>
    <mergeCell ref="B229:F229"/>
    <mergeCell ref="B330:F330"/>
    <mergeCell ref="B264:F264"/>
    <mergeCell ref="B265:F265"/>
    <mergeCell ref="B268:F268"/>
    <mergeCell ref="B266:F266"/>
    <mergeCell ref="B307:F307"/>
    <mergeCell ref="B308:F308"/>
    <mergeCell ref="B309:F309"/>
    <mergeCell ref="B310:F310"/>
    <mergeCell ref="B287:F287"/>
    <mergeCell ref="B288:F288"/>
    <mergeCell ref="B270:F271"/>
    <mergeCell ref="B276:F278"/>
    <mergeCell ref="B281:F282"/>
    <mergeCell ref="B317:F317"/>
    <mergeCell ref="B318:F319"/>
    <mergeCell ref="B321:F321"/>
    <mergeCell ref="B322:F322"/>
    <mergeCell ref="B312:F312"/>
    <mergeCell ref="B314:F315"/>
    <mergeCell ref="B293:F295"/>
    <mergeCell ref="B299:F300"/>
    <mergeCell ref="B304:F305"/>
    <mergeCell ref="B290:F290"/>
    <mergeCell ref="B297:F297"/>
    <mergeCell ref="B298:F298"/>
    <mergeCell ref="B302:F302"/>
    <mergeCell ref="B303:F303"/>
    <mergeCell ref="B273:F273"/>
    <mergeCell ref="B280:F280"/>
    <mergeCell ref="B286:F286"/>
    <mergeCell ref="B208:F208"/>
    <mergeCell ref="B254:F254"/>
    <mergeCell ref="B258:F258"/>
    <mergeCell ref="B259:F259"/>
    <mergeCell ref="B209:C209"/>
    <mergeCell ref="B283:F284"/>
    <mergeCell ref="B260:F261"/>
    <mergeCell ref="B274:F275"/>
    <mergeCell ref="B134:F134"/>
    <mergeCell ref="B216:F216"/>
    <mergeCell ref="B218:F218"/>
    <mergeCell ref="B219:F219"/>
    <mergeCell ref="B223:F223"/>
    <mergeCell ref="B225:F225"/>
    <mergeCell ref="B224:F224"/>
    <mergeCell ref="B220:F221"/>
    <mergeCell ref="B235:F235"/>
    <mergeCell ref="B236:F236"/>
    <mergeCell ref="B237:F238"/>
    <mergeCell ref="B228:F228"/>
    <mergeCell ref="B240:F240"/>
    <mergeCell ref="B241:F241"/>
    <mergeCell ref="B245:F245"/>
    <mergeCell ref="B246:F246"/>
    <mergeCell ref="B358:F359"/>
    <mergeCell ref="B356:F356"/>
    <mergeCell ref="B68:D68"/>
    <mergeCell ref="B70:D70"/>
    <mergeCell ref="B69:D69"/>
    <mergeCell ref="B252:F252"/>
    <mergeCell ref="B212:F212"/>
    <mergeCell ref="B207:F207"/>
    <mergeCell ref="B210:F210"/>
    <mergeCell ref="B214:F214"/>
    <mergeCell ref="B215:F215"/>
    <mergeCell ref="B231:F231"/>
    <mergeCell ref="B232:F232"/>
    <mergeCell ref="B233:F233"/>
    <mergeCell ref="B249:F249"/>
    <mergeCell ref="B250:F250"/>
    <mergeCell ref="B251:F251"/>
    <mergeCell ref="B95:F95"/>
    <mergeCell ref="B113:F113"/>
    <mergeCell ref="B109:F109"/>
    <mergeCell ref="B111:F111"/>
    <mergeCell ref="B114:F114"/>
    <mergeCell ref="B100:F100"/>
    <mergeCell ref="B333:F333"/>
    <mergeCell ref="B126:F126"/>
    <mergeCell ref="B65:D65"/>
    <mergeCell ref="B6:D6"/>
    <mergeCell ref="B80:F80"/>
    <mergeCell ref="B139:F139"/>
    <mergeCell ref="B33:D33"/>
    <mergeCell ref="B36:D36"/>
    <mergeCell ref="B38:D38"/>
    <mergeCell ref="B39:D39"/>
    <mergeCell ref="B40:D40"/>
    <mergeCell ref="B41:D41"/>
    <mergeCell ref="B45:D45"/>
    <mergeCell ref="B46:D46"/>
    <mergeCell ref="B48:D48"/>
    <mergeCell ref="B21:D21"/>
    <mergeCell ref="B28:D28"/>
    <mergeCell ref="B37:D37"/>
    <mergeCell ref="B47:D47"/>
    <mergeCell ref="B7:D7"/>
    <mergeCell ref="B50:D50"/>
    <mergeCell ref="B10:D10"/>
    <mergeCell ref="B11:D11"/>
    <mergeCell ref="B35:D35"/>
    <mergeCell ref="B34:D34"/>
    <mergeCell ref="B140:F140"/>
    <mergeCell ref="B58:D58"/>
    <mergeCell ref="B59:D59"/>
    <mergeCell ref="B60:D60"/>
    <mergeCell ref="B61:D61"/>
    <mergeCell ref="B64:F64"/>
    <mergeCell ref="B137:F137"/>
    <mergeCell ref="B117:C117"/>
    <mergeCell ref="B121:C121"/>
    <mergeCell ref="B118:F118"/>
    <mergeCell ref="B119:F119"/>
    <mergeCell ref="B120:F120"/>
    <mergeCell ref="B107:F107"/>
    <mergeCell ref="B106:F106"/>
    <mergeCell ref="B110:F110"/>
    <mergeCell ref="B115:F116"/>
    <mergeCell ref="B127:F128"/>
    <mergeCell ref="B130:F130"/>
    <mergeCell ref="B131:F131"/>
    <mergeCell ref="B132:F132"/>
    <mergeCell ref="B125:C125"/>
    <mergeCell ref="B122:F122"/>
    <mergeCell ref="B123:F123"/>
    <mergeCell ref="B124:F124"/>
  </mergeCells>
  <hyperlinks>
    <hyperlink ref="B12:D12" location="'Errors &amp; Weighting definitions'!A100" display="'Errors &amp; Weighting definitions'!A100" xr:uid="{00000000-0004-0000-0300-000000000000}"/>
    <hyperlink ref="B13:D13" location="'Errors &amp; Weighting definitions'!A105" display="'Errors &amp; Weighting definitions'!A105" xr:uid="{00000000-0004-0000-0300-000001000000}"/>
    <hyperlink ref="B5:F5" location="'Errors &amp; Weighting definitions'!A72" display="CATEGORIES &amp; SUBCATEGORIES – DEFINITIONS &amp; EXAMPLES" xr:uid="{00000000-0004-0000-0300-000002000000}"/>
    <hyperlink ref="B98" location="'Errors &amp; Weighting definitions'!A5" display="Back &gt;" xr:uid="{00000000-0004-0000-0300-000003000000}"/>
    <hyperlink ref="B166" location="'Errors &amp; Weighting definitions'!A5" display="Back &gt;" xr:uid="{00000000-0004-0000-0300-000004000000}"/>
    <hyperlink ref="B252" location="'Errors &amp; Weighting definitions'!A5" display="Back &gt;" xr:uid="{00000000-0004-0000-0300-000005000000}"/>
    <hyperlink ref="B208" location="'Errors &amp; Weighting definitions'!A5" display="Back &gt;" xr:uid="{00000000-0004-0000-0300-000006000000}"/>
    <hyperlink ref="B266" location="'Errors &amp; Weighting definitions'!A5" display="Back &gt;" xr:uid="{00000000-0004-0000-0300-000007000000}"/>
    <hyperlink ref="B310" location="'Errors &amp; Weighting definitions'!A5" display="Back &gt;" xr:uid="{00000000-0004-0000-0300-000008000000}"/>
    <hyperlink ref="B73:F73" location="'Errors &amp; Weighting definitions'!A5" display="CATEGORIES &amp; SUBCATEGORIES – DEFINITIONS &amp; EXAMPLES" xr:uid="{00000000-0004-0000-0300-000009000000}"/>
    <hyperlink ref="B137" location="'Errors &amp; Weighting definitions'!A5" display="Back &gt;" xr:uid="{00000000-0004-0000-0300-00000A000000}"/>
    <hyperlink ref="B21:D21" location="'Errors &amp; Weighting definitions'!A139" display="'Errors &amp; Weighting definitions'!A139" xr:uid="{00000000-0004-0000-0300-00000B000000}"/>
    <hyperlink ref="B22:C22" location="'Errors &amp; Weighting definitions'!A90" display="     Address format" xr:uid="{00000000-0004-0000-0300-00000C000000}"/>
    <hyperlink ref="B28:D28" location="'Errors &amp; Weighting definitions'!A168" display="'Errors &amp; Weighting definitions'!A168" xr:uid="{00000000-0004-0000-0300-00000D000000}"/>
    <hyperlink ref="B29" location="'Errors &amp; Weighting definitions'!A117" display="     Awkward" xr:uid="{00000000-0004-0000-0300-00000E000000}"/>
    <hyperlink ref="B37:D37" location="'Errors &amp; Weighting definitions'!A210" display="'Errors &amp; Weighting definitions'!A210" xr:uid="{00000000-0004-0000-0300-00000F000000}"/>
    <hyperlink ref="B38:D38" location="'Errors &amp; Weighting definitions'!A214" display="'Errors &amp; Weighting definitions'!A214" xr:uid="{00000000-0004-0000-0300-000010000000}"/>
    <hyperlink ref="B47:D47" location="'Errors &amp; Weighting definitions'!A254" display="'Errors &amp; Weighting definitions'!A254" xr:uid="{00000000-0004-0000-0300-000011000000}"/>
    <hyperlink ref="B48:D48" location="'Errors &amp; Weighting definitions'!A258" display="'Errors &amp; Weighting definitions'!A258" xr:uid="{00000000-0004-0000-0300-000012000000}"/>
    <hyperlink ref="B7:D7" location="'Errors &amp; Weighting definitions'!A75" display="'Errors &amp; Weighting definitions'!A75" xr:uid="{00000000-0004-0000-0300-000013000000}"/>
    <hyperlink ref="B50:D50" location="'Errors &amp; Weighting definitions'!A268" display="'Errors &amp; Weighting definitions'!A268" xr:uid="{00000000-0004-0000-0300-000014000000}"/>
    <hyperlink ref="B64:F64" location="'Errors &amp; Weighting definitions'!A329" display="SEVERITIES - DEFINITIONS" xr:uid="{00000000-0004-0000-0300-000015000000}"/>
    <hyperlink ref="B66:D66" location="'Errors &amp; Weighting definitions'!A332" display="Minor Error" xr:uid="{00000000-0004-0000-0300-000016000000}"/>
    <hyperlink ref="B67:D67" location="'Errors &amp; Weighting definitions'!A334" display="Major Error" xr:uid="{00000000-0004-0000-0300-000017000000}"/>
    <hyperlink ref="B68:D68" location="'Errors &amp; Weighting definitions'!A336" display="Critical Error" xr:uid="{00000000-0004-0000-0300-000018000000}"/>
    <hyperlink ref="B70:D70" location="'Errors &amp; Weighting definitions'!A357" display="Repeated Error" xr:uid="{00000000-0004-0000-0300-000019000000}"/>
    <hyperlink ref="B69:D69" location="'Errors &amp; Weighting definitions'!A355" display="Neutral" xr:uid="{00000000-0004-0000-0300-00001A000000}"/>
    <hyperlink ref="B22:D22" location="'Errors &amp; Weighting definitions'!A143" display="'Errors &amp; Weighting definitions'!A143" xr:uid="{00000000-0004-0000-0300-00001B000000}"/>
    <hyperlink ref="B29:D29" location="'Errors &amp; Weighting definitions'!A173" display="'Errors &amp; Weighting definitions'!A173" xr:uid="{00000000-0004-0000-0300-00001C000000}"/>
    <hyperlink ref="B8:D8" location="'Errors &amp; Weighting definitions'!A80" display="'Errors &amp; Weighting definitions'!A80" xr:uid="{00000000-0004-0000-0300-00001D000000}"/>
    <hyperlink ref="B9:D11" location="'Errors &amp; Weighting definitions'!A189" display="     Inconsistent with termbase " xr:uid="{00000000-0004-0000-0300-00001E000000}"/>
    <hyperlink ref="B14:D20" location="'Errors &amp; Weighting definitions'!A62" display="     Addition" xr:uid="{00000000-0004-0000-0300-00001F000000}"/>
    <hyperlink ref="B23:C23" location="'Errors &amp; Weighting definitions'!A90" display="     Address format" xr:uid="{00000000-0004-0000-0300-000020000000}"/>
    <hyperlink ref="B24:C24" location="'Errors &amp; Weighting definitions'!A90" display="     Address format" xr:uid="{00000000-0004-0000-0300-000021000000}"/>
    <hyperlink ref="B25:C25" location="'Errors &amp; Weighting definitions'!A90" display="     Address format" xr:uid="{00000000-0004-0000-0300-000022000000}"/>
    <hyperlink ref="B26:C26" location="'Errors &amp; Weighting definitions'!A90" display="     Address format" xr:uid="{00000000-0004-0000-0300-000023000000}"/>
    <hyperlink ref="B27:C27" location="'Errors &amp; Weighting definitions'!A90" display="     Address format" xr:uid="{00000000-0004-0000-0300-000024000000}"/>
    <hyperlink ref="B23:D27" location="'Errors &amp; Weighting definitions'!A85" display="     Address format" xr:uid="{00000000-0004-0000-0300-000025000000}"/>
    <hyperlink ref="B30" location="'Errors &amp; Weighting definitions'!A117" display="     Awkward" xr:uid="{00000000-0004-0000-0300-000026000000}"/>
    <hyperlink ref="B31" location="'Errors &amp; Weighting definitions'!A117" display="     Awkward" xr:uid="{00000000-0004-0000-0300-000027000000}"/>
    <hyperlink ref="B32" location="'Errors &amp; Weighting definitions'!A117" display="     Awkward" xr:uid="{00000000-0004-0000-0300-000028000000}"/>
    <hyperlink ref="B33" location="'Errors &amp; Weighting definitions'!A117" display="     Awkward" xr:uid="{00000000-0004-0000-0300-000029000000}"/>
    <hyperlink ref="B51:D51" location="'Errors &amp; Weighting definitions'!A273" display="'Errors &amp; Weighting definitions'!A273" xr:uid="{00000000-0004-0000-0300-00002A000000}"/>
    <hyperlink ref="B52:D57" location="'Errors &amp; Weighting definitions'!A162" display="     Grammatical register " xr:uid="{00000000-0004-0000-0300-00002B000000}"/>
    <hyperlink ref="B328" location="'Errors &amp; Weighting definitions'!A5" display="Back &gt;" xr:uid="{00000000-0004-0000-0300-00002C000000}"/>
    <hyperlink ref="B9:D9" location="'Errors &amp; Weighting definitions'!A87" display="'Errors &amp; Weighting definitions'!A87" xr:uid="{00000000-0004-0000-0300-00002D000000}"/>
    <hyperlink ref="B10:D10" location="'Errors &amp; Weighting definitions'!A91" display="'Errors &amp; Weighting definitions'!A91" xr:uid="{00000000-0004-0000-0300-00002E000000}"/>
    <hyperlink ref="B11:D11" location="'Errors &amp; Weighting definitions'!A95" display="'Errors &amp; Weighting definitions'!A95" xr:uid="{00000000-0004-0000-0300-00002F000000}"/>
    <hyperlink ref="B14:D14" location="'Errors &amp; Weighting definitions'!A109" display="'Errors &amp; Weighting definitions'!A109" xr:uid="{00000000-0004-0000-0300-000030000000}"/>
    <hyperlink ref="B15:D15" location="'Errors &amp; Weighting definitions'!A113" display="'Errors &amp; Weighting definitions'!A113" xr:uid="{00000000-0004-0000-0300-000031000000}"/>
    <hyperlink ref="B16:D16" location="'Errors &amp; Weighting definitions'!A118" display="'Errors &amp; Weighting definitions'!A118" xr:uid="{00000000-0004-0000-0300-000032000000}"/>
    <hyperlink ref="B17:D17" location="'Errors &amp; Weighting definitions'!A122" display="'Errors &amp; Weighting definitions'!A122" xr:uid="{00000000-0004-0000-0300-000033000000}"/>
    <hyperlink ref="B18:D18" location="'Errors &amp; Weighting definitions'!A126" display="'Errors &amp; Weighting definitions'!A126" xr:uid="{00000000-0004-0000-0300-000034000000}"/>
    <hyperlink ref="B19:D19" location="'Errors &amp; Weighting definitions'!A130" display="'Errors &amp; Weighting definitions'!A130" xr:uid="{00000000-0004-0000-0300-000035000000}"/>
    <hyperlink ref="B20:D20" location="'Errors &amp; Weighting definitions'!A134" display="'Errors &amp; Weighting definitions'!A134" xr:uid="{00000000-0004-0000-0300-000036000000}"/>
    <hyperlink ref="B23:D23" location="'Errors &amp; Weighting definitions'!A147" display="'Errors &amp; Weighting definitions'!A147" xr:uid="{00000000-0004-0000-0300-000037000000}"/>
    <hyperlink ref="B24:D24" location="'Errors &amp; Weighting definitions'!A151" display="'Errors &amp; Weighting definitions'!A151" xr:uid="{00000000-0004-0000-0300-000038000000}"/>
    <hyperlink ref="B25:D25" location="'Errors &amp; Weighting definitions'!A155" display="'Errors &amp; Weighting definitions'!A155" xr:uid="{00000000-0004-0000-0300-000039000000}"/>
    <hyperlink ref="B26:D26" location="'Errors &amp; Weighting definitions'!A159" display="'Errors &amp; Weighting definitions'!A159" xr:uid="{00000000-0004-0000-0300-00003A000000}"/>
    <hyperlink ref="B27:D27" location="'Errors &amp; Weighting definitions'!A163" display="'Errors &amp; Weighting definitions'!A163" xr:uid="{00000000-0004-0000-0300-00003B000000}"/>
    <hyperlink ref="B30:D30" location="'Errors &amp; Weighting definitions'!A177" display="'Errors &amp; Weighting definitions'!A177" xr:uid="{00000000-0004-0000-0300-00003C000000}"/>
    <hyperlink ref="B31:D31" location="'Errors &amp; Weighting definitions'!A181" display="'Errors &amp; Weighting definitions'!A181" xr:uid="{00000000-0004-0000-0300-00003D000000}"/>
    <hyperlink ref="B32:D32" location="'Errors &amp; Weighting definitions'!A185" display="'Errors &amp; Weighting definitions'!A185" xr:uid="{00000000-0004-0000-0300-00003E000000}"/>
    <hyperlink ref="B33:D33" location="'Errors &amp; Weighting definitions'!A190" display="'Errors &amp; Weighting definitions'!A190" xr:uid="{00000000-0004-0000-0300-00003F000000}"/>
    <hyperlink ref="B34" location="'Errors &amp; Weighting definitions'!A117" display="     Awkward" xr:uid="{00000000-0004-0000-0300-000040000000}"/>
    <hyperlink ref="B35" location="'Errors &amp; Weighting definitions'!A117" display="     Awkward" xr:uid="{00000000-0004-0000-0300-000041000000}"/>
    <hyperlink ref="B36" location="'Errors &amp; Weighting definitions'!A117" display="     Awkward" xr:uid="{00000000-0004-0000-0300-000042000000}"/>
    <hyperlink ref="B34:D36" location="'Errors &amp; Weighting definitions'!A190" display="'Errors &amp; Weighting definitions'!A190" xr:uid="{00000000-0004-0000-0300-000043000000}"/>
    <hyperlink ref="B34:D34" location="'Errors &amp; Weighting definitions'!A196" display="'Errors &amp; Weighting definitions'!A196" xr:uid="{00000000-0004-0000-0300-000044000000}"/>
    <hyperlink ref="B35:D35" location="'Errors &amp; Weighting definitions'!A201" display="'Errors &amp; Weighting definitions'!A201" xr:uid="{00000000-0004-0000-0300-000045000000}"/>
    <hyperlink ref="B36:D36" location="'Errors &amp; Weighting definitions'!A205" display="'Errors &amp; Weighting definitions'!A205" xr:uid="{00000000-0004-0000-0300-000046000000}"/>
    <hyperlink ref="B39:D46" location="'Errors &amp; Weighting definitions'!A214" display="'Errors &amp; Weighting definitions'!A214" xr:uid="{00000000-0004-0000-0300-000047000000}"/>
    <hyperlink ref="B46:D46" location="'Errors &amp; Weighting definitions'!A249" display="'Errors &amp; Weighting definitions'!A249" xr:uid="{00000000-0004-0000-0300-000048000000}"/>
    <hyperlink ref="B49:D49" location="'Errors &amp; Weighting definitions'!A263" display="'Errors &amp; Weighting definitions'!A263" xr:uid="{00000000-0004-0000-0300-000049000000}"/>
    <hyperlink ref="B52:D52" location="'Errors &amp; Weighting definitions'!A280" display="'Errors &amp; Weighting definitions'!A280" xr:uid="{00000000-0004-0000-0300-00004A000000}"/>
    <hyperlink ref="B53:D53" location="'Errors &amp; Weighting definitions'!A286" display="'Errors &amp; Weighting definitions'!A286" xr:uid="{00000000-0004-0000-0300-00004B000000}"/>
    <hyperlink ref="B54:D54" location="'Errors &amp; Weighting definitions'!A290" display="'Errors &amp; Weighting definitions'!A290" xr:uid="{00000000-0004-0000-0300-00004C000000}"/>
    <hyperlink ref="B55:D55" location="'Errors &amp; Weighting definitions'!A297" display="'Errors &amp; Weighting definitions'!A297" xr:uid="{00000000-0004-0000-0300-00004D000000}"/>
    <hyperlink ref="B56:D56" location="'Errors &amp; Weighting definitions'!A302" display="'Errors &amp; Weighting definitions'!A302" xr:uid="{00000000-0004-0000-0300-00004E000000}"/>
    <hyperlink ref="B57:D57" location="'Errors &amp; Weighting definitions'!A307" display="'Errors &amp; Weighting definitions'!A307" xr:uid="{00000000-0004-0000-0300-00004F000000}"/>
    <hyperlink ref="B58:D58" location="'Errors &amp; Weighting definitions'!A312" display="'Errors &amp; Weighting definitions'!A312" xr:uid="{00000000-0004-0000-0300-000050000000}"/>
    <hyperlink ref="B59:D59" location="'Errors &amp; Weighting definitions'!A317" display="'Errors &amp; Weighting definitions'!A317" xr:uid="{00000000-0004-0000-0300-000051000000}"/>
    <hyperlink ref="B60:D60" location="'Errors &amp; Weighting definitions'!A321" display="'Errors &amp; Weighting definitions'!A321" xr:uid="{00000000-0004-0000-0300-000052000000}"/>
    <hyperlink ref="B61:D61" location="'Errors &amp; Weighting definitions'!A324" display="'Errors &amp; Weighting definitions'!A324" xr:uid="{00000000-0004-0000-0300-000053000000}"/>
    <hyperlink ref="F334" location="'Errors &amp; Weighting definitions'!A64" display="Back &gt;" xr:uid="{00000000-0004-0000-0300-000054000000}"/>
    <hyperlink ref="F336" location="'Errors &amp; Weighting definitions'!A64" display="Back &gt;" xr:uid="{00000000-0004-0000-0300-000055000000}"/>
    <hyperlink ref="F355" location="'Errors &amp; Weighting definitions'!A64" display="Back &gt;" xr:uid="{00000000-0004-0000-0300-000056000000}"/>
    <hyperlink ref="F357" location="'Errors &amp; Weighting definitions'!A64" display="Back &gt;" xr:uid="{00000000-0004-0000-0300-000057000000}"/>
    <hyperlink ref="F332" location="'Errors &amp; Weighting definitions'!A64" display="Back &gt;" xr:uid="{00000000-0004-0000-0300-000058000000}"/>
    <hyperlink ref="B39:D39" location="'Errors &amp; Weighting definitions'!A218" display="'Errors &amp; Weighting definitions'!A218" xr:uid="{00000000-0004-0000-0300-000059000000}"/>
    <hyperlink ref="B40:D40" location="'Errors &amp; Weighting definitions'!A223" display="'Errors &amp; Weighting definitions'!A223" xr:uid="{00000000-0004-0000-0300-00005A000000}"/>
    <hyperlink ref="B41:D41" location="'Errors &amp; Weighting definitions'!A227" display="'Errors &amp; Weighting definitions'!A227" xr:uid="{00000000-0004-0000-0300-00005B000000}"/>
    <hyperlink ref="B42:D42" location="'Errors &amp; Weighting definitions'!A231" display="'Errors &amp; Weighting definitions'!A231" xr:uid="{00000000-0004-0000-0300-00005C000000}"/>
    <hyperlink ref="B43:D43" location="'Errors &amp; Weighting definitions'!A235" display="'Errors &amp; Weighting definitions'!A235" xr:uid="{00000000-0004-0000-0300-00005D000000}"/>
    <hyperlink ref="B44:D44" location="'Errors &amp; Weighting definitions'!A240" display="'Errors &amp; Weighting definitions'!A240" xr:uid="{00000000-0004-0000-0300-00005E000000}"/>
    <hyperlink ref="B45:D45" location="'Errors &amp; Weighting definitions'!A245" display="'Errors &amp; Weighting definitions'!A245" xr:uid="{00000000-0004-0000-0300-00005F000000}"/>
  </hyperlinks>
  <printOptions horizontalCentered="1"/>
  <pageMargins left="0.59055118110236227" right="0.47244094488188981" top="0.70866141732283472" bottom="0.55118110236220474" header="0.31496062992125984" footer="0.19685039370078741"/>
  <pageSetup paperSize="9" scale="80" fitToHeight="0" orientation="portrait" r:id="rId1"/>
  <headerFooter alignWithMargins="0">
    <oddFooter>&amp;L&amp;"Noto Sans,Regular"&amp;9&amp;F&amp;C&amp;"Noto Sans,Regular"&amp;9Page &amp;P of &amp;N&amp;R&amp;"Noto Sans,Regular"&amp;9
Uncontrolled when in use</oddFooter>
  </headerFooter>
  <rowBreaks count="5" manualBreakCount="5">
    <brk id="57" min="1" max="5" man="1"/>
    <brk id="121" min="1" max="5" man="1"/>
    <brk id="189" min="1" max="5" man="1"/>
    <brk id="253" min="1" max="5" man="1"/>
    <brk id="329" min="1" max="5" man="1"/>
  </row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G26"/>
  <sheetViews>
    <sheetView topLeftCell="A2" zoomScaleNormal="100" workbookViewId="0">
      <selection activeCell="D10" sqref="D10"/>
    </sheetView>
  </sheetViews>
  <sheetFormatPr defaultColWidth="8.85546875" defaultRowHeight="15"/>
  <cols>
    <col min="1" max="1" width="9.85546875" style="223" customWidth="1"/>
    <col min="2" max="2" width="20.7109375" style="223" customWidth="1"/>
    <col min="3" max="3" width="24.28515625" style="223" customWidth="1"/>
    <col min="4" max="4" width="40.7109375" style="223" customWidth="1"/>
    <col min="5" max="7" width="25.7109375" style="223" customWidth="1"/>
    <col min="8" max="16384" width="8.85546875" style="223"/>
  </cols>
  <sheetData>
    <row r="1" spans="1:7" ht="43.9" customHeight="1">
      <c r="A1" s="590" t="s">
        <v>556</v>
      </c>
      <c r="B1" s="590"/>
      <c r="C1" s="590"/>
      <c r="D1" s="590"/>
      <c r="E1" s="590"/>
      <c r="F1" s="590"/>
      <c r="G1" s="222"/>
    </row>
    <row r="4" spans="1:7" s="225" customFormat="1" ht="30" customHeight="1">
      <c r="A4" s="224" t="s">
        <v>557</v>
      </c>
      <c r="B4" s="224" t="s">
        <v>558</v>
      </c>
      <c r="C4" s="224" t="s">
        <v>559</v>
      </c>
      <c r="D4" s="224" t="s">
        <v>560</v>
      </c>
      <c r="E4" s="224" t="s">
        <v>561</v>
      </c>
      <c r="F4" s="224" t="s">
        <v>562</v>
      </c>
      <c r="G4" s="224" t="s">
        <v>563</v>
      </c>
    </row>
    <row r="5" spans="1:7" s="229" customFormat="1" ht="30">
      <c r="A5" s="226">
        <v>1</v>
      </c>
      <c r="B5" s="227">
        <v>44727</v>
      </c>
      <c r="C5" s="226" t="s">
        <v>564</v>
      </c>
      <c r="D5" s="226" t="s">
        <v>565</v>
      </c>
      <c r="E5" s="226" t="s">
        <v>564</v>
      </c>
      <c r="F5" s="228" t="s">
        <v>566</v>
      </c>
      <c r="G5" s="227">
        <v>44727</v>
      </c>
    </row>
    <row r="6" spans="1:7" s="231" customFormat="1" ht="165">
      <c r="A6" s="226">
        <v>2</v>
      </c>
      <c r="B6" s="227">
        <v>45441</v>
      </c>
      <c r="C6" s="226" t="s">
        <v>564</v>
      </c>
      <c r="D6" s="230" t="s">
        <v>627</v>
      </c>
      <c r="E6" s="226" t="s">
        <v>564</v>
      </c>
      <c r="F6" s="228" t="s">
        <v>628</v>
      </c>
      <c r="G6" s="297">
        <v>45441</v>
      </c>
    </row>
    <row r="7" spans="1:7" s="231" customFormat="1" ht="90">
      <c r="A7" s="226">
        <v>3</v>
      </c>
      <c r="B7" s="227">
        <v>45476</v>
      </c>
      <c r="C7" s="226" t="s">
        <v>564</v>
      </c>
      <c r="D7" s="230" t="s">
        <v>629</v>
      </c>
      <c r="E7" s="226" t="s">
        <v>564</v>
      </c>
      <c r="F7" s="228" t="s">
        <v>628</v>
      </c>
      <c r="G7" s="227">
        <v>45476</v>
      </c>
    </row>
    <row r="8" spans="1:7">
      <c r="B8" s="232"/>
      <c r="G8" s="232"/>
    </row>
    <row r="9" spans="1:7">
      <c r="B9" s="232"/>
      <c r="G9" s="232"/>
    </row>
    <row r="10" spans="1:7">
      <c r="B10" s="232"/>
      <c r="G10" s="232"/>
    </row>
    <row r="11" spans="1:7">
      <c r="B11" s="232"/>
      <c r="G11" s="232"/>
    </row>
    <row r="12" spans="1:7">
      <c r="B12" s="232"/>
      <c r="G12" s="232"/>
    </row>
    <row r="13" spans="1:7">
      <c r="B13" s="232"/>
      <c r="G13" s="232"/>
    </row>
    <row r="14" spans="1:7">
      <c r="B14" s="232"/>
      <c r="G14" s="232"/>
    </row>
    <row r="15" spans="1:7">
      <c r="B15" s="232"/>
      <c r="G15" s="232"/>
    </row>
    <row r="16" spans="1:7">
      <c r="B16" s="232"/>
      <c r="G16" s="232"/>
    </row>
    <row r="17" spans="2:7">
      <c r="B17" s="232"/>
      <c r="G17" s="232"/>
    </row>
    <row r="18" spans="2:7">
      <c r="B18" s="232"/>
      <c r="G18" s="232"/>
    </row>
    <row r="19" spans="2:7">
      <c r="B19" s="232"/>
      <c r="G19" s="232"/>
    </row>
    <row r="20" spans="2:7">
      <c r="B20" s="232"/>
      <c r="G20" s="232"/>
    </row>
    <row r="21" spans="2:7">
      <c r="B21" s="232"/>
      <c r="G21" s="232"/>
    </row>
    <row r="22" spans="2:7">
      <c r="B22" s="232"/>
      <c r="G22" s="232"/>
    </row>
    <row r="23" spans="2:7">
      <c r="B23" s="232"/>
      <c r="G23" s="232"/>
    </row>
    <row r="24" spans="2:7">
      <c r="B24" s="232"/>
      <c r="G24" s="232"/>
    </row>
    <row r="25" spans="2:7">
      <c r="B25" s="232"/>
    </row>
    <row r="26" spans="2:7">
      <c r="B26" s="232"/>
    </row>
  </sheetData>
  <sheetProtection algorithmName="SHA-512" hashValue="R/P4hUCyzrgx7n01O/S074rSSHAVoUjyVwtGpY0p2xfLlw5L8NVMSZNJ5qL9FjSryzrKFQHDiKhSbkRg99dy7A==" saltValue="qgA7Eo7IgNqQapL19sIW9A==" spinCount="100000" sheet="1" objects="1" scenarios="1"/>
  <mergeCells count="1">
    <mergeCell ref="A1:F1"/>
  </mergeCells>
  <pageMargins left="0.70866141732283472" right="0.70866141732283472" top="0.74803149606299213" bottom="0.74803149606299213" header="0.31496062992125984" footer="0.31496062992125984"/>
  <pageSetup scale="75" fitToHeight="0" orientation="landscape" r:id="rId1"/>
  <headerFooter>
    <oddFooter>&amp;L&amp;"Noto Sans,Regular"&amp;9&amp;K414141&amp;F&amp;C&amp;"Noto Sans,Regular"&amp;9&amp;K414141Page &amp;P of &amp;N&amp;R&amp;"Noto Sans,Regular"&amp;9&amp;K414141
Uncontrolled when in use</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0E767-A170-4BB8-9FCC-6F5CF5626233}">
  <sheetPr codeName="Sheet7"/>
  <dimension ref="A1:N23"/>
  <sheetViews>
    <sheetView topLeftCell="A29" zoomScaleNormal="100" workbookViewId="0">
      <selection activeCell="C9" sqref="C9:H9"/>
    </sheetView>
  </sheetViews>
  <sheetFormatPr defaultRowHeight="12.75"/>
  <cols>
    <col min="1" max="1" width="2.85546875" style="233" bestFit="1" customWidth="1"/>
    <col min="2" max="2" width="9.28515625" style="233" customWidth="1"/>
    <col min="3" max="4" width="29.7109375" style="233" customWidth="1"/>
    <col min="5" max="5" width="9.7109375" style="233" customWidth="1"/>
    <col min="6" max="6" width="13.85546875" style="233" customWidth="1"/>
    <col min="7" max="13" width="9.140625" style="233"/>
    <col min="14" max="14" width="114.85546875" style="233" bestFit="1" customWidth="1"/>
    <col min="15" max="16384" width="9.140625" style="233"/>
  </cols>
  <sheetData>
    <row r="1" spans="1:14" ht="13.5" thickBot="1">
      <c r="A1" s="239" t="s">
        <v>591</v>
      </c>
      <c r="B1" s="237" t="s">
        <v>590</v>
      </c>
      <c r="C1" s="237" t="s">
        <v>589</v>
      </c>
      <c r="D1" s="237" t="s">
        <v>588</v>
      </c>
      <c r="E1" s="238" t="s">
        <v>587</v>
      </c>
      <c r="F1" s="238" t="s">
        <v>586</v>
      </c>
      <c r="G1" s="238" t="s">
        <v>585</v>
      </c>
      <c r="H1" s="237" t="s">
        <v>584</v>
      </c>
      <c r="I1" s="237" t="s">
        <v>583</v>
      </c>
      <c r="J1" s="237" t="s">
        <v>582</v>
      </c>
      <c r="K1" s="237" t="s">
        <v>581</v>
      </c>
      <c r="L1" s="237" t="s">
        <v>580</v>
      </c>
      <c r="M1" s="237" t="s">
        <v>579</v>
      </c>
      <c r="N1" s="237" t="s">
        <v>578</v>
      </c>
    </row>
    <row r="2" spans="1:14" ht="14.25" thickTop="1" thickBot="1">
      <c r="A2" s="236">
        <v>1</v>
      </c>
      <c r="B2" s="235" t="s">
        <v>569</v>
      </c>
      <c r="C2" s="234" t="s">
        <v>594</v>
      </c>
      <c r="D2" s="234"/>
      <c r="E2" s="235" t="str">
        <f t="shared" ref="E2:E23" si="0">IF(AND($B2="ON",$G2="ERROR"),"yes","")</f>
        <v>yes</v>
      </c>
      <c r="F2" s="235">
        <f>IF(AND($B2="ON",$G2="ERROR"),COUNTIF($E$2:$E2,"yes"),"")</f>
        <v>1</v>
      </c>
      <c r="G2" s="235" t="str">
        <f>IF('Evaluation Report_Initial'!$M$10="","ERROR","OK")</f>
        <v>ERROR</v>
      </c>
      <c r="H2" s="234"/>
      <c r="I2" s="234"/>
      <c r="J2" s="234"/>
      <c r="K2" s="234"/>
      <c r="L2" s="234"/>
      <c r="M2" s="234"/>
      <c r="N2" s="234" t="s">
        <v>606</v>
      </c>
    </row>
    <row r="3" spans="1:14" ht="14.25" thickTop="1" thickBot="1">
      <c r="A3" s="236">
        <v>2</v>
      </c>
      <c r="B3" s="235" t="s">
        <v>569</v>
      </c>
      <c r="C3" s="234"/>
      <c r="D3" s="234"/>
      <c r="E3" s="235" t="str">
        <f t="shared" si="0"/>
        <v>yes</v>
      </c>
      <c r="F3" s="235">
        <f>IF(AND($B3="ON",$G3="ERROR"),COUNTIF($E$2:$E3,"yes"),"")</f>
        <v>2</v>
      </c>
      <c r="G3" s="235" t="str">
        <f>IF('Evaluation Report_Initial'!$C$4="","ERROR","OK")</f>
        <v>ERROR</v>
      </c>
      <c r="H3" s="234"/>
      <c r="I3" s="234"/>
      <c r="J3" s="234"/>
      <c r="K3" s="234"/>
      <c r="L3" s="234"/>
      <c r="M3" s="234"/>
      <c r="N3" s="234" t="s">
        <v>626</v>
      </c>
    </row>
    <row r="4" spans="1:14" ht="14.25" thickTop="1" thickBot="1">
      <c r="A4" s="236">
        <v>3</v>
      </c>
      <c r="B4" s="235" t="s">
        <v>569</v>
      </c>
      <c r="C4" s="234" t="s">
        <v>1</v>
      </c>
      <c r="D4" s="234"/>
      <c r="E4" s="235" t="str">
        <f t="shared" si="0"/>
        <v>yes</v>
      </c>
      <c r="F4" s="235">
        <f>IF(AND($B4="ON",$G4="ERROR"),COUNTIF($E$2:$E4,"yes"),"")</f>
        <v>3</v>
      </c>
      <c r="G4" s="235" t="str">
        <f>IF('Evaluation Report_Initial'!$C$10="","ERROR","OK")</f>
        <v>ERROR</v>
      </c>
      <c r="H4" s="234"/>
      <c r="I4" s="234"/>
      <c r="J4" s="234"/>
      <c r="K4" s="234"/>
      <c r="L4" s="234"/>
      <c r="M4" s="234"/>
      <c r="N4" s="234" t="s">
        <v>607</v>
      </c>
    </row>
    <row r="5" spans="1:14" ht="14.25" thickTop="1" thickBot="1">
      <c r="A5" s="236">
        <v>4</v>
      </c>
      <c r="B5" s="235" t="s">
        <v>569</v>
      </c>
      <c r="C5" s="234" t="s">
        <v>0</v>
      </c>
      <c r="D5" s="234"/>
      <c r="E5" s="235" t="str">
        <f t="shared" si="0"/>
        <v>yes</v>
      </c>
      <c r="F5" s="235">
        <f>IF(AND($B5="ON",$G5="ERROR"),COUNTIF($E$2:$E5,"yes"),"")</f>
        <v>4</v>
      </c>
      <c r="G5" s="235" t="str">
        <f>IF('Evaluation Report_Initial'!$C$5="","ERROR","OK")</f>
        <v>ERROR</v>
      </c>
      <c r="H5" s="234"/>
      <c r="I5" s="234"/>
      <c r="J5" s="234"/>
      <c r="K5" s="234"/>
      <c r="L5" s="234"/>
      <c r="M5" s="234"/>
      <c r="N5" s="234" t="s">
        <v>608</v>
      </c>
    </row>
    <row r="6" spans="1:14" ht="14.25" thickTop="1" thickBot="1">
      <c r="A6" s="236">
        <v>5</v>
      </c>
      <c r="B6" s="235" t="s">
        <v>569</v>
      </c>
      <c r="C6" s="234" t="s">
        <v>224</v>
      </c>
      <c r="D6" s="234"/>
      <c r="E6" s="235" t="str">
        <f t="shared" si="0"/>
        <v>yes</v>
      </c>
      <c r="F6" s="235">
        <f>IF(AND($B6="ON",$G6="ERROR"),COUNTIF($E$2:$E6,"yes"),"")</f>
        <v>5</v>
      </c>
      <c r="G6" s="235" t="str">
        <f>IF('Evaluation Report_Initial'!$C$7="","ERROR","OK")</f>
        <v>ERROR</v>
      </c>
      <c r="H6" s="234"/>
      <c r="I6" s="234"/>
      <c r="J6" s="234"/>
      <c r="K6" s="234"/>
      <c r="L6" s="234"/>
      <c r="M6" s="234"/>
      <c r="N6" s="234" t="s">
        <v>625</v>
      </c>
    </row>
    <row r="7" spans="1:14" ht="14.25" thickTop="1" thickBot="1">
      <c r="A7" s="236">
        <v>6</v>
      </c>
      <c r="B7" s="235" t="s">
        <v>569</v>
      </c>
      <c r="C7" s="234" t="s">
        <v>517</v>
      </c>
      <c r="D7" s="234"/>
      <c r="E7" s="235" t="str">
        <f t="shared" si="0"/>
        <v>yes</v>
      </c>
      <c r="F7" s="235">
        <f>IF(AND($B7="ON",$G7="ERROR"),COUNTIF($E$2:$E7,"yes"),"")</f>
        <v>6</v>
      </c>
      <c r="G7" s="235" t="str">
        <f>IF('Evaluation Report_Initial'!$C$8="","ERROR","OK")</f>
        <v>ERROR</v>
      </c>
      <c r="H7" s="234"/>
      <c r="I7" s="234"/>
      <c r="J7" s="234"/>
      <c r="K7" s="234"/>
      <c r="L7" s="234"/>
      <c r="M7" s="234"/>
      <c r="N7" s="234" t="s">
        <v>624</v>
      </c>
    </row>
    <row r="8" spans="1:14" ht="14.25" thickTop="1" thickBot="1">
      <c r="A8" s="236">
        <v>7</v>
      </c>
      <c r="B8" s="235" t="s">
        <v>569</v>
      </c>
      <c r="C8" s="234" t="s">
        <v>577</v>
      </c>
      <c r="D8" s="234" t="s">
        <v>576</v>
      </c>
      <c r="E8" s="235" t="str">
        <f t="shared" si="0"/>
        <v/>
      </c>
      <c r="F8" s="235" t="str">
        <f>IF(AND($B8="ON",$G8="ERROR"),COUNTIF($E$2:$E8,"yes"),"")</f>
        <v/>
      </c>
      <c r="G8" s="235" t="str">
        <f>IF($M8&gt;0,"ERROR","OK")</f>
        <v>OK</v>
      </c>
      <c r="H8" s="234"/>
      <c r="I8" s="234"/>
      <c r="J8" s="234"/>
      <c r="K8" s="234"/>
      <c r="L8" s="234"/>
      <c r="M8" s="234">
        <f>COUNTIF('Evaluation details_input'!$X$4:$X$200,"*ERROR*")</f>
        <v>0</v>
      </c>
      <c r="N8" s="234" t="str">
        <f>"Evaluator task: Error category, subcategory or severity missing in review section in "&amp;$M8&amp; " case(s)!"</f>
        <v>Evaluator task: Error category, subcategory or severity missing in review section in 0 case(s)!</v>
      </c>
    </row>
    <row r="9" spans="1:14" ht="14.25" thickTop="1" thickBot="1">
      <c r="A9" s="236">
        <v>8</v>
      </c>
      <c r="B9" s="235" t="s">
        <v>569</v>
      </c>
      <c r="C9" s="234" t="s">
        <v>619</v>
      </c>
      <c r="D9" s="234" t="s">
        <v>618</v>
      </c>
      <c r="E9" s="235" t="str">
        <f t="shared" ca="1" si="0"/>
        <v/>
      </c>
      <c r="F9" s="235" t="str">
        <f ca="1">IF(AND($B9="ON",$G9="ERROR"),COUNTIF($E$2:$E9,"yes"),"")</f>
        <v/>
      </c>
      <c r="G9" s="235" t="str">
        <f ca="1">IF($M9&gt;0,"ERROR","OK")</f>
        <v>OK</v>
      </c>
      <c r="H9" s="234"/>
      <c r="I9" s="234"/>
      <c r="J9" s="234"/>
      <c r="K9" s="234"/>
      <c r="L9" s="234"/>
      <c r="M9" s="234">
        <f ca="1">COUNTIF('Evaluation details_input'!$AF$4:$AF$2000,"ERROR")</f>
        <v>0</v>
      </c>
      <c r="N9" s="234" t="str">
        <f ca="1">"Evaluator task: Error subcategory does not match error category in "&amp;M9&amp;" case(s)!"</f>
        <v>Evaluator task: Error subcategory does not match error category in 0 case(s)!</v>
      </c>
    </row>
    <row r="10" spans="1:14" ht="14.25" thickTop="1" thickBot="1">
      <c r="A10" s="236">
        <v>9</v>
      </c>
      <c r="B10" s="235" t="s">
        <v>569</v>
      </c>
      <c r="C10" s="234" t="s">
        <v>611</v>
      </c>
      <c r="D10" s="234" t="s">
        <v>612</v>
      </c>
      <c r="E10" s="235" t="str">
        <f t="shared" si="0"/>
        <v/>
      </c>
      <c r="F10" s="235" t="str">
        <f>IF(AND($B10="ON",$G10="ERROR"),COUNTIF($E$2:$E10,"yes"),"")</f>
        <v/>
      </c>
      <c r="G10" s="235" t="str">
        <f>IF($M10&gt;0,"ERROR","OK")</f>
        <v>OK</v>
      </c>
      <c r="H10" s="234"/>
      <c r="I10" s="234"/>
      <c r="J10" s="234"/>
      <c r="K10" s="234"/>
      <c r="L10" s="234"/>
      <c r="M10" s="234">
        <f>COUNTIF('Evaluation details_input'!$AC$4:$AC$2000,"ERROR")</f>
        <v>0</v>
      </c>
      <c r="N10" s="234" t="str">
        <f>"Evaluator task: Comments field is not completed in "&amp;M10&amp;" case(s)!"</f>
        <v>Evaluator task: Comments field is not completed in 0 case(s)!</v>
      </c>
    </row>
    <row r="11" spans="1:14" ht="14.25" thickTop="1" thickBot="1">
      <c r="A11" s="236">
        <v>10</v>
      </c>
      <c r="B11" s="235" t="s">
        <v>569</v>
      </c>
      <c r="C11" s="234" t="s">
        <v>575</v>
      </c>
      <c r="D11" s="234"/>
      <c r="E11" s="235" t="str">
        <f t="shared" si="0"/>
        <v>yes</v>
      </c>
      <c r="F11" s="235">
        <f ca="1">IF(AND($B11="ON",$G11="ERROR"),COUNTIF($E$2:$E11,"yes"),"")</f>
        <v>7</v>
      </c>
      <c r="G11" s="235" t="str">
        <f>IF('Evaluation Report_Initial'!$B$39="","ERROR","OK")</f>
        <v>ERROR</v>
      </c>
      <c r="H11" s="234"/>
      <c r="I11" s="234"/>
      <c r="J11" s="234"/>
      <c r="K11" s="234"/>
      <c r="L11" s="234"/>
      <c r="M11" s="234"/>
      <c r="N11" s="234" t="s">
        <v>609</v>
      </c>
    </row>
    <row r="12" spans="1:14" ht="14.25" thickTop="1" thickBot="1">
      <c r="A12" s="236">
        <v>11</v>
      </c>
      <c r="B12" s="235" t="s">
        <v>569</v>
      </c>
      <c r="C12" s="234" t="s">
        <v>574</v>
      </c>
      <c r="D12" s="234"/>
      <c r="E12" s="235" t="str">
        <f t="shared" si="0"/>
        <v>yes</v>
      </c>
      <c r="F12" s="235">
        <f ca="1">IF(AND($B12="ON",$G12="ERROR"),COUNTIF($E$2:$E12,"yes"),"")</f>
        <v>8</v>
      </c>
      <c r="G12" s="235" t="str">
        <f>IF('Evaluation Report_Initial'!$O$38="","ERROR","OK")</f>
        <v>ERROR</v>
      </c>
      <c r="H12" s="234"/>
      <c r="I12" s="234"/>
      <c r="J12" s="234"/>
      <c r="K12" s="234"/>
      <c r="L12" s="234"/>
      <c r="M12" s="234"/>
      <c r="N12" s="234" t="s">
        <v>610</v>
      </c>
    </row>
    <row r="13" spans="1:14" ht="14.25" thickTop="1" thickBot="1">
      <c r="A13" s="236">
        <v>12</v>
      </c>
      <c r="B13" s="235" t="s">
        <v>569</v>
      </c>
      <c r="C13" s="234" t="s">
        <v>15</v>
      </c>
      <c r="D13" s="234" t="s">
        <v>573</v>
      </c>
      <c r="E13" s="235" t="str">
        <f t="shared" si="0"/>
        <v/>
      </c>
      <c r="F13" s="235" t="str">
        <f>IF(AND($B13="ON",$G13="ERROR"),COUNTIF($E$2:$E13,"yes"),"")</f>
        <v/>
      </c>
      <c r="G13" s="235" t="str">
        <f>IF($M13&gt;0,"ERROR","OK")</f>
        <v>OK</v>
      </c>
      <c r="H13" s="234"/>
      <c r="I13" s="234"/>
      <c r="J13" s="234"/>
      <c r="K13" s="234"/>
      <c r="L13" s="234"/>
      <c r="M13" s="234">
        <f>COUNTIF('Evaluation details_input'!$Z$4:$Z$200,"*ERROR*")</f>
        <v>0</v>
      </c>
      <c r="N13" s="234" t="str">
        <f>"Original Translator task: Response to revision missing in review section in " &amp;M13&amp;" case(s)."</f>
        <v>Original Translator task: Response to revision missing in review section in 0 case(s).</v>
      </c>
    </row>
    <row r="14" spans="1:14" ht="14.25" thickTop="1" thickBot="1">
      <c r="A14" s="236">
        <v>13</v>
      </c>
      <c r="B14" s="235" t="s">
        <v>569</v>
      </c>
      <c r="C14" s="234" t="s">
        <v>572</v>
      </c>
      <c r="D14" s="234" t="s">
        <v>571</v>
      </c>
      <c r="E14" s="235" t="str">
        <f t="shared" si="0"/>
        <v/>
      </c>
      <c r="F14" s="235" t="str">
        <f>IF(AND($B14="ON",$G14="ERROR"),COUNTIF($E$2:$E14,"yes"),"")</f>
        <v/>
      </c>
      <c r="G14" s="235" t="str">
        <f>IF($M14&gt;0,"ERROR","OK")</f>
        <v>OK</v>
      </c>
      <c r="H14" s="234"/>
      <c r="I14" s="234"/>
      <c r="J14" s="234"/>
      <c r="K14" s="234"/>
      <c r="L14" s="234"/>
      <c r="M14" s="234">
        <f>COUNTIF('Evaluation details_input'!$Y$4:$Y$200,"*ERROR*")</f>
        <v>0</v>
      </c>
      <c r="N14" s="234" t="str">
        <f>"Original Translator task: Reason if not accepted missing in review section in "&amp;$M14&amp; " case(s)."</f>
        <v>Original Translator task: Reason if not accepted missing in review section in 0 case(s).</v>
      </c>
    </row>
    <row r="15" spans="1:14" ht="14.25" thickTop="1" thickBot="1">
      <c r="A15" s="236">
        <v>14</v>
      </c>
      <c r="B15" s="235" t="s">
        <v>569</v>
      </c>
      <c r="C15" s="234" t="s">
        <v>615</v>
      </c>
      <c r="D15" s="234" t="s">
        <v>614</v>
      </c>
      <c r="E15" s="235" t="str">
        <f t="shared" si="0"/>
        <v/>
      </c>
      <c r="F15" s="235" t="str">
        <f>IF(AND($B15="ON",$G15="ERROR"),COUNTIF($E$2:$E15,"yes"),"")</f>
        <v/>
      </c>
      <c r="G15" s="235" t="str">
        <f t="shared" ref="G15:G18" si="1">IF($M15&gt;0,"ERROR","OK")</f>
        <v>OK</v>
      </c>
      <c r="H15" s="234"/>
      <c r="I15" s="234"/>
      <c r="J15" s="234"/>
      <c r="K15" s="234"/>
      <c r="L15" s="234"/>
      <c r="M15" s="234">
        <f>COUNTIF('Evaluation details_input'!AD4:AD2000,"ERROR")</f>
        <v>0</v>
      </c>
      <c r="N15" s="234" t="str">
        <f>"Quality Manager task: Final decision missing in "&amp;M15&amp;" case(s)."</f>
        <v>Quality Manager task: Final decision missing in 0 case(s).</v>
      </c>
    </row>
    <row r="16" spans="1:14" ht="14.25" thickTop="1" thickBot="1">
      <c r="A16" s="236">
        <v>15</v>
      </c>
      <c r="B16" s="235" t="s">
        <v>569</v>
      </c>
      <c r="C16" s="234" t="s">
        <v>129</v>
      </c>
      <c r="D16" s="234" t="s">
        <v>616</v>
      </c>
      <c r="E16" s="235" t="str">
        <f t="shared" si="0"/>
        <v/>
      </c>
      <c r="F16" s="235" t="str">
        <f>IF(AND($B16="ON",$G16="ERROR"),COUNTIF($E$2:$E16,"yes"),"")</f>
        <v/>
      </c>
      <c r="G16" s="235" t="str">
        <f t="shared" si="1"/>
        <v>OK</v>
      </c>
      <c r="H16" s="234"/>
      <c r="I16" s="234"/>
      <c r="J16" s="234"/>
      <c r="K16" s="234"/>
      <c r="L16" s="234"/>
      <c r="M16" s="234">
        <f>COUNTIF('Evaluation details_input'!AE4:AE2000,"ERROR")</f>
        <v>0</v>
      </c>
      <c r="N16" s="234" t="str">
        <f>"Quality Manager task: Reason for decision missing in "&amp;M16&amp;" case(s)."</f>
        <v>Quality Manager task: Reason for decision missing in 0 case(s).</v>
      </c>
    </row>
    <row r="17" spans="1:14" ht="14.25" thickTop="1" thickBot="1">
      <c r="A17" s="236">
        <v>16</v>
      </c>
      <c r="B17" s="235" t="s">
        <v>569</v>
      </c>
      <c r="C17" s="234" t="s">
        <v>192</v>
      </c>
      <c r="D17" s="234" t="s">
        <v>570</v>
      </c>
      <c r="E17" s="235" t="str">
        <f t="shared" si="0"/>
        <v/>
      </c>
      <c r="F17" s="235" t="str">
        <f>IF(AND($B17="ON",$G17="ERROR"),COUNTIF($E$2:$E17,"yes"),"")</f>
        <v/>
      </c>
      <c r="G17" s="235" t="str">
        <f t="shared" si="1"/>
        <v>OK</v>
      </c>
      <c r="H17" s="234"/>
      <c r="I17" s="234"/>
      <c r="J17" s="234"/>
      <c r="K17" s="234"/>
      <c r="L17" s="234"/>
      <c r="M17" s="234">
        <f>COUNTIF('Evaluation details_input'!$AA$4:$AA$200,"*ERROR*")</f>
        <v>0</v>
      </c>
      <c r="N17" s="234" t="str">
        <f>"Original Translator task: Sign-off missing in " &amp;M17&amp;" case(s)."</f>
        <v>Original Translator task: Sign-off missing in 0 case(s).</v>
      </c>
    </row>
    <row r="18" spans="1:14" ht="14.25" thickTop="1" thickBot="1">
      <c r="A18" s="236">
        <v>17</v>
      </c>
      <c r="B18" s="235" t="s">
        <v>569</v>
      </c>
      <c r="C18" s="234" t="s">
        <v>202</v>
      </c>
      <c r="D18" s="234" t="s">
        <v>568</v>
      </c>
      <c r="E18" s="235" t="str">
        <f t="shared" si="0"/>
        <v/>
      </c>
      <c r="F18" s="235" t="str">
        <f>IF(AND($B18="ON",$G18="ERROR"),COUNTIF($E$2:$E18,"yes"),"")</f>
        <v/>
      </c>
      <c r="G18" s="235" t="str">
        <f t="shared" si="1"/>
        <v>OK</v>
      </c>
      <c r="H18" s="234"/>
      <c r="I18" s="234"/>
      <c r="J18" s="234"/>
      <c r="K18" s="234"/>
      <c r="L18" s="234"/>
      <c r="M18" s="234">
        <f>COUNTIF('Evaluation details_input'!$AB$4:$AB$200,"*ERROR*")</f>
        <v>0</v>
      </c>
      <c r="N18" s="234" t="str">
        <f>"Original Translator task: Reason if not implemented missing in " &amp;M18&amp;" case(s)."</f>
        <v>Original Translator task: Reason if not implemented missing in 0 case(s).</v>
      </c>
    </row>
    <row r="19" spans="1:14" ht="14.25" thickTop="1" thickBot="1">
      <c r="A19" s="236">
        <v>18</v>
      </c>
      <c r="B19" s="235"/>
      <c r="C19" s="234"/>
      <c r="D19" s="234"/>
      <c r="E19" s="235" t="str">
        <f t="shared" si="0"/>
        <v/>
      </c>
      <c r="F19" s="235" t="str">
        <f>IF(AND($B19="ON",$G19="ERROR"),COUNTIF($E$2:$E19,"yes"),"")</f>
        <v/>
      </c>
      <c r="G19" s="235"/>
      <c r="H19" s="234"/>
      <c r="I19" s="234"/>
      <c r="J19" s="234"/>
      <c r="K19" s="234"/>
      <c r="L19" s="234"/>
      <c r="M19" s="234"/>
      <c r="N19" s="234"/>
    </row>
    <row r="20" spans="1:14" ht="14.25" thickTop="1" thickBot="1">
      <c r="A20" s="236">
        <v>19</v>
      </c>
      <c r="B20" s="235"/>
      <c r="C20" s="234"/>
      <c r="D20" s="234"/>
      <c r="E20" s="235" t="str">
        <f t="shared" si="0"/>
        <v/>
      </c>
      <c r="F20" s="235" t="str">
        <f>IF(AND($B20="ON",$G20="ERROR"),COUNTIF($E$2:$E20,"yes"),"")</f>
        <v/>
      </c>
      <c r="G20" s="235"/>
      <c r="H20" s="234"/>
      <c r="I20" s="234"/>
      <c r="J20" s="234"/>
      <c r="K20" s="234"/>
      <c r="L20" s="234"/>
      <c r="M20" s="234"/>
      <c r="N20" s="234"/>
    </row>
    <row r="21" spans="1:14" ht="14.25" thickTop="1" thickBot="1">
      <c r="A21" s="236">
        <v>20</v>
      </c>
      <c r="B21" s="235"/>
      <c r="C21" s="234"/>
      <c r="D21" s="234"/>
      <c r="E21" s="235" t="str">
        <f t="shared" si="0"/>
        <v/>
      </c>
      <c r="F21" s="235" t="str">
        <f>IF(AND($B21="ON",$G21="ERROR"),COUNTIF($E$2:$E21,"yes"),"")</f>
        <v/>
      </c>
      <c r="G21" s="235"/>
      <c r="H21" s="234"/>
      <c r="I21" s="234"/>
      <c r="J21" s="234"/>
      <c r="K21" s="234"/>
      <c r="L21" s="234"/>
      <c r="M21" s="234"/>
      <c r="N21" s="234"/>
    </row>
    <row r="22" spans="1:14" ht="14.25" thickTop="1" thickBot="1">
      <c r="A22" s="236">
        <v>21</v>
      </c>
      <c r="B22" s="235"/>
      <c r="C22" s="234"/>
      <c r="D22" s="234"/>
      <c r="E22" s="235" t="str">
        <f t="shared" si="0"/>
        <v/>
      </c>
      <c r="F22" s="235" t="str">
        <f>IF(AND($B22="ON",$G22="ERROR"),COUNTIF($E$2:$E22,"yes"),"")</f>
        <v/>
      </c>
      <c r="G22" s="235"/>
      <c r="H22" s="234"/>
      <c r="I22" s="234"/>
      <c r="J22" s="234"/>
      <c r="K22" s="234"/>
      <c r="L22" s="234"/>
      <c r="M22" s="234"/>
      <c r="N22" s="234"/>
    </row>
    <row r="23" spans="1:14" ht="13.5" thickTop="1">
      <c r="A23" s="236">
        <v>22</v>
      </c>
      <c r="B23" s="235"/>
      <c r="C23" s="234"/>
      <c r="D23" s="234"/>
      <c r="E23" s="235" t="str">
        <f t="shared" si="0"/>
        <v/>
      </c>
      <c r="F23" s="235" t="str">
        <f>IF(AND($B23="ON",$G23="ERROR"),COUNTIF($E$2:$E23,"yes"),"")</f>
        <v/>
      </c>
      <c r="G23" s="235"/>
      <c r="H23" s="234"/>
      <c r="I23" s="234"/>
      <c r="J23" s="234"/>
      <c r="K23" s="234"/>
      <c r="L23" s="234"/>
      <c r="M23" s="234"/>
      <c r="N23" s="234"/>
    </row>
  </sheetData>
  <pageMargins left="0.7" right="0.7" top="0.75" bottom="0.75" header="0.3" footer="0.3"/>
  <pageSetup paperSize="9" orientation="portrait" r:id="rId1"/>
  <headerFooter>
    <oddFooter>&amp;L&amp;F&amp;CPage &amp;P of &amp;N&amp;RUncontrolled when in use</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BE296"/>
  <sheetViews>
    <sheetView showGridLines="0" topLeftCell="I1" zoomScaleNormal="100" workbookViewId="0">
      <selection activeCell="C9" sqref="C9:H9"/>
    </sheetView>
  </sheetViews>
  <sheetFormatPr defaultColWidth="9.140625" defaultRowHeight="12.75" outlineLevelCol="1"/>
  <cols>
    <col min="1" max="1" width="2" style="28" hidden="1" customWidth="1" outlineLevel="1"/>
    <col min="2" max="3" width="21.85546875" style="28" hidden="1" customWidth="1" outlineLevel="1"/>
    <col min="4" max="5" width="17.28515625" style="28" hidden="1" customWidth="1" outlineLevel="1"/>
    <col min="6" max="6" width="12.85546875" style="28" hidden="1" customWidth="1" outlineLevel="1"/>
    <col min="7" max="7" width="30.7109375" style="28" hidden="1" customWidth="1" outlineLevel="1"/>
    <col min="8" max="8" width="28.85546875" style="28" hidden="1" customWidth="1" outlineLevel="1"/>
    <col min="9" max="9" width="2.42578125" style="28" customWidth="1" collapsed="1"/>
    <col min="10" max="10" width="28.28515625" style="28" hidden="1" customWidth="1" outlineLevel="1"/>
    <col min="11" max="11" width="16.28515625" style="28" hidden="1" customWidth="1" outlineLevel="1"/>
    <col min="12" max="12" width="19.42578125" style="28" hidden="1" customWidth="1" outlineLevel="1"/>
    <col min="13" max="13" width="26.42578125" style="28" hidden="1" customWidth="1" outlineLevel="1"/>
    <col min="14" max="14" width="16.85546875" style="28" hidden="1" customWidth="1" outlineLevel="1"/>
    <col min="15" max="15" width="22.85546875" style="28" hidden="1" customWidth="1" outlineLevel="1"/>
    <col min="16" max="16" width="19.42578125" style="28" hidden="1" customWidth="1" outlineLevel="1"/>
    <col min="17" max="17" width="12" style="28" hidden="1" customWidth="1" outlineLevel="1"/>
    <col min="18" max="18" width="2.42578125" style="28" customWidth="1" collapsed="1"/>
    <col min="19" max="19" width="19.5703125" style="28" hidden="1" customWidth="1" outlineLevel="1"/>
    <col min="20" max="20" width="7" style="28" hidden="1" customWidth="1" outlineLevel="1"/>
    <col min="21" max="21" width="5.5703125" style="28" hidden="1" customWidth="1" outlineLevel="1"/>
    <col min="22" max="23" width="8" style="28" hidden="1" customWidth="1" outlineLevel="1"/>
    <col min="24" max="24" width="19.5703125" hidden="1" customWidth="1" outlineLevel="1"/>
    <col min="25" max="25" width="7" style="28" hidden="1" customWidth="1" outlineLevel="1"/>
    <col min="26" max="26" width="7.28515625" hidden="1" customWidth="1" outlineLevel="1"/>
    <col min="27" max="27" width="9.140625" hidden="1" customWidth="1" outlineLevel="1"/>
    <col min="28" max="28" width="8" style="28" hidden="1" customWidth="1" outlineLevel="1"/>
    <col min="29" max="29" width="19.5703125" hidden="1" customWidth="1" outlineLevel="1"/>
    <col min="30" max="30" width="7" hidden="1" customWidth="1" outlineLevel="1"/>
    <col min="31" max="31" width="7.28515625" hidden="1" customWidth="1" outlineLevel="1"/>
    <col min="32" max="32" width="6.7109375" style="28" hidden="1" customWidth="1" outlineLevel="1"/>
    <col min="33" max="33" width="8" style="28" hidden="1" customWidth="1" outlineLevel="1"/>
    <col min="34" max="34" width="16.140625" style="28" hidden="1" customWidth="1" outlineLevel="1"/>
    <col min="35" max="35" width="7" style="28" hidden="1" customWidth="1" outlineLevel="1"/>
    <col min="36" max="36" width="6" style="28" hidden="1" customWidth="1" outlineLevel="1"/>
    <col min="37" max="37" width="6.7109375" style="28" hidden="1" customWidth="1" outlineLevel="1"/>
    <col min="38" max="38" width="8" style="28" hidden="1" customWidth="1" outlineLevel="1"/>
    <col min="39" max="39" width="16.140625" style="28" hidden="1" customWidth="1" outlineLevel="1"/>
    <col min="40" max="40" width="7" style="28" hidden="1" customWidth="1" outlineLevel="1"/>
    <col min="41" max="41" width="7.28515625" style="28" hidden="1" customWidth="1" outlineLevel="1"/>
    <col min="42" max="42" width="6.7109375" style="28" hidden="1" customWidth="1" outlineLevel="1"/>
    <col min="43" max="43" width="8" style="28" hidden="1" customWidth="1" outlineLevel="1"/>
    <col min="44" max="44" width="2.42578125" style="28" customWidth="1" collapsed="1"/>
    <col min="45" max="45" width="11" style="28" hidden="1" customWidth="1" outlineLevel="1"/>
    <col min="46" max="46" width="10" style="28" hidden="1" customWidth="1" outlineLevel="1"/>
    <col min="47" max="47" width="9.140625" style="28" hidden="1" customWidth="1" outlineLevel="1"/>
    <col min="48" max="48" width="10" style="28" hidden="1" customWidth="1" outlineLevel="1"/>
    <col min="49" max="49" width="8.85546875" style="28" hidden="1" customWidth="1" outlineLevel="1"/>
    <col min="50" max="50" width="11.5703125" style="28" hidden="1" customWidth="1" outlineLevel="1"/>
    <col min="51" max="51" width="9.140625" style="28" hidden="1" customWidth="1" outlineLevel="1"/>
    <col min="52" max="52" width="11.5703125" style="28" hidden="1" customWidth="1" outlineLevel="1"/>
    <col min="53" max="53" width="9.140625" style="28" hidden="1" customWidth="1" outlineLevel="1"/>
    <col min="54" max="56" width="11.28515625" style="28" hidden="1" customWidth="1" outlineLevel="1"/>
    <col min="57" max="57" width="2.42578125" style="28" customWidth="1" collapsed="1"/>
    <col min="58" max="16384" width="9.140625" style="28"/>
  </cols>
  <sheetData>
    <row r="1" spans="2:57" s="162" customFormat="1" ht="60" customHeight="1" thickBot="1">
      <c r="B1" s="602"/>
      <c r="C1" s="602"/>
      <c r="D1" s="602"/>
      <c r="E1" s="602"/>
      <c r="F1" s="602"/>
      <c r="G1" s="602"/>
      <c r="H1" s="602"/>
      <c r="J1" s="601" t="s">
        <v>335</v>
      </c>
      <c r="K1" s="601"/>
      <c r="L1" s="601"/>
      <c r="M1" s="601"/>
      <c r="N1" s="601"/>
      <c r="O1" s="601"/>
      <c r="P1" s="601"/>
      <c r="Q1" s="601"/>
      <c r="S1" s="603" t="s">
        <v>338</v>
      </c>
      <c r="T1" s="603"/>
      <c r="U1" s="603"/>
      <c r="V1" s="603"/>
      <c r="W1" s="603"/>
      <c r="X1" s="603"/>
      <c r="Y1" s="603"/>
      <c r="Z1" s="603"/>
      <c r="AA1" s="603"/>
      <c r="AB1" s="603"/>
      <c r="AC1" s="603"/>
      <c r="AD1" s="603"/>
      <c r="AE1" s="603"/>
      <c r="AF1" s="603"/>
      <c r="AG1" s="603"/>
      <c r="AH1" s="603"/>
      <c r="AI1" s="603"/>
      <c r="AJ1" s="603"/>
      <c r="AK1" s="603"/>
      <c r="AL1" s="603"/>
      <c r="AM1" s="603"/>
      <c r="AN1" s="603"/>
      <c r="AO1" s="603"/>
      <c r="AP1" s="603"/>
      <c r="AQ1" s="179"/>
      <c r="AS1" s="593" t="s">
        <v>340</v>
      </c>
      <c r="AT1" s="593"/>
      <c r="AU1" s="593"/>
      <c r="AV1" s="593"/>
      <c r="AW1" s="593"/>
      <c r="AX1" s="593"/>
      <c r="AY1" s="593"/>
      <c r="AZ1" s="593"/>
      <c r="BA1" s="593"/>
      <c r="BB1" s="263"/>
      <c r="BC1" s="263"/>
      <c r="BD1" s="263"/>
    </row>
    <row r="2" spans="2:57" ht="26.25" customHeight="1" thickBot="1">
      <c r="B2" s="152" t="s">
        <v>285</v>
      </c>
      <c r="C2" s="152" t="s">
        <v>331</v>
      </c>
      <c r="D2" s="157" t="s">
        <v>220</v>
      </c>
      <c r="E2" s="152" t="s">
        <v>332</v>
      </c>
      <c r="F2" s="157" t="s">
        <v>192</v>
      </c>
      <c r="G2" s="152" t="s">
        <v>202</v>
      </c>
      <c r="H2" s="152" t="s">
        <v>207</v>
      </c>
      <c r="I2" s="600" t="s">
        <v>350</v>
      </c>
      <c r="J2" s="163" t="s">
        <v>291</v>
      </c>
      <c r="K2" s="164" t="s">
        <v>290</v>
      </c>
      <c r="L2" s="163" t="s">
        <v>319</v>
      </c>
      <c r="M2" s="163" t="s">
        <v>3</v>
      </c>
      <c r="N2" s="164" t="s">
        <v>320</v>
      </c>
      <c r="O2" s="163" t="s">
        <v>321</v>
      </c>
      <c r="P2" s="164" t="s">
        <v>322</v>
      </c>
      <c r="Q2" s="164" t="s">
        <v>316</v>
      </c>
      <c r="R2" s="600" t="s">
        <v>335</v>
      </c>
      <c r="S2" s="180" t="s">
        <v>336</v>
      </c>
      <c r="T2" s="597" t="s">
        <v>344</v>
      </c>
      <c r="U2" s="181"/>
      <c r="V2" s="181"/>
      <c r="W2" s="182"/>
      <c r="X2" s="180" t="s">
        <v>336</v>
      </c>
      <c r="Y2" s="597" t="s">
        <v>344</v>
      </c>
      <c r="Z2" s="181"/>
      <c r="AA2" s="181"/>
      <c r="AB2" s="182"/>
      <c r="AC2" s="180" t="s">
        <v>336</v>
      </c>
      <c r="AD2" s="597" t="s">
        <v>344</v>
      </c>
      <c r="AE2" s="181"/>
      <c r="AF2" s="181"/>
      <c r="AG2" s="182"/>
      <c r="AH2" s="180" t="s">
        <v>336</v>
      </c>
      <c r="AI2" s="597" t="s">
        <v>345</v>
      </c>
      <c r="AJ2" s="181"/>
      <c r="AK2" s="181"/>
      <c r="AL2" s="182"/>
      <c r="AM2" s="180" t="s">
        <v>336</v>
      </c>
      <c r="AN2" s="597" t="s">
        <v>343</v>
      </c>
      <c r="AO2" s="181"/>
      <c r="AP2" s="181"/>
      <c r="AQ2" s="182"/>
      <c r="AR2" s="600" t="s">
        <v>338</v>
      </c>
      <c r="AS2" s="175" t="s">
        <v>339</v>
      </c>
      <c r="AT2" s="604" t="str">
        <f>'Evaluation Report_Initial'!M12</f>
        <v>Premium</v>
      </c>
      <c r="AU2" s="592"/>
      <c r="AV2" s="591" t="s">
        <v>341</v>
      </c>
      <c r="AW2" s="592"/>
      <c r="AX2" s="591" t="s">
        <v>348</v>
      </c>
      <c r="AY2" s="592"/>
      <c r="AZ2" s="591" t="s">
        <v>341</v>
      </c>
      <c r="BA2" s="592"/>
      <c r="BB2" s="261" t="s">
        <v>341</v>
      </c>
      <c r="BC2" s="261" t="s">
        <v>341</v>
      </c>
      <c r="BD2" s="261" t="s">
        <v>341</v>
      </c>
      <c r="BE2" s="600" t="s">
        <v>349</v>
      </c>
    </row>
    <row r="3" spans="2:57" ht="16.5" thickBot="1">
      <c r="B3" s="153" t="s">
        <v>613</v>
      </c>
      <c r="C3" s="160" t="s">
        <v>131</v>
      </c>
      <c r="D3" s="158" t="s">
        <v>126</v>
      </c>
      <c r="E3" s="153" t="s">
        <v>28</v>
      </c>
      <c r="F3" s="158" t="s">
        <v>193</v>
      </c>
      <c r="G3" s="153" t="s">
        <v>203</v>
      </c>
      <c r="H3" s="153" t="s">
        <v>208</v>
      </c>
      <c r="I3" s="600"/>
      <c r="J3" s="155" t="s">
        <v>359</v>
      </c>
      <c r="K3" s="153" t="s">
        <v>297</v>
      </c>
      <c r="L3" s="155" t="s">
        <v>304</v>
      </c>
      <c r="M3" s="155" t="s">
        <v>365</v>
      </c>
      <c r="N3" s="153" t="s">
        <v>369</v>
      </c>
      <c r="O3" s="155" t="s">
        <v>375</v>
      </c>
      <c r="P3" s="153" t="s">
        <v>376</v>
      </c>
      <c r="Q3" s="153" t="s">
        <v>317</v>
      </c>
      <c r="R3" s="600"/>
      <c r="S3" s="183" t="s">
        <v>327</v>
      </c>
      <c r="T3" s="598"/>
      <c r="U3" s="184"/>
      <c r="V3" s="184"/>
      <c r="W3" s="185"/>
      <c r="X3" s="183" t="s">
        <v>329</v>
      </c>
      <c r="Y3" s="598"/>
      <c r="Z3" s="184"/>
      <c r="AA3" s="184"/>
      <c r="AB3" s="185"/>
      <c r="AC3" s="183" t="s">
        <v>330</v>
      </c>
      <c r="AD3" s="598"/>
      <c r="AE3" s="184"/>
      <c r="AF3" s="184"/>
      <c r="AG3" s="185"/>
      <c r="AH3" s="183" t="s">
        <v>333</v>
      </c>
      <c r="AI3" s="598"/>
      <c r="AJ3" s="184"/>
      <c r="AK3" s="184"/>
      <c r="AL3" s="185"/>
      <c r="AM3" s="183" t="s">
        <v>334</v>
      </c>
      <c r="AN3" s="598"/>
      <c r="AO3" s="184"/>
      <c r="AP3" s="184"/>
      <c r="AQ3" s="185"/>
      <c r="AR3" s="600"/>
      <c r="AS3" s="199"/>
      <c r="AT3" s="172" t="s">
        <v>28</v>
      </c>
      <c r="AU3" s="172" t="s">
        <v>187</v>
      </c>
      <c r="AV3" s="172" t="s">
        <v>28</v>
      </c>
      <c r="AW3" s="172" t="s">
        <v>187</v>
      </c>
      <c r="AX3" s="172" t="s">
        <v>288</v>
      </c>
      <c r="AY3" s="172" t="s">
        <v>187</v>
      </c>
      <c r="AZ3" s="172" t="s">
        <v>288</v>
      </c>
      <c r="BA3" s="172" t="s">
        <v>187</v>
      </c>
      <c r="BB3" s="172" t="s">
        <v>328</v>
      </c>
      <c r="BC3" s="172" t="s">
        <v>198</v>
      </c>
      <c r="BD3" s="172" t="s">
        <v>214</v>
      </c>
      <c r="BE3" s="600"/>
    </row>
    <row r="4" spans="2:57" ht="15.75" customHeight="1" thickBot="1">
      <c r="B4" s="153" t="s">
        <v>522</v>
      </c>
      <c r="C4" s="160" t="s">
        <v>230</v>
      </c>
      <c r="D4" s="159" t="s">
        <v>229</v>
      </c>
      <c r="E4" s="153" t="s">
        <v>288</v>
      </c>
      <c r="F4" s="158" t="s">
        <v>201</v>
      </c>
      <c r="G4" s="153" t="s">
        <v>204</v>
      </c>
      <c r="H4" s="153" t="s">
        <v>551</v>
      </c>
      <c r="I4" s="600"/>
      <c r="J4" s="155" t="s">
        <v>307</v>
      </c>
      <c r="K4" s="153" t="s">
        <v>361</v>
      </c>
      <c r="L4" s="155" t="s">
        <v>4</v>
      </c>
      <c r="M4" s="155" t="s">
        <v>314</v>
      </c>
      <c r="N4" s="153" t="s">
        <v>370</v>
      </c>
      <c r="O4" s="156" t="s">
        <v>316</v>
      </c>
      <c r="P4" s="153" t="s">
        <v>377</v>
      </c>
      <c r="Q4" s="153" t="s">
        <v>318</v>
      </c>
      <c r="R4" s="600"/>
      <c r="S4" s="167" t="s">
        <v>188</v>
      </c>
      <c r="T4" s="599"/>
      <c r="U4" s="168">
        <v>0.99099999999999999</v>
      </c>
      <c r="V4" s="189"/>
      <c r="W4" s="188"/>
      <c r="X4" s="167" t="s">
        <v>188</v>
      </c>
      <c r="Y4" s="599"/>
      <c r="Z4" s="168">
        <v>0.99099999999999999</v>
      </c>
      <c r="AA4" s="189"/>
      <c r="AB4" s="188"/>
      <c r="AC4" s="167" t="s">
        <v>188</v>
      </c>
      <c r="AD4" s="599"/>
      <c r="AE4" s="168">
        <v>0.99099999999999999</v>
      </c>
      <c r="AF4" s="189"/>
      <c r="AG4" s="188"/>
      <c r="AH4" s="167" t="s">
        <v>188</v>
      </c>
      <c r="AI4" s="599"/>
      <c r="AJ4" s="168">
        <v>0.99099999999999999</v>
      </c>
      <c r="AK4" s="189"/>
      <c r="AL4" s="188"/>
      <c r="AM4" s="167" t="s">
        <v>188</v>
      </c>
      <c r="AN4" s="599"/>
      <c r="AO4" s="168">
        <v>0.99099999999999999</v>
      </c>
      <c r="AP4" s="189"/>
      <c r="AQ4" s="188"/>
      <c r="AR4" s="600"/>
      <c r="AS4" s="209" t="str">
        <f>J2</f>
        <v>Terminology</v>
      </c>
      <c r="AT4" s="205"/>
      <c r="AU4" s="174"/>
      <c r="AV4" s="201"/>
      <c r="AW4" s="174"/>
      <c r="AX4" s="201"/>
      <c r="AY4" s="174"/>
      <c r="AZ4" s="201"/>
      <c r="BA4" s="174"/>
      <c r="BB4" s="264"/>
      <c r="BC4" s="264"/>
      <c r="BD4" s="264"/>
      <c r="BE4" s="600"/>
    </row>
    <row r="5" spans="2:57" ht="45.75" thickBot="1">
      <c r="B5" s="153" t="s">
        <v>537</v>
      </c>
      <c r="C5" s="160" t="s">
        <v>94</v>
      </c>
      <c r="E5" s="153" t="s">
        <v>214</v>
      </c>
      <c r="F5" s="159" t="s">
        <v>197</v>
      </c>
      <c r="G5" s="153" t="s">
        <v>504</v>
      </c>
      <c r="H5" s="153" t="s">
        <v>601</v>
      </c>
      <c r="I5" s="600"/>
      <c r="J5" s="155" t="s">
        <v>360</v>
      </c>
      <c r="K5" s="153" t="s">
        <v>362</v>
      </c>
      <c r="L5" s="155" t="s">
        <v>306</v>
      </c>
      <c r="M5" s="155" t="s">
        <v>366</v>
      </c>
      <c r="N5" s="153" t="s">
        <v>371</v>
      </c>
      <c r="P5" s="153" t="s">
        <v>378</v>
      </c>
      <c r="Q5" s="154" t="s">
        <v>316</v>
      </c>
      <c r="R5" s="600"/>
      <c r="S5" s="66" t="s">
        <v>29</v>
      </c>
      <c r="T5" s="594" t="s">
        <v>337</v>
      </c>
      <c r="U5" s="595"/>
      <c r="V5" s="595"/>
      <c r="W5" s="596"/>
      <c r="X5" s="66" t="s">
        <v>29</v>
      </c>
      <c r="Y5" s="594" t="s">
        <v>337</v>
      </c>
      <c r="Z5" s="595"/>
      <c r="AA5" s="595"/>
      <c r="AB5" s="596"/>
      <c r="AC5" s="66" t="s">
        <v>29</v>
      </c>
      <c r="AD5" s="594" t="s">
        <v>337</v>
      </c>
      <c r="AE5" s="595"/>
      <c r="AF5" s="595"/>
      <c r="AG5" s="596"/>
      <c r="AH5" s="66" t="s">
        <v>29</v>
      </c>
      <c r="AI5" s="594" t="s">
        <v>337</v>
      </c>
      <c r="AJ5" s="595"/>
      <c r="AK5" s="595"/>
      <c r="AL5" s="596"/>
      <c r="AM5" s="66" t="s">
        <v>29</v>
      </c>
      <c r="AN5" s="594" t="s">
        <v>337</v>
      </c>
      <c r="AO5" s="595"/>
      <c r="AP5" s="595"/>
      <c r="AQ5" s="596"/>
      <c r="AR5" s="600"/>
      <c r="AS5" s="210" t="str">
        <f>$J3</f>
        <v>Inconsistent with terminology resource</v>
      </c>
      <c r="AT5" s="206">
        <f>SUMPRODUCT(('Evaluation details_input'!$F$4:$F$1000=$AS$4)*('Evaluation details_input'!$G$4:$G$1000=$AS5)*('Evaluation details_input'!$H$4:$H$1000=$AT$3))</f>
        <v>0</v>
      </c>
      <c r="AU5" s="171">
        <f xml:space="preserve">
IF($AT$2=X3,$AT5*$Y$8,
IF($AT$2=AC3,$AT5*$AD$8,
$AT5*$T$8))</f>
        <v>0</v>
      </c>
      <c r="AV5" s="202">
        <f xml:space="preserve">
COUNTIFS('Evaluation details_input'!$P$3:$P$1000,$AS$4,'Evaluation details_input'!$Q$3:$Q$1000,$AS5,'Evaluation details_input'!$R$3:$R$1000,$AV$3)
+COUNTIFS('Evaluation details_input'!$F$3:$F$1000,$AS$4,'Evaluation details_input'!$G$3:$G$1000,$AS5,'Evaluation details_input'!$H$3:$H$1000,$AV$3,'Evaluation details_input'!$J$3:$J$1000,"Not accepted",'Evaluation details_input'!$N$3:$N$1000,"Disagree with original translator", 'Evaluation details_input'!$P$3:$P$1000,"")
+COUNTIFS('Evaluation details_input'!$F$3:$F$1000,$AS$4,'Evaluation details_input'!$G$3:$G$1000,$AS5,'Evaluation details_input'!$H$3:$H$1000,$AV$3,'Evaluation details_input'!$J$3:$J$1000,"Accepted", 'Evaluation details_input'!$P$3:$P$1000,"")
+COUNTIFS('Evaluation details_input'!$F$3:$F$1000,$AS$4,'Evaluation details_input'!$G$3:$G$1000,$AS5,'Evaluation details_input'!$H$3:$H$1000,$AV$3,'Evaluation details_input'!$J$3:$J$1000,"")</f>
        <v>0</v>
      </c>
      <c r="AW5" s="171">
        <f xml:space="preserve">
IF($AT$2=$X$3,$AV5*$Y8,
IF($AT$2=$AC$3,$AV5*$AD8,
$AV5*$T8))</f>
        <v>0</v>
      </c>
      <c r="AX5" s="202">
        <f>SUMPRODUCT(('Evaluation details_input'!$F$4:$F$1000=$AS$4)*('Evaluation details_input'!$G$4:$G$1000=$AS5)*('Evaluation details_input'!$H$4:$H$1000=$AX$3))</f>
        <v>0</v>
      </c>
      <c r="AY5" s="171">
        <f xml:space="preserve">
IF($AT$2=$X$3,$AX5*$Z8,
IF($AT$2=$AC$3,$AX5*$AE8,
$AX5*$U8))</f>
        <v>0</v>
      </c>
      <c r="AZ5" s="202">
        <f xml:space="preserve">
COUNTIFS('Evaluation details_input'!$P$3:$P$1000,$AS$4,'Evaluation details_input'!$Q$3:$Q$1000,$AS5,'Evaluation details_input'!$R$3:$R$1000,$AZ$3)
+COUNTIFS('Evaluation details_input'!$F$3:$F$1000,$AS$4,'Evaluation details_input'!$G$3:$G$1000,$AS5,'Evaluation details_input'!$H$3:$H$1000,$AZ$3,'Evaluation details_input'!$J$3:$J$1000,"Not accepted",'Evaluation details_input'!$N$3:$N$1000,"Disagree with original translator", 'Evaluation details_input'!$P$3:$P$1000,"")
+COUNTIFS('Evaluation details_input'!$F$3:$F$1000,$AS$4,'Evaluation details_input'!$G$3:$G$1000,$AS5,'Evaluation details_input'!$H$3:$H$1000,$AZ$3,'Evaluation details_input'!$J$3:$J$1000,"Accepted", 'Evaluation details_input'!$P$3:$P$1000,"")
+COUNTIFS('Evaluation details_input'!$F$3:$F$1000,$AS$4,'Evaluation details_input'!$G$3:$G$1000,$AS5,'Evaluation details_input'!$H$3:$H$1000,$AZ$3,'Evaluation details_input'!$J$3:$J$1000,"")</f>
        <v>0</v>
      </c>
      <c r="BA5" s="171">
        <f xml:space="preserve">
IF($AT$2=$X$3,$AZ5*$Z8,
IF($AT$2=$AC$3,$AZ5*$AE8,
$AZ5*$U8))</f>
        <v>0</v>
      </c>
      <c r="BB5" s="202">
        <f xml:space="preserve">
COUNTIFS('Evaluation details_input'!$P$3:$P$1000,$AS$4,'Evaluation details_input'!$Q$3:$Q$1000,$AS5,'Evaluation details_input'!$R$3:$R$1000,$BB$3)
+COUNTIFS('Evaluation details_input'!$F$3:$F$1000,$AS$4,'Evaluation details_input'!$G$3:$G$1000,$AS5,'Evaluation details_input'!$H$3:$H$1000,$BB$3,'Evaluation details_input'!$J$3:$J$1000,"Not accepted",'Evaluation details_input'!$N$3:$N$1000,"Disagree with original translator", 'Evaluation details_input'!$P$3:$P$1000,"")
+COUNTIFS('Evaluation details_input'!$F$3:$F$1000,$AS$4,'Evaluation details_input'!$G$3:$G$1000,$AS5,'Evaluation details_input'!$H$3:$H$1000,$BB$3,'Evaluation details_input'!$J$3:$J$1000,"Accepted", 'Evaluation details_input'!$P$3:$P$1000,"")
+COUNTIFS('Evaluation details_input'!$F$3:$F$1000,$AS$4,'Evaluation details_input'!$G$3:$G$1000,$AS5,'Evaluation details_input'!$H$3:$H$1000,$BB$3,'Evaluation details_input'!$J$3:$J$1000,"")</f>
        <v>0</v>
      </c>
      <c r="BC5" s="202">
        <f xml:space="preserve">
COUNTIFS('Evaluation details_input'!$P$3:$P$1000,$AS$4,'Evaluation details_input'!$Q$3:$Q$1000,$AS5,'Evaluation details_input'!$R$3:$R$1000,$BC$3)
+COUNTIFS('Evaluation details_input'!$F$3:$F$1000,$AS$4,'Evaluation details_input'!$G$3:$G$1000,$AS5,'Evaluation details_input'!$H$3:$H$1000,$BC$3,'Evaluation details_input'!$J$3:$J$1000,"Not accepted",'Evaluation details_input'!$N$3:$N$1000,"Disagree with original translator", 'Evaluation details_input'!$P$3:$P$1000,"")
+COUNTIFS('Evaluation details_input'!$F$3:$F$1000,$AS$4,'Evaluation details_input'!$G$3:$G$1000,$AS5,'Evaluation details_input'!$H$3:$H$1000,$BC$3,'Evaluation details_input'!$J$3:$J$1000,"Accepted", 'Evaluation details_input'!$P$3:$P$1000,"")
+COUNTIFS('Evaluation details_input'!$F$3:$F$1000,$AS$4,'Evaluation details_input'!$G$3:$G$1000,$AS5,'Evaluation details_input'!$H$3:$H$1000,$BC$3,'Evaluation details_input'!$J$3:$J$1000,"")</f>
        <v>0</v>
      </c>
      <c r="BD5" s="202">
        <f xml:space="preserve">
COUNTIFS('Evaluation details_input'!$P$3:$P$1000,$AS$4,'Evaluation details_input'!$Q$3:$Q$1000,$AS5,'Evaluation details_input'!$R$3:$R$1000,$BD$3)
+COUNTIFS('Evaluation details_input'!$F$3:$F$1000,$AS$4,'Evaluation details_input'!$G$3:$G$1000,$AS5,'Evaluation details_input'!$H$3:$H$1000,$BD$3,'Evaluation details_input'!$J$3:$J$1000,"Not accepted",'Evaluation details_input'!$N$3:$N$1000,"Disagree with original translator", 'Evaluation details_input'!$P$3:$P$1000,"")
+COUNTIFS('Evaluation details_input'!$F$3:$F$1000,$AS$4,'Evaluation details_input'!$G$3:$G$1000,$AS5,'Evaluation details_input'!$H$3:$H$1000,$BD$3,'Evaluation details_input'!$J$3:$J$1000,"Accepted", 'Evaluation details_input'!$P$3:$P$1000,"")
+COUNTIFS('Evaluation details_input'!$F$3:$F$1000,$AS$4,'Evaluation details_input'!$G$3:$G$1000,$AS5,'Evaluation details_input'!$H$3:$H$1000,$BD$3,'Evaluation details_input'!$J$3:$J$1000,"")</f>
        <v>0</v>
      </c>
      <c r="BE5" s="600"/>
    </row>
    <row r="6" spans="2:57" ht="34.5" thickBot="1">
      <c r="B6" s="153" t="s">
        <v>524</v>
      </c>
      <c r="C6" s="160" t="s">
        <v>132</v>
      </c>
      <c r="E6" s="153" t="s">
        <v>198</v>
      </c>
      <c r="G6" s="154" t="s">
        <v>205</v>
      </c>
      <c r="H6" s="153" t="s">
        <v>596</v>
      </c>
      <c r="I6" s="600"/>
      <c r="J6" s="156" t="s">
        <v>316</v>
      </c>
      <c r="K6" s="153" t="s">
        <v>296</v>
      </c>
      <c r="L6" s="155" t="s">
        <v>364</v>
      </c>
      <c r="M6" s="155" t="s">
        <v>367</v>
      </c>
      <c r="N6" s="153" t="s">
        <v>372</v>
      </c>
      <c r="P6" s="153" t="s">
        <v>302</v>
      </c>
      <c r="R6" s="600"/>
      <c r="S6" s="67"/>
      <c r="T6" s="169" t="s">
        <v>186</v>
      </c>
      <c r="U6" s="169" t="s">
        <v>289</v>
      </c>
      <c r="V6" s="190" t="s">
        <v>213</v>
      </c>
      <c r="W6" s="170" t="s">
        <v>328</v>
      </c>
      <c r="X6" s="67"/>
      <c r="Y6" s="169" t="s">
        <v>186</v>
      </c>
      <c r="Z6" s="169" t="s">
        <v>289</v>
      </c>
      <c r="AA6" s="190" t="s">
        <v>213</v>
      </c>
      <c r="AB6" s="170" t="s">
        <v>328</v>
      </c>
      <c r="AC6" s="67"/>
      <c r="AD6" s="169" t="s">
        <v>186</v>
      </c>
      <c r="AE6" s="169" t="s">
        <v>289</v>
      </c>
      <c r="AF6" s="190" t="s">
        <v>213</v>
      </c>
      <c r="AG6" s="170" t="s">
        <v>328</v>
      </c>
      <c r="AH6" s="67"/>
      <c r="AI6" s="169" t="s">
        <v>186</v>
      </c>
      <c r="AJ6" s="169" t="s">
        <v>289</v>
      </c>
      <c r="AK6" s="190" t="s">
        <v>213</v>
      </c>
      <c r="AL6" s="170" t="s">
        <v>328</v>
      </c>
      <c r="AM6" s="67"/>
      <c r="AN6" s="169" t="s">
        <v>186</v>
      </c>
      <c r="AO6" s="169" t="s">
        <v>289</v>
      </c>
      <c r="AP6" s="190" t="s">
        <v>213</v>
      </c>
      <c r="AQ6" s="170" t="s">
        <v>328</v>
      </c>
      <c r="AR6" s="600"/>
      <c r="AS6" s="210" t="str">
        <f>$J4</f>
        <v>Inconsistent use of terminology</v>
      </c>
      <c r="AT6" s="206">
        <f>SUMPRODUCT(('Evaluation details_input'!$F$4:$F$1000=$AS$4)*('Evaluation details_input'!$G$4:$G$1000=$AS6)*('Evaluation details_input'!$H$4:$H$1000=$AT$3))</f>
        <v>0</v>
      </c>
      <c r="AU6" s="171">
        <f xml:space="preserve">
IF($AT$2=$X$3,$AT6*$Y$9,
IF($AT$2=$AC$3,$AT6*$AD$9,
$AT6*$T$9))</f>
        <v>0</v>
      </c>
      <c r="AV6" s="202">
        <f xml:space="preserve">
COUNTIFS('Evaluation details_input'!$P$3:$P$1000,$AS$4,'Evaluation details_input'!$Q$3:$Q$1000,$AS6,'Evaluation details_input'!$R$3:$R$1000,$AV$3)
+COUNTIFS('Evaluation details_input'!$F$3:$F$1000,$AS$4,'Evaluation details_input'!$G$3:$G$1000,$AS6,'Evaluation details_input'!$H$3:$H$1000,$AV$3,'Evaluation details_input'!$J$3:$J$1000,"Not accepted",'Evaluation details_input'!$N$3:$N$1000,"Disagree with original translator", 'Evaluation details_input'!$P$3:$P$1000,"")
+COUNTIFS('Evaluation details_input'!$F$3:$F$1000,$AS$4,'Evaluation details_input'!$G$3:$G$1000,$AS6,'Evaluation details_input'!$H$3:$H$1000,$AV$3,'Evaluation details_input'!$J$3:$J$1000,"Accepted", 'Evaluation details_input'!$P$3:$P$1000,"")
+COUNTIFS('Evaluation details_input'!$F$3:$F$1000,$AS$4,'Evaluation details_input'!$G$3:$G$1000,$AS6,'Evaluation details_input'!$H$3:$H$1000,$AV$3,'Evaluation details_input'!$J$3:$J$1000,"")</f>
        <v>0</v>
      </c>
      <c r="AW6" s="171">
        <f xml:space="preserve">
IF($AT$2=$X$3,$AV6*$Y9,
IF($AT$2=$AC$3,$AV6*$AD9,
$AV6*$T9))</f>
        <v>0</v>
      </c>
      <c r="AX6" s="202">
        <f>SUMPRODUCT(('Evaluation details_input'!$F$4:$F$1000=$AS$4)*('Evaluation details_input'!$G$4:$G$1000=$AS6)*('Evaluation details_input'!$H$4:$H$1000=$AX$3))</f>
        <v>0</v>
      </c>
      <c r="AY6" s="171">
        <f xml:space="preserve">
IF($AT$2=$X$3,$AX6*$Z9,
IF($AT$2=$AC$3,$AX6*$AE9,
$AX6*$U9))</f>
        <v>0</v>
      </c>
      <c r="AZ6" s="202">
        <f xml:space="preserve">
COUNTIFS('Evaluation details_input'!$P$3:$P$1000,$AS$4,'Evaluation details_input'!$Q$3:$Q$1000,$AS6,'Evaluation details_input'!$R$3:$R$1000,$AZ$3)
+COUNTIFS('Evaluation details_input'!$F$3:$F$1000,$AS$4,'Evaluation details_input'!$G$3:$G$1000,$AS6,'Evaluation details_input'!$H$3:$H$1000,$AZ$3,'Evaluation details_input'!$J$3:$J$1000,"Not accepted",'Evaluation details_input'!$N$3:$N$1000,"Disagree with original translator", 'Evaluation details_input'!$P$3:$P$1000,"")
+COUNTIFS('Evaluation details_input'!$F$3:$F$1000,$AS$4,'Evaluation details_input'!$G$3:$G$1000,$AS6,'Evaluation details_input'!$H$3:$H$1000,$AZ$3,'Evaluation details_input'!$J$3:$J$1000,"Accepted", 'Evaluation details_input'!$P$3:$P$1000,"")
+COUNTIFS('Evaluation details_input'!$F$3:$F$1000,$AS$4,'Evaluation details_input'!$G$3:$G$1000,$AS6,'Evaluation details_input'!$H$3:$H$1000,$AZ$3,'Evaluation details_input'!$J$3:$J$1000,"")</f>
        <v>0</v>
      </c>
      <c r="BA6" s="171">
        <f xml:space="preserve">
IF($AT$2=$X$3,$AZ6*$Z9,
IF($AT$2=$AC$3,$AZ6*$AE9,
$AZ6*$U9))</f>
        <v>0</v>
      </c>
      <c r="BB6" s="202">
        <f xml:space="preserve">
COUNTIFS('Evaluation details_input'!$P$3:$P$1000,$AS$4,'Evaluation details_input'!$Q$3:$Q$1000,$AS6,'Evaluation details_input'!$R$3:$R$1000,$BB$3)
+COUNTIFS('Evaluation details_input'!$F$3:$F$1000,$AS$4,'Evaluation details_input'!$G$3:$G$1000,$AS6,'Evaluation details_input'!$H$3:$H$1000,$BB$3,'Evaluation details_input'!$J$3:$J$1000,"Not accepted",'Evaluation details_input'!$N$3:$N$1000,"Disagree with original translator", 'Evaluation details_input'!$P$3:$P$1000,"")
+COUNTIFS('Evaluation details_input'!$F$3:$F$1000,$AS$4,'Evaluation details_input'!$G$3:$G$1000,$AS6,'Evaluation details_input'!$H$3:$H$1000,$BB$3,'Evaluation details_input'!$J$3:$J$1000,"Accepted", 'Evaluation details_input'!$P$3:$P$1000,"")
+COUNTIFS('Evaluation details_input'!$F$3:$F$1000,$AS$4,'Evaluation details_input'!$G$3:$G$1000,$AS6,'Evaluation details_input'!$H$3:$H$1000,$BB$3,'Evaluation details_input'!$J$3:$J$1000,"")</f>
        <v>0</v>
      </c>
      <c r="BC6" s="202">
        <f xml:space="preserve">
COUNTIFS('Evaluation details_input'!$P$3:$P$1000,$AS$4,'Evaluation details_input'!$Q$3:$Q$1000,$AS6,'Evaluation details_input'!$R$3:$R$1000,$BC$3)
+COUNTIFS('Evaluation details_input'!$F$3:$F$1000,$AS$4,'Evaluation details_input'!$G$3:$G$1000,$AS6,'Evaluation details_input'!$H$3:$H$1000,$BC$3,'Evaluation details_input'!$J$3:$J$1000,"Not accepted",'Evaluation details_input'!$N$3:$N$1000,"Disagree with original translator", 'Evaluation details_input'!$P$3:$P$1000,"")
+COUNTIFS('Evaluation details_input'!$F$3:$F$1000,$AS$4,'Evaluation details_input'!$G$3:$G$1000,$AS6,'Evaluation details_input'!$H$3:$H$1000,$BC$3,'Evaluation details_input'!$J$3:$J$1000,"Accepted", 'Evaluation details_input'!$P$3:$P$1000,"")
+COUNTIFS('Evaluation details_input'!$F$3:$F$1000,$AS$4,'Evaluation details_input'!$G$3:$G$1000,$AS6,'Evaluation details_input'!$H$3:$H$1000,$BC$3,'Evaluation details_input'!$J$3:$J$1000,"")</f>
        <v>0</v>
      </c>
      <c r="BD6" s="202">
        <f xml:space="preserve">
COUNTIFS('Evaluation details_input'!$P$3:$P$1000,$AS$4,'Evaluation details_input'!$Q$3:$Q$1000,$AS6,'Evaluation details_input'!$R$3:$R$1000,$BD$3)
+COUNTIFS('Evaluation details_input'!$F$3:$F$1000,$AS$4,'Evaluation details_input'!$G$3:$G$1000,$AS6,'Evaluation details_input'!$H$3:$H$1000,$BD$3,'Evaluation details_input'!$J$3:$J$1000,"Not accepted",'Evaluation details_input'!$N$3:$N$1000,"Disagree with original translator", 'Evaluation details_input'!$P$3:$P$1000,"")
+COUNTIFS('Evaluation details_input'!$F$3:$F$1000,$AS$4,'Evaluation details_input'!$G$3:$G$1000,$AS6,'Evaluation details_input'!$H$3:$H$1000,$BD$3,'Evaluation details_input'!$J$3:$J$1000,"Accepted", 'Evaluation details_input'!$P$3:$P$1000,"")
+COUNTIFS('Evaluation details_input'!$F$3:$F$1000,$AS$4,'Evaluation details_input'!$G$3:$G$1000,$AS6,'Evaluation details_input'!$H$3:$H$1000,$BD$3,'Evaluation details_input'!$J$3:$J$1000,"")</f>
        <v>0</v>
      </c>
      <c r="BE6" s="600"/>
    </row>
    <row r="7" spans="2:57">
      <c r="B7" s="153" t="s">
        <v>525</v>
      </c>
      <c r="C7" s="160" t="s">
        <v>95</v>
      </c>
      <c r="E7" s="153" t="s">
        <v>328</v>
      </c>
      <c r="H7" s="153" t="s">
        <v>209</v>
      </c>
      <c r="I7" s="600"/>
      <c r="K7" s="153" t="s">
        <v>27</v>
      </c>
      <c r="L7" s="155" t="s">
        <v>303</v>
      </c>
      <c r="M7" s="155" t="s">
        <v>368</v>
      </c>
      <c r="N7" s="153" t="s">
        <v>373</v>
      </c>
      <c r="P7" s="153" t="s">
        <v>301</v>
      </c>
      <c r="R7" s="600"/>
      <c r="S7" s="192" t="str">
        <f>$J$2</f>
        <v>Terminology</v>
      </c>
      <c r="T7" s="177"/>
      <c r="U7" s="177"/>
      <c r="V7" s="187"/>
      <c r="W7" s="191"/>
      <c r="X7" s="192" t="str">
        <f>$J$2</f>
        <v>Terminology</v>
      </c>
      <c r="Y7" s="177"/>
      <c r="Z7" s="177"/>
      <c r="AA7" s="187"/>
      <c r="AB7" s="191"/>
      <c r="AC7" s="192" t="str">
        <f>$J$2</f>
        <v>Terminology</v>
      </c>
      <c r="AD7" s="177"/>
      <c r="AE7" s="177"/>
      <c r="AF7" s="187"/>
      <c r="AG7" s="191"/>
      <c r="AH7" s="192" t="str">
        <f>$J$2</f>
        <v>Terminology</v>
      </c>
      <c r="AI7" s="177"/>
      <c r="AJ7" s="177"/>
      <c r="AK7" s="187"/>
      <c r="AL7" s="191"/>
      <c r="AM7" s="192" t="str">
        <f>$J$2</f>
        <v>Terminology</v>
      </c>
      <c r="AN7" s="177"/>
      <c r="AO7" s="177"/>
      <c r="AP7" s="187"/>
      <c r="AQ7" s="191"/>
      <c r="AR7" s="600"/>
      <c r="AS7" s="210" t="str">
        <f>$J5</f>
        <v>Wrong term</v>
      </c>
      <c r="AT7" s="206">
        <f>SUMPRODUCT(('Evaluation details_input'!$F$4:$F$1000=$AS$4)*('Evaluation details_input'!$G$4:$G$1000=$AS7)*('Evaluation details_input'!$H$4:$H$1000=$AT$3))</f>
        <v>0</v>
      </c>
      <c r="AU7" s="171">
        <f xml:space="preserve">
IF($AT$2=$X$3,$AT7*$Y$10,
IF($AT$2=$AC$3,$AT7*$AD$10,
$AT7*$T$10))</f>
        <v>0</v>
      </c>
      <c r="AV7" s="202">
        <f xml:space="preserve">
COUNTIFS('Evaluation details_input'!$P$3:$P$1000,$AS$4,'Evaluation details_input'!$Q$3:$Q$1000,$AS7,'Evaluation details_input'!$R$3:$R$1000,$AV$3)
+COUNTIFS('Evaluation details_input'!$F$3:$F$1000,$AS$4,'Evaluation details_input'!$G$3:$G$1000,$AS7,'Evaluation details_input'!$H$3:$H$1000,$AV$3,'Evaluation details_input'!$J$3:$J$1000,"Not accepted",'Evaluation details_input'!$N$3:$N$1000,"Disagree with original translator", 'Evaluation details_input'!$P$3:$P$1000,"")
+COUNTIFS('Evaluation details_input'!$F$3:$F$1000,$AS$4,'Evaluation details_input'!$G$3:$G$1000,$AS7,'Evaluation details_input'!$H$3:$H$1000,$AV$3,'Evaluation details_input'!$J$3:$J$1000,"Accepted", 'Evaluation details_input'!$P$3:$P$1000,"")
+COUNTIFS('Evaluation details_input'!$F$3:$F$1000,$AS$4,'Evaluation details_input'!$G$3:$G$1000,$AS7,'Evaluation details_input'!$H$3:$H$1000,$AV$3,'Evaluation details_input'!$J$3:$J$1000,"")</f>
        <v>0</v>
      </c>
      <c r="AW7" s="171">
        <f xml:space="preserve">
IF($AT$2=$X$3,$AV7*$Y10,
IF($AT$2=$AC$3,$AV7*$AD10,
$AV7*$T10))</f>
        <v>0</v>
      </c>
      <c r="AX7" s="202">
        <f>SUMPRODUCT(('Evaluation details_input'!$F$4:$F$1000=$AS$4)*('Evaluation details_input'!$G$4:$G$1000=$AS7)*('Evaluation details_input'!$H$4:$H$1000=$AX$3))</f>
        <v>0</v>
      </c>
      <c r="AY7" s="171">
        <f xml:space="preserve">
IF($AT$2=$X$3,$AX7*$Z10,
IF($AT$2=$AC$3,$AX7*$AE10,
$AX7*$U10))</f>
        <v>0</v>
      </c>
      <c r="AZ7" s="202">
        <f xml:space="preserve">
COUNTIFS('Evaluation details_input'!$P$3:$P$1000,$AS$4,'Evaluation details_input'!$Q$3:$Q$1000,$AS7,'Evaluation details_input'!$R$3:$R$1000,$AZ$3)
+COUNTIFS('Evaluation details_input'!$F$3:$F$1000,$AS$4,'Evaluation details_input'!$G$3:$G$1000,$AS7,'Evaluation details_input'!$H$3:$H$1000,$AZ$3,'Evaluation details_input'!$J$3:$J$1000,"Not accepted",'Evaluation details_input'!$N$3:$N$1000,"Disagree with original translator", 'Evaluation details_input'!$P$3:$P$1000,"")
+COUNTIFS('Evaluation details_input'!$F$3:$F$1000,$AS$4,'Evaluation details_input'!$G$3:$G$1000,$AS7,'Evaluation details_input'!$H$3:$H$1000,$AZ$3,'Evaluation details_input'!$J$3:$J$1000,"Accepted", 'Evaluation details_input'!$P$3:$P$1000,"")
+COUNTIFS('Evaluation details_input'!$F$3:$F$1000,$AS$4,'Evaluation details_input'!$G$3:$G$1000,$AS7,'Evaluation details_input'!$H$3:$H$1000,$AZ$3,'Evaluation details_input'!$J$3:$J$1000,"")</f>
        <v>0</v>
      </c>
      <c r="BA7" s="171">
        <f xml:space="preserve">
IF($AT$2=$X$3,$AZ7*$Z10,
IF($AT$2=$AC$3,$AZ7*$AE10,
$AZ7*$U10))</f>
        <v>0</v>
      </c>
      <c r="BB7" s="202">
        <f xml:space="preserve">
COUNTIFS('Evaluation details_input'!$P$3:$P$1000,$AS$4,'Evaluation details_input'!$Q$3:$Q$1000,$AS7,'Evaluation details_input'!$R$3:$R$1000,$BB$3)
+COUNTIFS('Evaluation details_input'!$F$3:$F$1000,$AS$4,'Evaluation details_input'!$G$3:$G$1000,$AS7,'Evaluation details_input'!$H$3:$H$1000,$BB$3,'Evaluation details_input'!$J$3:$J$1000,"Not accepted",'Evaluation details_input'!$N$3:$N$1000,"Disagree with original translator", 'Evaluation details_input'!$P$3:$P$1000,"")
+COUNTIFS('Evaluation details_input'!$F$3:$F$1000,$AS$4,'Evaluation details_input'!$G$3:$G$1000,$AS7,'Evaluation details_input'!$H$3:$H$1000,$BB$3,'Evaluation details_input'!$J$3:$J$1000,"Accepted", 'Evaluation details_input'!$P$3:$P$1000,"")
+COUNTIFS('Evaluation details_input'!$F$3:$F$1000,$AS$4,'Evaluation details_input'!$G$3:$G$1000,$AS7,'Evaluation details_input'!$H$3:$H$1000,$BB$3,'Evaluation details_input'!$J$3:$J$1000,"")</f>
        <v>0</v>
      </c>
      <c r="BC7" s="202">
        <f xml:space="preserve">
COUNTIFS('Evaluation details_input'!$P$3:$P$1000,$AS$4,'Evaluation details_input'!$Q$3:$Q$1000,$AS7,'Evaluation details_input'!$R$3:$R$1000,$BC$3)
+COUNTIFS('Evaluation details_input'!$F$3:$F$1000,$AS$4,'Evaluation details_input'!$G$3:$G$1000,$AS7,'Evaluation details_input'!$H$3:$H$1000,$BC$3,'Evaluation details_input'!$J$3:$J$1000,"Not accepted",'Evaluation details_input'!$N$3:$N$1000,"Disagree with original translator", 'Evaluation details_input'!$P$3:$P$1000,"")
+COUNTIFS('Evaluation details_input'!$F$3:$F$1000,$AS$4,'Evaluation details_input'!$G$3:$G$1000,$AS7,'Evaluation details_input'!$H$3:$H$1000,$BC$3,'Evaluation details_input'!$J$3:$J$1000,"Accepted", 'Evaluation details_input'!$P$3:$P$1000,"")
+COUNTIFS('Evaluation details_input'!$F$3:$F$1000,$AS$4,'Evaluation details_input'!$G$3:$G$1000,$AS7,'Evaluation details_input'!$H$3:$H$1000,$BC$3,'Evaluation details_input'!$J$3:$J$1000,"")</f>
        <v>0</v>
      </c>
      <c r="BD7" s="202">
        <f xml:space="preserve">
COUNTIFS('Evaluation details_input'!$P$3:$P$1000,$AS$4,'Evaluation details_input'!$Q$3:$Q$1000,$AS7,'Evaluation details_input'!$R$3:$R$1000,$BD$3)
+COUNTIFS('Evaluation details_input'!$F$3:$F$1000,$AS$4,'Evaluation details_input'!$G$3:$G$1000,$AS7,'Evaluation details_input'!$H$3:$H$1000,$BD$3,'Evaluation details_input'!$J$3:$J$1000,"Not accepted",'Evaluation details_input'!$N$3:$N$1000,"Disagree with original translator", 'Evaluation details_input'!$P$3:$P$1000,"")
+COUNTIFS('Evaluation details_input'!$F$3:$F$1000,$AS$4,'Evaluation details_input'!$G$3:$G$1000,$AS7,'Evaluation details_input'!$H$3:$H$1000,$BD$3,'Evaluation details_input'!$J$3:$J$1000,"Accepted", 'Evaluation details_input'!$P$3:$P$1000,"")
+COUNTIFS('Evaluation details_input'!$F$3:$F$1000,$AS$4,'Evaluation details_input'!$G$3:$G$1000,$AS7,'Evaluation details_input'!$H$3:$H$1000,$BD$3,'Evaluation details_input'!$J$3:$J$1000,"")</f>
        <v>0</v>
      </c>
      <c r="BE7" s="600"/>
    </row>
    <row r="8" spans="2:57" ht="23.25" thickBot="1">
      <c r="B8" s="153" t="s">
        <v>526</v>
      </c>
      <c r="C8" s="160" t="s">
        <v>31</v>
      </c>
      <c r="E8" s="154" t="s">
        <v>227</v>
      </c>
      <c r="H8" s="153" t="s">
        <v>552</v>
      </c>
      <c r="I8" s="600"/>
      <c r="K8" s="153" t="s">
        <v>363</v>
      </c>
      <c r="L8" s="156" t="s">
        <v>316</v>
      </c>
      <c r="M8" s="155" t="s">
        <v>313</v>
      </c>
      <c r="N8" s="153" t="s">
        <v>374</v>
      </c>
      <c r="P8" s="153" t="s">
        <v>305</v>
      </c>
      <c r="R8" s="600"/>
      <c r="S8" s="193" t="str">
        <f>$J$3</f>
        <v>Inconsistent with terminology resource</v>
      </c>
      <c r="T8" s="165">
        <v>2</v>
      </c>
      <c r="U8" s="165">
        <v>5</v>
      </c>
      <c r="V8" s="186">
        <v>100</v>
      </c>
      <c r="W8" s="166">
        <v>0</v>
      </c>
      <c r="X8" s="193" t="str">
        <f>$J$3</f>
        <v>Inconsistent with terminology resource</v>
      </c>
      <c r="Y8" s="165">
        <v>3</v>
      </c>
      <c r="Z8" s="165">
        <v>5</v>
      </c>
      <c r="AA8" s="186">
        <v>100</v>
      </c>
      <c r="AB8" s="166">
        <v>0</v>
      </c>
      <c r="AC8" s="193" t="str">
        <f>$J$3</f>
        <v>Inconsistent with terminology resource</v>
      </c>
      <c r="AD8" s="165">
        <v>2</v>
      </c>
      <c r="AE8" s="165">
        <v>5</v>
      </c>
      <c r="AF8" s="186">
        <v>100</v>
      </c>
      <c r="AG8" s="166">
        <v>0</v>
      </c>
      <c r="AH8" s="193" t="str">
        <f>$J$3</f>
        <v>Inconsistent with terminology resource</v>
      </c>
      <c r="AI8" s="165">
        <v>2</v>
      </c>
      <c r="AJ8" s="165">
        <v>5</v>
      </c>
      <c r="AK8" s="186">
        <v>100</v>
      </c>
      <c r="AL8" s="166">
        <v>0</v>
      </c>
      <c r="AM8" s="193" t="str">
        <f>$J$3</f>
        <v>Inconsistent with terminology resource</v>
      </c>
      <c r="AN8" s="165">
        <v>2</v>
      </c>
      <c r="AO8" s="165">
        <v>5</v>
      </c>
      <c r="AP8" s="186">
        <v>100</v>
      </c>
      <c r="AQ8" s="166">
        <v>0</v>
      </c>
      <c r="AR8" s="600"/>
      <c r="AS8" s="212" t="str">
        <f>$J6</f>
        <v>Other</v>
      </c>
      <c r="AT8" s="206">
        <f>SUMPRODUCT(('Evaluation details_input'!$F$4:$F$1000=$AS$4)*('Evaluation details_input'!$G$4:$G$1000=$AS8)*('Evaluation details_input'!$H$4:$H$1000=$AT$3))</f>
        <v>0</v>
      </c>
      <c r="AU8" s="171">
        <f xml:space="preserve">
IF($AT$2=$X$3,$AT8*$Y$11,
IF($AT$2=$AC$3,$AT8*$AD$11,
$AT8*$T$11))</f>
        <v>0</v>
      </c>
      <c r="AV8" s="202">
        <f xml:space="preserve">
COUNTIFS('Evaluation details_input'!$P$3:$P$1000,$AS$4,'Evaluation details_input'!$Q$3:$Q$1000,$AS8,'Evaluation details_input'!$R$3:$R$1000,$AV$3)
+COUNTIFS('Evaluation details_input'!$F$3:$F$1000,$AS$4,'Evaluation details_input'!$G$3:$G$1000,$AS8,'Evaluation details_input'!$H$3:$H$1000,$AV$3,'Evaluation details_input'!$J$3:$J$1000,"Not accepted",'Evaluation details_input'!$N$3:$N$1000,"Disagree with original translator", 'Evaluation details_input'!$P$3:$P$1000,"")
+COUNTIFS('Evaluation details_input'!$F$3:$F$1000,$AS$4,'Evaluation details_input'!$G$3:$G$1000,$AS8,'Evaluation details_input'!$H$3:$H$1000,$AV$3,'Evaluation details_input'!$J$3:$J$1000,"Accepted", 'Evaluation details_input'!$P$3:$P$1000,"")
+COUNTIFS('Evaluation details_input'!$F$3:$F$1000,$AS$4,'Evaluation details_input'!$G$3:$G$1000,$AS8,'Evaluation details_input'!$H$3:$H$1000,$AV$3,'Evaluation details_input'!$J$3:$J$1000,"")</f>
        <v>0</v>
      </c>
      <c r="AW8" s="171">
        <f xml:space="preserve">
IF($AT$2=$X$3,$AV8*$Y11,
IF($AT$2=$AC$3,$AV8*$AD11,
$AV8*$T11))</f>
        <v>0</v>
      </c>
      <c r="AX8" s="202">
        <f>SUMPRODUCT(('Evaluation details_input'!$F$4:$F$1000=$AS$4)*('Evaluation details_input'!$G$4:$G$1000=$AS8)*('Evaluation details_input'!$H$4:$H$1000=$AX$3))</f>
        <v>0</v>
      </c>
      <c r="AY8" s="171">
        <f xml:space="preserve">
IF($AT$2=$X$3,$AX8*$Z11,
IF($AT$2=$AC$3,$AX8*$AE11,
$AX8*$U11))</f>
        <v>0</v>
      </c>
      <c r="AZ8" s="202">
        <f xml:space="preserve">
COUNTIFS('Evaluation details_input'!$P$3:$P$1000,$AS$4,'Evaluation details_input'!$Q$3:$Q$1000,$AS8,'Evaluation details_input'!$R$3:$R$1000,$AZ$3)
+COUNTIFS('Evaluation details_input'!$F$3:$F$1000,$AS$4,'Evaluation details_input'!$G$3:$G$1000,$AS8,'Evaluation details_input'!$H$3:$H$1000,$AZ$3,'Evaluation details_input'!$J$3:$J$1000,"Not accepted",'Evaluation details_input'!$N$3:$N$1000,"Disagree with original translator", 'Evaluation details_input'!$P$3:$P$1000,"")
+COUNTIFS('Evaluation details_input'!$F$3:$F$1000,$AS$4,'Evaluation details_input'!$G$3:$G$1000,$AS8,'Evaluation details_input'!$H$3:$H$1000,$AZ$3,'Evaluation details_input'!$J$3:$J$1000,"Accepted", 'Evaluation details_input'!$P$3:$P$1000,"")
+COUNTIFS('Evaluation details_input'!$F$3:$F$1000,$AS$4,'Evaluation details_input'!$G$3:$G$1000,$AS8,'Evaluation details_input'!$H$3:$H$1000,$AZ$3,'Evaluation details_input'!$J$3:$J$1000,"")</f>
        <v>0</v>
      </c>
      <c r="BA8" s="171">
        <f xml:space="preserve">
IF($AT$2=$X$3,$AZ8*$Z11,
IF($AT$2=$AC$3,$AZ8*$AE11,
$AZ8*$U11))</f>
        <v>0</v>
      </c>
      <c r="BB8" s="202">
        <f xml:space="preserve">
COUNTIFS('Evaluation details_input'!$P$3:$P$1000,$AS$4,'Evaluation details_input'!$Q$3:$Q$1000,$AS8,'Evaluation details_input'!$R$3:$R$1000,$BB$3)
+COUNTIFS('Evaluation details_input'!$F$3:$F$1000,$AS$4,'Evaluation details_input'!$G$3:$G$1000,$AS8,'Evaluation details_input'!$H$3:$H$1000,$BB$3,'Evaluation details_input'!$J$3:$J$1000,"Not accepted",'Evaluation details_input'!$N$3:$N$1000,"Disagree with original translator", 'Evaluation details_input'!$P$3:$P$1000,"")
+COUNTIFS('Evaluation details_input'!$F$3:$F$1000,$AS$4,'Evaluation details_input'!$G$3:$G$1000,$AS8,'Evaluation details_input'!$H$3:$H$1000,$BB$3,'Evaluation details_input'!$J$3:$J$1000,"Accepted", 'Evaluation details_input'!$P$3:$P$1000,"")
+COUNTIFS('Evaluation details_input'!$F$3:$F$1000,$AS$4,'Evaluation details_input'!$G$3:$G$1000,$AS8,'Evaluation details_input'!$H$3:$H$1000,$BB$3,'Evaluation details_input'!$J$3:$J$1000,"")</f>
        <v>0</v>
      </c>
      <c r="BC8" s="202">
        <f xml:space="preserve">
COUNTIFS('Evaluation details_input'!$P$3:$P$1000,$AS$4,'Evaluation details_input'!$Q$3:$Q$1000,$AS8,'Evaluation details_input'!$R$3:$R$1000,$BC$3)
+COUNTIFS('Evaluation details_input'!$F$3:$F$1000,$AS$4,'Evaluation details_input'!$G$3:$G$1000,$AS8,'Evaluation details_input'!$H$3:$H$1000,$BC$3,'Evaluation details_input'!$J$3:$J$1000,"Not accepted",'Evaluation details_input'!$N$3:$N$1000,"Disagree with original translator", 'Evaluation details_input'!$P$3:$P$1000,"")
+COUNTIFS('Evaluation details_input'!$F$3:$F$1000,$AS$4,'Evaluation details_input'!$G$3:$G$1000,$AS8,'Evaluation details_input'!$H$3:$H$1000,$BC$3,'Evaluation details_input'!$J$3:$J$1000,"Accepted", 'Evaluation details_input'!$P$3:$P$1000,"")
+COUNTIFS('Evaluation details_input'!$F$3:$F$1000,$AS$4,'Evaluation details_input'!$G$3:$G$1000,$AS8,'Evaluation details_input'!$H$3:$H$1000,$BC$3,'Evaluation details_input'!$J$3:$J$1000,"")</f>
        <v>0</v>
      </c>
      <c r="BD8" s="202">
        <f xml:space="preserve">
COUNTIFS('Evaluation details_input'!$P$3:$P$1000,$AS$4,'Evaluation details_input'!$Q$3:$Q$1000,$AS8,'Evaluation details_input'!$R$3:$R$1000,$BD$3)
+COUNTIFS('Evaluation details_input'!$F$3:$F$1000,$AS$4,'Evaluation details_input'!$G$3:$G$1000,$AS8,'Evaluation details_input'!$H$3:$H$1000,$BD$3,'Evaluation details_input'!$J$3:$J$1000,"Not accepted",'Evaluation details_input'!$N$3:$N$1000,"Disagree with original translator", 'Evaluation details_input'!$P$3:$P$1000,"")
+COUNTIFS('Evaluation details_input'!$F$3:$F$1000,$AS$4,'Evaluation details_input'!$G$3:$G$1000,$AS8,'Evaluation details_input'!$H$3:$H$1000,$BD$3,'Evaluation details_input'!$J$3:$J$1000,"Accepted", 'Evaluation details_input'!$P$3:$P$1000,"")
+COUNTIFS('Evaluation details_input'!$F$3:$F$1000,$AS$4,'Evaluation details_input'!$G$3:$G$1000,$AS8,'Evaluation details_input'!$H$3:$H$1000,$BD$3,'Evaluation details_input'!$J$3:$J$1000,"")</f>
        <v>0</v>
      </c>
      <c r="BE8" s="600"/>
    </row>
    <row r="9" spans="2:57" ht="23.25" thickBot="1">
      <c r="B9" s="153" t="s">
        <v>527</v>
      </c>
      <c r="C9" s="160" t="s">
        <v>287</v>
      </c>
      <c r="E9" s="29"/>
      <c r="H9" s="153" t="s">
        <v>597</v>
      </c>
      <c r="I9" s="600"/>
      <c r="K9" s="153" t="s">
        <v>298</v>
      </c>
      <c r="M9" s="155" t="s">
        <v>315</v>
      </c>
      <c r="N9" s="153" t="s">
        <v>300</v>
      </c>
      <c r="P9" s="154" t="s">
        <v>316</v>
      </c>
      <c r="R9" s="600"/>
      <c r="S9" s="193" t="str">
        <f>$J$4</f>
        <v>Inconsistent use of terminology</v>
      </c>
      <c r="T9" s="165">
        <v>2</v>
      </c>
      <c r="U9" s="165">
        <v>5</v>
      </c>
      <c r="V9" s="186">
        <v>100</v>
      </c>
      <c r="W9" s="166">
        <v>0</v>
      </c>
      <c r="X9" s="193" t="str">
        <f>$J$4</f>
        <v>Inconsistent use of terminology</v>
      </c>
      <c r="Y9" s="165">
        <v>3</v>
      </c>
      <c r="Z9" s="165">
        <v>5</v>
      </c>
      <c r="AA9" s="186">
        <v>100</v>
      </c>
      <c r="AB9" s="166">
        <v>0</v>
      </c>
      <c r="AC9" s="193" t="str">
        <f>$J$4</f>
        <v>Inconsistent use of terminology</v>
      </c>
      <c r="AD9" s="165">
        <v>2</v>
      </c>
      <c r="AE9" s="165">
        <v>5</v>
      </c>
      <c r="AF9" s="186">
        <v>100</v>
      </c>
      <c r="AG9" s="166">
        <v>0</v>
      </c>
      <c r="AH9" s="193" t="str">
        <f>$J$4</f>
        <v>Inconsistent use of terminology</v>
      </c>
      <c r="AI9" s="165">
        <v>2</v>
      </c>
      <c r="AJ9" s="165">
        <v>5</v>
      </c>
      <c r="AK9" s="186">
        <v>100</v>
      </c>
      <c r="AL9" s="166">
        <v>0</v>
      </c>
      <c r="AM9" s="193" t="str">
        <f>$J$4</f>
        <v>Inconsistent use of terminology</v>
      </c>
      <c r="AN9" s="165">
        <v>2</v>
      </c>
      <c r="AO9" s="165">
        <v>5</v>
      </c>
      <c r="AP9" s="186">
        <v>100</v>
      </c>
      <c r="AQ9" s="166">
        <v>0</v>
      </c>
      <c r="AR9" s="600"/>
      <c r="AS9" s="214" t="str">
        <f>K2</f>
        <v>Accuracy</v>
      </c>
      <c r="AT9" s="207"/>
      <c r="AU9" s="173"/>
      <c r="AV9" s="173"/>
      <c r="AW9" s="173"/>
      <c r="AX9" s="203"/>
      <c r="AY9" s="173"/>
      <c r="AZ9" s="173"/>
      <c r="BA9" s="173"/>
      <c r="BB9" s="264"/>
      <c r="BC9" s="264"/>
      <c r="BD9" s="264"/>
      <c r="BE9" s="600"/>
    </row>
    <row r="10" spans="2:57" ht="13.5" thickBot="1">
      <c r="B10" s="153" t="s">
        <v>528</v>
      </c>
      <c r="C10" s="160" t="s">
        <v>275</v>
      </c>
      <c r="H10" s="153" t="s">
        <v>226</v>
      </c>
      <c r="I10" s="600"/>
      <c r="K10" s="154" t="s">
        <v>316</v>
      </c>
      <c r="M10" s="156" t="s">
        <v>316</v>
      </c>
      <c r="N10" s="153" t="s">
        <v>299</v>
      </c>
      <c r="R10" s="600"/>
      <c r="S10" s="193" t="str">
        <f>$J$5</f>
        <v>Wrong term</v>
      </c>
      <c r="T10" s="165">
        <v>2</v>
      </c>
      <c r="U10" s="165">
        <v>5</v>
      </c>
      <c r="V10" s="186">
        <v>100</v>
      </c>
      <c r="W10" s="166">
        <v>0</v>
      </c>
      <c r="X10" s="193" t="str">
        <f>$J$5</f>
        <v>Wrong term</v>
      </c>
      <c r="Y10" s="165">
        <v>3</v>
      </c>
      <c r="Z10" s="165">
        <v>5</v>
      </c>
      <c r="AA10" s="186">
        <v>100</v>
      </c>
      <c r="AB10" s="166">
        <v>0</v>
      </c>
      <c r="AC10" s="193" t="str">
        <f>$J$5</f>
        <v>Wrong term</v>
      </c>
      <c r="AD10" s="165">
        <v>2</v>
      </c>
      <c r="AE10" s="165">
        <v>5</v>
      </c>
      <c r="AF10" s="186">
        <v>100</v>
      </c>
      <c r="AG10" s="166">
        <v>0</v>
      </c>
      <c r="AH10" s="193" t="str">
        <f>$J$5</f>
        <v>Wrong term</v>
      </c>
      <c r="AI10" s="165">
        <v>2</v>
      </c>
      <c r="AJ10" s="165">
        <v>5</v>
      </c>
      <c r="AK10" s="186">
        <v>100</v>
      </c>
      <c r="AL10" s="166">
        <v>0</v>
      </c>
      <c r="AM10" s="193" t="str">
        <f>$J$5</f>
        <v>Wrong term</v>
      </c>
      <c r="AN10" s="165">
        <v>2</v>
      </c>
      <c r="AO10" s="165">
        <v>5</v>
      </c>
      <c r="AP10" s="186">
        <v>100</v>
      </c>
      <c r="AQ10" s="166">
        <v>0</v>
      </c>
      <c r="AR10" s="600"/>
      <c r="AS10" s="210" t="str">
        <f t="shared" ref="AS10:AS17" si="0">$K3</f>
        <v>Mistranslation</v>
      </c>
      <c r="AT10" s="206">
        <f>SUMPRODUCT(('Evaluation details_input'!$F$4:$F$1000=$AS$9)*('Evaluation details_input'!$G$4:$G$1000=$AS10)*('Evaluation details_input'!$H$4:$H$1000=$AT$3))</f>
        <v>0</v>
      </c>
      <c r="AU10" s="171">
        <f xml:space="preserve">
IF($AT$2=$X$3,$AT10*$Y$13,
IF($AT$2=$AC$3,$AT10*$AD$13,
$AT10*$T$13))</f>
        <v>0</v>
      </c>
      <c r="AV10" s="202">
        <f xml:space="preserve">
COUNTIFS('Evaluation details_input'!$P$3:$P$1000,$AS$9,'Evaluation details_input'!$Q$3:$Q$1000,$AS10,'Evaluation details_input'!$R$3:$R$1000,$AV$3)
+COUNTIFS('Evaluation details_input'!$F$3:$F$1000,$AS$9,'Evaluation details_input'!$G$3:$G$1000,$AS10,'Evaluation details_input'!$H$3:$H$1000,$AV$3,'Evaluation details_input'!$J$3:$J$1000,"Not accepted",'Evaluation details_input'!$N$3:$N$1000,"Disagree with original translator", 'Evaluation details_input'!$P$3:$P$1000,"")
+COUNTIFS('Evaluation details_input'!$F$3:$F$1000,$AS$9,'Evaluation details_input'!$G$3:$G$1000,$AS10,'Evaluation details_input'!$H$3:$H$1000,$AV$3,'Evaluation details_input'!$J$3:$J$1000,"Accepted", 'Evaluation details_input'!$P$3:$P$1000,"")
+COUNTIFS('Evaluation details_input'!$F$3:$F$1000,$AS$9,'Evaluation details_input'!$G$3:$G$1000,$AS10,'Evaluation details_input'!$H$3:$H$1000,$AV$3,'Evaluation details_input'!$J$3:$J$1000,"")</f>
        <v>0</v>
      </c>
      <c r="AW10" s="171">
        <f t="shared" ref="AW10:AW17" si="1" xml:space="preserve">
IF($AT$2=$X$3,$AV10*$Y13,
IF($AT$2=$AC$3,$AV10*$AD13,
$AV10*$T13))</f>
        <v>0</v>
      </c>
      <c r="AX10" s="202">
        <f>SUMPRODUCT(('Evaluation details_input'!$F$4:$F$1000=$AS$9)*('Evaluation details_input'!$G$4:$G$1000=$AS10)*('Evaluation details_input'!$H$4:$H$1000=$AX$3))</f>
        <v>0</v>
      </c>
      <c r="AY10" s="171">
        <f t="shared" ref="AY10:AY17" si="2" xml:space="preserve">
IF($AT$2=$X$3,$AX10*$Z13,
IF($AT$2=$AC$3,$AX10*$AE13,
$AX10*$U13))</f>
        <v>0</v>
      </c>
      <c r="AZ10" s="202">
        <f xml:space="preserve">
COUNTIFS('Evaluation details_input'!$P$3:$P$1000,$AS$9,'Evaluation details_input'!$Q$3:$Q$1000,$AS10,'Evaluation details_input'!$R$3:$R$1000,$AZ$3)
+COUNTIFS('Evaluation details_input'!$F$3:$F$1000,$AS$9,'Evaluation details_input'!$G$3:$G$1000,$AS10,'Evaluation details_input'!$H$3:$H$1000,$AZ$3,'Evaluation details_input'!$J$3:$J$1000,"Not accepted",'Evaluation details_input'!$N$3:$N$1000,"Disagree with original translator", 'Evaluation details_input'!$P$3:$P$1000,"")
+COUNTIFS('Evaluation details_input'!$F$3:$F$1000,$AS$9,'Evaluation details_input'!$G$3:$G$1000,$AS10,'Evaluation details_input'!$H$3:$H$1000,$AZ$3,'Evaluation details_input'!$J$3:$J$1000,"Accepted", 'Evaluation details_input'!$P$3:$P$1000,"")
+COUNTIFS('Evaluation details_input'!$F$3:$F$1000,$AS$9,'Evaluation details_input'!$G$3:$G$1000,$AS10,'Evaluation details_input'!$H$3:$H$1000,$AZ$3,'Evaluation details_input'!$J$3:$J$1000,"")</f>
        <v>0</v>
      </c>
      <c r="BA10" s="171">
        <f t="shared" ref="BA10:BA17" si="3" xml:space="preserve">
IF($AT$2=$X$3,$AZ10*$Z13,
IF($AT$2=$AC$3,$AZ10*$AE13,
$AZ10*$U13))</f>
        <v>0</v>
      </c>
      <c r="BB10" s="202">
        <f xml:space="preserve">
COUNTIFS('Evaluation details_input'!$P$3:$P$1000,$AS$9,'Evaluation details_input'!$Q$3:$Q$1000,$AS10,'Evaluation details_input'!$R$3:$R$1000,$BB$3)
+COUNTIFS('Evaluation details_input'!$F$3:$F$1000,$AS$9,'Evaluation details_input'!$G$3:$G$1000,$AS10,'Evaluation details_input'!$H$3:$H$1000,$BB$3,'Evaluation details_input'!$J$3:$J$1000,"Not accepted",'Evaluation details_input'!$N$3:$N$1000,"Disagree with original translator", 'Evaluation details_input'!$P$3:$P$1000,"")
+COUNTIFS('Evaluation details_input'!$F$3:$F$1000,$AS$9,'Evaluation details_input'!$G$3:$G$1000,$AS10,'Evaluation details_input'!$H$3:$H$1000,$BB$3,'Evaluation details_input'!$J$3:$J$1000,"Accepted", 'Evaluation details_input'!$P$3:$P$1000,"")
+COUNTIFS('Evaluation details_input'!$F$3:$F$1000,$AS$9,'Evaluation details_input'!$G$3:$G$1000,$AS10,'Evaluation details_input'!$H$3:$H$1000,$BB$3,'Evaluation details_input'!$J$3:$J$1000,"")</f>
        <v>0</v>
      </c>
      <c r="BC10" s="202">
        <f xml:space="preserve">
COUNTIFS('Evaluation details_input'!$P$3:$P$1000,$AS$9,'Evaluation details_input'!$Q$3:$Q$1000,$AS10,'Evaluation details_input'!$R$3:$R$1000,$BC$3)
+COUNTIFS('Evaluation details_input'!$F$3:$F$1000,$AS$9,'Evaluation details_input'!$G$3:$G$1000,$AS10,'Evaluation details_input'!$H$3:$H$1000,$BC$3,'Evaluation details_input'!$J$3:$J$1000,"Not accepted",'Evaluation details_input'!$N$3:$N$1000,"Disagree with original translator", 'Evaluation details_input'!$P$3:$P$1000,"")
+COUNTIFS('Evaluation details_input'!$F$3:$F$1000,$AS$9,'Evaluation details_input'!$G$3:$G$1000,$AS10,'Evaluation details_input'!$H$3:$H$1000,$BC$3,'Evaluation details_input'!$J$3:$J$1000,"Accepted", 'Evaluation details_input'!$P$3:$P$1000,"")
+COUNTIFS('Evaluation details_input'!$F$3:$F$1000,$AS$9,'Evaluation details_input'!$G$3:$G$1000,$AS10,'Evaluation details_input'!$H$3:$H$1000,$BC$3,'Evaluation details_input'!$J$3:$J$1000,"")</f>
        <v>0</v>
      </c>
      <c r="BD10" s="202">
        <f xml:space="preserve">
COUNTIFS('Evaluation details_input'!$P$3:$P$1000,$AS$9,'Evaluation details_input'!$Q$3:$Q$1000,$AS10,'Evaluation details_input'!$R$3:$R$1000,$BD$3)
+COUNTIFS('Evaluation details_input'!$F$3:$F$1000,$AS$9,'Evaluation details_input'!$G$3:$G$1000,$AS10,'Evaluation details_input'!$H$3:$H$1000,$BD$3,'Evaluation details_input'!$J$3:$J$1000,"Not accepted",'Evaluation details_input'!$N$3:$N$1000,"Disagree with original translator", 'Evaluation details_input'!$P$3:$P$1000,"")
+COUNTIFS('Evaluation details_input'!$F$3:$F$1000,$AS$9,'Evaluation details_input'!$G$3:$G$1000,$AS10,'Evaluation details_input'!$H$3:$H$1000,$BD$3,'Evaluation details_input'!$J$3:$J$1000,"Accepted", 'Evaluation details_input'!$P$3:$P$1000,"")
+COUNTIFS('Evaluation details_input'!$F$3:$F$1000,$AS$9,'Evaluation details_input'!$G$3:$G$1000,$AS10,'Evaluation details_input'!$H$3:$H$1000,$BD$3,'Evaluation details_input'!$J$3:$J$1000,"")</f>
        <v>0</v>
      </c>
      <c r="BE10" s="600"/>
    </row>
    <row r="11" spans="2:57" ht="23.25" thickBot="1">
      <c r="B11" s="153" t="s">
        <v>553</v>
      </c>
      <c r="C11" s="160" t="s">
        <v>280</v>
      </c>
      <c r="E11" s="29"/>
      <c r="H11" s="153" t="s">
        <v>225</v>
      </c>
      <c r="I11" s="600"/>
      <c r="N11" s="154" t="s">
        <v>316</v>
      </c>
      <c r="R11" s="600"/>
      <c r="S11" s="193" t="str">
        <f>$J$6</f>
        <v>Other</v>
      </c>
      <c r="T11" s="165">
        <v>2</v>
      </c>
      <c r="U11" s="165">
        <v>5</v>
      </c>
      <c r="V11" s="186">
        <v>100</v>
      </c>
      <c r="W11" s="166">
        <v>0</v>
      </c>
      <c r="X11" s="193" t="str">
        <f>$J$6</f>
        <v>Other</v>
      </c>
      <c r="Y11" s="165">
        <v>3</v>
      </c>
      <c r="Z11" s="165">
        <v>5</v>
      </c>
      <c r="AA11" s="186">
        <v>100</v>
      </c>
      <c r="AB11" s="166">
        <v>0</v>
      </c>
      <c r="AC11" s="193" t="str">
        <f>$J$6</f>
        <v>Other</v>
      </c>
      <c r="AD11" s="165">
        <v>2</v>
      </c>
      <c r="AE11" s="165">
        <v>5</v>
      </c>
      <c r="AF11" s="186">
        <v>100</v>
      </c>
      <c r="AG11" s="166">
        <v>0</v>
      </c>
      <c r="AH11" s="193" t="str">
        <f>$J$6</f>
        <v>Other</v>
      </c>
      <c r="AI11" s="165">
        <v>2</v>
      </c>
      <c r="AJ11" s="165">
        <v>5</v>
      </c>
      <c r="AK11" s="186">
        <v>100</v>
      </c>
      <c r="AL11" s="166">
        <v>0</v>
      </c>
      <c r="AM11" s="193" t="str">
        <f>$J$6</f>
        <v>Other</v>
      </c>
      <c r="AN11" s="165">
        <v>2</v>
      </c>
      <c r="AO11" s="165">
        <v>5</v>
      </c>
      <c r="AP11" s="186">
        <v>100</v>
      </c>
      <c r="AQ11" s="166">
        <v>0</v>
      </c>
      <c r="AR11" s="600"/>
      <c r="AS11" s="210" t="str">
        <f t="shared" si="0"/>
        <v>Over-translation</v>
      </c>
      <c r="AT11" s="206">
        <f>SUMPRODUCT(('Evaluation details_input'!$F$4:$F$1000=$AS$9)*('Evaluation details_input'!$G$4:$G$1000=$AS11)*('Evaluation details_input'!$H$4:$H$1000=$AT$3))</f>
        <v>0</v>
      </c>
      <c r="AU11" s="171">
        <f xml:space="preserve">
IF($AT$2=$X$3,$AT11*$Y$14,
IF($AT$2=$AC$3,$AT11*$AD$14,
$AT11*$T$14))</f>
        <v>0</v>
      </c>
      <c r="AV11" s="202">
        <f xml:space="preserve">
COUNTIFS('Evaluation details_input'!$P$3:$P$1000,$AS$9,'Evaluation details_input'!$Q$3:$Q$1000,$AS11,'Evaluation details_input'!$R$3:$R$1000,$AV$3)
+COUNTIFS('Evaluation details_input'!$F$3:$F$1000,$AS$9,'Evaluation details_input'!$G$3:$G$1000,$AS11,'Evaluation details_input'!$H$3:$H$1000,$AV$3,'Evaluation details_input'!$J$3:$J$1000,"Not accepted",'Evaluation details_input'!$N$3:$N$1000,"Disagree with original translator", 'Evaluation details_input'!$P$3:$P$1000,"")
+COUNTIFS('Evaluation details_input'!$F$3:$F$1000,$AS$9,'Evaluation details_input'!$G$3:$G$1000,$AS11,'Evaluation details_input'!$H$3:$H$1000,$AV$3,'Evaluation details_input'!$J$3:$J$1000,"Accepted", 'Evaluation details_input'!$P$3:$P$1000,"")
+COUNTIFS('Evaluation details_input'!$F$3:$F$1000,$AS$9,'Evaluation details_input'!$G$3:$G$1000,$AS11,'Evaluation details_input'!$H$3:$H$1000,$AV$3,'Evaluation details_input'!$J$3:$J$1000,"")</f>
        <v>0</v>
      </c>
      <c r="AW11" s="171">
        <f t="shared" si="1"/>
        <v>0</v>
      </c>
      <c r="AX11" s="202">
        <f>SUMPRODUCT(('Evaluation details_input'!$F$4:$F$1000=$AS$9)*('Evaluation details_input'!$G$4:$G$1000=$AS11)*('Evaluation details_input'!$H$4:$H$1000=$AX$3))</f>
        <v>0</v>
      </c>
      <c r="AY11" s="171">
        <f t="shared" si="2"/>
        <v>0</v>
      </c>
      <c r="AZ11" s="202">
        <f xml:space="preserve">
COUNTIFS('Evaluation details_input'!$P$3:$P$1000,$AS$9,'Evaluation details_input'!$Q$3:$Q$1000,$AS11,'Evaluation details_input'!$R$3:$R$1000,$AZ$3)
+COUNTIFS('Evaluation details_input'!$F$3:$F$1000,$AS$9,'Evaluation details_input'!$G$3:$G$1000,$AS11,'Evaluation details_input'!$H$3:$H$1000,$AZ$3,'Evaluation details_input'!$J$3:$J$1000,"Not accepted",'Evaluation details_input'!$N$3:$N$1000,"Disagree with original translator", 'Evaluation details_input'!$P$3:$P$1000,"")
+COUNTIFS('Evaluation details_input'!$F$3:$F$1000,$AS$9,'Evaluation details_input'!$G$3:$G$1000,$AS11,'Evaluation details_input'!$H$3:$H$1000,$AZ$3,'Evaluation details_input'!$J$3:$J$1000,"Accepted", 'Evaluation details_input'!$P$3:$P$1000,"")
+COUNTIFS('Evaluation details_input'!$F$3:$F$1000,$AS$9,'Evaluation details_input'!$G$3:$G$1000,$AS11,'Evaluation details_input'!$H$3:$H$1000,$AZ$3,'Evaluation details_input'!$J$3:$J$1000,"")</f>
        <v>0</v>
      </c>
      <c r="BA11" s="171">
        <f t="shared" si="3"/>
        <v>0</v>
      </c>
      <c r="BB11" s="202">
        <f xml:space="preserve">
COUNTIFS('Evaluation details_input'!$P$3:$P$1000,$AS$9,'Evaluation details_input'!$Q$3:$Q$1000,$AS11,'Evaluation details_input'!$R$3:$R$1000,$BB$3)
+COUNTIFS('Evaluation details_input'!$F$3:$F$1000,$AS$9,'Evaluation details_input'!$G$3:$G$1000,$AS11,'Evaluation details_input'!$H$3:$H$1000,$BB$3,'Evaluation details_input'!$J$3:$J$1000,"Not accepted",'Evaluation details_input'!$N$3:$N$1000,"Disagree with original translator", 'Evaluation details_input'!$P$3:$P$1000,"")
+COUNTIFS('Evaluation details_input'!$F$3:$F$1000,$AS$9,'Evaluation details_input'!$G$3:$G$1000,$AS11,'Evaluation details_input'!$H$3:$H$1000,$BB$3,'Evaluation details_input'!$J$3:$J$1000,"Accepted", 'Evaluation details_input'!$P$3:$P$1000,"")
+COUNTIFS('Evaluation details_input'!$F$3:$F$1000,$AS$9,'Evaluation details_input'!$G$3:$G$1000,$AS11,'Evaluation details_input'!$H$3:$H$1000,$BB$3,'Evaluation details_input'!$J$3:$J$1000,"")</f>
        <v>0</v>
      </c>
      <c r="BC11" s="202">
        <f xml:space="preserve">
COUNTIFS('Evaluation details_input'!$P$3:$P$1000,$AS$9,'Evaluation details_input'!$Q$3:$Q$1000,$AS11,'Evaluation details_input'!$R$3:$R$1000,$BC$3)
+COUNTIFS('Evaluation details_input'!$F$3:$F$1000,$AS$9,'Evaluation details_input'!$G$3:$G$1000,$AS11,'Evaluation details_input'!$H$3:$H$1000,$BC$3,'Evaluation details_input'!$J$3:$J$1000,"Not accepted",'Evaluation details_input'!$N$3:$N$1000,"Disagree with original translator", 'Evaluation details_input'!$P$3:$P$1000,"")
+COUNTIFS('Evaluation details_input'!$F$3:$F$1000,$AS$9,'Evaluation details_input'!$G$3:$G$1000,$AS11,'Evaluation details_input'!$H$3:$H$1000,$BC$3,'Evaluation details_input'!$J$3:$J$1000,"Accepted", 'Evaluation details_input'!$P$3:$P$1000,"")
+COUNTIFS('Evaluation details_input'!$F$3:$F$1000,$AS$9,'Evaluation details_input'!$G$3:$G$1000,$AS11,'Evaluation details_input'!$H$3:$H$1000,$BC$3,'Evaluation details_input'!$J$3:$J$1000,"")</f>
        <v>0</v>
      </c>
      <c r="BD11" s="202">
        <f xml:space="preserve">
COUNTIFS('Evaluation details_input'!$P$3:$P$1000,$AS$9,'Evaluation details_input'!$Q$3:$Q$1000,$AS11,'Evaluation details_input'!$R$3:$R$1000,$BD$3)
+COUNTIFS('Evaluation details_input'!$F$3:$F$1000,$AS$9,'Evaluation details_input'!$G$3:$G$1000,$AS11,'Evaluation details_input'!$H$3:$H$1000,$BD$3,'Evaluation details_input'!$J$3:$J$1000,"Not accepted",'Evaluation details_input'!$N$3:$N$1000,"Disagree with original translator", 'Evaluation details_input'!$P$3:$P$1000,"")
+COUNTIFS('Evaluation details_input'!$F$3:$F$1000,$AS$9,'Evaluation details_input'!$G$3:$G$1000,$AS11,'Evaluation details_input'!$H$3:$H$1000,$BD$3,'Evaluation details_input'!$J$3:$J$1000,"Accepted", 'Evaluation details_input'!$P$3:$P$1000,"")
+COUNTIFS('Evaluation details_input'!$F$3:$F$1000,$AS$9,'Evaluation details_input'!$G$3:$G$1000,$AS11,'Evaluation details_input'!$H$3:$H$1000,$BD$3,'Evaluation details_input'!$J$3:$J$1000,"")</f>
        <v>0</v>
      </c>
      <c r="BE11" s="600"/>
    </row>
    <row r="12" spans="2:57" ht="23.25" thickBot="1">
      <c r="B12" s="153" t="s">
        <v>130</v>
      </c>
      <c r="C12" s="160" t="s">
        <v>268</v>
      </c>
      <c r="E12" s="29"/>
      <c r="H12" s="154" t="s">
        <v>212</v>
      </c>
      <c r="I12" s="600"/>
      <c r="S12" s="194" t="str">
        <f>$K$2</f>
        <v>Accuracy</v>
      </c>
      <c r="T12" s="177"/>
      <c r="U12" s="177"/>
      <c r="V12" s="187"/>
      <c r="W12" s="178"/>
      <c r="X12" s="194" t="str">
        <f>$K$2</f>
        <v>Accuracy</v>
      </c>
      <c r="Y12" s="177"/>
      <c r="Z12" s="177"/>
      <c r="AA12" s="187"/>
      <c r="AB12" s="178"/>
      <c r="AC12" s="194" t="str">
        <f>$K$2</f>
        <v>Accuracy</v>
      </c>
      <c r="AD12" s="177"/>
      <c r="AE12" s="177"/>
      <c r="AF12" s="187"/>
      <c r="AG12" s="178"/>
      <c r="AH12" s="194" t="str">
        <f>$K$2</f>
        <v>Accuracy</v>
      </c>
      <c r="AI12" s="177"/>
      <c r="AJ12" s="177"/>
      <c r="AK12" s="187"/>
      <c r="AL12" s="178"/>
      <c r="AM12" s="194" t="str">
        <f>$K$2</f>
        <v>Accuracy</v>
      </c>
      <c r="AN12" s="177"/>
      <c r="AO12" s="177"/>
      <c r="AP12" s="187"/>
      <c r="AQ12" s="178"/>
      <c r="AR12" s="600"/>
      <c r="AS12" s="210" t="str">
        <f t="shared" si="0"/>
        <v>Under-translation</v>
      </c>
      <c r="AT12" s="206">
        <f>SUMPRODUCT(('Evaluation details_input'!$F$4:$F$1000=$AS$9)*('Evaluation details_input'!$G$4:$G$1000=$AS12)*('Evaluation details_input'!$H$4:$H$1000=$AT$3))</f>
        <v>0</v>
      </c>
      <c r="AU12" s="171">
        <f xml:space="preserve">
IF($AT$2=$X$3,$AT12*$Y$15,
IF($AT$2=$AC$3,$AT12*$AD$15,
$AT12*$T$15))</f>
        <v>0</v>
      </c>
      <c r="AV12" s="202">
        <f xml:space="preserve">
COUNTIFS('Evaluation details_input'!$P$3:$P$1000,$AS$9,'Evaluation details_input'!$Q$3:$Q$1000,$AS12,'Evaluation details_input'!$R$3:$R$1000,$AV$3)
+COUNTIFS('Evaluation details_input'!$F$3:$F$1000,$AS$9,'Evaluation details_input'!$G$3:$G$1000,$AS12,'Evaluation details_input'!$H$3:$H$1000,$AV$3,'Evaluation details_input'!$J$3:$J$1000,"Not accepted",'Evaluation details_input'!$N$3:$N$1000,"Disagree with original translator", 'Evaluation details_input'!$P$3:$P$1000,"")
+COUNTIFS('Evaluation details_input'!$F$3:$F$1000,$AS$9,'Evaluation details_input'!$G$3:$G$1000,$AS12,'Evaluation details_input'!$H$3:$H$1000,$AV$3,'Evaluation details_input'!$J$3:$J$1000,"Accepted", 'Evaluation details_input'!$P$3:$P$1000,"")
+COUNTIFS('Evaluation details_input'!$F$3:$F$1000,$AS$9,'Evaluation details_input'!$G$3:$G$1000,$AS12,'Evaluation details_input'!$H$3:$H$1000,$AV$3,'Evaluation details_input'!$J$3:$J$1000,"")</f>
        <v>0</v>
      </c>
      <c r="AW12" s="171">
        <f t="shared" si="1"/>
        <v>0</v>
      </c>
      <c r="AX12" s="202">
        <f>SUMPRODUCT(('Evaluation details_input'!$F$4:$F$1000=$AS$9)*('Evaluation details_input'!$G$4:$G$1000=$AS12)*('Evaluation details_input'!$H$4:$H$1000=$AX$3))</f>
        <v>0</v>
      </c>
      <c r="AY12" s="171">
        <f t="shared" si="2"/>
        <v>0</v>
      </c>
      <c r="AZ12" s="202">
        <f xml:space="preserve">
COUNTIFS('Evaluation details_input'!$P$3:$P$1000,$AS$9,'Evaluation details_input'!$Q$3:$Q$1000,$AS12,'Evaluation details_input'!$R$3:$R$1000,$AZ$3)
+COUNTIFS('Evaluation details_input'!$F$3:$F$1000,$AS$9,'Evaluation details_input'!$G$3:$G$1000,$AS12,'Evaluation details_input'!$H$3:$H$1000,$AZ$3,'Evaluation details_input'!$J$3:$J$1000,"Not accepted",'Evaluation details_input'!$N$3:$N$1000,"Disagree with original translator", 'Evaluation details_input'!$P$3:$P$1000,"")
+COUNTIFS('Evaluation details_input'!$F$3:$F$1000,$AS$9,'Evaluation details_input'!$G$3:$G$1000,$AS12,'Evaluation details_input'!$H$3:$H$1000,$AZ$3,'Evaluation details_input'!$J$3:$J$1000,"Accepted", 'Evaluation details_input'!$P$3:$P$1000,"")
+COUNTIFS('Evaluation details_input'!$F$3:$F$1000,$AS$9,'Evaluation details_input'!$G$3:$G$1000,$AS12,'Evaluation details_input'!$H$3:$H$1000,$AZ$3,'Evaluation details_input'!$J$3:$J$1000,"")</f>
        <v>0</v>
      </c>
      <c r="BA12" s="171">
        <f t="shared" si="3"/>
        <v>0</v>
      </c>
      <c r="BB12" s="202">
        <f xml:space="preserve">
COUNTIFS('Evaluation details_input'!$P$3:$P$1000,$AS$9,'Evaluation details_input'!$Q$3:$Q$1000,$AS12,'Evaluation details_input'!$R$3:$R$1000,$BB$3)
+COUNTIFS('Evaluation details_input'!$F$3:$F$1000,$AS$9,'Evaluation details_input'!$G$3:$G$1000,$AS12,'Evaluation details_input'!$H$3:$H$1000,$BB$3,'Evaluation details_input'!$J$3:$J$1000,"Not accepted",'Evaluation details_input'!$N$3:$N$1000,"Disagree with original translator", 'Evaluation details_input'!$P$3:$P$1000,"")
+COUNTIFS('Evaluation details_input'!$F$3:$F$1000,$AS$9,'Evaluation details_input'!$G$3:$G$1000,$AS12,'Evaluation details_input'!$H$3:$H$1000,$BB$3,'Evaluation details_input'!$J$3:$J$1000,"Accepted", 'Evaluation details_input'!$P$3:$P$1000,"")
+COUNTIFS('Evaluation details_input'!$F$3:$F$1000,$AS$9,'Evaluation details_input'!$G$3:$G$1000,$AS12,'Evaluation details_input'!$H$3:$H$1000,$BB$3,'Evaluation details_input'!$J$3:$J$1000,"")</f>
        <v>0</v>
      </c>
      <c r="BC12" s="202">
        <f xml:space="preserve">
COUNTIFS('Evaluation details_input'!$P$3:$P$1000,$AS$9,'Evaluation details_input'!$Q$3:$Q$1000,$AS12,'Evaluation details_input'!$R$3:$R$1000,$BC$3)
+COUNTIFS('Evaluation details_input'!$F$3:$F$1000,$AS$9,'Evaluation details_input'!$G$3:$G$1000,$AS12,'Evaluation details_input'!$H$3:$H$1000,$BC$3,'Evaluation details_input'!$J$3:$J$1000,"Not accepted",'Evaluation details_input'!$N$3:$N$1000,"Disagree with original translator", 'Evaluation details_input'!$P$3:$P$1000,"")
+COUNTIFS('Evaluation details_input'!$F$3:$F$1000,$AS$9,'Evaluation details_input'!$G$3:$G$1000,$AS12,'Evaluation details_input'!$H$3:$H$1000,$BC$3,'Evaluation details_input'!$J$3:$J$1000,"Accepted", 'Evaluation details_input'!$P$3:$P$1000,"")
+COUNTIFS('Evaluation details_input'!$F$3:$F$1000,$AS$9,'Evaluation details_input'!$G$3:$G$1000,$AS12,'Evaluation details_input'!$H$3:$H$1000,$BC$3,'Evaluation details_input'!$J$3:$J$1000,"")</f>
        <v>0</v>
      </c>
      <c r="BD12" s="202">
        <f xml:space="preserve">
COUNTIFS('Evaluation details_input'!$P$3:$P$1000,$AS$9,'Evaluation details_input'!$Q$3:$Q$1000,$AS12,'Evaluation details_input'!$R$3:$R$1000,$BD$3)
+COUNTIFS('Evaluation details_input'!$F$3:$F$1000,$AS$9,'Evaluation details_input'!$G$3:$G$1000,$AS12,'Evaluation details_input'!$H$3:$H$1000,$BD$3,'Evaluation details_input'!$J$3:$J$1000,"Not accepted",'Evaluation details_input'!$N$3:$N$1000,"Disagree with original translator", 'Evaluation details_input'!$P$3:$P$1000,"")
+COUNTIFS('Evaluation details_input'!$F$3:$F$1000,$AS$9,'Evaluation details_input'!$G$3:$G$1000,$AS12,'Evaluation details_input'!$H$3:$H$1000,$BD$3,'Evaluation details_input'!$J$3:$J$1000,"Accepted", 'Evaluation details_input'!$P$3:$P$1000,"")
+COUNTIFS('Evaluation details_input'!$F$3:$F$1000,$AS$9,'Evaluation details_input'!$G$3:$G$1000,$AS12,'Evaluation details_input'!$H$3:$H$1000,$BD$3,'Evaluation details_input'!$J$3:$J$1000,"")</f>
        <v>0</v>
      </c>
      <c r="BE12" s="600"/>
    </row>
    <row r="13" spans="2:57">
      <c r="B13" s="153" t="s">
        <v>529</v>
      </c>
      <c r="C13" s="160" t="s">
        <v>279</v>
      </c>
      <c r="E13" s="29"/>
      <c r="I13" s="600"/>
      <c r="S13" s="193" t="str">
        <f>$K$3</f>
        <v>Mistranslation</v>
      </c>
      <c r="T13" s="165">
        <v>2</v>
      </c>
      <c r="U13" s="165">
        <v>5</v>
      </c>
      <c r="V13" s="186">
        <v>100</v>
      </c>
      <c r="W13" s="166">
        <v>0</v>
      </c>
      <c r="X13" s="193" t="str">
        <f>$K$3</f>
        <v>Mistranslation</v>
      </c>
      <c r="Y13" s="165">
        <v>3</v>
      </c>
      <c r="Z13" s="165">
        <v>5</v>
      </c>
      <c r="AA13" s="186">
        <v>100</v>
      </c>
      <c r="AB13" s="166">
        <v>0</v>
      </c>
      <c r="AC13" s="193" t="str">
        <f>$K$3</f>
        <v>Mistranslation</v>
      </c>
      <c r="AD13" s="165">
        <v>2</v>
      </c>
      <c r="AE13" s="165">
        <v>5</v>
      </c>
      <c r="AF13" s="186">
        <v>100</v>
      </c>
      <c r="AG13" s="166">
        <v>0</v>
      </c>
      <c r="AH13" s="193" t="str">
        <f>$K$3</f>
        <v>Mistranslation</v>
      </c>
      <c r="AI13" s="165">
        <v>2</v>
      </c>
      <c r="AJ13" s="165">
        <v>5</v>
      </c>
      <c r="AK13" s="186">
        <v>100</v>
      </c>
      <c r="AL13" s="166">
        <v>0</v>
      </c>
      <c r="AM13" s="193" t="str">
        <f>$K$3</f>
        <v>Mistranslation</v>
      </c>
      <c r="AN13" s="165">
        <v>2</v>
      </c>
      <c r="AO13" s="165">
        <v>5</v>
      </c>
      <c r="AP13" s="186">
        <v>100</v>
      </c>
      <c r="AQ13" s="166">
        <v>0</v>
      </c>
      <c r="AR13" s="600"/>
      <c r="AS13" s="210" t="str">
        <f t="shared" si="0"/>
        <v>Addition</v>
      </c>
      <c r="AT13" s="206">
        <f>SUMPRODUCT(('Evaluation details_input'!$F$4:$F$1000=$AS$9)*('Evaluation details_input'!$G$4:$G$1000=$AS13)*('Evaluation details_input'!$H$4:$H$1000=$AT$3))</f>
        <v>0</v>
      </c>
      <c r="AU13" s="171">
        <f xml:space="preserve">
IF($AT$2=$X$3,$AT13*$Y$16,
IF($AT$2=$AC$3,$AT13*$AD$16,
$AT13*$T$16))</f>
        <v>0</v>
      </c>
      <c r="AV13" s="202">
        <f xml:space="preserve">
COUNTIFS('Evaluation details_input'!$P$3:$P$1000,$AS$9,'Evaluation details_input'!$Q$3:$Q$1000,$AS13,'Evaluation details_input'!$R$3:$R$1000,$AV$3)
+COUNTIFS('Evaluation details_input'!$F$3:$F$1000,$AS$9,'Evaluation details_input'!$G$3:$G$1000,$AS13,'Evaluation details_input'!$H$3:$H$1000,$AV$3,'Evaluation details_input'!$J$3:$J$1000,"Not accepted",'Evaluation details_input'!$N$3:$N$1000,"Disagree with original translator", 'Evaluation details_input'!$P$3:$P$1000,"")
+COUNTIFS('Evaluation details_input'!$F$3:$F$1000,$AS$9,'Evaluation details_input'!$G$3:$G$1000,$AS13,'Evaluation details_input'!$H$3:$H$1000,$AV$3,'Evaluation details_input'!$J$3:$J$1000,"Accepted", 'Evaluation details_input'!$P$3:$P$1000,"")
+COUNTIFS('Evaluation details_input'!$F$3:$F$1000,$AS$9,'Evaluation details_input'!$G$3:$G$1000,$AS13,'Evaluation details_input'!$H$3:$H$1000,$AV$3,'Evaluation details_input'!$J$3:$J$1000,"")</f>
        <v>0</v>
      </c>
      <c r="AW13" s="171">
        <f t="shared" si="1"/>
        <v>0</v>
      </c>
      <c r="AX13" s="202">
        <f>SUMPRODUCT(('Evaluation details_input'!$F$4:$F$1000=$AS$9)*('Evaluation details_input'!$G$4:$G$1000=$AS13)*('Evaluation details_input'!$H$4:$H$1000=$AX$3))</f>
        <v>0</v>
      </c>
      <c r="AY13" s="171">
        <f t="shared" si="2"/>
        <v>0</v>
      </c>
      <c r="AZ13" s="202">
        <f xml:space="preserve">
COUNTIFS('Evaluation details_input'!$P$3:$P$1000,$AS$9,'Evaluation details_input'!$Q$3:$Q$1000,$AS13,'Evaluation details_input'!$R$3:$R$1000,$AZ$3)
+COUNTIFS('Evaluation details_input'!$F$3:$F$1000,$AS$9,'Evaluation details_input'!$G$3:$G$1000,$AS13,'Evaluation details_input'!$H$3:$H$1000,$AZ$3,'Evaluation details_input'!$J$3:$J$1000,"Not accepted",'Evaluation details_input'!$N$3:$N$1000,"Disagree with original translator", 'Evaluation details_input'!$P$3:$P$1000,"")
+COUNTIFS('Evaluation details_input'!$F$3:$F$1000,$AS$9,'Evaluation details_input'!$G$3:$G$1000,$AS13,'Evaluation details_input'!$H$3:$H$1000,$AZ$3,'Evaluation details_input'!$J$3:$J$1000,"Accepted", 'Evaluation details_input'!$P$3:$P$1000,"")
+COUNTIFS('Evaluation details_input'!$F$3:$F$1000,$AS$9,'Evaluation details_input'!$G$3:$G$1000,$AS13,'Evaluation details_input'!$H$3:$H$1000,$AZ$3,'Evaluation details_input'!$J$3:$J$1000,"")</f>
        <v>0</v>
      </c>
      <c r="BA13" s="171">
        <f t="shared" si="3"/>
        <v>0</v>
      </c>
      <c r="BB13" s="202">
        <f xml:space="preserve">
COUNTIFS('Evaluation details_input'!$P$3:$P$1000,$AS$9,'Evaluation details_input'!$Q$3:$Q$1000,$AS13,'Evaluation details_input'!$R$3:$R$1000,$BB$3)
+COUNTIFS('Evaluation details_input'!$F$3:$F$1000,$AS$9,'Evaluation details_input'!$G$3:$G$1000,$AS13,'Evaluation details_input'!$H$3:$H$1000,$BB$3,'Evaluation details_input'!$J$3:$J$1000,"Not accepted",'Evaluation details_input'!$N$3:$N$1000,"Disagree with original translator", 'Evaluation details_input'!$P$3:$P$1000,"")
+COUNTIFS('Evaluation details_input'!$F$3:$F$1000,$AS$9,'Evaluation details_input'!$G$3:$G$1000,$AS13,'Evaluation details_input'!$H$3:$H$1000,$BB$3,'Evaluation details_input'!$J$3:$J$1000,"Accepted", 'Evaluation details_input'!$P$3:$P$1000,"")
+COUNTIFS('Evaluation details_input'!$F$3:$F$1000,$AS$9,'Evaluation details_input'!$G$3:$G$1000,$AS13,'Evaluation details_input'!$H$3:$H$1000,$BB$3,'Evaluation details_input'!$J$3:$J$1000,"")</f>
        <v>0</v>
      </c>
      <c r="BC13" s="202">
        <f xml:space="preserve">
COUNTIFS('Evaluation details_input'!$P$3:$P$1000,$AS$9,'Evaluation details_input'!$Q$3:$Q$1000,$AS13,'Evaluation details_input'!$R$3:$R$1000,$BC$3)
+COUNTIFS('Evaluation details_input'!$F$3:$F$1000,$AS$9,'Evaluation details_input'!$G$3:$G$1000,$AS13,'Evaluation details_input'!$H$3:$H$1000,$BC$3,'Evaluation details_input'!$J$3:$J$1000,"Not accepted",'Evaluation details_input'!$N$3:$N$1000,"Disagree with original translator", 'Evaluation details_input'!$P$3:$P$1000,"")
+COUNTIFS('Evaluation details_input'!$F$3:$F$1000,$AS$9,'Evaluation details_input'!$G$3:$G$1000,$AS13,'Evaluation details_input'!$H$3:$H$1000,$BC$3,'Evaluation details_input'!$J$3:$J$1000,"Accepted", 'Evaluation details_input'!$P$3:$P$1000,"")
+COUNTIFS('Evaluation details_input'!$F$3:$F$1000,$AS$9,'Evaluation details_input'!$G$3:$G$1000,$AS13,'Evaluation details_input'!$H$3:$H$1000,$BC$3,'Evaluation details_input'!$J$3:$J$1000,"")</f>
        <v>0</v>
      </c>
      <c r="BD13" s="202">
        <f xml:space="preserve">
COUNTIFS('Evaluation details_input'!$P$3:$P$1000,$AS$9,'Evaluation details_input'!$Q$3:$Q$1000,$AS13,'Evaluation details_input'!$R$3:$R$1000,$BD$3)
+COUNTIFS('Evaluation details_input'!$F$3:$F$1000,$AS$9,'Evaluation details_input'!$G$3:$G$1000,$AS13,'Evaluation details_input'!$H$3:$H$1000,$BD$3,'Evaluation details_input'!$J$3:$J$1000,"Not accepted",'Evaluation details_input'!$N$3:$N$1000,"Disagree with original translator", 'Evaluation details_input'!$P$3:$P$1000,"")
+COUNTIFS('Evaluation details_input'!$F$3:$F$1000,$AS$9,'Evaluation details_input'!$G$3:$G$1000,$AS13,'Evaluation details_input'!$H$3:$H$1000,$BD$3,'Evaluation details_input'!$J$3:$J$1000,"Accepted", 'Evaluation details_input'!$P$3:$P$1000,"")
+COUNTIFS('Evaluation details_input'!$F$3:$F$1000,$AS$9,'Evaluation details_input'!$G$3:$G$1000,$AS13,'Evaluation details_input'!$H$3:$H$1000,$BD$3,'Evaluation details_input'!$J$3:$J$1000,"")</f>
        <v>0</v>
      </c>
      <c r="BE13" s="600"/>
    </row>
    <row r="14" spans="2:57">
      <c r="B14" s="153" t="s">
        <v>530</v>
      </c>
      <c r="C14" s="160" t="s">
        <v>96</v>
      </c>
      <c r="E14" s="29"/>
      <c r="I14" s="600"/>
      <c r="S14" s="193" t="str">
        <f>$K$4</f>
        <v>Over-translation</v>
      </c>
      <c r="T14" s="165">
        <v>2</v>
      </c>
      <c r="U14" s="165">
        <v>5</v>
      </c>
      <c r="V14" s="186">
        <v>100</v>
      </c>
      <c r="W14" s="166">
        <v>0</v>
      </c>
      <c r="X14" s="193" t="str">
        <f>$K$4</f>
        <v>Over-translation</v>
      </c>
      <c r="Y14" s="165">
        <v>3</v>
      </c>
      <c r="Z14" s="165">
        <v>5</v>
      </c>
      <c r="AA14" s="186">
        <v>100</v>
      </c>
      <c r="AB14" s="166">
        <v>0</v>
      </c>
      <c r="AC14" s="193" t="str">
        <f>$K$4</f>
        <v>Over-translation</v>
      </c>
      <c r="AD14" s="165">
        <v>2</v>
      </c>
      <c r="AE14" s="165">
        <v>5</v>
      </c>
      <c r="AF14" s="186">
        <v>100</v>
      </c>
      <c r="AG14" s="166">
        <v>0</v>
      </c>
      <c r="AH14" s="193" t="str">
        <f>$K$4</f>
        <v>Over-translation</v>
      </c>
      <c r="AI14" s="165">
        <v>2</v>
      </c>
      <c r="AJ14" s="165">
        <v>5</v>
      </c>
      <c r="AK14" s="186">
        <v>100</v>
      </c>
      <c r="AL14" s="166">
        <v>0</v>
      </c>
      <c r="AM14" s="193" t="str">
        <f>$K$4</f>
        <v>Over-translation</v>
      </c>
      <c r="AN14" s="165">
        <v>2</v>
      </c>
      <c r="AO14" s="165">
        <v>5</v>
      </c>
      <c r="AP14" s="186">
        <v>100</v>
      </c>
      <c r="AQ14" s="166">
        <v>0</v>
      </c>
      <c r="AR14" s="600"/>
      <c r="AS14" s="210" t="str">
        <f t="shared" si="0"/>
        <v>Omission</v>
      </c>
      <c r="AT14" s="206">
        <f>SUMPRODUCT(('Evaluation details_input'!$F$4:$F$1000=$AS$9)*('Evaluation details_input'!$G$4:$G$1000=$AS14)*('Evaluation details_input'!$H$4:$H$1000=$AT$3))</f>
        <v>0</v>
      </c>
      <c r="AU14" s="171">
        <f xml:space="preserve">
IF($AT$2=$X$3,$AT14*$Y$17,
IF($AT$2=$AC$3,$AT14*$AD$17,
$AT14*$T$17))</f>
        <v>0</v>
      </c>
      <c r="AV14" s="202">
        <f xml:space="preserve">
COUNTIFS('Evaluation details_input'!$P$3:$P$1000,$AS$9,'Evaluation details_input'!$Q$3:$Q$1000,$AS14,'Evaluation details_input'!$R$3:$R$1000,$AV$3)
+COUNTIFS('Evaluation details_input'!$F$3:$F$1000,$AS$9,'Evaluation details_input'!$G$3:$G$1000,$AS14,'Evaluation details_input'!$H$3:$H$1000,$AV$3,'Evaluation details_input'!$J$3:$J$1000,"Not accepted",'Evaluation details_input'!$N$3:$N$1000,"Disagree with original translator", 'Evaluation details_input'!$P$3:$P$1000,"")
+COUNTIFS('Evaluation details_input'!$F$3:$F$1000,$AS$9,'Evaluation details_input'!$G$3:$G$1000,$AS14,'Evaluation details_input'!$H$3:$H$1000,$AV$3,'Evaluation details_input'!$J$3:$J$1000,"Accepted", 'Evaluation details_input'!$P$3:$P$1000,"")
+COUNTIFS('Evaluation details_input'!$F$3:$F$1000,$AS$9,'Evaluation details_input'!$G$3:$G$1000,$AS14,'Evaluation details_input'!$H$3:$H$1000,$AV$3,'Evaluation details_input'!$J$3:$J$1000,"")</f>
        <v>0</v>
      </c>
      <c r="AW14" s="171">
        <f t="shared" si="1"/>
        <v>0</v>
      </c>
      <c r="AX14" s="202">
        <f>SUMPRODUCT(('Evaluation details_input'!$F$4:$F$1000=$AS$9)*('Evaluation details_input'!$G$4:$G$1000=$AS14)*('Evaluation details_input'!$H$4:$H$1000=$AX$3))</f>
        <v>0</v>
      </c>
      <c r="AY14" s="171">
        <f t="shared" si="2"/>
        <v>0</v>
      </c>
      <c r="AZ14" s="202">
        <f xml:space="preserve">
COUNTIFS('Evaluation details_input'!$P$3:$P$1000,$AS$9,'Evaluation details_input'!$Q$3:$Q$1000,$AS14,'Evaluation details_input'!$R$3:$R$1000,$AZ$3)
+COUNTIFS('Evaluation details_input'!$F$3:$F$1000,$AS$9,'Evaluation details_input'!$G$3:$G$1000,$AS14,'Evaluation details_input'!$H$3:$H$1000,$AZ$3,'Evaluation details_input'!$J$3:$J$1000,"Not accepted",'Evaluation details_input'!$N$3:$N$1000,"Disagree with original translator", 'Evaluation details_input'!$P$3:$P$1000,"")
+COUNTIFS('Evaluation details_input'!$F$3:$F$1000,$AS$9,'Evaluation details_input'!$G$3:$G$1000,$AS14,'Evaluation details_input'!$H$3:$H$1000,$AZ$3,'Evaluation details_input'!$J$3:$J$1000,"Accepted", 'Evaluation details_input'!$P$3:$P$1000,"")
+COUNTIFS('Evaluation details_input'!$F$3:$F$1000,$AS$9,'Evaluation details_input'!$G$3:$G$1000,$AS14,'Evaluation details_input'!$H$3:$H$1000,$AZ$3,'Evaluation details_input'!$J$3:$J$1000,"")</f>
        <v>0</v>
      </c>
      <c r="BA14" s="171">
        <f t="shared" si="3"/>
        <v>0</v>
      </c>
      <c r="BB14" s="202">
        <f xml:space="preserve">
COUNTIFS('Evaluation details_input'!$P$3:$P$1000,$AS$9,'Evaluation details_input'!$Q$3:$Q$1000,$AS14,'Evaluation details_input'!$R$3:$R$1000,$BB$3)
+COUNTIFS('Evaluation details_input'!$F$3:$F$1000,$AS$9,'Evaluation details_input'!$G$3:$G$1000,$AS14,'Evaluation details_input'!$H$3:$H$1000,$BB$3,'Evaluation details_input'!$J$3:$J$1000,"Not accepted",'Evaluation details_input'!$N$3:$N$1000,"Disagree with original translator", 'Evaluation details_input'!$P$3:$P$1000,"")
+COUNTIFS('Evaluation details_input'!$F$3:$F$1000,$AS$9,'Evaluation details_input'!$G$3:$G$1000,$AS14,'Evaluation details_input'!$H$3:$H$1000,$BB$3,'Evaluation details_input'!$J$3:$J$1000,"Accepted", 'Evaluation details_input'!$P$3:$P$1000,"")
+COUNTIFS('Evaluation details_input'!$F$3:$F$1000,$AS$9,'Evaluation details_input'!$G$3:$G$1000,$AS14,'Evaluation details_input'!$H$3:$H$1000,$BB$3,'Evaluation details_input'!$J$3:$J$1000,"")</f>
        <v>0</v>
      </c>
      <c r="BC14" s="202">
        <f xml:space="preserve">
COUNTIFS('Evaluation details_input'!$P$3:$P$1000,$AS$9,'Evaluation details_input'!$Q$3:$Q$1000,$AS14,'Evaluation details_input'!$R$3:$R$1000,$BC$3)
+COUNTIFS('Evaluation details_input'!$F$3:$F$1000,$AS$9,'Evaluation details_input'!$G$3:$G$1000,$AS14,'Evaluation details_input'!$H$3:$H$1000,$BC$3,'Evaluation details_input'!$J$3:$J$1000,"Not accepted",'Evaluation details_input'!$N$3:$N$1000,"Disagree with original translator", 'Evaluation details_input'!$P$3:$P$1000,"")
+COUNTIFS('Evaluation details_input'!$F$3:$F$1000,$AS$9,'Evaluation details_input'!$G$3:$G$1000,$AS14,'Evaluation details_input'!$H$3:$H$1000,$BC$3,'Evaluation details_input'!$J$3:$J$1000,"Accepted", 'Evaluation details_input'!$P$3:$P$1000,"")
+COUNTIFS('Evaluation details_input'!$F$3:$F$1000,$AS$9,'Evaluation details_input'!$G$3:$G$1000,$AS14,'Evaluation details_input'!$H$3:$H$1000,$BC$3,'Evaluation details_input'!$J$3:$J$1000,"")</f>
        <v>0</v>
      </c>
      <c r="BD14" s="202">
        <f xml:space="preserve">
COUNTIFS('Evaluation details_input'!$P$3:$P$1000,$AS$9,'Evaluation details_input'!$Q$3:$Q$1000,$AS14,'Evaluation details_input'!$R$3:$R$1000,$BD$3)
+COUNTIFS('Evaluation details_input'!$F$3:$F$1000,$AS$9,'Evaluation details_input'!$G$3:$G$1000,$AS14,'Evaluation details_input'!$H$3:$H$1000,$BD$3,'Evaluation details_input'!$J$3:$J$1000,"Not accepted",'Evaluation details_input'!$N$3:$N$1000,"Disagree with original translator", 'Evaluation details_input'!$P$3:$P$1000,"")
+COUNTIFS('Evaluation details_input'!$F$3:$F$1000,$AS$9,'Evaluation details_input'!$G$3:$G$1000,$AS14,'Evaluation details_input'!$H$3:$H$1000,$BD$3,'Evaluation details_input'!$J$3:$J$1000,"Accepted", 'Evaluation details_input'!$P$3:$P$1000,"")
+COUNTIFS('Evaluation details_input'!$F$3:$F$1000,$AS$9,'Evaluation details_input'!$G$3:$G$1000,$AS14,'Evaluation details_input'!$H$3:$H$1000,$BD$3,'Evaluation details_input'!$J$3:$J$1000,"")</f>
        <v>0</v>
      </c>
      <c r="BE14" s="600"/>
    </row>
    <row r="15" spans="2:57" ht="33.75">
      <c r="B15" s="153" t="s">
        <v>555</v>
      </c>
      <c r="C15" s="160" t="s">
        <v>32</v>
      </c>
      <c r="E15" s="29"/>
      <c r="I15" s="600"/>
      <c r="S15" s="193" t="str">
        <f>$K$5</f>
        <v>Under-translation</v>
      </c>
      <c r="T15" s="165">
        <v>2</v>
      </c>
      <c r="U15" s="165">
        <v>5</v>
      </c>
      <c r="V15" s="186">
        <v>100</v>
      </c>
      <c r="W15" s="166">
        <v>0</v>
      </c>
      <c r="X15" s="193" t="str">
        <f>$K$5</f>
        <v>Under-translation</v>
      </c>
      <c r="Y15" s="165">
        <v>3</v>
      </c>
      <c r="Z15" s="165">
        <v>5</v>
      </c>
      <c r="AA15" s="186">
        <v>100</v>
      </c>
      <c r="AB15" s="166">
        <v>0</v>
      </c>
      <c r="AC15" s="193" t="str">
        <f>$K$5</f>
        <v>Under-translation</v>
      </c>
      <c r="AD15" s="165">
        <v>2</v>
      </c>
      <c r="AE15" s="165">
        <v>5</v>
      </c>
      <c r="AF15" s="186">
        <v>100</v>
      </c>
      <c r="AG15" s="166">
        <v>0</v>
      </c>
      <c r="AH15" s="193" t="str">
        <f>$K$5</f>
        <v>Under-translation</v>
      </c>
      <c r="AI15" s="165">
        <v>2</v>
      </c>
      <c r="AJ15" s="165">
        <v>5</v>
      </c>
      <c r="AK15" s="186">
        <v>100</v>
      </c>
      <c r="AL15" s="166">
        <v>0</v>
      </c>
      <c r="AM15" s="193" t="str">
        <f>$K$5</f>
        <v>Under-translation</v>
      </c>
      <c r="AN15" s="165">
        <v>2</v>
      </c>
      <c r="AO15" s="165">
        <v>5</v>
      </c>
      <c r="AP15" s="186">
        <v>100</v>
      </c>
      <c r="AQ15" s="166">
        <v>0</v>
      </c>
      <c r="AR15" s="600"/>
      <c r="AS15" s="210" t="str">
        <f t="shared" si="0"/>
        <v>Do not translate (DNT)</v>
      </c>
      <c r="AT15" s="206">
        <f>SUMPRODUCT(('Evaluation details_input'!$F$4:$F$1000=$AS$9)*('Evaluation details_input'!$G$4:$G$1000=$AS15)*('Evaluation details_input'!$H$4:$H$1000=$AT$3))</f>
        <v>0</v>
      </c>
      <c r="AU15" s="171">
        <f xml:space="preserve">
IF($AT$2=$X$3,$AT15*$Y$18,
IF($AT$2=$AC$3,$AT15*$AD$18,
$AT15*$T$18))</f>
        <v>0</v>
      </c>
      <c r="AV15" s="202">
        <f xml:space="preserve">
COUNTIFS('Evaluation details_input'!$P$3:$P$1000,$AS$9,'Evaluation details_input'!$Q$3:$Q$1000,$AS15,'Evaluation details_input'!$R$3:$R$1000,$AV$3)
+COUNTIFS('Evaluation details_input'!$F$3:$F$1000,$AS$9,'Evaluation details_input'!$G$3:$G$1000,$AS15,'Evaluation details_input'!$H$3:$H$1000,$AV$3,'Evaluation details_input'!$J$3:$J$1000,"Not accepted",'Evaluation details_input'!$N$3:$N$1000,"Disagree with original translator", 'Evaluation details_input'!$P$3:$P$1000,"")
+COUNTIFS('Evaluation details_input'!$F$3:$F$1000,$AS$9,'Evaluation details_input'!$G$3:$G$1000,$AS15,'Evaluation details_input'!$H$3:$H$1000,$AV$3,'Evaluation details_input'!$J$3:$J$1000,"Accepted", 'Evaluation details_input'!$P$3:$P$1000,"")
+COUNTIFS('Evaluation details_input'!$F$3:$F$1000,$AS$9,'Evaluation details_input'!$G$3:$G$1000,$AS15,'Evaluation details_input'!$H$3:$H$1000,$AV$3,'Evaluation details_input'!$J$3:$J$1000,"")</f>
        <v>0</v>
      </c>
      <c r="AW15" s="171">
        <f t="shared" si="1"/>
        <v>0</v>
      </c>
      <c r="AX15" s="202">
        <f>SUMPRODUCT(('Evaluation details_input'!$F$4:$F$1000=$AS$9)*('Evaluation details_input'!$G$4:$G$1000=$AS15)*('Evaluation details_input'!$H$4:$H$1000=$AX$3))</f>
        <v>0</v>
      </c>
      <c r="AY15" s="171">
        <f t="shared" si="2"/>
        <v>0</v>
      </c>
      <c r="AZ15" s="202">
        <f xml:space="preserve">
COUNTIFS('Evaluation details_input'!$P$3:$P$1000,$AS$9,'Evaluation details_input'!$Q$3:$Q$1000,$AS15,'Evaluation details_input'!$R$3:$R$1000,$AZ$3)
+COUNTIFS('Evaluation details_input'!$F$3:$F$1000,$AS$9,'Evaluation details_input'!$G$3:$G$1000,$AS15,'Evaluation details_input'!$H$3:$H$1000,$AZ$3,'Evaluation details_input'!$J$3:$J$1000,"Not accepted",'Evaluation details_input'!$N$3:$N$1000,"Disagree with original translator", 'Evaluation details_input'!$P$3:$P$1000,"")
+COUNTIFS('Evaluation details_input'!$F$3:$F$1000,$AS$9,'Evaluation details_input'!$G$3:$G$1000,$AS15,'Evaluation details_input'!$H$3:$H$1000,$AZ$3,'Evaluation details_input'!$J$3:$J$1000,"Accepted", 'Evaluation details_input'!$P$3:$P$1000,"")
+COUNTIFS('Evaluation details_input'!$F$3:$F$1000,$AS$9,'Evaluation details_input'!$G$3:$G$1000,$AS15,'Evaluation details_input'!$H$3:$H$1000,$AZ$3,'Evaluation details_input'!$J$3:$J$1000,"")</f>
        <v>0</v>
      </c>
      <c r="BA15" s="171">
        <f t="shared" si="3"/>
        <v>0</v>
      </c>
      <c r="BB15" s="202">
        <f xml:space="preserve">
COUNTIFS('Evaluation details_input'!$P$3:$P$1000,$AS$9,'Evaluation details_input'!$Q$3:$Q$1000,$AS15,'Evaluation details_input'!$R$3:$R$1000,$BB$3)
+COUNTIFS('Evaluation details_input'!$F$3:$F$1000,$AS$9,'Evaluation details_input'!$G$3:$G$1000,$AS15,'Evaluation details_input'!$H$3:$H$1000,$BB$3,'Evaluation details_input'!$J$3:$J$1000,"Not accepted",'Evaluation details_input'!$N$3:$N$1000,"Disagree with original translator", 'Evaluation details_input'!$P$3:$P$1000,"")
+COUNTIFS('Evaluation details_input'!$F$3:$F$1000,$AS$9,'Evaluation details_input'!$G$3:$G$1000,$AS15,'Evaluation details_input'!$H$3:$H$1000,$BB$3,'Evaluation details_input'!$J$3:$J$1000,"Accepted", 'Evaluation details_input'!$P$3:$P$1000,"")
+COUNTIFS('Evaluation details_input'!$F$3:$F$1000,$AS$9,'Evaluation details_input'!$G$3:$G$1000,$AS15,'Evaluation details_input'!$H$3:$H$1000,$BB$3,'Evaluation details_input'!$J$3:$J$1000,"")</f>
        <v>0</v>
      </c>
      <c r="BC15" s="202">
        <f xml:space="preserve">
COUNTIFS('Evaluation details_input'!$P$3:$P$1000,$AS$9,'Evaluation details_input'!$Q$3:$Q$1000,$AS15,'Evaluation details_input'!$R$3:$R$1000,$BC$3)
+COUNTIFS('Evaluation details_input'!$F$3:$F$1000,$AS$9,'Evaluation details_input'!$G$3:$G$1000,$AS15,'Evaluation details_input'!$H$3:$H$1000,$BC$3,'Evaluation details_input'!$J$3:$J$1000,"Not accepted",'Evaluation details_input'!$N$3:$N$1000,"Disagree with original translator", 'Evaluation details_input'!$P$3:$P$1000,"")
+COUNTIFS('Evaluation details_input'!$F$3:$F$1000,$AS$9,'Evaluation details_input'!$G$3:$G$1000,$AS15,'Evaluation details_input'!$H$3:$H$1000,$BC$3,'Evaluation details_input'!$J$3:$J$1000,"Accepted", 'Evaluation details_input'!$P$3:$P$1000,"")
+COUNTIFS('Evaluation details_input'!$F$3:$F$1000,$AS$9,'Evaluation details_input'!$G$3:$G$1000,$AS15,'Evaluation details_input'!$H$3:$H$1000,$BC$3,'Evaluation details_input'!$J$3:$J$1000,"")</f>
        <v>0</v>
      </c>
      <c r="BD15" s="202">
        <f xml:space="preserve">
COUNTIFS('Evaluation details_input'!$P$3:$P$1000,$AS$9,'Evaluation details_input'!$Q$3:$Q$1000,$AS15,'Evaluation details_input'!$R$3:$R$1000,$BD$3)
+COUNTIFS('Evaluation details_input'!$F$3:$F$1000,$AS$9,'Evaluation details_input'!$G$3:$G$1000,$AS15,'Evaluation details_input'!$H$3:$H$1000,$BD$3,'Evaluation details_input'!$J$3:$J$1000,"Not accepted",'Evaluation details_input'!$N$3:$N$1000,"Disagree with original translator", 'Evaluation details_input'!$P$3:$P$1000,"")
+COUNTIFS('Evaluation details_input'!$F$3:$F$1000,$AS$9,'Evaluation details_input'!$G$3:$G$1000,$AS15,'Evaluation details_input'!$H$3:$H$1000,$BD$3,'Evaluation details_input'!$J$3:$J$1000,"Accepted", 'Evaluation details_input'!$P$3:$P$1000,"")
+COUNTIFS('Evaluation details_input'!$F$3:$F$1000,$AS$9,'Evaluation details_input'!$G$3:$G$1000,$AS15,'Evaluation details_input'!$H$3:$H$1000,$BD$3,'Evaluation details_input'!$J$3:$J$1000,"")</f>
        <v>0</v>
      </c>
      <c r="BE15" s="600"/>
    </row>
    <row r="16" spans="2:57">
      <c r="B16" s="153" t="s">
        <v>554</v>
      </c>
      <c r="C16" s="160" t="s">
        <v>97</v>
      </c>
      <c r="S16" s="193" t="str">
        <f>$K$6</f>
        <v>Addition</v>
      </c>
      <c r="T16" s="165">
        <v>2</v>
      </c>
      <c r="U16" s="165">
        <v>5</v>
      </c>
      <c r="V16" s="186">
        <v>100</v>
      </c>
      <c r="W16" s="166">
        <v>0</v>
      </c>
      <c r="X16" s="193" t="str">
        <f>$K$6</f>
        <v>Addition</v>
      </c>
      <c r="Y16" s="165">
        <v>3</v>
      </c>
      <c r="Z16" s="165">
        <v>5</v>
      </c>
      <c r="AA16" s="186">
        <v>100</v>
      </c>
      <c r="AB16" s="166">
        <v>0</v>
      </c>
      <c r="AC16" s="193" t="str">
        <f>$K$6</f>
        <v>Addition</v>
      </c>
      <c r="AD16" s="165">
        <v>2</v>
      </c>
      <c r="AE16" s="165">
        <v>5</v>
      </c>
      <c r="AF16" s="186">
        <v>100</v>
      </c>
      <c r="AG16" s="166">
        <v>0</v>
      </c>
      <c r="AH16" s="193" t="str">
        <f>$K$6</f>
        <v>Addition</v>
      </c>
      <c r="AI16" s="165">
        <v>2</v>
      </c>
      <c r="AJ16" s="165">
        <v>5</v>
      </c>
      <c r="AK16" s="186">
        <v>100</v>
      </c>
      <c r="AL16" s="166">
        <v>0</v>
      </c>
      <c r="AM16" s="193" t="str">
        <f>$K$6</f>
        <v>Addition</v>
      </c>
      <c r="AN16" s="165">
        <v>2</v>
      </c>
      <c r="AO16" s="165">
        <v>5</v>
      </c>
      <c r="AP16" s="186">
        <v>100</v>
      </c>
      <c r="AQ16" s="166">
        <v>0</v>
      </c>
      <c r="AR16" s="600"/>
      <c r="AS16" s="210" t="str">
        <f t="shared" si="0"/>
        <v>Untranslated</v>
      </c>
      <c r="AT16" s="206">
        <f>SUMPRODUCT(('Evaluation details_input'!$F$4:$F$1000=$AS$9)*('Evaluation details_input'!$G$4:$G$1000=$AS16)*('Evaluation details_input'!$H$4:$H$1000=$AT$3))</f>
        <v>0</v>
      </c>
      <c r="AU16" s="171">
        <f xml:space="preserve">
IF($AT$2=$X$3,$AT16*$Y$19,
IF($AT$2=$AC$3,$AT16*$AD$19,
$AT16*$T$19))</f>
        <v>0</v>
      </c>
      <c r="AV16" s="202">
        <f xml:space="preserve">
COUNTIFS('Evaluation details_input'!$P$3:$P$1000,$AS$9,'Evaluation details_input'!$Q$3:$Q$1000,$AS16,'Evaluation details_input'!$R$3:$R$1000,$AV$3)
+COUNTIFS('Evaluation details_input'!$F$3:$F$1000,$AS$9,'Evaluation details_input'!$G$3:$G$1000,$AS16,'Evaluation details_input'!$H$3:$H$1000,$AV$3,'Evaluation details_input'!$J$3:$J$1000,"Not accepted",'Evaluation details_input'!$N$3:$N$1000,"Disagree with original translator", 'Evaluation details_input'!$P$3:$P$1000,"")
+COUNTIFS('Evaluation details_input'!$F$3:$F$1000,$AS$9,'Evaluation details_input'!$G$3:$G$1000,$AS16,'Evaluation details_input'!$H$3:$H$1000,$AV$3,'Evaluation details_input'!$J$3:$J$1000,"Accepted", 'Evaluation details_input'!$P$3:$P$1000,"")
+COUNTIFS('Evaluation details_input'!$F$3:$F$1000,$AS$9,'Evaluation details_input'!$G$3:$G$1000,$AS16,'Evaluation details_input'!$H$3:$H$1000,$AV$3,'Evaluation details_input'!$J$3:$J$1000,"")</f>
        <v>0</v>
      </c>
      <c r="AW16" s="171">
        <f t="shared" si="1"/>
        <v>0</v>
      </c>
      <c r="AX16" s="202">
        <f>SUMPRODUCT(('Evaluation details_input'!$F$4:$F$1000=$AS$9)*('Evaluation details_input'!$G$4:$G$1000=$AS16)*('Evaluation details_input'!$H$4:$H$1000=$AX$3))</f>
        <v>0</v>
      </c>
      <c r="AY16" s="171">
        <f t="shared" si="2"/>
        <v>0</v>
      </c>
      <c r="AZ16" s="202">
        <f xml:space="preserve">
COUNTIFS('Evaluation details_input'!$P$3:$P$1000,$AS$9,'Evaluation details_input'!$Q$3:$Q$1000,$AS16,'Evaluation details_input'!$R$3:$R$1000,$AZ$3)
+COUNTIFS('Evaluation details_input'!$F$3:$F$1000,$AS$9,'Evaluation details_input'!$G$3:$G$1000,$AS16,'Evaluation details_input'!$H$3:$H$1000,$AZ$3,'Evaluation details_input'!$J$3:$J$1000,"Not accepted",'Evaluation details_input'!$N$3:$N$1000,"Disagree with original translator", 'Evaluation details_input'!$P$3:$P$1000,"")
+COUNTIFS('Evaluation details_input'!$F$3:$F$1000,$AS$9,'Evaluation details_input'!$G$3:$G$1000,$AS16,'Evaluation details_input'!$H$3:$H$1000,$AZ$3,'Evaluation details_input'!$J$3:$J$1000,"Accepted", 'Evaluation details_input'!$P$3:$P$1000,"")
+COUNTIFS('Evaluation details_input'!$F$3:$F$1000,$AS$9,'Evaluation details_input'!$G$3:$G$1000,$AS16,'Evaluation details_input'!$H$3:$H$1000,$AZ$3,'Evaluation details_input'!$J$3:$J$1000,"")</f>
        <v>0</v>
      </c>
      <c r="BA16" s="171">
        <f t="shared" si="3"/>
        <v>0</v>
      </c>
      <c r="BB16" s="202">
        <f xml:space="preserve">
COUNTIFS('Evaluation details_input'!$P$3:$P$1000,$AS$9,'Evaluation details_input'!$Q$3:$Q$1000,$AS16,'Evaluation details_input'!$R$3:$R$1000,$BB$3)
+COUNTIFS('Evaluation details_input'!$F$3:$F$1000,$AS$9,'Evaluation details_input'!$G$3:$G$1000,$AS16,'Evaluation details_input'!$H$3:$H$1000,$BB$3,'Evaluation details_input'!$J$3:$J$1000,"Not accepted",'Evaluation details_input'!$N$3:$N$1000,"Disagree with original translator", 'Evaluation details_input'!$P$3:$P$1000,"")
+COUNTIFS('Evaluation details_input'!$F$3:$F$1000,$AS$9,'Evaluation details_input'!$G$3:$G$1000,$AS16,'Evaluation details_input'!$H$3:$H$1000,$BB$3,'Evaluation details_input'!$J$3:$J$1000,"Accepted", 'Evaluation details_input'!$P$3:$P$1000,"")
+COUNTIFS('Evaluation details_input'!$F$3:$F$1000,$AS$9,'Evaluation details_input'!$G$3:$G$1000,$AS16,'Evaluation details_input'!$H$3:$H$1000,$BB$3,'Evaluation details_input'!$J$3:$J$1000,"")</f>
        <v>0</v>
      </c>
      <c r="BC16" s="202">
        <f xml:space="preserve">
COUNTIFS('Evaluation details_input'!$P$3:$P$1000,$AS$9,'Evaluation details_input'!$Q$3:$Q$1000,$AS16,'Evaluation details_input'!$R$3:$R$1000,$BC$3)
+COUNTIFS('Evaluation details_input'!$F$3:$F$1000,$AS$9,'Evaluation details_input'!$G$3:$G$1000,$AS16,'Evaluation details_input'!$H$3:$H$1000,$BC$3,'Evaluation details_input'!$J$3:$J$1000,"Not accepted",'Evaluation details_input'!$N$3:$N$1000,"Disagree with original translator", 'Evaluation details_input'!$P$3:$P$1000,"")
+COUNTIFS('Evaluation details_input'!$F$3:$F$1000,$AS$9,'Evaluation details_input'!$G$3:$G$1000,$AS16,'Evaluation details_input'!$H$3:$H$1000,$BC$3,'Evaluation details_input'!$J$3:$J$1000,"Accepted", 'Evaluation details_input'!$P$3:$P$1000,"")
+COUNTIFS('Evaluation details_input'!$F$3:$F$1000,$AS$9,'Evaluation details_input'!$G$3:$G$1000,$AS16,'Evaluation details_input'!$H$3:$H$1000,$BC$3,'Evaluation details_input'!$J$3:$J$1000,"")</f>
        <v>0</v>
      </c>
      <c r="BD16" s="202">
        <f xml:space="preserve">
COUNTIFS('Evaluation details_input'!$P$3:$P$1000,$AS$9,'Evaluation details_input'!$Q$3:$Q$1000,$AS16,'Evaluation details_input'!$R$3:$R$1000,$BD$3)
+COUNTIFS('Evaluation details_input'!$F$3:$F$1000,$AS$9,'Evaluation details_input'!$G$3:$G$1000,$AS16,'Evaluation details_input'!$H$3:$H$1000,$BD$3,'Evaluation details_input'!$J$3:$J$1000,"Not accepted",'Evaluation details_input'!$N$3:$N$1000,"Disagree with original translator", 'Evaluation details_input'!$P$3:$P$1000,"")
+COUNTIFS('Evaluation details_input'!$F$3:$F$1000,$AS$9,'Evaluation details_input'!$G$3:$G$1000,$AS16,'Evaluation details_input'!$H$3:$H$1000,$BD$3,'Evaluation details_input'!$J$3:$J$1000,"Accepted", 'Evaluation details_input'!$P$3:$P$1000,"")
+COUNTIFS('Evaluation details_input'!$F$3:$F$1000,$AS$9,'Evaluation details_input'!$G$3:$G$1000,$AS16,'Evaluation details_input'!$H$3:$H$1000,$BD$3,'Evaluation details_input'!$J$3:$J$1000,"")</f>
        <v>0</v>
      </c>
      <c r="BE16" s="600"/>
    </row>
    <row r="17" spans="2:57" ht="13.5" thickBot="1">
      <c r="B17" s="153" t="s">
        <v>531</v>
      </c>
      <c r="C17" s="160" t="s">
        <v>231</v>
      </c>
      <c r="E17" s="29"/>
      <c r="S17" s="193" t="str">
        <f>$K$7</f>
        <v>Omission</v>
      </c>
      <c r="T17" s="165">
        <v>2</v>
      </c>
      <c r="U17" s="165">
        <v>5</v>
      </c>
      <c r="V17" s="186">
        <v>100</v>
      </c>
      <c r="W17" s="166">
        <v>0</v>
      </c>
      <c r="X17" s="193" t="str">
        <f>$K$7</f>
        <v>Omission</v>
      </c>
      <c r="Y17" s="165">
        <v>3</v>
      </c>
      <c r="Z17" s="165">
        <v>5</v>
      </c>
      <c r="AA17" s="186">
        <v>100</v>
      </c>
      <c r="AB17" s="166">
        <v>0</v>
      </c>
      <c r="AC17" s="193" t="str">
        <f>$K$7</f>
        <v>Omission</v>
      </c>
      <c r="AD17" s="165">
        <v>2</v>
      </c>
      <c r="AE17" s="165">
        <v>5</v>
      </c>
      <c r="AF17" s="186">
        <v>100</v>
      </c>
      <c r="AG17" s="166">
        <v>0</v>
      </c>
      <c r="AH17" s="193" t="str">
        <f>$K$7</f>
        <v>Omission</v>
      </c>
      <c r="AI17" s="165">
        <v>2</v>
      </c>
      <c r="AJ17" s="165">
        <v>5</v>
      </c>
      <c r="AK17" s="186">
        <v>100</v>
      </c>
      <c r="AL17" s="166">
        <v>0</v>
      </c>
      <c r="AM17" s="193" t="str">
        <f>$K$7</f>
        <v>Omission</v>
      </c>
      <c r="AN17" s="165">
        <v>2</v>
      </c>
      <c r="AO17" s="165">
        <v>5</v>
      </c>
      <c r="AP17" s="186">
        <v>100</v>
      </c>
      <c r="AQ17" s="166">
        <v>0</v>
      </c>
      <c r="AR17" s="600"/>
      <c r="AS17" s="212" t="str">
        <f t="shared" si="0"/>
        <v>Other</v>
      </c>
      <c r="AT17" s="206">
        <f>SUMPRODUCT(('Evaluation details_input'!$F$4:$F$1000=$AS$9)*('Evaluation details_input'!$G$4:$G$1000=$AS17)*('Evaluation details_input'!$H$4:$H$1000=$AT$3))</f>
        <v>0</v>
      </c>
      <c r="AU17" s="171">
        <f xml:space="preserve">
IF($AT$2=$X$3,$AT17*$Y$20,
IF($AT$2=$AC$3,$AT17*$AD$20,
$AT17*$T$20))</f>
        <v>0</v>
      </c>
      <c r="AV17" s="202">
        <f xml:space="preserve">
COUNTIFS('Evaluation details_input'!$P$3:$P$1000,$AS$9,'Evaluation details_input'!$Q$3:$Q$1000,$AS17,'Evaluation details_input'!$R$3:$R$1000,$AV$3)
+COUNTIFS('Evaluation details_input'!$F$3:$F$1000,$AS$9,'Evaluation details_input'!$G$3:$G$1000,$AS17,'Evaluation details_input'!$H$3:$H$1000,$AV$3,'Evaluation details_input'!$J$3:$J$1000,"Not accepted",'Evaluation details_input'!$N$3:$N$1000,"Disagree with original translator", 'Evaluation details_input'!$P$3:$P$1000,"")
+COUNTIFS('Evaluation details_input'!$F$3:$F$1000,$AS$9,'Evaluation details_input'!$G$3:$G$1000,$AS17,'Evaluation details_input'!$H$3:$H$1000,$AV$3,'Evaluation details_input'!$J$3:$J$1000,"Accepted", 'Evaluation details_input'!$P$3:$P$1000,"")
+COUNTIFS('Evaluation details_input'!$F$3:$F$1000,$AS$9,'Evaluation details_input'!$G$3:$G$1000,$AS17,'Evaluation details_input'!$H$3:$H$1000,$AV$3,'Evaluation details_input'!$J$3:$J$1000,"")</f>
        <v>0</v>
      </c>
      <c r="AW17" s="171">
        <f t="shared" si="1"/>
        <v>0</v>
      </c>
      <c r="AX17" s="202">
        <f>SUMPRODUCT(('Evaluation details_input'!$F$4:$F$1000=$AS$9)*('Evaluation details_input'!$G$4:$G$1000=$AS17)*('Evaluation details_input'!$H$4:$H$1000=$AX$3))</f>
        <v>0</v>
      </c>
      <c r="AY17" s="171">
        <f t="shared" si="2"/>
        <v>0</v>
      </c>
      <c r="AZ17" s="202">
        <f xml:space="preserve">
COUNTIFS('Evaluation details_input'!$P$3:$P$1000,$AS$9,'Evaluation details_input'!$Q$3:$Q$1000,$AS17,'Evaluation details_input'!$R$3:$R$1000,$AZ$3)
+COUNTIFS('Evaluation details_input'!$F$3:$F$1000,$AS$9,'Evaluation details_input'!$G$3:$G$1000,$AS17,'Evaluation details_input'!$H$3:$H$1000,$AZ$3,'Evaluation details_input'!$J$3:$J$1000,"Not accepted",'Evaluation details_input'!$N$3:$N$1000,"Disagree with original translator", 'Evaluation details_input'!$P$3:$P$1000,"")
+COUNTIFS('Evaluation details_input'!$F$3:$F$1000,$AS$9,'Evaluation details_input'!$G$3:$G$1000,$AS17,'Evaluation details_input'!$H$3:$H$1000,$AZ$3,'Evaluation details_input'!$J$3:$J$1000,"Accepted", 'Evaluation details_input'!$P$3:$P$1000,"")
+COUNTIFS('Evaluation details_input'!$F$3:$F$1000,$AS$9,'Evaluation details_input'!$G$3:$G$1000,$AS17,'Evaluation details_input'!$H$3:$H$1000,$AZ$3,'Evaluation details_input'!$J$3:$J$1000,"")</f>
        <v>0</v>
      </c>
      <c r="BA17" s="171">
        <f t="shared" si="3"/>
        <v>0</v>
      </c>
      <c r="BB17" s="202">
        <f xml:space="preserve">
COUNTIFS('Evaluation details_input'!$P$3:$P$1000,$AS$9,'Evaluation details_input'!$Q$3:$Q$1000,$AS17,'Evaluation details_input'!$R$3:$R$1000,$BB$3)
+COUNTIFS('Evaluation details_input'!$F$3:$F$1000,$AS$9,'Evaluation details_input'!$G$3:$G$1000,$AS17,'Evaluation details_input'!$H$3:$H$1000,$BB$3,'Evaluation details_input'!$J$3:$J$1000,"Not accepted",'Evaluation details_input'!$N$3:$N$1000,"Disagree with original translator", 'Evaluation details_input'!$P$3:$P$1000,"")
+COUNTIFS('Evaluation details_input'!$F$3:$F$1000,$AS$9,'Evaluation details_input'!$G$3:$G$1000,$AS17,'Evaluation details_input'!$H$3:$H$1000,$BB$3,'Evaluation details_input'!$J$3:$J$1000,"Accepted", 'Evaluation details_input'!$P$3:$P$1000,"")
+COUNTIFS('Evaluation details_input'!$F$3:$F$1000,$AS$9,'Evaluation details_input'!$G$3:$G$1000,$AS17,'Evaluation details_input'!$H$3:$H$1000,$BB$3,'Evaluation details_input'!$J$3:$J$1000,"")</f>
        <v>0</v>
      </c>
      <c r="BC17" s="202">
        <f xml:space="preserve">
COUNTIFS('Evaluation details_input'!$P$3:$P$1000,$AS$9,'Evaluation details_input'!$Q$3:$Q$1000,$AS17,'Evaluation details_input'!$R$3:$R$1000,$BC$3)
+COUNTIFS('Evaluation details_input'!$F$3:$F$1000,$AS$9,'Evaluation details_input'!$G$3:$G$1000,$AS17,'Evaluation details_input'!$H$3:$H$1000,$BC$3,'Evaluation details_input'!$J$3:$J$1000,"Not accepted",'Evaluation details_input'!$N$3:$N$1000,"Disagree with original translator", 'Evaluation details_input'!$P$3:$P$1000,"")
+COUNTIFS('Evaluation details_input'!$F$3:$F$1000,$AS$9,'Evaluation details_input'!$G$3:$G$1000,$AS17,'Evaluation details_input'!$H$3:$H$1000,$BC$3,'Evaluation details_input'!$J$3:$J$1000,"Accepted", 'Evaluation details_input'!$P$3:$P$1000,"")
+COUNTIFS('Evaluation details_input'!$F$3:$F$1000,$AS$9,'Evaluation details_input'!$G$3:$G$1000,$AS17,'Evaluation details_input'!$H$3:$H$1000,$BC$3,'Evaluation details_input'!$J$3:$J$1000,"")</f>
        <v>0</v>
      </c>
      <c r="BD17" s="202">
        <f xml:space="preserve">
COUNTIFS('Evaluation details_input'!$P$3:$P$1000,$AS$9,'Evaluation details_input'!$Q$3:$Q$1000,$AS17,'Evaluation details_input'!$R$3:$R$1000,$BD$3)
+COUNTIFS('Evaluation details_input'!$F$3:$F$1000,$AS$9,'Evaluation details_input'!$G$3:$G$1000,$AS17,'Evaluation details_input'!$H$3:$H$1000,$BD$3,'Evaluation details_input'!$J$3:$J$1000,"Not accepted",'Evaluation details_input'!$N$3:$N$1000,"Disagree with original translator", 'Evaluation details_input'!$P$3:$P$1000,"")
+COUNTIFS('Evaluation details_input'!$F$3:$F$1000,$AS$9,'Evaluation details_input'!$G$3:$G$1000,$AS17,'Evaluation details_input'!$H$3:$H$1000,$BD$3,'Evaluation details_input'!$J$3:$J$1000,"Accepted", 'Evaluation details_input'!$P$3:$P$1000,"")
+COUNTIFS('Evaluation details_input'!$F$3:$F$1000,$AS$9,'Evaluation details_input'!$G$3:$G$1000,$AS17,'Evaluation details_input'!$H$3:$H$1000,$BD$3,'Evaluation details_input'!$J$3:$J$1000,"")</f>
        <v>0</v>
      </c>
      <c r="BE17" s="600"/>
    </row>
    <row r="18" spans="2:57" ht="22.5">
      <c r="B18" s="153" t="s">
        <v>532</v>
      </c>
      <c r="C18" s="160" t="s">
        <v>33</v>
      </c>
      <c r="E18" s="29"/>
      <c r="S18" s="193" t="str">
        <f>$K$8</f>
        <v>Do not translate (DNT)</v>
      </c>
      <c r="T18" s="165">
        <v>2</v>
      </c>
      <c r="U18" s="165">
        <v>5</v>
      </c>
      <c r="V18" s="186">
        <v>100</v>
      </c>
      <c r="W18" s="166">
        <v>0</v>
      </c>
      <c r="X18" s="193" t="str">
        <f>$K$8</f>
        <v>Do not translate (DNT)</v>
      </c>
      <c r="Y18" s="165">
        <v>3</v>
      </c>
      <c r="Z18" s="165">
        <v>5</v>
      </c>
      <c r="AA18" s="186">
        <v>100</v>
      </c>
      <c r="AB18" s="166">
        <v>0</v>
      </c>
      <c r="AC18" s="193" t="str">
        <f>$K$8</f>
        <v>Do not translate (DNT)</v>
      </c>
      <c r="AD18" s="165">
        <v>2</v>
      </c>
      <c r="AE18" s="165">
        <v>5</v>
      </c>
      <c r="AF18" s="186">
        <v>100</v>
      </c>
      <c r="AG18" s="166">
        <v>0</v>
      </c>
      <c r="AH18" s="193" t="str">
        <f>$K$8</f>
        <v>Do not translate (DNT)</v>
      </c>
      <c r="AI18" s="165">
        <v>2</v>
      </c>
      <c r="AJ18" s="165">
        <v>5</v>
      </c>
      <c r="AK18" s="186">
        <v>100</v>
      </c>
      <c r="AL18" s="166">
        <v>0</v>
      </c>
      <c r="AM18" s="193" t="str">
        <f>$K$8</f>
        <v>Do not translate (DNT)</v>
      </c>
      <c r="AN18" s="165">
        <v>2</v>
      </c>
      <c r="AO18" s="165">
        <v>5</v>
      </c>
      <c r="AP18" s="186">
        <v>100</v>
      </c>
      <c r="AQ18" s="166">
        <v>0</v>
      </c>
      <c r="AS18" s="214" t="str">
        <f>L2</f>
        <v>Linguistic conventions</v>
      </c>
      <c r="AT18" s="207"/>
      <c r="AU18" s="173"/>
      <c r="AV18" s="173"/>
      <c r="AW18" s="173"/>
      <c r="AX18" s="203"/>
      <c r="AY18" s="173"/>
      <c r="AZ18" s="173"/>
      <c r="BA18" s="173"/>
      <c r="BB18" s="264"/>
      <c r="BC18" s="264"/>
      <c r="BD18" s="264"/>
    </row>
    <row r="19" spans="2:57" ht="15.75" customHeight="1">
      <c r="B19" s="153" t="s">
        <v>533</v>
      </c>
      <c r="C19" s="160" t="s">
        <v>98</v>
      </c>
      <c r="S19" s="193" t="str">
        <f>$K$9</f>
        <v>Untranslated</v>
      </c>
      <c r="T19" s="165">
        <v>2</v>
      </c>
      <c r="U19" s="165">
        <v>5</v>
      </c>
      <c r="V19" s="186">
        <v>100</v>
      </c>
      <c r="W19" s="166">
        <v>0</v>
      </c>
      <c r="X19" s="193" t="str">
        <f>$K$9</f>
        <v>Untranslated</v>
      </c>
      <c r="Y19" s="165">
        <v>3</v>
      </c>
      <c r="Z19" s="165">
        <v>5</v>
      </c>
      <c r="AA19" s="186">
        <v>100</v>
      </c>
      <c r="AB19" s="166">
        <v>0</v>
      </c>
      <c r="AC19" s="193" t="str">
        <f>$K$9</f>
        <v>Untranslated</v>
      </c>
      <c r="AD19" s="165">
        <v>2</v>
      </c>
      <c r="AE19" s="165">
        <v>5</v>
      </c>
      <c r="AF19" s="186">
        <v>100</v>
      </c>
      <c r="AG19" s="166">
        <v>0</v>
      </c>
      <c r="AH19" s="193" t="str">
        <f>$K$9</f>
        <v>Untranslated</v>
      </c>
      <c r="AI19" s="165">
        <v>2</v>
      </c>
      <c r="AJ19" s="165">
        <v>5</v>
      </c>
      <c r="AK19" s="186">
        <v>100</v>
      </c>
      <c r="AL19" s="166">
        <v>0</v>
      </c>
      <c r="AM19" s="193" t="str">
        <f>$K$9</f>
        <v>Untranslated</v>
      </c>
      <c r="AN19" s="165">
        <v>2</v>
      </c>
      <c r="AO19" s="165">
        <v>5</v>
      </c>
      <c r="AP19" s="186">
        <v>100</v>
      </c>
      <c r="AQ19" s="166">
        <v>0</v>
      </c>
      <c r="AS19" s="210" t="str">
        <f t="shared" ref="AS19:AS24" si="4">$L3</f>
        <v>Grammar</v>
      </c>
      <c r="AT19" s="206">
        <f>SUMPRODUCT(('Evaluation details_input'!$F$4:$F$1000=$AS$18)*('Evaluation details_input'!$G$4:$G$1000=$AS19)*('Evaluation details_input'!$H$4:$H$1000=$AT$3))</f>
        <v>0</v>
      </c>
      <c r="AU19" s="171">
        <f t="shared" ref="AU19:AU24" si="5" xml:space="preserve">
IF($AT$2=$X$3,$AT19*$Y22,
IF($AT$2=$AC$3,$AT19*$AD22,
$AT19*$T22))</f>
        <v>0</v>
      </c>
      <c r="AV19" s="202">
        <f xml:space="preserve">
COUNTIFS('Evaluation details_input'!$P$3:$P$1000,$AS$18,'Evaluation details_input'!$Q$3:$Q$1000,$AS19,'Evaluation details_input'!$R$3:$R$1000,$AV$3)
+COUNTIFS('Evaluation details_input'!$F$3:$F$1000,$AS$18,'Evaluation details_input'!$G$3:$G$1000,$AS19,'Evaluation details_input'!$H$3:$H$1000,$AV$3,'Evaluation details_input'!$J$3:$J$1000,"Not accepted",'Evaluation details_input'!$N$3:$N$1000,"Disagree with original translator", 'Evaluation details_input'!$P$3:$P$1000,"")
+COUNTIFS('Evaluation details_input'!$F$3:$F$1000,$AS$18,'Evaluation details_input'!$G$3:$G$1000,$AS19,'Evaluation details_input'!$H$3:$H$1000,$AV$3,'Evaluation details_input'!$J$3:$J$1000,"Accepted", 'Evaluation details_input'!$P$3:$P$1000,"")
+COUNTIFS('Evaluation details_input'!$F$3:$F$1000,$AS$18,'Evaluation details_input'!$G$3:$G$1000,$AS19,'Evaluation details_input'!$H$3:$H$1000,$AV$3,'Evaluation details_input'!$J$3:$J$1000,"")</f>
        <v>0</v>
      </c>
      <c r="AW19" s="171">
        <f t="shared" ref="AW19:AW24" si="6" xml:space="preserve">
IF($AT$2=$X$3,$AV19*$Y22,
IF($AT$2=$AC$3,$AV19*$AD22,
$AV19*$T22))</f>
        <v>0</v>
      </c>
      <c r="AX19" s="202">
        <f>SUMPRODUCT(('Evaluation details_input'!$F$4:$F$1000=$AS$18)*('Evaluation details_input'!$G$4:$G$1000=$AS19)*('Evaluation details_input'!$H$4:$H$1000=$AX$3))</f>
        <v>0</v>
      </c>
      <c r="AY19" s="171">
        <f t="shared" ref="AY19:AY24" si="7" xml:space="preserve">
IF($AT$2=$X$3,$AX19*$Z22,
IF($AT$2=$AC$3,$AX19*$AE22,
$AX19*$U22))</f>
        <v>0</v>
      </c>
      <c r="AZ19" s="202">
        <f xml:space="preserve">
COUNTIFS('Evaluation details_input'!$P$3:$P$1000,$AS$18,'Evaluation details_input'!$Q$3:$Q$1000,$AS19,'Evaluation details_input'!$R$3:$R$1000,$AZ$3)
+COUNTIFS('Evaluation details_input'!$F$3:$F$1000,$AS$18,'Evaluation details_input'!$G$3:$G$1000,$AS19,'Evaluation details_input'!$H$3:$H$1000,$AZ$3,'Evaluation details_input'!$J$3:$J$1000,"Not accepted",'Evaluation details_input'!$N$3:$N$1000,"Disagree with original translator", 'Evaluation details_input'!$P$3:$P$1000,"")
+COUNTIFS('Evaluation details_input'!$F$3:$F$1000,$AS$18,'Evaluation details_input'!$G$3:$G$1000,$AS19,'Evaluation details_input'!$H$3:$H$1000,$AZ$3,'Evaluation details_input'!$J$3:$J$1000,"Accepted", 'Evaluation details_input'!$P$3:$P$1000,"")
+COUNTIFS('Evaluation details_input'!$F$3:$F$1000,$AS$18,'Evaluation details_input'!$G$3:$G$1000,$AS19,'Evaluation details_input'!$H$3:$H$1000,$AZ$3,'Evaluation details_input'!$J$3:$J$1000,"")</f>
        <v>0</v>
      </c>
      <c r="BA19" s="171">
        <f t="shared" ref="BA19:BA24" si="8" xml:space="preserve">
IF($AT$2=$X$3,$AZ19*$Z22,
IF($AT$2=$AC$3,$AZ19*$AE22,
$AZ19*$U22))</f>
        <v>0</v>
      </c>
      <c r="BB19" s="202">
        <f xml:space="preserve">
COUNTIFS('Evaluation details_input'!$P$3:$P$1000,$AS$18,'Evaluation details_input'!$Q$3:$Q$1000,$AS19,'Evaluation details_input'!$R$3:$R$1000,$BB$3)
+COUNTIFS('Evaluation details_input'!$F$3:$F$1000,$AS$18,'Evaluation details_input'!$G$3:$G$1000,$AS19,'Evaluation details_input'!$H$3:$H$1000,$BB$3,'Evaluation details_input'!$J$3:$J$1000,"Not accepted",'Evaluation details_input'!$N$3:$N$1000,"Disagree with original translator", 'Evaluation details_input'!$P$3:$P$1000,"")
+COUNTIFS('Evaluation details_input'!$F$3:$F$1000,$AS$18,'Evaluation details_input'!$G$3:$G$1000,$AS19,'Evaluation details_input'!$H$3:$H$1000,$BB$3,'Evaluation details_input'!$J$3:$J$1000,"Accepted", 'Evaluation details_input'!$P$3:$P$1000,"")
+COUNTIFS('Evaluation details_input'!$F$3:$F$1000,$AS$18,'Evaluation details_input'!$G$3:$G$1000,$AS19,'Evaluation details_input'!$H$3:$H$1000,$BB$3,'Evaluation details_input'!$J$3:$J$1000,"")</f>
        <v>0</v>
      </c>
      <c r="BC19" s="202">
        <f xml:space="preserve">
COUNTIFS('Evaluation details_input'!$P$3:$P$1000,$AS$18,'Evaluation details_input'!$Q$3:$Q$1000,$AS19,'Evaluation details_input'!$R$3:$R$1000,$BC$3)
+COUNTIFS('Evaluation details_input'!$F$3:$F$1000,$AS$18,'Evaluation details_input'!$G$3:$G$1000,$AS19,'Evaluation details_input'!$H$3:$H$1000,$BC$3,'Evaluation details_input'!$J$3:$J$1000,"Not accepted",'Evaluation details_input'!$N$3:$N$1000,"Disagree with original translator", 'Evaluation details_input'!$P$3:$P$1000,"")
+COUNTIFS('Evaluation details_input'!$F$3:$F$1000,$AS$18,'Evaluation details_input'!$G$3:$G$1000,$AS19,'Evaluation details_input'!$H$3:$H$1000,$BC$3,'Evaluation details_input'!$J$3:$J$1000,"Accepted", 'Evaluation details_input'!$P$3:$P$1000,"")
+COUNTIFS('Evaluation details_input'!$F$3:$F$1000,$AS$18,'Evaluation details_input'!$G$3:$G$1000,$AS19,'Evaluation details_input'!$H$3:$H$1000,$BC$3,'Evaluation details_input'!$J$3:$J$1000,"")</f>
        <v>0</v>
      </c>
      <c r="BD19" s="202">
        <f xml:space="preserve">
COUNTIFS('Evaluation details_input'!$P$3:$P$1000,$AS$18,'Evaluation details_input'!$Q$3:$Q$1000,$AS19,'Evaluation details_input'!$R$3:$R$1000,$BD$3)
+COUNTIFS('Evaluation details_input'!$F$3:$F$1000,$AS$18,'Evaluation details_input'!$G$3:$G$1000,$AS19,'Evaluation details_input'!$H$3:$H$1000,$BD$3,'Evaluation details_input'!$J$3:$J$1000,"Not accepted",'Evaluation details_input'!$N$3:$N$1000,"Disagree with original translator", 'Evaluation details_input'!$P$3:$P$1000,"")
+COUNTIFS('Evaluation details_input'!$F$3:$F$1000,$AS$18,'Evaluation details_input'!$G$3:$G$1000,$AS19,'Evaluation details_input'!$H$3:$H$1000,$BD$3,'Evaluation details_input'!$J$3:$J$1000,"Accepted", 'Evaluation details_input'!$P$3:$P$1000,"")
+COUNTIFS('Evaluation details_input'!$F$3:$F$1000,$AS$18,'Evaluation details_input'!$G$3:$G$1000,$AS19,'Evaluation details_input'!$H$3:$H$1000,$BD$3,'Evaluation details_input'!$J$3:$J$1000,"")</f>
        <v>0</v>
      </c>
    </row>
    <row r="20" spans="2:57">
      <c r="B20" s="153" t="s">
        <v>595</v>
      </c>
      <c r="C20" s="160" t="s">
        <v>133</v>
      </c>
      <c r="S20" s="193" t="str">
        <f>$K$10</f>
        <v>Other</v>
      </c>
      <c r="T20" s="165">
        <v>2</v>
      </c>
      <c r="U20" s="165">
        <v>5</v>
      </c>
      <c r="V20" s="186">
        <v>100</v>
      </c>
      <c r="W20" s="166">
        <v>0</v>
      </c>
      <c r="X20" s="193" t="str">
        <f>$K$10</f>
        <v>Other</v>
      </c>
      <c r="Y20" s="165">
        <v>3</v>
      </c>
      <c r="Z20" s="165">
        <v>5</v>
      </c>
      <c r="AA20" s="186">
        <v>100</v>
      </c>
      <c r="AB20" s="166">
        <v>0</v>
      </c>
      <c r="AC20" s="193" t="str">
        <f>$K$10</f>
        <v>Other</v>
      </c>
      <c r="AD20" s="165">
        <v>2</v>
      </c>
      <c r="AE20" s="165">
        <v>5</v>
      </c>
      <c r="AF20" s="186">
        <v>100</v>
      </c>
      <c r="AG20" s="166">
        <v>0</v>
      </c>
      <c r="AH20" s="193" t="str">
        <f>$K$10</f>
        <v>Other</v>
      </c>
      <c r="AI20" s="165">
        <v>2</v>
      </c>
      <c r="AJ20" s="165">
        <v>5</v>
      </c>
      <c r="AK20" s="186">
        <v>100</v>
      </c>
      <c r="AL20" s="166">
        <v>0</v>
      </c>
      <c r="AM20" s="193" t="str">
        <f>$K$10</f>
        <v>Other</v>
      </c>
      <c r="AN20" s="165">
        <v>2</v>
      </c>
      <c r="AO20" s="165">
        <v>5</v>
      </c>
      <c r="AP20" s="186">
        <v>100</v>
      </c>
      <c r="AQ20" s="166">
        <v>0</v>
      </c>
      <c r="AS20" s="210" t="str">
        <f t="shared" si="4"/>
        <v>Punctuation</v>
      </c>
      <c r="AT20" s="206">
        <f>SUMPRODUCT(('Evaluation details_input'!$F$4:$F$1000=$AS$18)*('Evaluation details_input'!$G$4:$G$1000=$AS20)*('Evaluation details_input'!$H$4:$H$1000=$AT$3))</f>
        <v>0</v>
      </c>
      <c r="AU20" s="171">
        <f t="shared" si="5"/>
        <v>0</v>
      </c>
      <c r="AV20" s="202">
        <f xml:space="preserve">
COUNTIFS('Evaluation details_input'!$P$3:$P$1000,$AS$18,'Evaluation details_input'!$Q$3:$Q$1000,$AS20,'Evaluation details_input'!$R$3:$R$1000,$AV$3)
+COUNTIFS('Evaluation details_input'!$F$3:$F$1000,$AS$18,'Evaluation details_input'!$G$3:$G$1000,$AS20,'Evaluation details_input'!$H$3:$H$1000,$AV$3,'Evaluation details_input'!$J$3:$J$1000,"Not accepted",'Evaluation details_input'!$N$3:$N$1000,"Disagree with original translator", 'Evaluation details_input'!$P$3:$P$1000,"")
+COUNTIFS('Evaluation details_input'!$F$3:$F$1000,$AS$18,'Evaluation details_input'!$G$3:$G$1000,$AS20,'Evaluation details_input'!$H$3:$H$1000,$AV$3,'Evaluation details_input'!$J$3:$J$1000,"Accepted", 'Evaluation details_input'!$P$3:$P$1000,"")
+COUNTIFS('Evaluation details_input'!$F$3:$F$1000,$AS$18,'Evaluation details_input'!$G$3:$G$1000,$AS20,'Evaluation details_input'!$H$3:$H$1000,$AV$3,'Evaluation details_input'!$J$3:$J$1000,"")</f>
        <v>0</v>
      </c>
      <c r="AW20" s="171">
        <f t="shared" si="6"/>
        <v>0</v>
      </c>
      <c r="AX20" s="202">
        <f>SUMPRODUCT(('Evaluation details_input'!$F$4:$F$1000=$AS$18)*('Evaluation details_input'!$G$4:$G$1000=$AS20)*('Evaluation details_input'!$H$4:$H$1000=$AX$3))</f>
        <v>0</v>
      </c>
      <c r="AY20" s="171">
        <f t="shared" si="7"/>
        <v>0</v>
      </c>
      <c r="AZ20" s="202">
        <f xml:space="preserve">
COUNTIFS('Evaluation details_input'!$P$3:$P$1000,$AS$18,'Evaluation details_input'!$Q$3:$Q$1000,$AS20,'Evaluation details_input'!$R$3:$R$1000,$AZ$3)
+COUNTIFS('Evaluation details_input'!$F$3:$F$1000,$AS$18,'Evaluation details_input'!$G$3:$G$1000,$AS20,'Evaluation details_input'!$H$3:$H$1000,$AZ$3,'Evaluation details_input'!$J$3:$J$1000,"Not accepted",'Evaluation details_input'!$N$3:$N$1000,"Disagree with original translator", 'Evaluation details_input'!$P$3:$P$1000,"")
+COUNTIFS('Evaluation details_input'!$F$3:$F$1000,$AS$18,'Evaluation details_input'!$G$3:$G$1000,$AS20,'Evaluation details_input'!$H$3:$H$1000,$AZ$3,'Evaluation details_input'!$J$3:$J$1000,"Accepted", 'Evaluation details_input'!$P$3:$P$1000,"")
+COUNTIFS('Evaluation details_input'!$F$3:$F$1000,$AS$18,'Evaluation details_input'!$G$3:$G$1000,$AS20,'Evaluation details_input'!$H$3:$H$1000,$AZ$3,'Evaluation details_input'!$J$3:$J$1000,"")</f>
        <v>0</v>
      </c>
      <c r="BA20" s="171">
        <f t="shared" si="8"/>
        <v>0</v>
      </c>
      <c r="BB20" s="202">
        <f xml:space="preserve">
COUNTIFS('Evaluation details_input'!$P$3:$P$1000,$AS$18,'Evaluation details_input'!$Q$3:$Q$1000,$AS20,'Evaluation details_input'!$R$3:$R$1000,$BB$3)
+COUNTIFS('Evaluation details_input'!$F$3:$F$1000,$AS$18,'Evaluation details_input'!$G$3:$G$1000,$AS20,'Evaluation details_input'!$H$3:$H$1000,$BB$3,'Evaluation details_input'!$J$3:$J$1000,"Not accepted",'Evaluation details_input'!$N$3:$N$1000,"Disagree with original translator", 'Evaluation details_input'!$P$3:$P$1000,"")
+COUNTIFS('Evaluation details_input'!$F$3:$F$1000,$AS$18,'Evaluation details_input'!$G$3:$G$1000,$AS20,'Evaluation details_input'!$H$3:$H$1000,$BB$3,'Evaluation details_input'!$J$3:$J$1000,"Accepted", 'Evaluation details_input'!$P$3:$P$1000,"")
+COUNTIFS('Evaluation details_input'!$F$3:$F$1000,$AS$18,'Evaluation details_input'!$G$3:$G$1000,$AS20,'Evaluation details_input'!$H$3:$H$1000,$BB$3,'Evaluation details_input'!$J$3:$J$1000,"")</f>
        <v>0</v>
      </c>
      <c r="BC20" s="202">
        <f xml:space="preserve">
COUNTIFS('Evaluation details_input'!$P$3:$P$1000,$AS$18,'Evaluation details_input'!$Q$3:$Q$1000,$AS20,'Evaluation details_input'!$R$3:$R$1000,$BC$3)
+COUNTIFS('Evaluation details_input'!$F$3:$F$1000,$AS$18,'Evaluation details_input'!$G$3:$G$1000,$AS20,'Evaluation details_input'!$H$3:$H$1000,$BC$3,'Evaluation details_input'!$J$3:$J$1000,"Not accepted",'Evaluation details_input'!$N$3:$N$1000,"Disagree with original translator", 'Evaluation details_input'!$P$3:$P$1000,"")
+COUNTIFS('Evaluation details_input'!$F$3:$F$1000,$AS$18,'Evaluation details_input'!$G$3:$G$1000,$AS20,'Evaluation details_input'!$H$3:$H$1000,$BC$3,'Evaluation details_input'!$J$3:$J$1000,"Accepted", 'Evaluation details_input'!$P$3:$P$1000,"")
+COUNTIFS('Evaluation details_input'!$F$3:$F$1000,$AS$18,'Evaluation details_input'!$G$3:$G$1000,$AS20,'Evaluation details_input'!$H$3:$H$1000,$BC$3,'Evaluation details_input'!$J$3:$J$1000,"")</f>
        <v>0</v>
      </c>
      <c r="BD20" s="202">
        <f xml:space="preserve">
COUNTIFS('Evaluation details_input'!$P$3:$P$1000,$AS$18,'Evaluation details_input'!$Q$3:$Q$1000,$AS20,'Evaluation details_input'!$R$3:$R$1000,$BD$3)
+COUNTIFS('Evaluation details_input'!$F$3:$F$1000,$AS$18,'Evaluation details_input'!$G$3:$G$1000,$AS20,'Evaluation details_input'!$H$3:$H$1000,$BD$3,'Evaluation details_input'!$J$3:$J$1000,"Not accepted",'Evaluation details_input'!$N$3:$N$1000,"Disagree with original translator", 'Evaluation details_input'!$P$3:$P$1000,"")
+COUNTIFS('Evaluation details_input'!$F$3:$F$1000,$AS$18,'Evaluation details_input'!$G$3:$G$1000,$AS20,'Evaluation details_input'!$H$3:$H$1000,$BD$3,'Evaluation details_input'!$J$3:$J$1000,"Accepted", 'Evaluation details_input'!$P$3:$P$1000,"")
+COUNTIFS('Evaluation details_input'!$F$3:$F$1000,$AS$18,'Evaluation details_input'!$G$3:$G$1000,$AS20,'Evaluation details_input'!$H$3:$H$1000,$BD$3,'Evaluation details_input'!$J$3:$J$1000,"")</f>
        <v>0</v>
      </c>
    </row>
    <row r="21" spans="2:57" ht="22.5">
      <c r="B21" s="153" t="s">
        <v>534</v>
      </c>
      <c r="C21" s="160" t="s">
        <v>34</v>
      </c>
      <c r="S21" s="194" t="str">
        <f>$L$2</f>
        <v>Linguistic conventions</v>
      </c>
      <c r="T21" s="177"/>
      <c r="U21" s="177"/>
      <c r="V21" s="187"/>
      <c r="W21" s="178"/>
      <c r="X21" s="194" t="str">
        <f>$L$2</f>
        <v>Linguistic conventions</v>
      </c>
      <c r="Y21" s="177"/>
      <c r="Z21" s="177"/>
      <c r="AA21" s="187"/>
      <c r="AB21" s="178"/>
      <c r="AC21" s="194" t="str">
        <f>$L$2</f>
        <v>Linguistic conventions</v>
      </c>
      <c r="AD21" s="177"/>
      <c r="AE21" s="177"/>
      <c r="AF21" s="187"/>
      <c r="AG21" s="178"/>
      <c r="AH21" s="194" t="str">
        <f>$L$2</f>
        <v>Linguistic conventions</v>
      </c>
      <c r="AI21" s="177"/>
      <c r="AJ21" s="177"/>
      <c r="AK21" s="187"/>
      <c r="AL21" s="178"/>
      <c r="AM21" s="194" t="str">
        <f>$L$2</f>
        <v>Linguistic conventions</v>
      </c>
      <c r="AN21" s="177"/>
      <c r="AO21" s="177"/>
      <c r="AP21" s="187"/>
      <c r="AQ21" s="178"/>
      <c r="AS21" s="210" t="str">
        <f t="shared" si="4"/>
        <v>Spelling</v>
      </c>
      <c r="AT21" s="206">
        <f>SUMPRODUCT(('Evaluation details_input'!$F$4:$F$1000=$AS$18)*('Evaluation details_input'!$G$4:$G$1000=$AS21)*('Evaluation details_input'!$H$4:$H$1000=$AT$3))</f>
        <v>0</v>
      </c>
      <c r="AU21" s="171">
        <f t="shared" si="5"/>
        <v>0</v>
      </c>
      <c r="AV21" s="202">
        <f xml:space="preserve">
COUNTIFS('Evaluation details_input'!$P$3:$P$1000,$AS$18,'Evaluation details_input'!$Q$3:$Q$1000,$AS21,'Evaluation details_input'!$R$3:$R$1000,$AV$3)
+COUNTIFS('Evaluation details_input'!$F$3:$F$1000,$AS$18,'Evaluation details_input'!$G$3:$G$1000,$AS21,'Evaluation details_input'!$H$3:$H$1000,$AV$3,'Evaluation details_input'!$J$3:$J$1000,"Not accepted",'Evaluation details_input'!$N$3:$N$1000,"Disagree with original translator", 'Evaluation details_input'!$P$3:$P$1000,"")
+COUNTIFS('Evaluation details_input'!$F$3:$F$1000,$AS$18,'Evaluation details_input'!$G$3:$G$1000,$AS21,'Evaluation details_input'!$H$3:$H$1000,$AV$3,'Evaluation details_input'!$J$3:$J$1000,"Accepted", 'Evaluation details_input'!$P$3:$P$1000,"")
+COUNTIFS('Evaluation details_input'!$F$3:$F$1000,$AS$18,'Evaluation details_input'!$G$3:$G$1000,$AS21,'Evaluation details_input'!$H$3:$H$1000,$AV$3,'Evaluation details_input'!$J$3:$J$1000,"")</f>
        <v>0</v>
      </c>
      <c r="AW21" s="171">
        <f t="shared" si="6"/>
        <v>0</v>
      </c>
      <c r="AX21" s="202">
        <f>SUMPRODUCT(('Evaluation details_input'!$F$4:$F$1000=$AS$18)*('Evaluation details_input'!$G$4:$G$1000=$AS21)*('Evaluation details_input'!$H$4:$H$1000=$AX$3))</f>
        <v>0</v>
      </c>
      <c r="AY21" s="171">
        <f t="shared" si="7"/>
        <v>0</v>
      </c>
      <c r="AZ21" s="202">
        <f xml:space="preserve">
COUNTIFS('Evaluation details_input'!$P$3:$P$1000,$AS$18,'Evaluation details_input'!$Q$3:$Q$1000,$AS21,'Evaluation details_input'!$R$3:$R$1000,$AZ$3)
+COUNTIFS('Evaluation details_input'!$F$3:$F$1000,$AS$18,'Evaluation details_input'!$G$3:$G$1000,$AS21,'Evaluation details_input'!$H$3:$H$1000,$AZ$3,'Evaluation details_input'!$J$3:$J$1000,"Not accepted",'Evaluation details_input'!$N$3:$N$1000,"Disagree with original translator", 'Evaluation details_input'!$P$3:$P$1000,"")
+COUNTIFS('Evaluation details_input'!$F$3:$F$1000,$AS$18,'Evaluation details_input'!$G$3:$G$1000,$AS21,'Evaluation details_input'!$H$3:$H$1000,$AZ$3,'Evaluation details_input'!$J$3:$J$1000,"Accepted", 'Evaluation details_input'!$P$3:$P$1000,"")
+COUNTIFS('Evaluation details_input'!$F$3:$F$1000,$AS$18,'Evaluation details_input'!$G$3:$G$1000,$AS21,'Evaluation details_input'!$H$3:$H$1000,$AZ$3,'Evaluation details_input'!$J$3:$J$1000,"")</f>
        <v>0</v>
      </c>
      <c r="BA21" s="171">
        <f t="shared" si="8"/>
        <v>0</v>
      </c>
      <c r="BB21" s="202">
        <f xml:space="preserve">
COUNTIFS('Evaluation details_input'!$P$3:$P$1000,$AS$18,'Evaluation details_input'!$Q$3:$Q$1000,$AS21,'Evaluation details_input'!$R$3:$R$1000,$BB$3)
+COUNTIFS('Evaluation details_input'!$F$3:$F$1000,$AS$18,'Evaluation details_input'!$G$3:$G$1000,$AS21,'Evaluation details_input'!$H$3:$H$1000,$BB$3,'Evaluation details_input'!$J$3:$J$1000,"Not accepted",'Evaluation details_input'!$N$3:$N$1000,"Disagree with original translator", 'Evaluation details_input'!$P$3:$P$1000,"")
+COUNTIFS('Evaluation details_input'!$F$3:$F$1000,$AS$18,'Evaluation details_input'!$G$3:$G$1000,$AS21,'Evaluation details_input'!$H$3:$H$1000,$BB$3,'Evaluation details_input'!$J$3:$J$1000,"Accepted", 'Evaluation details_input'!$P$3:$P$1000,"")
+COUNTIFS('Evaluation details_input'!$F$3:$F$1000,$AS$18,'Evaluation details_input'!$G$3:$G$1000,$AS21,'Evaluation details_input'!$H$3:$H$1000,$BB$3,'Evaluation details_input'!$J$3:$J$1000,"")</f>
        <v>0</v>
      </c>
      <c r="BC21" s="202">
        <f xml:space="preserve">
COUNTIFS('Evaluation details_input'!$P$3:$P$1000,$AS$18,'Evaluation details_input'!$Q$3:$Q$1000,$AS21,'Evaluation details_input'!$R$3:$R$1000,$BC$3)
+COUNTIFS('Evaluation details_input'!$F$3:$F$1000,$AS$18,'Evaluation details_input'!$G$3:$G$1000,$AS21,'Evaluation details_input'!$H$3:$H$1000,$BC$3,'Evaluation details_input'!$J$3:$J$1000,"Not accepted",'Evaluation details_input'!$N$3:$N$1000,"Disagree with original translator", 'Evaluation details_input'!$P$3:$P$1000,"")
+COUNTIFS('Evaluation details_input'!$F$3:$F$1000,$AS$18,'Evaluation details_input'!$G$3:$G$1000,$AS21,'Evaluation details_input'!$H$3:$H$1000,$BC$3,'Evaluation details_input'!$J$3:$J$1000,"Accepted", 'Evaluation details_input'!$P$3:$P$1000,"")
+COUNTIFS('Evaluation details_input'!$F$3:$F$1000,$AS$18,'Evaluation details_input'!$G$3:$G$1000,$AS21,'Evaluation details_input'!$H$3:$H$1000,$BC$3,'Evaluation details_input'!$J$3:$J$1000,"")</f>
        <v>0</v>
      </c>
      <c r="BD21" s="202">
        <f xml:space="preserve">
COUNTIFS('Evaluation details_input'!$P$3:$P$1000,$AS$18,'Evaluation details_input'!$Q$3:$Q$1000,$AS21,'Evaluation details_input'!$R$3:$R$1000,$BD$3)
+COUNTIFS('Evaluation details_input'!$F$3:$F$1000,$AS$18,'Evaluation details_input'!$G$3:$G$1000,$AS21,'Evaluation details_input'!$H$3:$H$1000,$BD$3,'Evaluation details_input'!$J$3:$J$1000,"Not accepted",'Evaluation details_input'!$N$3:$N$1000,"Disagree with original translator", 'Evaluation details_input'!$P$3:$P$1000,"")
+COUNTIFS('Evaluation details_input'!$F$3:$F$1000,$AS$18,'Evaluation details_input'!$G$3:$G$1000,$AS21,'Evaluation details_input'!$H$3:$H$1000,$BD$3,'Evaluation details_input'!$J$3:$J$1000,"Accepted", 'Evaluation details_input'!$P$3:$P$1000,"")
+COUNTIFS('Evaluation details_input'!$F$3:$F$1000,$AS$18,'Evaluation details_input'!$G$3:$G$1000,$AS21,'Evaluation details_input'!$H$3:$H$1000,$BD$3,'Evaluation details_input'!$J$3:$J$1000,"")</f>
        <v>0</v>
      </c>
    </row>
    <row r="22" spans="2:57" ht="15" customHeight="1">
      <c r="B22" s="153" t="s">
        <v>535</v>
      </c>
      <c r="C22" s="160" t="s">
        <v>134</v>
      </c>
      <c r="S22" s="193" t="str">
        <f>$L$3</f>
        <v>Grammar</v>
      </c>
      <c r="T22" s="165">
        <v>1</v>
      </c>
      <c r="U22" s="165">
        <v>5</v>
      </c>
      <c r="V22" s="186">
        <v>100</v>
      </c>
      <c r="W22" s="166">
        <v>0</v>
      </c>
      <c r="X22" s="193" t="str">
        <f>$L$3</f>
        <v>Grammar</v>
      </c>
      <c r="Y22" s="165">
        <v>1</v>
      </c>
      <c r="Z22" s="165">
        <v>5</v>
      </c>
      <c r="AA22" s="186">
        <v>100</v>
      </c>
      <c r="AB22" s="166">
        <v>0</v>
      </c>
      <c r="AC22" s="193" t="str">
        <f>$L$3</f>
        <v>Grammar</v>
      </c>
      <c r="AD22" s="165">
        <v>1.5</v>
      </c>
      <c r="AE22" s="165">
        <v>5</v>
      </c>
      <c r="AF22" s="186">
        <v>100</v>
      </c>
      <c r="AG22" s="166">
        <v>0</v>
      </c>
      <c r="AH22" s="193" t="str">
        <f>$L$3</f>
        <v>Grammar</v>
      </c>
      <c r="AI22" s="165">
        <v>1</v>
      </c>
      <c r="AJ22" s="165">
        <v>5</v>
      </c>
      <c r="AK22" s="186">
        <v>100</v>
      </c>
      <c r="AL22" s="166">
        <v>0</v>
      </c>
      <c r="AM22" s="193" t="str">
        <f>$L$3</f>
        <v>Grammar</v>
      </c>
      <c r="AN22" s="165">
        <v>1</v>
      </c>
      <c r="AO22" s="165">
        <v>5</v>
      </c>
      <c r="AP22" s="186">
        <v>100</v>
      </c>
      <c r="AQ22" s="166">
        <v>0</v>
      </c>
      <c r="AS22" s="210" t="str">
        <f t="shared" si="4"/>
        <v>Unintelligible</v>
      </c>
      <c r="AT22" s="206">
        <f>SUMPRODUCT(('Evaluation details_input'!$F$4:$F$1000=$AS$18)*('Evaluation details_input'!$G$4:$G$1000=$AS22)*('Evaluation details_input'!$H$4:$H$1000=$AT$3))</f>
        <v>0</v>
      </c>
      <c r="AU22" s="171">
        <f t="shared" si="5"/>
        <v>0</v>
      </c>
      <c r="AV22" s="202">
        <f xml:space="preserve">
COUNTIFS('Evaluation details_input'!$P$3:$P$1000,$AS$18,'Evaluation details_input'!$Q$3:$Q$1000,$AS22,'Evaluation details_input'!$R$3:$R$1000,$AV$3)
+COUNTIFS('Evaluation details_input'!$F$3:$F$1000,$AS$18,'Evaluation details_input'!$G$3:$G$1000,$AS22,'Evaluation details_input'!$H$3:$H$1000,$AV$3,'Evaluation details_input'!$J$3:$J$1000,"Not accepted",'Evaluation details_input'!$N$3:$N$1000,"Disagree with original translator", 'Evaluation details_input'!$P$3:$P$1000,"")
+COUNTIFS('Evaluation details_input'!$F$3:$F$1000,$AS$18,'Evaluation details_input'!$G$3:$G$1000,$AS22,'Evaluation details_input'!$H$3:$H$1000,$AV$3,'Evaluation details_input'!$J$3:$J$1000,"Accepted", 'Evaluation details_input'!$P$3:$P$1000,"")
+COUNTIFS('Evaluation details_input'!$F$3:$F$1000,$AS$18,'Evaluation details_input'!$G$3:$G$1000,$AS22,'Evaluation details_input'!$H$3:$H$1000,$AV$3,'Evaluation details_input'!$J$3:$J$1000,"")</f>
        <v>0</v>
      </c>
      <c r="AW22" s="171">
        <f t="shared" si="6"/>
        <v>0</v>
      </c>
      <c r="AX22" s="202">
        <f>SUMPRODUCT(('Evaluation details_input'!$F$4:$F$1000=$AS$18)*('Evaluation details_input'!$G$4:$G$1000=$AS22)*('Evaluation details_input'!$H$4:$H$1000=$AX$3))</f>
        <v>0</v>
      </c>
      <c r="AY22" s="171">
        <f t="shared" si="7"/>
        <v>0</v>
      </c>
      <c r="AZ22" s="202">
        <f xml:space="preserve">
COUNTIFS('Evaluation details_input'!$P$3:$P$1000,$AS$18,'Evaluation details_input'!$Q$3:$Q$1000,$AS22,'Evaluation details_input'!$R$3:$R$1000,$AZ$3)
+COUNTIFS('Evaluation details_input'!$F$3:$F$1000,$AS$18,'Evaluation details_input'!$G$3:$G$1000,$AS22,'Evaluation details_input'!$H$3:$H$1000,$AZ$3,'Evaluation details_input'!$J$3:$J$1000,"Not accepted",'Evaluation details_input'!$N$3:$N$1000,"Disagree with original translator", 'Evaluation details_input'!$P$3:$P$1000,"")
+COUNTIFS('Evaluation details_input'!$F$3:$F$1000,$AS$18,'Evaluation details_input'!$G$3:$G$1000,$AS22,'Evaluation details_input'!$H$3:$H$1000,$AZ$3,'Evaluation details_input'!$J$3:$J$1000,"Accepted", 'Evaluation details_input'!$P$3:$P$1000,"")
+COUNTIFS('Evaluation details_input'!$F$3:$F$1000,$AS$18,'Evaluation details_input'!$G$3:$G$1000,$AS22,'Evaluation details_input'!$H$3:$H$1000,$AZ$3,'Evaluation details_input'!$J$3:$J$1000,"")</f>
        <v>0</v>
      </c>
      <c r="BA22" s="171">
        <f t="shared" si="8"/>
        <v>0</v>
      </c>
      <c r="BB22" s="202">
        <f xml:space="preserve">
COUNTIFS('Evaluation details_input'!$P$3:$P$1000,$AS$18,'Evaluation details_input'!$Q$3:$Q$1000,$AS22,'Evaluation details_input'!$R$3:$R$1000,$BB$3)
+COUNTIFS('Evaluation details_input'!$F$3:$F$1000,$AS$18,'Evaluation details_input'!$G$3:$G$1000,$AS22,'Evaluation details_input'!$H$3:$H$1000,$BB$3,'Evaluation details_input'!$J$3:$J$1000,"Not accepted",'Evaluation details_input'!$N$3:$N$1000,"Disagree with original translator", 'Evaluation details_input'!$P$3:$P$1000,"")
+COUNTIFS('Evaluation details_input'!$F$3:$F$1000,$AS$18,'Evaluation details_input'!$G$3:$G$1000,$AS22,'Evaluation details_input'!$H$3:$H$1000,$BB$3,'Evaluation details_input'!$J$3:$J$1000,"Accepted", 'Evaluation details_input'!$P$3:$P$1000,"")
+COUNTIFS('Evaluation details_input'!$F$3:$F$1000,$AS$18,'Evaluation details_input'!$G$3:$G$1000,$AS22,'Evaluation details_input'!$H$3:$H$1000,$BB$3,'Evaluation details_input'!$J$3:$J$1000,"")</f>
        <v>0</v>
      </c>
      <c r="BC22" s="202">
        <f xml:space="preserve">
COUNTIFS('Evaluation details_input'!$P$3:$P$1000,$AS$18,'Evaluation details_input'!$Q$3:$Q$1000,$AS22,'Evaluation details_input'!$R$3:$R$1000,$BC$3)
+COUNTIFS('Evaluation details_input'!$F$3:$F$1000,$AS$18,'Evaluation details_input'!$G$3:$G$1000,$AS22,'Evaluation details_input'!$H$3:$H$1000,$BC$3,'Evaluation details_input'!$J$3:$J$1000,"Not accepted",'Evaluation details_input'!$N$3:$N$1000,"Disagree with original translator", 'Evaluation details_input'!$P$3:$P$1000,"")
+COUNTIFS('Evaluation details_input'!$F$3:$F$1000,$AS$18,'Evaluation details_input'!$G$3:$G$1000,$AS22,'Evaluation details_input'!$H$3:$H$1000,$BC$3,'Evaluation details_input'!$J$3:$J$1000,"Accepted", 'Evaluation details_input'!$P$3:$P$1000,"")
+COUNTIFS('Evaluation details_input'!$F$3:$F$1000,$AS$18,'Evaluation details_input'!$G$3:$G$1000,$AS22,'Evaluation details_input'!$H$3:$H$1000,$BC$3,'Evaluation details_input'!$J$3:$J$1000,"")</f>
        <v>0</v>
      </c>
      <c r="BD22" s="202">
        <f xml:space="preserve">
COUNTIFS('Evaluation details_input'!$P$3:$P$1000,$AS$18,'Evaluation details_input'!$Q$3:$Q$1000,$AS22,'Evaluation details_input'!$R$3:$R$1000,$BD$3)
+COUNTIFS('Evaluation details_input'!$F$3:$F$1000,$AS$18,'Evaluation details_input'!$G$3:$G$1000,$AS22,'Evaluation details_input'!$H$3:$H$1000,$BD$3,'Evaluation details_input'!$J$3:$J$1000,"Not accepted",'Evaluation details_input'!$N$3:$N$1000,"Disagree with original translator", 'Evaluation details_input'!$P$3:$P$1000,"")
+COUNTIFS('Evaluation details_input'!$F$3:$F$1000,$AS$18,'Evaluation details_input'!$G$3:$G$1000,$AS22,'Evaluation details_input'!$H$3:$H$1000,$BD$3,'Evaluation details_input'!$J$3:$J$1000,"Accepted", 'Evaluation details_input'!$P$3:$P$1000,"")
+COUNTIFS('Evaluation details_input'!$F$3:$F$1000,$AS$18,'Evaluation details_input'!$G$3:$G$1000,$AS22,'Evaluation details_input'!$H$3:$H$1000,$BD$3,'Evaluation details_input'!$J$3:$J$1000,"")</f>
        <v>0</v>
      </c>
    </row>
    <row r="23" spans="2:57" ht="22.5">
      <c r="B23" s="153" t="s">
        <v>593</v>
      </c>
      <c r="C23" s="160" t="s">
        <v>232</v>
      </c>
      <c r="S23" s="193" t="str">
        <f>$L$4</f>
        <v>Punctuation</v>
      </c>
      <c r="T23" s="165">
        <v>1</v>
      </c>
      <c r="U23" s="165">
        <v>5</v>
      </c>
      <c r="V23" s="186">
        <v>100</v>
      </c>
      <c r="W23" s="166">
        <v>0</v>
      </c>
      <c r="X23" s="193" t="str">
        <f>$L$4</f>
        <v>Punctuation</v>
      </c>
      <c r="Y23" s="165">
        <v>1</v>
      </c>
      <c r="Z23" s="165">
        <v>5</v>
      </c>
      <c r="AA23" s="186">
        <v>100</v>
      </c>
      <c r="AB23" s="166">
        <v>0</v>
      </c>
      <c r="AC23" s="193" t="str">
        <f>$L$4</f>
        <v>Punctuation</v>
      </c>
      <c r="AD23" s="165">
        <v>1.5</v>
      </c>
      <c r="AE23" s="165">
        <v>5</v>
      </c>
      <c r="AF23" s="186">
        <v>100</v>
      </c>
      <c r="AG23" s="166">
        <v>0</v>
      </c>
      <c r="AH23" s="193" t="str">
        <f>$L$4</f>
        <v>Punctuation</v>
      </c>
      <c r="AI23" s="165">
        <v>1</v>
      </c>
      <c r="AJ23" s="165">
        <v>5</v>
      </c>
      <c r="AK23" s="186">
        <v>100</v>
      </c>
      <c r="AL23" s="166">
        <v>0</v>
      </c>
      <c r="AM23" s="193" t="str">
        <f>$L$4</f>
        <v>Punctuation</v>
      </c>
      <c r="AN23" s="165">
        <v>1</v>
      </c>
      <c r="AO23" s="165">
        <v>5</v>
      </c>
      <c r="AP23" s="186">
        <v>100</v>
      </c>
      <c r="AQ23" s="166">
        <v>0</v>
      </c>
      <c r="AS23" s="210" t="str">
        <f t="shared" si="4"/>
        <v>Character encoding</v>
      </c>
      <c r="AT23" s="206">
        <f>SUMPRODUCT(('Evaluation details_input'!$F$4:$F$1000=$AS$18)*('Evaluation details_input'!$G$4:$G$1000=$AS23)*('Evaluation details_input'!$H$4:$H$1000=$AT$3))</f>
        <v>0</v>
      </c>
      <c r="AU23" s="171">
        <f t="shared" si="5"/>
        <v>0</v>
      </c>
      <c r="AV23" s="202">
        <f xml:space="preserve">
COUNTIFS('Evaluation details_input'!$P$3:$P$1000,$AS$18,'Evaluation details_input'!$Q$3:$Q$1000,$AS23,'Evaluation details_input'!$R$3:$R$1000,$AV$3)
+COUNTIFS('Evaluation details_input'!$F$3:$F$1000,$AS$18,'Evaluation details_input'!$G$3:$G$1000,$AS23,'Evaluation details_input'!$H$3:$H$1000,$AV$3,'Evaluation details_input'!$J$3:$J$1000,"Not accepted",'Evaluation details_input'!$N$3:$N$1000,"Disagree with original translator", 'Evaluation details_input'!$P$3:$P$1000,"")
+COUNTIFS('Evaluation details_input'!$F$3:$F$1000,$AS$18,'Evaluation details_input'!$G$3:$G$1000,$AS23,'Evaluation details_input'!$H$3:$H$1000,$AV$3,'Evaluation details_input'!$J$3:$J$1000,"Accepted", 'Evaluation details_input'!$P$3:$P$1000,"")
+COUNTIFS('Evaluation details_input'!$F$3:$F$1000,$AS$18,'Evaluation details_input'!$G$3:$G$1000,$AS23,'Evaluation details_input'!$H$3:$H$1000,$AV$3,'Evaluation details_input'!$J$3:$J$1000,"")</f>
        <v>0</v>
      </c>
      <c r="AW23" s="171">
        <f t="shared" si="6"/>
        <v>0</v>
      </c>
      <c r="AX23" s="202">
        <f>SUMPRODUCT(('Evaluation details_input'!$F$4:$F$1000=$AS$18)*('Evaluation details_input'!$G$4:$G$1000=$AS23)*('Evaluation details_input'!$H$4:$H$1000=$AX$3))</f>
        <v>0</v>
      </c>
      <c r="AY23" s="171">
        <f t="shared" si="7"/>
        <v>0</v>
      </c>
      <c r="AZ23" s="202">
        <f xml:space="preserve">
COUNTIFS('Evaluation details_input'!$P$3:$P$1000,$AS$18,'Evaluation details_input'!$Q$3:$Q$1000,$AS23,'Evaluation details_input'!$R$3:$R$1000,$AZ$3)
+COUNTIFS('Evaluation details_input'!$F$3:$F$1000,$AS$18,'Evaluation details_input'!$G$3:$G$1000,$AS23,'Evaluation details_input'!$H$3:$H$1000,$AZ$3,'Evaluation details_input'!$J$3:$J$1000,"Not accepted",'Evaluation details_input'!$N$3:$N$1000,"Disagree with original translator", 'Evaluation details_input'!$P$3:$P$1000,"")
+COUNTIFS('Evaluation details_input'!$F$3:$F$1000,$AS$18,'Evaluation details_input'!$G$3:$G$1000,$AS23,'Evaluation details_input'!$H$3:$H$1000,$AZ$3,'Evaluation details_input'!$J$3:$J$1000,"Accepted", 'Evaluation details_input'!$P$3:$P$1000,"")
+COUNTIFS('Evaluation details_input'!$F$3:$F$1000,$AS$18,'Evaluation details_input'!$G$3:$G$1000,$AS23,'Evaluation details_input'!$H$3:$H$1000,$AZ$3,'Evaluation details_input'!$J$3:$J$1000,"")</f>
        <v>0</v>
      </c>
      <c r="BA23" s="171">
        <f t="shared" si="8"/>
        <v>0</v>
      </c>
      <c r="BB23" s="202">
        <f xml:space="preserve">
COUNTIFS('Evaluation details_input'!$P$3:$P$1000,$AS$18,'Evaluation details_input'!$Q$3:$Q$1000,$AS23,'Evaluation details_input'!$R$3:$R$1000,$BB$3)
+COUNTIFS('Evaluation details_input'!$F$3:$F$1000,$AS$18,'Evaluation details_input'!$G$3:$G$1000,$AS23,'Evaluation details_input'!$H$3:$H$1000,$BB$3,'Evaluation details_input'!$J$3:$J$1000,"Not accepted",'Evaluation details_input'!$N$3:$N$1000,"Disagree with original translator", 'Evaluation details_input'!$P$3:$P$1000,"")
+COUNTIFS('Evaluation details_input'!$F$3:$F$1000,$AS$18,'Evaluation details_input'!$G$3:$G$1000,$AS23,'Evaluation details_input'!$H$3:$H$1000,$BB$3,'Evaluation details_input'!$J$3:$J$1000,"Accepted", 'Evaluation details_input'!$P$3:$P$1000,"")
+COUNTIFS('Evaluation details_input'!$F$3:$F$1000,$AS$18,'Evaluation details_input'!$G$3:$G$1000,$AS23,'Evaluation details_input'!$H$3:$H$1000,$BB$3,'Evaluation details_input'!$J$3:$J$1000,"")</f>
        <v>0</v>
      </c>
      <c r="BC23" s="202">
        <f xml:space="preserve">
COUNTIFS('Evaluation details_input'!$P$3:$P$1000,$AS$18,'Evaluation details_input'!$Q$3:$Q$1000,$AS23,'Evaluation details_input'!$R$3:$R$1000,$BC$3)
+COUNTIFS('Evaluation details_input'!$F$3:$F$1000,$AS$18,'Evaluation details_input'!$G$3:$G$1000,$AS23,'Evaluation details_input'!$H$3:$H$1000,$BC$3,'Evaluation details_input'!$J$3:$J$1000,"Not accepted",'Evaluation details_input'!$N$3:$N$1000,"Disagree with original translator", 'Evaluation details_input'!$P$3:$P$1000,"")
+COUNTIFS('Evaluation details_input'!$F$3:$F$1000,$AS$18,'Evaluation details_input'!$G$3:$G$1000,$AS23,'Evaluation details_input'!$H$3:$H$1000,$BC$3,'Evaluation details_input'!$J$3:$J$1000,"Accepted", 'Evaluation details_input'!$P$3:$P$1000,"")
+COUNTIFS('Evaluation details_input'!$F$3:$F$1000,$AS$18,'Evaluation details_input'!$G$3:$G$1000,$AS23,'Evaluation details_input'!$H$3:$H$1000,$BC$3,'Evaluation details_input'!$J$3:$J$1000,"")</f>
        <v>0</v>
      </c>
      <c r="BD23" s="202">
        <f xml:space="preserve">
COUNTIFS('Evaluation details_input'!$P$3:$P$1000,$AS$18,'Evaluation details_input'!$Q$3:$Q$1000,$AS23,'Evaluation details_input'!$R$3:$R$1000,$BD$3)
+COUNTIFS('Evaluation details_input'!$F$3:$F$1000,$AS$18,'Evaluation details_input'!$G$3:$G$1000,$AS23,'Evaluation details_input'!$H$3:$H$1000,$BD$3,'Evaluation details_input'!$J$3:$J$1000,"Not accepted",'Evaluation details_input'!$N$3:$N$1000,"Disagree with original translator", 'Evaluation details_input'!$P$3:$P$1000,"")
+COUNTIFS('Evaluation details_input'!$F$3:$F$1000,$AS$18,'Evaluation details_input'!$G$3:$G$1000,$AS23,'Evaluation details_input'!$H$3:$H$1000,$BD$3,'Evaluation details_input'!$J$3:$J$1000,"Accepted", 'Evaluation details_input'!$P$3:$P$1000,"")
+COUNTIFS('Evaluation details_input'!$F$3:$F$1000,$AS$18,'Evaluation details_input'!$G$3:$G$1000,$AS23,'Evaluation details_input'!$H$3:$H$1000,$BD$3,'Evaluation details_input'!$J$3:$J$1000,"")</f>
        <v>0</v>
      </c>
    </row>
    <row r="24" spans="2:57" ht="13.5" thickBot="1">
      <c r="B24" s="153" t="s">
        <v>536</v>
      </c>
      <c r="C24" s="160" t="s">
        <v>35</v>
      </c>
      <c r="S24" s="193" t="str">
        <f>$L$5</f>
        <v>Spelling</v>
      </c>
      <c r="T24" s="165">
        <v>1</v>
      </c>
      <c r="U24" s="165">
        <v>5</v>
      </c>
      <c r="V24" s="186">
        <v>100</v>
      </c>
      <c r="W24" s="166">
        <v>0</v>
      </c>
      <c r="X24" s="193" t="str">
        <f>$L$5</f>
        <v>Spelling</v>
      </c>
      <c r="Y24" s="165">
        <v>1</v>
      </c>
      <c r="Z24" s="165">
        <v>5</v>
      </c>
      <c r="AA24" s="186">
        <v>100</v>
      </c>
      <c r="AB24" s="166">
        <v>0</v>
      </c>
      <c r="AC24" s="193" t="str">
        <f>$L$5</f>
        <v>Spelling</v>
      </c>
      <c r="AD24" s="165">
        <v>1.5</v>
      </c>
      <c r="AE24" s="165">
        <v>5</v>
      </c>
      <c r="AF24" s="186">
        <v>100</v>
      </c>
      <c r="AG24" s="166">
        <v>0</v>
      </c>
      <c r="AH24" s="193" t="str">
        <f>$L$5</f>
        <v>Spelling</v>
      </c>
      <c r="AI24" s="165">
        <v>1</v>
      </c>
      <c r="AJ24" s="165">
        <v>5</v>
      </c>
      <c r="AK24" s="186">
        <v>100</v>
      </c>
      <c r="AL24" s="166">
        <v>0</v>
      </c>
      <c r="AM24" s="193" t="str">
        <f>$L$5</f>
        <v>Spelling</v>
      </c>
      <c r="AN24" s="165">
        <v>1</v>
      </c>
      <c r="AO24" s="165">
        <v>5</v>
      </c>
      <c r="AP24" s="186">
        <v>100</v>
      </c>
      <c r="AQ24" s="166">
        <v>0</v>
      </c>
      <c r="AS24" s="212" t="str">
        <f t="shared" si="4"/>
        <v>Other</v>
      </c>
      <c r="AT24" s="206">
        <f>SUMPRODUCT(('Evaluation details_input'!$F$4:$F$1000=$AS$18)*('Evaluation details_input'!$G$4:$G$1000=$AS24)*('Evaluation details_input'!$H$4:$H$1000=$AT$3))</f>
        <v>0</v>
      </c>
      <c r="AU24" s="171">
        <f t="shared" si="5"/>
        <v>0</v>
      </c>
      <c r="AV24" s="202">
        <f xml:space="preserve">
COUNTIFS('Evaluation details_input'!$P$3:$P$1000,$AS$18,'Evaluation details_input'!$Q$3:$Q$1000,$AS24,'Evaluation details_input'!$R$3:$R$1000,$AV$3)
+COUNTIFS('Evaluation details_input'!$F$3:$F$1000,$AS$18,'Evaluation details_input'!$G$3:$G$1000,$AS24,'Evaluation details_input'!$H$3:$H$1000,$AV$3,'Evaluation details_input'!$J$3:$J$1000,"Not accepted",'Evaluation details_input'!$N$3:$N$1000,"Disagree with original translator", 'Evaluation details_input'!$P$3:$P$1000,"")
+COUNTIFS('Evaluation details_input'!$F$3:$F$1000,$AS$18,'Evaluation details_input'!$G$3:$G$1000,$AS24,'Evaluation details_input'!$H$3:$H$1000,$AV$3,'Evaluation details_input'!$J$3:$J$1000,"Accepted", 'Evaluation details_input'!$P$3:$P$1000,"")
+COUNTIFS('Evaluation details_input'!$F$3:$F$1000,$AS$18,'Evaluation details_input'!$G$3:$G$1000,$AS24,'Evaluation details_input'!$H$3:$H$1000,$AV$3,'Evaluation details_input'!$J$3:$J$1000,"")</f>
        <v>0</v>
      </c>
      <c r="AW24" s="171">
        <f t="shared" si="6"/>
        <v>0</v>
      </c>
      <c r="AX24" s="202">
        <f>SUMPRODUCT(('Evaluation details_input'!$F$4:$F$1000=$AS$18)*('Evaluation details_input'!$G$4:$G$1000=$AS24)*('Evaluation details_input'!$H$4:$H$1000=$AX$3))</f>
        <v>0</v>
      </c>
      <c r="AY24" s="171">
        <f t="shared" si="7"/>
        <v>0</v>
      </c>
      <c r="AZ24" s="202">
        <f xml:space="preserve">
COUNTIFS('Evaluation details_input'!$P$3:$P$1000,$AS$18,'Evaluation details_input'!$Q$3:$Q$1000,$AS24,'Evaluation details_input'!$R$3:$R$1000,$AZ$3)
+COUNTIFS('Evaluation details_input'!$F$3:$F$1000,$AS$18,'Evaluation details_input'!$G$3:$G$1000,$AS24,'Evaluation details_input'!$H$3:$H$1000,$AZ$3,'Evaluation details_input'!$J$3:$J$1000,"Not accepted",'Evaluation details_input'!$N$3:$N$1000,"Disagree with original translator", 'Evaluation details_input'!$P$3:$P$1000,"")
+COUNTIFS('Evaluation details_input'!$F$3:$F$1000,$AS$18,'Evaluation details_input'!$G$3:$G$1000,$AS24,'Evaluation details_input'!$H$3:$H$1000,$AZ$3,'Evaluation details_input'!$J$3:$J$1000,"Accepted", 'Evaluation details_input'!$P$3:$P$1000,"")
+COUNTIFS('Evaluation details_input'!$F$3:$F$1000,$AS$18,'Evaluation details_input'!$G$3:$G$1000,$AS24,'Evaluation details_input'!$H$3:$H$1000,$AZ$3,'Evaluation details_input'!$J$3:$J$1000,"")</f>
        <v>0</v>
      </c>
      <c r="BA24" s="171">
        <f t="shared" si="8"/>
        <v>0</v>
      </c>
      <c r="BB24" s="202">
        <f xml:space="preserve">
COUNTIFS('Evaluation details_input'!$P$3:$P$1000,$AS$18,'Evaluation details_input'!$Q$3:$Q$1000,$AS24,'Evaluation details_input'!$R$3:$R$1000,$BB$3)
+COUNTIFS('Evaluation details_input'!$F$3:$F$1000,$AS$18,'Evaluation details_input'!$G$3:$G$1000,$AS24,'Evaluation details_input'!$H$3:$H$1000,$BB$3,'Evaluation details_input'!$J$3:$J$1000,"Not accepted",'Evaluation details_input'!$N$3:$N$1000,"Disagree with original translator", 'Evaluation details_input'!$P$3:$P$1000,"")
+COUNTIFS('Evaluation details_input'!$F$3:$F$1000,$AS$18,'Evaluation details_input'!$G$3:$G$1000,$AS24,'Evaluation details_input'!$H$3:$H$1000,$BB$3,'Evaluation details_input'!$J$3:$J$1000,"Accepted", 'Evaluation details_input'!$P$3:$P$1000,"")
+COUNTIFS('Evaluation details_input'!$F$3:$F$1000,$AS$18,'Evaluation details_input'!$G$3:$G$1000,$AS24,'Evaluation details_input'!$H$3:$H$1000,$BB$3,'Evaluation details_input'!$J$3:$J$1000,"")</f>
        <v>0</v>
      </c>
      <c r="BC24" s="202">
        <f xml:space="preserve">
COUNTIFS('Evaluation details_input'!$P$3:$P$1000,$AS$18,'Evaluation details_input'!$Q$3:$Q$1000,$AS24,'Evaluation details_input'!$R$3:$R$1000,$BC$3)
+COUNTIFS('Evaluation details_input'!$F$3:$F$1000,$AS$18,'Evaluation details_input'!$G$3:$G$1000,$AS24,'Evaluation details_input'!$H$3:$H$1000,$BC$3,'Evaluation details_input'!$J$3:$J$1000,"Not accepted",'Evaluation details_input'!$N$3:$N$1000,"Disagree with original translator", 'Evaluation details_input'!$P$3:$P$1000,"")
+COUNTIFS('Evaluation details_input'!$F$3:$F$1000,$AS$18,'Evaluation details_input'!$G$3:$G$1000,$AS24,'Evaluation details_input'!$H$3:$H$1000,$BC$3,'Evaluation details_input'!$J$3:$J$1000,"Accepted", 'Evaluation details_input'!$P$3:$P$1000,"")
+COUNTIFS('Evaluation details_input'!$F$3:$F$1000,$AS$18,'Evaluation details_input'!$G$3:$G$1000,$AS24,'Evaluation details_input'!$H$3:$H$1000,$BC$3,'Evaluation details_input'!$J$3:$J$1000,"")</f>
        <v>0</v>
      </c>
      <c r="BD24" s="202">
        <f xml:space="preserve">
COUNTIFS('Evaluation details_input'!$P$3:$P$1000,$AS$18,'Evaluation details_input'!$Q$3:$Q$1000,$AS24,'Evaluation details_input'!$R$3:$R$1000,$BD$3)
+COUNTIFS('Evaluation details_input'!$F$3:$F$1000,$AS$18,'Evaluation details_input'!$G$3:$G$1000,$AS24,'Evaluation details_input'!$H$3:$H$1000,$BD$3,'Evaluation details_input'!$J$3:$J$1000,"Not accepted",'Evaluation details_input'!$N$3:$N$1000,"Disagree with original translator", 'Evaluation details_input'!$P$3:$P$1000,"")
+COUNTIFS('Evaluation details_input'!$F$3:$F$1000,$AS$18,'Evaluation details_input'!$G$3:$G$1000,$AS24,'Evaluation details_input'!$H$3:$H$1000,$BD$3,'Evaluation details_input'!$J$3:$J$1000,"Accepted", 'Evaluation details_input'!$P$3:$P$1000,"")
+COUNTIFS('Evaluation details_input'!$F$3:$F$1000,$AS$18,'Evaluation details_input'!$G$3:$G$1000,$AS24,'Evaluation details_input'!$H$3:$H$1000,$BD$3,'Evaluation details_input'!$J$3:$J$1000,"")</f>
        <v>0</v>
      </c>
    </row>
    <row r="25" spans="2:57">
      <c r="B25" s="153" t="s">
        <v>538</v>
      </c>
      <c r="C25" s="160" t="s">
        <v>233</v>
      </c>
      <c r="S25" s="193" t="str">
        <f>$L$6</f>
        <v>Unintelligible</v>
      </c>
      <c r="T25" s="165">
        <v>1</v>
      </c>
      <c r="U25" s="165">
        <v>5</v>
      </c>
      <c r="V25" s="186">
        <v>100</v>
      </c>
      <c r="W25" s="166">
        <v>0</v>
      </c>
      <c r="X25" s="193" t="str">
        <f>$L$6</f>
        <v>Unintelligible</v>
      </c>
      <c r="Y25" s="165">
        <v>1</v>
      </c>
      <c r="Z25" s="165">
        <v>5</v>
      </c>
      <c r="AA25" s="186">
        <v>100</v>
      </c>
      <c r="AB25" s="166">
        <v>0</v>
      </c>
      <c r="AC25" s="193" t="str">
        <f>$L$6</f>
        <v>Unintelligible</v>
      </c>
      <c r="AD25" s="165">
        <v>1.5</v>
      </c>
      <c r="AE25" s="165">
        <v>5</v>
      </c>
      <c r="AF25" s="186">
        <v>100</v>
      </c>
      <c r="AG25" s="166">
        <v>0</v>
      </c>
      <c r="AH25" s="193" t="str">
        <f>$L$6</f>
        <v>Unintelligible</v>
      </c>
      <c r="AI25" s="165">
        <v>1</v>
      </c>
      <c r="AJ25" s="165">
        <v>5</v>
      </c>
      <c r="AK25" s="186">
        <v>100</v>
      </c>
      <c r="AL25" s="166">
        <v>0</v>
      </c>
      <c r="AM25" s="193" t="str">
        <f>$L$6</f>
        <v>Unintelligible</v>
      </c>
      <c r="AN25" s="165">
        <v>1</v>
      </c>
      <c r="AO25" s="165">
        <v>5</v>
      </c>
      <c r="AP25" s="186">
        <v>100</v>
      </c>
      <c r="AQ25" s="166">
        <v>0</v>
      </c>
      <c r="AS25" s="214" t="str">
        <f>M2</f>
        <v>Style</v>
      </c>
      <c r="AT25" s="207"/>
      <c r="AU25" s="173"/>
      <c r="AV25" s="173"/>
      <c r="AW25" s="173"/>
      <c r="AX25" s="203"/>
      <c r="AY25" s="173"/>
      <c r="AZ25" s="173"/>
      <c r="BA25" s="173"/>
      <c r="BB25" s="264"/>
      <c r="BC25" s="264"/>
      <c r="BD25" s="264"/>
    </row>
    <row r="26" spans="2:57" ht="22.5">
      <c r="B26" s="153" t="s">
        <v>539</v>
      </c>
      <c r="C26" s="160" t="s">
        <v>36</v>
      </c>
      <c r="S26" s="193" t="str">
        <f>$L$7</f>
        <v>Character encoding</v>
      </c>
      <c r="T26" s="165">
        <v>1</v>
      </c>
      <c r="U26" s="165">
        <v>5</v>
      </c>
      <c r="V26" s="186">
        <v>100</v>
      </c>
      <c r="W26" s="166">
        <v>0</v>
      </c>
      <c r="X26" s="193" t="str">
        <f>$L$7</f>
        <v>Character encoding</v>
      </c>
      <c r="Y26" s="165">
        <v>1</v>
      </c>
      <c r="Z26" s="165">
        <v>5</v>
      </c>
      <c r="AA26" s="186">
        <v>100</v>
      </c>
      <c r="AB26" s="166">
        <v>0</v>
      </c>
      <c r="AC26" s="193" t="str">
        <f>$L$7</f>
        <v>Character encoding</v>
      </c>
      <c r="AD26" s="165">
        <v>1.5</v>
      </c>
      <c r="AE26" s="165">
        <v>5</v>
      </c>
      <c r="AF26" s="186">
        <v>100</v>
      </c>
      <c r="AG26" s="166">
        <v>0</v>
      </c>
      <c r="AH26" s="193" t="str">
        <f>$L$7</f>
        <v>Character encoding</v>
      </c>
      <c r="AI26" s="165">
        <v>1</v>
      </c>
      <c r="AJ26" s="165">
        <v>5</v>
      </c>
      <c r="AK26" s="186">
        <v>100</v>
      </c>
      <c r="AL26" s="166">
        <v>0</v>
      </c>
      <c r="AM26" s="193" t="str">
        <f>$L$7</f>
        <v>Character encoding</v>
      </c>
      <c r="AN26" s="165">
        <v>1</v>
      </c>
      <c r="AO26" s="165">
        <v>5</v>
      </c>
      <c r="AP26" s="186">
        <v>100</v>
      </c>
      <c r="AQ26" s="166">
        <v>0</v>
      </c>
      <c r="AS26" s="210" t="str">
        <f t="shared" ref="AS26:AS33" si="9">$M3</f>
        <v>Organizational style</v>
      </c>
      <c r="AT26" s="206">
        <f>SUMPRODUCT(('Evaluation details_input'!$F$4:$F$1000=$AS$25)*('Evaluation details_input'!$G$4:$G$1000=$AS26)*('Evaluation details_input'!$H$4:$H$1000=$AT$3))</f>
        <v>0</v>
      </c>
      <c r="AU26" s="171">
        <f t="shared" ref="AU26:AU33" si="10" xml:space="preserve">
IF($AT$2=$X$3,$AT26*$Y29,
IF($AT$2=$AC$3,$AT26*$AD29,
$AT26*$T29))</f>
        <v>0</v>
      </c>
      <c r="AV26" s="202">
        <f xml:space="preserve">
COUNTIFS('Evaluation details_input'!$P$3:$P$1000,$AS$25,'Evaluation details_input'!$Q$3:$Q$1000,$AS26,'Evaluation details_input'!$R$3:$R$1000,$AV$3)
+COUNTIFS('Evaluation details_input'!$F$3:$F$1000,$AS$25,'Evaluation details_input'!$G$3:$G$1000,$AS26,'Evaluation details_input'!$H$3:$H$1000,$AV$3,'Evaluation details_input'!$J$3:$J$1000,"Not accepted",'Evaluation details_input'!$N$3:$N$1000,"Disagree with original translator", 'Evaluation details_input'!$P$3:$P$1000,"")
+COUNTIFS('Evaluation details_input'!$F$3:$F$1000,$AS$25,'Evaluation details_input'!$G$3:$G$1000,$AS26,'Evaluation details_input'!$H$3:$H$1000,$AV$3,'Evaluation details_input'!$J$3:$J$1000,"Accepted", 'Evaluation details_input'!$P$3:$P$1000,"")
+COUNTIFS('Evaluation details_input'!$F$3:$F$1000,$AS$25,'Evaluation details_input'!$G$3:$G$1000,$AS26,'Evaluation details_input'!$H$3:$H$1000,$AV$3,'Evaluation details_input'!$J$3:$J$1000,"")</f>
        <v>0</v>
      </c>
      <c r="AW26" s="171">
        <f t="shared" ref="AW26:AW33" si="11" xml:space="preserve">
IF($AT$2=$X$3,$AV26*$Y29,
IF($AT$2=$AC$3,$AV26*$AD29,
$AV26*$T29))</f>
        <v>0</v>
      </c>
      <c r="AX26" s="202">
        <f>SUMPRODUCT(('Evaluation details_input'!$F$4:$F$1000=$AS$25)*('Evaluation details_input'!$G$4:$G$1000=$AS26)*('Evaluation details_input'!$H$4:$H$1000=$AX$3))</f>
        <v>0</v>
      </c>
      <c r="AY26" s="171">
        <f t="shared" ref="AY26:AY33" si="12" xml:space="preserve">
IF($AT$2=$X$3,$AX26*$Z29,
IF($AT$2=$AC$3,$AX26*$AE29,
$AX26*$U29))</f>
        <v>0</v>
      </c>
      <c r="AZ26" s="202">
        <f xml:space="preserve">
COUNTIFS('Evaluation details_input'!$P$3:$P$1000,$AS$25,'Evaluation details_input'!$Q$3:$Q$1000,$AS26,'Evaluation details_input'!$R$3:$R$1000,$AZ$3)
+COUNTIFS('Evaluation details_input'!$F$3:$F$1000,$AS$25,'Evaluation details_input'!$G$3:$G$1000,$AS26,'Evaluation details_input'!$H$3:$H$1000,$AZ$3,'Evaluation details_input'!$J$3:$J$1000,"Not accepted",'Evaluation details_input'!$N$3:$N$1000,"Disagree with original translator", 'Evaluation details_input'!$P$3:$P$1000,"")
+COUNTIFS('Evaluation details_input'!$F$3:$F$1000,$AS$25,'Evaluation details_input'!$G$3:$G$1000,$AS26,'Evaluation details_input'!$H$3:$H$1000,$AZ$3,'Evaluation details_input'!$J$3:$J$1000,"Accepted", 'Evaluation details_input'!$P$3:$P$1000,"")
+COUNTIFS('Evaluation details_input'!$F$3:$F$1000,$AS$25,'Evaluation details_input'!$G$3:$G$1000,$AS26,'Evaluation details_input'!$H$3:$H$1000,$AZ$3,'Evaluation details_input'!$J$3:$J$1000,"")</f>
        <v>0</v>
      </c>
      <c r="BA26" s="171">
        <f t="shared" ref="BA26:BA33" si="13" xml:space="preserve">
IF($AT$2=$X$3,$AZ26*$Z29,
IF($AT$2=$AC$3,$AZ26*$AE29,
$AZ26*$U29))</f>
        <v>0</v>
      </c>
      <c r="BB26" s="202">
        <f xml:space="preserve">
COUNTIFS('Evaluation details_input'!$P$3:$P$1000,$AS$25,'Evaluation details_input'!$Q$3:$Q$1000,$AS26,'Evaluation details_input'!$R$3:$R$1000,$BB$3)
+COUNTIFS('Evaluation details_input'!$F$3:$F$1000,$AS$25,'Evaluation details_input'!$G$3:$G$1000,$AS26,'Evaluation details_input'!$H$3:$H$1000,$BB$3,'Evaluation details_input'!$J$3:$J$1000,"Not accepted",'Evaluation details_input'!$N$3:$N$1000,"Disagree with original translator", 'Evaluation details_input'!$P$3:$P$1000,"")
+COUNTIFS('Evaluation details_input'!$F$3:$F$1000,$AS$25,'Evaluation details_input'!$G$3:$G$1000,$AS26,'Evaluation details_input'!$H$3:$H$1000,$BB$3,'Evaluation details_input'!$J$3:$J$1000,"Accepted", 'Evaluation details_input'!$P$3:$P$1000,"")
+COUNTIFS('Evaluation details_input'!$F$3:$F$1000,$AS$25,'Evaluation details_input'!$G$3:$G$1000,$AS26,'Evaluation details_input'!$H$3:$H$1000,$BB$3,'Evaluation details_input'!$J$3:$J$1000,"")</f>
        <v>0</v>
      </c>
      <c r="BC26" s="202">
        <f xml:space="preserve">
COUNTIFS('Evaluation details_input'!$P$3:$P$1000,$AS$25,'Evaluation details_input'!$Q$3:$Q$1000,$AS26,'Evaluation details_input'!$R$3:$R$1000,$BC$3)
+COUNTIFS('Evaluation details_input'!$F$3:$F$1000,$AS$25,'Evaluation details_input'!$G$3:$G$1000,$AS26,'Evaluation details_input'!$H$3:$H$1000,$BC$3,'Evaluation details_input'!$J$3:$J$1000,"Not accepted",'Evaluation details_input'!$N$3:$N$1000,"Disagree with original translator", 'Evaluation details_input'!$P$3:$P$1000,"")
+COUNTIFS('Evaluation details_input'!$F$3:$F$1000,$AS$25,'Evaluation details_input'!$G$3:$G$1000,$AS26,'Evaluation details_input'!$H$3:$H$1000,$BC$3,'Evaluation details_input'!$J$3:$J$1000,"Accepted", 'Evaluation details_input'!$P$3:$P$1000,"")
+COUNTIFS('Evaluation details_input'!$F$3:$F$1000,$AS$25,'Evaluation details_input'!$G$3:$G$1000,$AS26,'Evaluation details_input'!$H$3:$H$1000,$BC$3,'Evaluation details_input'!$J$3:$J$1000,"")</f>
        <v>0</v>
      </c>
      <c r="BD26" s="202">
        <f xml:space="preserve">
COUNTIFS('Evaluation details_input'!$P$3:$P$1000,$AS$25,'Evaluation details_input'!$Q$3:$Q$1000,$AS26,'Evaluation details_input'!$R$3:$R$1000,$BD$3)
+COUNTIFS('Evaluation details_input'!$F$3:$F$1000,$AS$25,'Evaluation details_input'!$G$3:$G$1000,$AS26,'Evaluation details_input'!$H$3:$H$1000,$BD$3,'Evaluation details_input'!$J$3:$J$1000,"Not accepted",'Evaluation details_input'!$N$3:$N$1000,"Disagree with original translator", 'Evaluation details_input'!$P$3:$P$1000,"")
+COUNTIFS('Evaluation details_input'!$F$3:$F$1000,$AS$25,'Evaluation details_input'!$G$3:$G$1000,$AS26,'Evaluation details_input'!$H$3:$H$1000,$BD$3,'Evaluation details_input'!$J$3:$J$1000,"Accepted", 'Evaluation details_input'!$P$3:$P$1000,"")
+COUNTIFS('Evaluation details_input'!$F$3:$F$1000,$AS$25,'Evaluation details_input'!$G$3:$G$1000,$AS26,'Evaluation details_input'!$H$3:$H$1000,$BD$3,'Evaluation details_input'!$J$3:$J$1000,"")</f>
        <v>0</v>
      </c>
    </row>
    <row r="27" spans="2:57" ht="22.5">
      <c r="B27" s="153" t="s">
        <v>540</v>
      </c>
      <c r="C27" s="160" t="s">
        <v>37</v>
      </c>
      <c r="S27" s="193" t="str">
        <f>$L$8</f>
        <v>Other</v>
      </c>
      <c r="T27" s="165">
        <v>1</v>
      </c>
      <c r="U27" s="165">
        <v>5</v>
      </c>
      <c r="V27" s="186">
        <v>100</v>
      </c>
      <c r="W27" s="166">
        <v>0</v>
      </c>
      <c r="X27" s="193" t="str">
        <f>$L$8</f>
        <v>Other</v>
      </c>
      <c r="Y27" s="165">
        <v>1</v>
      </c>
      <c r="Z27" s="165">
        <v>5</v>
      </c>
      <c r="AA27" s="186">
        <v>100</v>
      </c>
      <c r="AB27" s="166">
        <v>0</v>
      </c>
      <c r="AC27" s="193" t="str">
        <f>$L$8</f>
        <v>Other</v>
      </c>
      <c r="AD27" s="165">
        <v>1.5</v>
      </c>
      <c r="AE27" s="165">
        <v>5</v>
      </c>
      <c r="AF27" s="186">
        <v>100</v>
      </c>
      <c r="AG27" s="166">
        <v>0</v>
      </c>
      <c r="AH27" s="193" t="str">
        <f>$L$8</f>
        <v>Other</v>
      </c>
      <c r="AI27" s="165">
        <v>1</v>
      </c>
      <c r="AJ27" s="165">
        <v>5</v>
      </c>
      <c r="AK27" s="186">
        <v>100</v>
      </c>
      <c r="AL27" s="166">
        <v>0</v>
      </c>
      <c r="AM27" s="193" t="str">
        <f>$L$8</f>
        <v>Other</v>
      </c>
      <c r="AN27" s="165">
        <v>1</v>
      </c>
      <c r="AO27" s="165">
        <v>5</v>
      </c>
      <c r="AP27" s="186">
        <v>100</v>
      </c>
      <c r="AQ27" s="166">
        <v>0</v>
      </c>
      <c r="AS27" s="210" t="str">
        <f t="shared" si="9"/>
        <v>Third-party style</v>
      </c>
      <c r="AT27" s="206">
        <f>SUMPRODUCT(('Evaluation details_input'!$F$4:$F$1000=$AS$25)*('Evaluation details_input'!$G$4:$G$1000=$AS27)*('Evaluation details_input'!$H$4:$H$1000=$AT$3))</f>
        <v>0</v>
      </c>
      <c r="AU27" s="171">
        <f t="shared" si="10"/>
        <v>0</v>
      </c>
      <c r="AV27" s="202">
        <f xml:space="preserve">
COUNTIFS('Evaluation details_input'!$P$3:$P$1000,$AS$25,'Evaluation details_input'!$Q$3:$Q$1000,$AS27,'Evaluation details_input'!$R$3:$R$1000,$AV$3)
+COUNTIFS('Evaluation details_input'!$F$3:$F$1000,$AS$25,'Evaluation details_input'!$G$3:$G$1000,$AS27,'Evaluation details_input'!$H$3:$H$1000,$AV$3,'Evaluation details_input'!$J$3:$J$1000,"Not accepted",'Evaluation details_input'!$N$3:$N$1000,"Disagree with original translator", 'Evaluation details_input'!$P$3:$P$1000,"")
+COUNTIFS('Evaluation details_input'!$F$3:$F$1000,$AS$25,'Evaluation details_input'!$G$3:$G$1000,$AS27,'Evaluation details_input'!$H$3:$H$1000,$AV$3,'Evaluation details_input'!$J$3:$J$1000,"Accepted", 'Evaluation details_input'!$P$3:$P$1000,"")
+COUNTIFS('Evaluation details_input'!$F$3:$F$1000,$AS$25,'Evaluation details_input'!$G$3:$G$1000,$AS27,'Evaluation details_input'!$H$3:$H$1000,$AV$3,'Evaluation details_input'!$J$3:$J$1000,"")</f>
        <v>0</v>
      </c>
      <c r="AW27" s="171">
        <f t="shared" si="11"/>
        <v>0</v>
      </c>
      <c r="AX27" s="202">
        <f>SUMPRODUCT(('Evaluation details_input'!$F$4:$F$1000=$AS$25)*('Evaluation details_input'!$G$4:$G$1000=$AS27)*('Evaluation details_input'!$H$4:$H$1000=$AX$3))</f>
        <v>0</v>
      </c>
      <c r="AY27" s="171">
        <f t="shared" si="12"/>
        <v>0</v>
      </c>
      <c r="AZ27" s="202">
        <f xml:space="preserve">
COUNTIFS('Evaluation details_input'!$P$3:$P$1000,$AS$25,'Evaluation details_input'!$Q$3:$Q$1000,$AS27,'Evaluation details_input'!$R$3:$R$1000,$AZ$3)
+COUNTIFS('Evaluation details_input'!$F$3:$F$1000,$AS$25,'Evaluation details_input'!$G$3:$G$1000,$AS27,'Evaluation details_input'!$H$3:$H$1000,$AZ$3,'Evaluation details_input'!$J$3:$J$1000,"Not accepted",'Evaluation details_input'!$N$3:$N$1000,"Disagree with original translator", 'Evaluation details_input'!$P$3:$P$1000,"")
+COUNTIFS('Evaluation details_input'!$F$3:$F$1000,$AS$25,'Evaluation details_input'!$G$3:$G$1000,$AS27,'Evaluation details_input'!$H$3:$H$1000,$AZ$3,'Evaluation details_input'!$J$3:$J$1000,"Accepted", 'Evaluation details_input'!$P$3:$P$1000,"")
+COUNTIFS('Evaluation details_input'!$F$3:$F$1000,$AS$25,'Evaluation details_input'!$G$3:$G$1000,$AS27,'Evaluation details_input'!$H$3:$H$1000,$AZ$3,'Evaluation details_input'!$J$3:$J$1000,"")</f>
        <v>0</v>
      </c>
      <c r="BA27" s="171">
        <f t="shared" si="13"/>
        <v>0</v>
      </c>
      <c r="BB27" s="202">
        <f xml:space="preserve">
COUNTIFS('Evaluation details_input'!$P$3:$P$1000,$AS$25,'Evaluation details_input'!$Q$3:$Q$1000,$AS27,'Evaluation details_input'!$R$3:$R$1000,$BB$3)
+COUNTIFS('Evaluation details_input'!$F$3:$F$1000,$AS$25,'Evaluation details_input'!$G$3:$G$1000,$AS27,'Evaluation details_input'!$H$3:$H$1000,$BB$3,'Evaluation details_input'!$J$3:$J$1000,"Not accepted",'Evaluation details_input'!$N$3:$N$1000,"Disagree with original translator", 'Evaluation details_input'!$P$3:$P$1000,"")
+COUNTIFS('Evaluation details_input'!$F$3:$F$1000,$AS$25,'Evaluation details_input'!$G$3:$G$1000,$AS27,'Evaluation details_input'!$H$3:$H$1000,$BB$3,'Evaluation details_input'!$J$3:$J$1000,"Accepted", 'Evaluation details_input'!$P$3:$P$1000,"")
+COUNTIFS('Evaluation details_input'!$F$3:$F$1000,$AS$25,'Evaluation details_input'!$G$3:$G$1000,$AS27,'Evaluation details_input'!$H$3:$H$1000,$BB$3,'Evaluation details_input'!$J$3:$J$1000,"")</f>
        <v>0</v>
      </c>
      <c r="BC27" s="202">
        <f xml:space="preserve">
COUNTIFS('Evaluation details_input'!$P$3:$P$1000,$AS$25,'Evaluation details_input'!$Q$3:$Q$1000,$AS27,'Evaluation details_input'!$R$3:$R$1000,$BC$3)
+COUNTIFS('Evaluation details_input'!$F$3:$F$1000,$AS$25,'Evaluation details_input'!$G$3:$G$1000,$AS27,'Evaluation details_input'!$H$3:$H$1000,$BC$3,'Evaluation details_input'!$J$3:$J$1000,"Not accepted",'Evaluation details_input'!$N$3:$N$1000,"Disagree with original translator", 'Evaluation details_input'!$P$3:$P$1000,"")
+COUNTIFS('Evaluation details_input'!$F$3:$F$1000,$AS$25,'Evaluation details_input'!$G$3:$G$1000,$AS27,'Evaluation details_input'!$H$3:$H$1000,$BC$3,'Evaluation details_input'!$J$3:$J$1000,"Accepted", 'Evaluation details_input'!$P$3:$P$1000,"")
+COUNTIFS('Evaluation details_input'!$F$3:$F$1000,$AS$25,'Evaluation details_input'!$G$3:$G$1000,$AS27,'Evaluation details_input'!$H$3:$H$1000,$BC$3,'Evaluation details_input'!$J$3:$J$1000,"")</f>
        <v>0</v>
      </c>
      <c r="BD27" s="202">
        <f xml:space="preserve">
COUNTIFS('Evaluation details_input'!$P$3:$P$1000,$AS$25,'Evaluation details_input'!$Q$3:$Q$1000,$AS27,'Evaluation details_input'!$R$3:$R$1000,$BD$3)
+COUNTIFS('Evaluation details_input'!$F$3:$F$1000,$AS$25,'Evaluation details_input'!$G$3:$G$1000,$AS27,'Evaluation details_input'!$H$3:$H$1000,$BD$3,'Evaluation details_input'!$J$3:$J$1000,"Not accepted",'Evaluation details_input'!$N$3:$N$1000,"Disagree with original translator", 'Evaluation details_input'!$P$3:$P$1000,"")
+COUNTIFS('Evaluation details_input'!$F$3:$F$1000,$AS$25,'Evaluation details_input'!$G$3:$G$1000,$AS27,'Evaluation details_input'!$H$3:$H$1000,$BD$3,'Evaluation details_input'!$J$3:$J$1000,"Accepted", 'Evaluation details_input'!$P$3:$P$1000,"")
+COUNTIFS('Evaluation details_input'!$F$3:$F$1000,$AS$25,'Evaluation details_input'!$G$3:$G$1000,$AS27,'Evaluation details_input'!$H$3:$H$1000,$BD$3,'Evaluation details_input'!$J$3:$J$1000,"")</f>
        <v>0</v>
      </c>
    </row>
    <row r="28" spans="2:57" ht="33.75">
      <c r="B28" s="153" t="s">
        <v>541</v>
      </c>
      <c r="C28" s="160" t="s">
        <v>38</v>
      </c>
      <c r="S28" s="194" t="str">
        <f>$M$2</f>
        <v>Style</v>
      </c>
      <c r="T28" s="177"/>
      <c r="U28" s="177"/>
      <c r="V28" s="187"/>
      <c r="W28" s="178"/>
      <c r="X28" s="194" t="str">
        <f>$M$2</f>
        <v>Style</v>
      </c>
      <c r="Y28" s="177"/>
      <c r="Z28" s="177"/>
      <c r="AA28" s="187"/>
      <c r="AB28" s="178"/>
      <c r="AC28" s="194" t="str">
        <f>$M$2</f>
        <v>Style</v>
      </c>
      <c r="AD28" s="177"/>
      <c r="AE28" s="177"/>
      <c r="AF28" s="187"/>
      <c r="AG28" s="178"/>
      <c r="AH28" s="194" t="str">
        <f>$M$2</f>
        <v>Style</v>
      </c>
      <c r="AI28" s="177"/>
      <c r="AJ28" s="177"/>
      <c r="AK28" s="187"/>
      <c r="AL28" s="178"/>
      <c r="AM28" s="194" t="str">
        <f>$M$2</f>
        <v>Style</v>
      </c>
      <c r="AN28" s="177"/>
      <c r="AO28" s="177"/>
      <c r="AP28" s="187"/>
      <c r="AQ28" s="178"/>
      <c r="AS28" s="210" t="str">
        <f t="shared" si="9"/>
        <v>Inconsistent with external reference</v>
      </c>
      <c r="AT28" s="206">
        <f>SUMPRODUCT(('Evaluation details_input'!$F$4:$F$1000=$AS$25)*('Evaluation details_input'!$G$4:$G$1000=$AS28)*('Evaluation details_input'!$H$4:$H$1000=$AT$3))</f>
        <v>0</v>
      </c>
      <c r="AU28" s="171">
        <f t="shared" si="10"/>
        <v>0</v>
      </c>
      <c r="AV28" s="202">
        <f xml:space="preserve">
COUNTIFS('Evaluation details_input'!$P$3:$P$1000,$AS$25,'Evaluation details_input'!$Q$3:$Q$1000,$AS28,'Evaluation details_input'!$R$3:$R$1000,$AV$3)
+COUNTIFS('Evaluation details_input'!$F$3:$F$1000,$AS$25,'Evaluation details_input'!$G$3:$G$1000,$AS28,'Evaluation details_input'!$H$3:$H$1000,$AV$3,'Evaluation details_input'!$J$3:$J$1000,"Not accepted",'Evaluation details_input'!$N$3:$N$1000,"Disagree with original translator", 'Evaluation details_input'!$P$3:$P$1000,"")
+COUNTIFS('Evaluation details_input'!$F$3:$F$1000,$AS$25,'Evaluation details_input'!$G$3:$G$1000,$AS28,'Evaluation details_input'!$H$3:$H$1000,$AV$3,'Evaluation details_input'!$J$3:$J$1000,"Accepted", 'Evaluation details_input'!$P$3:$P$1000,"")
+COUNTIFS('Evaluation details_input'!$F$3:$F$1000,$AS$25,'Evaluation details_input'!$G$3:$G$1000,$AS28,'Evaluation details_input'!$H$3:$H$1000,$AV$3,'Evaluation details_input'!$J$3:$J$1000,"")</f>
        <v>0</v>
      </c>
      <c r="AW28" s="171">
        <f t="shared" si="11"/>
        <v>0</v>
      </c>
      <c r="AX28" s="202">
        <f>SUMPRODUCT(('Evaluation details_input'!$F$4:$F$1000=$AS$25)*('Evaluation details_input'!$G$4:$G$1000=$AS28)*('Evaluation details_input'!$H$4:$H$1000=$AX$3))</f>
        <v>0</v>
      </c>
      <c r="AY28" s="171">
        <f t="shared" si="12"/>
        <v>0</v>
      </c>
      <c r="AZ28" s="202">
        <f xml:space="preserve">
COUNTIFS('Evaluation details_input'!$P$3:$P$1000,$AS$25,'Evaluation details_input'!$Q$3:$Q$1000,$AS28,'Evaluation details_input'!$R$3:$R$1000,$AZ$3)
+COUNTIFS('Evaluation details_input'!$F$3:$F$1000,$AS$25,'Evaluation details_input'!$G$3:$G$1000,$AS28,'Evaluation details_input'!$H$3:$H$1000,$AZ$3,'Evaluation details_input'!$J$3:$J$1000,"Not accepted",'Evaluation details_input'!$N$3:$N$1000,"Disagree with original translator", 'Evaluation details_input'!$P$3:$P$1000,"")
+COUNTIFS('Evaluation details_input'!$F$3:$F$1000,$AS$25,'Evaluation details_input'!$G$3:$G$1000,$AS28,'Evaluation details_input'!$H$3:$H$1000,$AZ$3,'Evaluation details_input'!$J$3:$J$1000,"Accepted", 'Evaluation details_input'!$P$3:$P$1000,"")
+COUNTIFS('Evaluation details_input'!$F$3:$F$1000,$AS$25,'Evaluation details_input'!$G$3:$G$1000,$AS28,'Evaluation details_input'!$H$3:$H$1000,$AZ$3,'Evaluation details_input'!$J$3:$J$1000,"")</f>
        <v>0</v>
      </c>
      <c r="BA28" s="171">
        <f t="shared" si="13"/>
        <v>0</v>
      </c>
      <c r="BB28" s="202">
        <f xml:space="preserve">
COUNTIFS('Evaluation details_input'!$P$3:$P$1000,$AS$25,'Evaluation details_input'!$Q$3:$Q$1000,$AS28,'Evaluation details_input'!$R$3:$R$1000,$BB$3)
+COUNTIFS('Evaluation details_input'!$F$3:$F$1000,$AS$25,'Evaluation details_input'!$G$3:$G$1000,$AS28,'Evaluation details_input'!$H$3:$H$1000,$BB$3,'Evaluation details_input'!$J$3:$J$1000,"Not accepted",'Evaluation details_input'!$N$3:$N$1000,"Disagree with original translator", 'Evaluation details_input'!$P$3:$P$1000,"")
+COUNTIFS('Evaluation details_input'!$F$3:$F$1000,$AS$25,'Evaluation details_input'!$G$3:$G$1000,$AS28,'Evaluation details_input'!$H$3:$H$1000,$BB$3,'Evaluation details_input'!$J$3:$J$1000,"Accepted", 'Evaluation details_input'!$P$3:$P$1000,"")
+COUNTIFS('Evaluation details_input'!$F$3:$F$1000,$AS$25,'Evaluation details_input'!$G$3:$G$1000,$AS28,'Evaluation details_input'!$H$3:$H$1000,$BB$3,'Evaluation details_input'!$J$3:$J$1000,"")</f>
        <v>0</v>
      </c>
      <c r="BC28" s="202">
        <f xml:space="preserve">
COUNTIFS('Evaluation details_input'!$P$3:$P$1000,$AS$25,'Evaluation details_input'!$Q$3:$Q$1000,$AS28,'Evaluation details_input'!$R$3:$R$1000,$BC$3)
+COUNTIFS('Evaluation details_input'!$F$3:$F$1000,$AS$25,'Evaluation details_input'!$G$3:$G$1000,$AS28,'Evaluation details_input'!$H$3:$H$1000,$BC$3,'Evaluation details_input'!$J$3:$J$1000,"Not accepted",'Evaluation details_input'!$N$3:$N$1000,"Disagree with original translator", 'Evaluation details_input'!$P$3:$P$1000,"")
+COUNTIFS('Evaluation details_input'!$F$3:$F$1000,$AS$25,'Evaluation details_input'!$G$3:$G$1000,$AS28,'Evaluation details_input'!$H$3:$H$1000,$BC$3,'Evaluation details_input'!$J$3:$J$1000,"Accepted", 'Evaluation details_input'!$P$3:$P$1000,"")
+COUNTIFS('Evaluation details_input'!$F$3:$F$1000,$AS$25,'Evaluation details_input'!$G$3:$G$1000,$AS28,'Evaluation details_input'!$H$3:$H$1000,$BC$3,'Evaluation details_input'!$J$3:$J$1000,"")</f>
        <v>0</v>
      </c>
      <c r="BD28" s="202">
        <f xml:space="preserve">
COUNTIFS('Evaluation details_input'!$P$3:$P$1000,$AS$25,'Evaluation details_input'!$Q$3:$Q$1000,$AS28,'Evaluation details_input'!$R$3:$R$1000,$BD$3)
+COUNTIFS('Evaluation details_input'!$F$3:$F$1000,$AS$25,'Evaluation details_input'!$G$3:$G$1000,$AS28,'Evaluation details_input'!$H$3:$H$1000,$BD$3,'Evaluation details_input'!$J$3:$J$1000,"Not accepted",'Evaluation details_input'!$N$3:$N$1000,"Disagree with original translator", 'Evaluation details_input'!$P$3:$P$1000,"")
+COUNTIFS('Evaluation details_input'!$F$3:$F$1000,$AS$25,'Evaluation details_input'!$G$3:$G$1000,$AS28,'Evaluation details_input'!$H$3:$H$1000,$BD$3,'Evaluation details_input'!$J$3:$J$1000,"Accepted", 'Evaluation details_input'!$P$3:$P$1000,"")
+COUNTIFS('Evaluation details_input'!$F$3:$F$1000,$AS$25,'Evaluation details_input'!$G$3:$G$1000,$AS28,'Evaluation details_input'!$H$3:$H$1000,$BD$3,'Evaluation details_input'!$J$3:$J$1000,"")</f>
        <v>0</v>
      </c>
    </row>
    <row r="29" spans="2:57" ht="12.75" customHeight="1">
      <c r="B29" s="153" t="s">
        <v>542</v>
      </c>
      <c r="C29" s="160" t="s">
        <v>99</v>
      </c>
      <c r="S29" s="193" t="str">
        <f>$M$3</f>
        <v>Organizational style</v>
      </c>
      <c r="T29" s="165">
        <v>1</v>
      </c>
      <c r="U29" s="165">
        <v>5</v>
      </c>
      <c r="V29" s="186">
        <v>100</v>
      </c>
      <c r="W29" s="166">
        <v>0</v>
      </c>
      <c r="X29" s="193" t="str">
        <f>$M$3</f>
        <v>Organizational style</v>
      </c>
      <c r="Y29" s="165">
        <v>1</v>
      </c>
      <c r="Z29" s="165">
        <v>5</v>
      </c>
      <c r="AA29" s="186">
        <v>100</v>
      </c>
      <c r="AB29" s="166">
        <v>0</v>
      </c>
      <c r="AC29" s="193" t="str">
        <f>$M$3</f>
        <v>Organizational style</v>
      </c>
      <c r="AD29" s="165">
        <v>1.5</v>
      </c>
      <c r="AE29" s="165">
        <v>5</v>
      </c>
      <c r="AF29" s="186">
        <v>100</v>
      </c>
      <c r="AG29" s="166">
        <v>0</v>
      </c>
      <c r="AH29" s="193" t="str">
        <f>$M$3</f>
        <v>Organizational style</v>
      </c>
      <c r="AI29" s="165">
        <v>1</v>
      </c>
      <c r="AJ29" s="165">
        <v>5</v>
      </c>
      <c r="AK29" s="186">
        <v>100</v>
      </c>
      <c r="AL29" s="166">
        <v>0</v>
      </c>
      <c r="AM29" s="193" t="str">
        <f>$M$3</f>
        <v>Organizational style</v>
      </c>
      <c r="AN29" s="165" t="s">
        <v>227</v>
      </c>
      <c r="AO29" s="165" t="s">
        <v>227</v>
      </c>
      <c r="AP29" s="186" t="s">
        <v>227</v>
      </c>
      <c r="AQ29" s="166">
        <v>0</v>
      </c>
      <c r="AS29" s="210" t="str">
        <f t="shared" si="9"/>
        <v>Register</v>
      </c>
      <c r="AT29" s="206">
        <f>SUMPRODUCT(('Evaluation details_input'!$F$4:$F$1000=$AS$25)*('Evaluation details_input'!$G$4:$G$1000=$AS29)*('Evaluation details_input'!$H$4:$H$1000=$AT$3))</f>
        <v>0</v>
      </c>
      <c r="AU29" s="171">
        <f t="shared" si="10"/>
        <v>0</v>
      </c>
      <c r="AV29" s="202">
        <f xml:space="preserve">
COUNTIFS('Evaluation details_input'!$P$3:$P$1000,$AS$25,'Evaluation details_input'!$Q$3:$Q$1000,$AS29,'Evaluation details_input'!$R$3:$R$1000,$AV$3)
+COUNTIFS('Evaluation details_input'!$F$3:$F$1000,$AS$25,'Evaluation details_input'!$G$3:$G$1000,$AS29,'Evaluation details_input'!$H$3:$H$1000,$AV$3,'Evaluation details_input'!$J$3:$J$1000,"Not accepted",'Evaluation details_input'!$N$3:$N$1000,"Disagree with original translator", 'Evaluation details_input'!$P$3:$P$1000,"")
+COUNTIFS('Evaluation details_input'!$F$3:$F$1000,$AS$25,'Evaluation details_input'!$G$3:$G$1000,$AS29,'Evaluation details_input'!$H$3:$H$1000,$AV$3,'Evaluation details_input'!$J$3:$J$1000,"Accepted", 'Evaluation details_input'!$P$3:$P$1000,"")
+COUNTIFS('Evaluation details_input'!$F$3:$F$1000,$AS$25,'Evaluation details_input'!$G$3:$G$1000,$AS29,'Evaluation details_input'!$H$3:$H$1000,$AV$3,'Evaluation details_input'!$J$3:$J$1000,"")</f>
        <v>0</v>
      </c>
      <c r="AW29" s="171">
        <f t="shared" si="11"/>
        <v>0</v>
      </c>
      <c r="AX29" s="202">
        <f>SUMPRODUCT(('Evaluation details_input'!$F$4:$F$1000=$AS$25)*('Evaluation details_input'!$G$4:$G$1000=$AS29)*('Evaluation details_input'!$H$4:$H$1000=$AX$3))</f>
        <v>0</v>
      </c>
      <c r="AY29" s="171">
        <f t="shared" si="12"/>
        <v>0</v>
      </c>
      <c r="AZ29" s="202">
        <f xml:space="preserve">
COUNTIFS('Evaluation details_input'!$P$3:$P$1000,$AS$25,'Evaluation details_input'!$Q$3:$Q$1000,$AS29,'Evaluation details_input'!$R$3:$R$1000,$AZ$3)
+COUNTIFS('Evaluation details_input'!$F$3:$F$1000,$AS$25,'Evaluation details_input'!$G$3:$G$1000,$AS29,'Evaluation details_input'!$H$3:$H$1000,$AZ$3,'Evaluation details_input'!$J$3:$J$1000,"Not accepted",'Evaluation details_input'!$N$3:$N$1000,"Disagree with original translator", 'Evaluation details_input'!$P$3:$P$1000,"")
+COUNTIFS('Evaluation details_input'!$F$3:$F$1000,$AS$25,'Evaluation details_input'!$G$3:$G$1000,$AS29,'Evaluation details_input'!$H$3:$H$1000,$AZ$3,'Evaluation details_input'!$J$3:$J$1000,"Accepted", 'Evaluation details_input'!$P$3:$P$1000,"")
+COUNTIFS('Evaluation details_input'!$F$3:$F$1000,$AS$25,'Evaluation details_input'!$G$3:$G$1000,$AS29,'Evaluation details_input'!$H$3:$H$1000,$AZ$3,'Evaluation details_input'!$J$3:$J$1000,"")</f>
        <v>0</v>
      </c>
      <c r="BA29" s="171">
        <f t="shared" si="13"/>
        <v>0</v>
      </c>
      <c r="BB29" s="202">
        <f xml:space="preserve">
COUNTIFS('Evaluation details_input'!$P$3:$P$1000,$AS$25,'Evaluation details_input'!$Q$3:$Q$1000,$AS29,'Evaluation details_input'!$R$3:$R$1000,$BB$3)
+COUNTIFS('Evaluation details_input'!$F$3:$F$1000,$AS$25,'Evaluation details_input'!$G$3:$G$1000,$AS29,'Evaluation details_input'!$H$3:$H$1000,$BB$3,'Evaluation details_input'!$J$3:$J$1000,"Not accepted",'Evaluation details_input'!$N$3:$N$1000,"Disagree with original translator", 'Evaluation details_input'!$P$3:$P$1000,"")
+COUNTIFS('Evaluation details_input'!$F$3:$F$1000,$AS$25,'Evaluation details_input'!$G$3:$G$1000,$AS29,'Evaluation details_input'!$H$3:$H$1000,$BB$3,'Evaluation details_input'!$J$3:$J$1000,"Accepted", 'Evaluation details_input'!$P$3:$P$1000,"")
+COUNTIFS('Evaluation details_input'!$F$3:$F$1000,$AS$25,'Evaluation details_input'!$G$3:$G$1000,$AS29,'Evaluation details_input'!$H$3:$H$1000,$BB$3,'Evaluation details_input'!$J$3:$J$1000,"")</f>
        <v>0</v>
      </c>
      <c r="BC29" s="202">
        <f xml:space="preserve">
COUNTIFS('Evaluation details_input'!$P$3:$P$1000,$AS$25,'Evaluation details_input'!$Q$3:$Q$1000,$AS29,'Evaluation details_input'!$R$3:$R$1000,$BC$3)
+COUNTIFS('Evaluation details_input'!$F$3:$F$1000,$AS$25,'Evaluation details_input'!$G$3:$G$1000,$AS29,'Evaluation details_input'!$H$3:$H$1000,$BC$3,'Evaluation details_input'!$J$3:$J$1000,"Not accepted",'Evaluation details_input'!$N$3:$N$1000,"Disagree with original translator", 'Evaluation details_input'!$P$3:$P$1000,"")
+COUNTIFS('Evaluation details_input'!$F$3:$F$1000,$AS$25,'Evaluation details_input'!$G$3:$G$1000,$AS29,'Evaluation details_input'!$H$3:$H$1000,$BC$3,'Evaluation details_input'!$J$3:$J$1000,"Accepted", 'Evaluation details_input'!$P$3:$P$1000,"")
+COUNTIFS('Evaluation details_input'!$F$3:$F$1000,$AS$25,'Evaluation details_input'!$G$3:$G$1000,$AS29,'Evaluation details_input'!$H$3:$H$1000,$BC$3,'Evaluation details_input'!$J$3:$J$1000,"")</f>
        <v>0</v>
      </c>
      <c r="BD29" s="202">
        <f xml:space="preserve">
COUNTIFS('Evaluation details_input'!$P$3:$P$1000,$AS$25,'Evaluation details_input'!$Q$3:$Q$1000,$AS29,'Evaluation details_input'!$R$3:$R$1000,$BD$3)
+COUNTIFS('Evaluation details_input'!$F$3:$F$1000,$AS$25,'Evaluation details_input'!$G$3:$G$1000,$AS29,'Evaluation details_input'!$H$3:$H$1000,$BD$3,'Evaluation details_input'!$J$3:$J$1000,"Not accepted",'Evaluation details_input'!$N$3:$N$1000,"Disagree with original translator", 'Evaluation details_input'!$P$3:$P$1000,"")
+COUNTIFS('Evaluation details_input'!$F$3:$F$1000,$AS$25,'Evaluation details_input'!$G$3:$G$1000,$AS29,'Evaluation details_input'!$H$3:$H$1000,$BD$3,'Evaluation details_input'!$J$3:$J$1000,"Accepted", 'Evaluation details_input'!$P$3:$P$1000,"")
+COUNTIFS('Evaluation details_input'!$F$3:$F$1000,$AS$25,'Evaluation details_input'!$G$3:$G$1000,$AS29,'Evaluation details_input'!$H$3:$H$1000,$BD$3,'Evaluation details_input'!$J$3:$J$1000,"")</f>
        <v>0</v>
      </c>
    </row>
    <row r="30" spans="2:57" ht="22.5">
      <c r="B30" s="153" t="s">
        <v>543</v>
      </c>
      <c r="C30" s="160" t="s">
        <v>182</v>
      </c>
      <c r="S30" s="193" t="str">
        <f>$M$4</f>
        <v>Third-party style</v>
      </c>
      <c r="T30" s="165">
        <v>1</v>
      </c>
      <c r="U30" s="165">
        <v>5</v>
      </c>
      <c r="V30" s="186">
        <v>100</v>
      </c>
      <c r="W30" s="166">
        <v>0</v>
      </c>
      <c r="X30" s="193" t="str">
        <f>$M$4</f>
        <v>Third-party style</v>
      </c>
      <c r="Y30" s="165">
        <v>1</v>
      </c>
      <c r="Z30" s="165">
        <v>5</v>
      </c>
      <c r="AA30" s="186">
        <v>100</v>
      </c>
      <c r="AB30" s="166">
        <v>0</v>
      </c>
      <c r="AC30" s="193" t="str">
        <f>$M$4</f>
        <v>Third-party style</v>
      </c>
      <c r="AD30" s="165">
        <v>1.5</v>
      </c>
      <c r="AE30" s="165">
        <v>5</v>
      </c>
      <c r="AF30" s="186">
        <v>100</v>
      </c>
      <c r="AG30" s="166">
        <v>0</v>
      </c>
      <c r="AH30" s="193" t="str">
        <f>$M$4</f>
        <v>Third-party style</v>
      </c>
      <c r="AI30" s="165">
        <v>1</v>
      </c>
      <c r="AJ30" s="165">
        <v>5</v>
      </c>
      <c r="AK30" s="186">
        <v>100</v>
      </c>
      <c r="AL30" s="166">
        <v>0</v>
      </c>
      <c r="AM30" s="193" t="str">
        <f>$M$4</f>
        <v>Third-party style</v>
      </c>
      <c r="AN30" s="165" t="s">
        <v>227</v>
      </c>
      <c r="AO30" s="165" t="s">
        <v>227</v>
      </c>
      <c r="AP30" s="186" t="s">
        <v>227</v>
      </c>
      <c r="AQ30" s="166">
        <v>0</v>
      </c>
      <c r="AS30" s="210" t="str">
        <f t="shared" si="9"/>
        <v>Awkward style</v>
      </c>
      <c r="AT30" s="206">
        <f>SUMPRODUCT(('Evaluation details_input'!$F$4:$F$1000=$AS$25)*('Evaluation details_input'!$G$4:$G$1000=$AS30)*('Evaluation details_input'!$H$4:$H$1000=$AT$3))</f>
        <v>0</v>
      </c>
      <c r="AU30" s="171">
        <f t="shared" si="10"/>
        <v>0</v>
      </c>
      <c r="AV30" s="202">
        <f xml:space="preserve">
COUNTIFS('Evaluation details_input'!$P$3:$P$1000,$AS$25,'Evaluation details_input'!$Q$3:$Q$1000,$AS30,'Evaluation details_input'!$R$3:$R$1000,$AV$3)
+COUNTIFS('Evaluation details_input'!$F$3:$F$1000,$AS$25,'Evaluation details_input'!$G$3:$G$1000,$AS30,'Evaluation details_input'!$H$3:$H$1000,$AV$3,'Evaluation details_input'!$J$3:$J$1000,"Not accepted",'Evaluation details_input'!$N$3:$N$1000,"Disagree with original translator", 'Evaluation details_input'!$P$3:$P$1000,"")
+COUNTIFS('Evaluation details_input'!$F$3:$F$1000,$AS$25,'Evaluation details_input'!$G$3:$G$1000,$AS30,'Evaluation details_input'!$H$3:$H$1000,$AV$3,'Evaluation details_input'!$J$3:$J$1000,"Accepted", 'Evaluation details_input'!$P$3:$P$1000,"")
+COUNTIFS('Evaluation details_input'!$F$3:$F$1000,$AS$25,'Evaluation details_input'!$G$3:$G$1000,$AS30,'Evaluation details_input'!$H$3:$H$1000,$AV$3,'Evaluation details_input'!$J$3:$J$1000,"")</f>
        <v>0</v>
      </c>
      <c r="AW30" s="171">
        <f t="shared" si="11"/>
        <v>0</v>
      </c>
      <c r="AX30" s="202">
        <f>SUMPRODUCT(('Evaluation details_input'!$F$4:$F$1000=$AS$25)*('Evaluation details_input'!$G$4:$G$1000=$AS30)*('Evaluation details_input'!$H$4:$H$1000=$AX$3))</f>
        <v>0</v>
      </c>
      <c r="AY30" s="171">
        <f t="shared" si="12"/>
        <v>0</v>
      </c>
      <c r="AZ30" s="202">
        <f xml:space="preserve">
COUNTIFS('Evaluation details_input'!$P$3:$P$1000,$AS$25,'Evaluation details_input'!$Q$3:$Q$1000,$AS30,'Evaluation details_input'!$R$3:$R$1000,$AZ$3)
+COUNTIFS('Evaluation details_input'!$F$3:$F$1000,$AS$25,'Evaluation details_input'!$G$3:$G$1000,$AS30,'Evaluation details_input'!$H$3:$H$1000,$AZ$3,'Evaluation details_input'!$J$3:$J$1000,"Not accepted",'Evaluation details_input'!$N$3:$N$1000,"Disagree with original translator", 'Evaluation details_input'!$P$3:$P$1000,"")
+COUNTIFS('Evaluation details_input'!$F$3:$F$1000,$AS$25,'Evaluation details_input'!$G$3:$G$1000,$AS30,'Evaluation details_input'!$H$3:$H$1000,$AZ$3,'Evaluation details_input'!$J$3:$J$1000,"Accepted", 'Evaluation details_input'!$P$3:$P$1000,"")
+COUNTIFS('Evaluation details_input'!$F$3:$F$1000,$AS$25,'Evaluation details_input'!$G$3:$G$1000,$AS30,'Evaluation details_input'!$H$3:$H$1000,$AZ$3,'Evaluation details_input'!$J$3:$J$1000,"")</f>
        <v>0</v>
      </c>
      <c r="BA30" s="171">
        <f t="shared" si="13"/>
        <v>0</v>
      </c>
      <c r="BB30" s="202">
        <f xml:space="preserve">
COUNTIFS('Evaluation details_input'!$P$3:$P$1000,$AS$25,'Evaluation details_input'!$Q$3:$Q$1000,$AS30,'Evaluation details_input'!$R$3:$R$1000,$BB$3)
+COUNTIFS('Evaluation details_input'!$F$3:$F$1000,$AS$25,'Evaluation details_input'!$G$3:$G$1000,$AS30,'Evaluation details_input'!$H$3:$H$1000,$BB$3,'Evaluation details_input'!$J$3:$J$1000,"Not accepted",'Evaluation details_input'!$N$3:$N$1000,"Disagree with original translator", 'Evaluation details_input'!$P$3:$P$1000,"")
+COUNTIFS('Evaluation details_input'!$F$3:$F$1000,$AS$25,'Evaluation details_input'!$G$3:$G$1000,$AS30,'Evaluation details_input'!$H$3:$H$1000,$BB$3,'Evaluation details_input'!$J$3:$J$1000,"Accepted", 'Evaluation details_input'!$P$3:$P$1000,"")
+COUNTIFS('Evaluation details_input'!$F$3:$F$1000,$AS$25,'Evaluation details_input'!$G$3:$G$1000,$AS30,'Evaluation details_input'!$H$3:$H$1000,$BB$3,'Evaluation details_input'!$J$3:$J$1000,"")</f>
        <v>0</v>
      </c>
      <c r="BC30" s="202">
        <f xml:space="preserve">
COUNTIFS('Evaluation details_input'!$P$3:$P$1000,$AS$25,'Evaluation details_input'!$Q$3:$Q$1000,$AS30,'Evaluation details_input'!$R$3:$R$1000,$BC$3)
+COUNTIFS('Evaluation details_input'!$F$3:$F$1000,$AS$25,'Evaluation details_input'!$G$3:$G$1000,$AS30,'Evaluation details_input'!$H$3:$H$1000,$BC$3,'Evaluation details_input'!$J$3:$J$1000,"Not accepted",'Evaluation details_input'!$N$3:$N$1000,"Disagree with original translator", 'Evaluation details_input'!$P$3:$P$1000,"")
+COUNTIFS('Evaluation details_input'!$F$3:$F$1000,$AS$25,'Evaluation details_input'!$G$3:$G$1000,$AS30,'Evaluation details_input'!$H$3:$H$1000,$BC$3,'Evaluation details_input'!$J$3:$J$1000,"Accepted", 'Evaluation details_input'!$P$3:$P$1000,"")
+COUNTIFS('Evaluation details_input'!$F$3:$F$1000,$AS$25,'Evaluation details_input'!$G$3:$G$1000,$AS30,'Evaluation details_input'!$H$3:$H$1000,$BC$3,'Evaluation details_input'!$J$3:$J$1000,"")</f>
        <v>0</v>
      </c>
      <c r="BD30" s="202">
        <f xml:space="preserve">
COUNTIFS('Evaluation details_input'!$P$3:$P$1000,$AS$25,'Evaluation details_input'!$Q$3:$Q$1000,$AS30,'Evaluation details_input'!$R$3:$R$1000,$BD$3)
+COUNTIFS('Evaluation details_input'!$F$3:$F$1000,$AS$25,'Evaluation details_input'!$G$3:$G$1000,$AS30,'Evaluation details_input'!$H$3:$H$1000,$BD$3,'Evaluation details_input'!$J$3:$J$1000,"Not accepted",'Evaluation details_input'!$N$3:$N$1000,"Disagree with original translator", 'Evaluation details_input'!$P$3:$P$1000,"")
+COUNTIFS('Evaluation details_input'!$F$3:$F$1000,$AS$25,'Evaluation details_input'!$G$3:$G$1000,$AS30,'Evaluation details_input'!$H$3:$H$1000,$BD$3,'Evaluation details_input'!$J$3:$J$1000,"Accepted", 'Evaluation details_input'!$P$3:$P$1000,"")
+COUNTIFS('Evaluation details_input'!$F$3:$F$1000,$AS$25,'Evaluation details_input'!$G$3:$G$1000,$AS30,'Evaluation details_input'!$H$3:$H$1000,$BD$3,'Evaluation details_input'!$J$3:$J$1000,"")</f>
        <v>0</v>
      </c>
    </row>
    <row r="31" spans="2:57" ht="22.5">
      <c r="B31" s="153" t="s">
        <v>544</v>
      </c>
      <c r="C31" s="160" t="s">
        <v>135</v>
      </c>
      <c r="S31" s="193" t="str">
        <f>$M$5</f>
        <v>Inconsistent with external reference</v>
      </c>
      <c r="T31" s="165">
        <v>1</v>
      </c>
      <c r="U31" s="165">
        <v>5</v>
      </c>
      <c r="V31" s="186">
        <v>100</v>
      </c>
      <c r="W31" s="166">
        <v>0</v>
      </c>
      <c r="X31" s="193" t="str">
        <f>$M$5</f>
        <v>Inconsistent with external reference</v>
      </c>
      <c r="Y31" s="165">
        <v>1</v>
      </c>
      <c r="Z31" s="165">
        <v>5</v>
      </c>
      <c r="AA31" s="186">
        <v>100</v>
      </c>
      <c r="AB31" s="166">
        <v>0</v>
      </c>
      <c r="AC31" s="193" t="str">
        <f>$M$5</f>
        <v>Inconsistent with external reference</v>
      </c>
      <c r="AD31" s="165">
        <v>1.5</v>
      </c>
      <c r="AE31" s="165">
        <v>5</v>
      </c>
      <c r="AF31" s="186">
        <v>100</v>
      </c>
      <c r="AG31" s="166">
        <v>0</v>
      </c>
      <c r="AH31" s="193" t="str">
        <f>$M$5</f>
        <v>Inconsistent with external reference</v>
      </c>
      <c r="AI31" s="165">
        <v>1</v>
      </c>
      <c r="AJ31" s="165">
        <v>5</v>
      </c>
      <c r="AK31" s="186">
        <v>100</v>
      </c>
      <c r="AL31" s="166">
        <v>0</v>
      </c>
      <c r="AM31" s="193" t="str">
        <f>$M$5</f>
        <v>Inconsistent with external reference</v>
      </c>
      <c r="AN31" s="165" t="s">
        <v>227</v>
      </c>
      <c r="AO31" s="165" t="s">
        <v>227</v>
      </c>
      <c r="AP31" s="186" t="s">
        <v>227</v>
      </c>
      <c r="AQ31" s="166">
        <v>0</v>
      </c>
      <c r="AS31" s="210" t="str">
        <f t="shared" si="9"/>
        <v>Unidiomatic style</v>
      </c>
      <c r="AT31" s="206">
        <f>SUMPRODUCT(('Evaluation details_input'!$F$4:$F$1000=$AS$25)*('Evaluation details_input'!$G$4:$G$1000=$AS31)*('Evaluation details_input'!$H$4:$H$1000=$AT$3))</f>
        <v>0</v>
      </c>
      <c r="AU31" s="171">
        <f t="shared" si="10"/>
        <v>0</v>
      </c>
      <c r="AV31" s="202">
        <f xml:space="preserve">
COUNTIFS('Evaluation details_input'!$P$3:$P$1000,$AS$25,'Evaluation details_input'!$Q$3:$Q$1000,$AS31,'Evaluation details_input'!$R$3:$R$1000,$AV$3)
+COUNTIFS('Evaluation details_input'!$F$3:$F$1000,$AS$25,'Evaluation details_input'!$G$3:$G$1000,$AS31,'Evaluation details_input'!$H$3:$H$1000,$AV$3,'Evaluation details_input'!$J$3:$J$1000,"Not accepted",'Evaluation details_input'!$N$3:$N$1000,"Disagree with original translator", 'Evaluation details_input'!$P$3:$P$1000,"")
+COUNTIFS('Evaluation details_input'!$F$3:$F$1000,$AS$25,'Evaluation details_input'!$G$3:$G$1000,$AS31,'Evaluation details_input'!$H$3:$H$1000,$AV$3,'Evaluation details_input'!$J$3:$J$1000,"Accepted", 'Evaluation details_input'!$P$3:$P$1000,"")
+COUNTIFS('Evaluation details_input'!$F$3:$F$1000,$AS$25,'Evaluation details_input'!$G$3:$G$1000,$AS31,'Evaluation details_input'!$H$3:$H$1000,$AV$3,'Evaluation details_input'!$J$3:$J$1000,"")</f>
        <v>0</v>
      </c>
      <c r="AW31" s="171">
        <f t="shared" si="11"/>
        <v>0</v>
      </c>
      <c r="AX31" s="202">
        <f>SUMPRODUCT(('Evaluation details_input'!$F$4:$F$1000=$AS$25)*('Evaluation details_input'!$G$4:$G$1000=$AS31)*('Evaluation details_input'!$H$4:$H$1000=$AX$3))</f>
        <v>0</v>
      </c>
      <c r="AY31" s="171">
        <f t="shared" si="12"/>
        <v>0</v>
      </c>
      <c r="AZ31" s="202">
        <f xml:space="preserve">
COUNTIFS('Evaluation details_input'!$P$3:$P$1000,$AS$25,'Evaluation details_input'!$Q$3:$Q$1000,$AS31,'Evaluation details_input'!$R$3:$R$1000,$AZ$3)
+COUNTIFS('Evaluation details_input'!$F$3:$F$1000,$AS$25,'Evaluation details_input'!$G$3:$G$1000,$AS31,'Evaluation details_input'!$H$3:$H$1000,$AZ$3,'Evaluation details_input'!$J$3:$J$1000,"Not accepted",'Evaluation details_input'!$N$3:$N$1000,"Disagree with original translator", 'Evaluation details_input'!$P$3:$P$1000,"")
+COUNTIFS('Evaluation details_input'!$F$3:$F$1000,$AS$25,'Evaluation details_input'!$G$3:$G$1000,$AS31,'Evaluation details_input'!$H$3:$H$1000,$AZ$3,'Evaluation details_input'!$J$3:$J$1000,"Accepted", 'Evaluation details_input'!$P$3:$P$1000,"")
+COUNTIFS('Evaluation details_input'!$F$3:$F$1000,$AS$25,'Evaluation details_input'!$G$3:$G$1000,$AS31,'Evaluation details_input'!$H$3:$H$1000,$AZ$3,'Evaluation details_input'!$J$3:$J$1000,"")</f>
        <v>0</v>
      </c>
      <c r="BA31" s="171">
        <f t="shared" si="13"/>
        <v>0</v>
      </c>
      <c r="BB31" s="202">
        <f xml:space="preserve">
COUNTIFS('Evaluation details_input'!$P$3:$P$1000,$AS$25,'Evaluation details_input'!$Q$3:$Q$1000,$AS31,'Evaluation details_input'!$R$3:$R$1000,$BB$3)
+COUNTIFS('Evaluation details_input'!$F$3:$F$1000,$AS$25,'Evaluation details_input'!$G$3:$G$1000,$AS31,'Evaluation details_input'!$H$3:$H$1000,$BB$3,'Evaluation details_input'!$J$3:$J$1000,"Not accepted",'Evaluation details_input'!$N$3:$N$1000,"Disagree with original translator", 'Evaluation details_input'!$P$3:$P$1000,"")
+COUNTIFS('Evaluation details_input'!$F$3:$F$1000,$AS$25,'Evaluation details_input'!$G$3:$G$1000,$AS31,'Evaluation details_input'!$H$3:$H$1000,$BB$3,'Evaluation details_input'!$J$3:$J$1000,"Accepted", 'Evaluation details_input'!$P$3:$P$1000,"")
+COUNTIFS('Evaluation details_input'!$F$3:$F$1000,$AS$25,'Evaluation details_input'!$G$3:$G$1000,$AS31,'Evaluation details_input'!$H$3:$H$1000,$BB$3,'Evaluation details_input'!$J$3:$J$1000,"")</f>
        <v>0</v>
      </c>
      <c r="BC31" s="202">
        <f xml:space="preserve">
COUNTIFS('Evaluation details_input'!$P$3:$P$1000,$AS$25,'Evaluation details_input'!$Q$3:$Q$1000,$AS31,'Evaluation details_input'!$R$3:$R$1000,$BC$3)
+COUNTIFS('Evaluation details_input'!$F$3:$F$1000,$AS$25,'Evaluation details_input'!$G$3:$G$1000,$AS31,'Evaluation details_input'!$H$3:$H$1000,$BC$3,'Evaluation details_input'!$J$3:$J$1000,"Not accepted",'Evaluation details_input'!$N$3:$N$1000,"Disagree with original translator", 'Evaluation details_input'!$P$3:$P$1000,"")
+COUNTIFS('Evaluation details_input'!$F$3:$F$1000,$AS$25,'Evaluation details_input'!$G$3:$G$1000,$AS31,'Evaluation details_input'!$H$3:$H$1000,$BC$3,'Evaluation details_input'!$J$3:$J$1000,"Accepted", 'Evaluation details_input'!$P$3:$P$1000,"")
+COUNTIFS('Evaluation details_input'!$F$3:$F$1000,$AS$25,'Evaluation details_input'!$G$3:$G$1000,$AS31,'Evaluation details_input'!$H$3:$H$1000,$BC$3,'Evaluation details_input'!$J$3:$J$1000,"")</f>
        <v>0</v>
      </c>
      <c r="BD31" s="202">
        <f xml:space="preserve">
COUNTIFS('Evaluation details_input'!$P$3:$P$1000,$AS$25,'Evaluation details_input'!$Q$3:$Q$1000,$AS31,'Evaluation details_input'!$R$3:$R$1000,$BD$3)
+COUNTIFS('Evaluation details_input'!$F$3:$F$1000,$AS$25,'Evaluation details_input'!$G$3:$G$1000,$AS31,'Evaluation details_input'!$H$3:$H$1000,$BD$3,'Evaluation details_input'!$J$3:$J$1000,"Not accepted",'Evaluation details_input'!$N$3:$N$1000,"Disagree with original translator", 'Evaluation details_input'!$P$3:$P$1000,"")
+COUNTIFS('Evaluation details_input'!$F$3:$F$1000,$AS$25,'Evaluation details_input'!$G$3:$G$1000,$AS31,'Evaluation details_input'!$H$3:$H$1000,$BD$3,'Evaluation details_input'!$J$3:$J$1000,"Accepted", 'Evaluation details_input'!$P$3:$P$1000,"")
+COUNTIFS('Evaluation details_input'!$F$3:$F$1000,$AS$25,'Evaluation details_input'!$G$3:$G$1000,$AS31,'Evaluation details_input'!$H$3:$H$1000,$BD$3,'Evaluation details_input'!$J$3:$J$1000,"")</f>
        <v>0</v>
      </c>
    </row>
    <row r="32" spans="2:57" ht="22.5">
      <c r="B32" s="153" t="s">
        <v>545</v>
      </c>
      <c r="C32" s="160" t="s">
        <v>136</v>
      </c>
      <c r="S32" s="193" t="str">
        <f>$M$6</f>
        <v>Register</v>
      </c>
      <c r="T32" s="165">
        <v>1</v>
      </c>
      <c r="U32" s="165">
        <v>5</v>
      </c>
      <c r="V32" s="186">
        <v>100</v>
      </c>
      <c r="W32" s="166">
        <v>0</v>
      </c>
      <c r="X32" s="193" t="str">
        <f>$M$6</f>
        <v>Register</v>
      </c>
      <c r="Y32" s="165">
        <v>1</v>
      </c>
      <c r="Z32" s="165">
        <v>5</v>
      </c>
      <c r="AA32" s="186">
        <v>100</v>
      </c>
      <c r="AB32" s="166">
        <v>0</v>
      </c>
      <c r="AC32" s="193" t="str">
        <f>$M$6</f>
        <v>Register</v>
      </c>
      <c r="AD32" s="165">
        <v>1.5</v>
      </c>
      <c r="AE32" s="165">
        <v>5</v>
      </c>
      <c r="AF32" s="186">
        <v>100</v>
      </c>
      <c r="AG32" s="166">
        <v>0</v>
      </c>
      <c r="AH32" s="193" t="str">
        <f>$M$6</f>
        <v>Register</v>
      </c>
      <c r="AI32" s="165">
        <v>1</v>
      </c>
      <c r="AJ32" s="165">
        <v>5</v>
      </c>
      <c r="AK32" s="186">
        <v>100</v>
      </c>
      <c r="AL32" s="166">
        <v>0</v>
      </c>
      <c r="AM32" s="193" t="str">
        <f>$M$6</f>
        <v>Register</v>
      </c>
      <c r="AN32" s="165" t="s">
        <v>227</v>
      </c>
      <c r="AO32" s="165" t="s">
        <v>227</v>
      </c>
      <c r="AP32" s="186" t="s">
        <v>227</v>
      </c>
      <c r="AQ32" s="166">
        <v>0</v>
      </c>
      <c r="AS32" s="210" t="str">
        <f t="shared" si="9"/>
        <v>Inconsistent style</v>
      </c>
      <c r="AT32" s="206">
        <f>SUMPRODUCT(('Evaluation details_input'!$F$4:$F$1000=$AS$25)*('Evaluation details_input'!$G$4:$G$1000=$AS32)*('Evaluation details_input'!$H$4:$H$1000=$AT$3))</f>
        <v>0</v>
      </c>
      <c r="AU32" s="171">
        <f t="shared" si="10"/>
        <v>0</v>
      </c>
      <c r="AV32" s="202">
        <f xml:space="preserve">
COUNTIFS('Evaluation details_input'!$P$3:$P$1000,$AS$25,'Evaluation details_input'!$Q$3:$Q$1000,$AS32,'Evaluation details_input'!$R$3:$R$1000,$AV$3)
+COUNTIFS('Evaluation details_input'!$F$3:$F$1000,$AS$25,'Evaluation details_input'!$G$3:$G$1000,$AS32,'Evaluation details_input'!$H$3:$H$1000,$AV$3,'Evaluation details_input'!$J$3:$J$1000,"Not accepted",'Evaluation details_input'!$N$3:$N$1000,"Disagree with original translator", 'Evaluation details_input'!$P$3:$P$1000,"")
+COUNTIFS('Evaluation details_input'!$F$3:$F$1000,$AS$25,'Evaluation details_input'!$G$3:$G$1000,$AS32,'Evaluation details_input'!$H$3:$H$1000,$AV$3,'Evaluation details_input'!$J$3:$J$1000,"Accepted", 'Evaluation details_input'!$P$3:$P$1000,"")
+COUNTIFS('Evaluation details_input'!$F$3:$F$1000,$AS$25,'Evaluation details_input'!$G$3:$G$1000,$AS32,'Evaluation details_input'!$H$3:$H$1000,$AV$3,'Evaluation details_input'!$J$3:$J$1000,"")</f>
        <v>0</v>
      </c>
      <c r="AW32" s="171">
        <f t="shared" si="11"/>
        <v>0</v>
      </c>
      <c r="AX32" s="202">
        <f>SUMPRODUCT(('Evaluation details_input'!$F$4:$F$1000=$AS$25)*('Evaluation details_input'!$G$4:$G$1000=$AS32)*('Evaluation details_input'!$H$4:$H$1000=$AX$3))</f>
        <v>0</v>
      </c>
      <c r="AY32" s="171">
        <f t="shared" si="12"/>
        <v>0</v>
      </c>
      <c r="AZ32" s="202">
        <f xml:space="preserve">
COUNTIFS('Evaluation details_input'!$P$3:$P$1000,$AS$25,'Evaluation details_input'!$Q$3:$Q$1000,$AS32,'Evaluation details_input'!$R$3:$R$1000,$AZ$3)
+COUNTIFS('Evaluation details_input'!$F$3:$F$1000,$AS$25,'Evaluation details_input'!$G$3:$G$1000,$AS32,'Evaluation details_input'!$H$3:$H$1000,$AZ$3,'Evaluation details_input'!$J$3:$J$1000,"Not accepted",'Evaluation details_input'!$N$3:$N$1000,"Disagree with original translator", 'Evaluation details_input'!$P$3:$P$1000,"")
+COUNTIFS('Evaluation details_input'!$F$3:$F$1000,$AS$25,'Evaluation details_input'!$G$3:$G$1000,$AS32,'Evaluation details_input'!$H$3:$H$1000,$AZ$3,'Evaluation details_input'!$J$3:$J$1000,"Accepted", 'Evaluation details_input'!$P$3:$P$1000,"")
+COUNTIFS('Evaluation details_input'!$F$3:$F$1000,$AS$25,'Evaluation details_input'!$G$3:$G$1000,$AS32,'Evaluation details_input'!$H$3:$H$1000,$AZ$3,'Evaluation details_input'!$J$3:$J$1000,"")</f>
        <v>0</v>
      </c>
      <c r="BA32" s="171">
        <f t="shared" si="13"/>
        <v>0</v>
      </c>
      <c r="BB32" s="202">
        <f xml:space="preserve">
COUNTIFS('Evaluation details_input'!$P$3:$P$1000,$AS$25,'Evaluation details_input'!$Q$3:$Q$1000,$AS32,'Evaluation details_input'!$R$3:$R$1000,$BB$3)
+COUNTIFS('Evaluation details_input'!$F$3:$F$1000,$AS$25,'Evaluation details_input'!$G$3:$G$1000,$AS32,'Evaluation details_input'!$H$3:$H$1000,$BB$3,'Evaluation details_input'!$J$3:$J$1000,"Not accepted",'Evaluation details_input'!$N$3:$N$1000,"Disagree with original translator", 'Evaluation details_input'!$P$3:$P$1000,"")
+COUNTIFS('Evaluation details_input'!$F$3:$F$1000,$AS$25,'Evaluation details_input'!$G$3:$G$1000,$AS32,'Evaluation details_input'!$H$3:$H$1000,$BB$3,'Evaluation details_input'!$J$3:$J$1000,"Accepted", 'Evaluation details_input'!$P$3:$P$1000,"")
+COUNTIFS('Evaluation details_input'!$F$3:$F$1000,$AS$25,'Evaluation details_input'!$G$3:$G$1000,$AS32,'Evaluation details_input'!$H$3:$H$1000,$BB$3,'Evaluation details_input'!$J$3:$J$1000,"")</f>
        <v>0</v>
      </c>
      <c r="BC32" s="202">
        <f xml:space="preserve">
COUNTIFS('Evaluation details_input'!$P$3:$P$1000,$AS$25,'Evaluation details_input'!$Q$3:$Q$1000,$AS32,'Evaluation details_input'!$R$3:$R$1000,$BC$3)
+COUNTIFS('Evaluation details_input'!$F$3:$F$1000,$AS$25,'Evaluation details_input'!$G$3:$G$1000,$AS32,'Evaluation details_input'!$H$3:$H$1000,$BC$3,'Evaluation details_input'!$J$3:$J$1000,"Not accepted",'Evaluation details_input'!$N$3:$N$1000,"Disagree with original translator", 'Evaluation details_input'!$P$3:$P$1000,"")
+COUNTIFS('Evaluation details_input'!$F$3:$F$1000,$AS$25,'Evaluation details_input'!$G$3:$G$1000,$AS32,'Evaluation details_input'!$H$3:$H$1000,$BC$3,'Evaluation details_input'!$J$3:$J$1000,"Accepted", 'Evaluation details_input'!$P$3:$P$1000,"")
+COUNTIFS('Evaluation details_input'!$F$3:$F$1000,$AS$25,'Evaluation details_input'!$G$3:$G$1000,$AS32,'Evaluation details_input'!$H$3:$H$1000,$BC$3,'Evaluation details_input'!$J$3:$J$1000,"")</f>
        <v>0</v>
      </c>
      <c r="BD32" s="202">
        <f xml:space="preserve">
COUNTIFS('Evaluation details_input'!$P$3:$P$1000,$AS$25,'Evaluation details_input'!$Q$3:$Q$1000,$AS32,'Evaluation details_input'!$R$3:$R$1000,$BD$3)
+COUNTIFS('Evaluation details_input'!$F$3:$F$1000,$AS$25,'Evaluation details_input'!$G$3:$G$1000,$AS32,'Evaluation details_input'!$H$3:$H$1000,$BD$3,'Evaluation details_input'!$J$3:$J$1000,"Not accepted",'Evaluation details_input'!$N$3:$N$1000,"Disagree with original translator", 'Evaluation details_input'!$P$3:$P$1000,"")
+COUNTIFS('Evaluation details_input'!$F$3:$F$1000,$AS$25,'Evaluation details_input'!$G$3:$G$1000,$AS32,'Evaluation details_input'!$H$3:$H$1000,$BD$3,'Evaluation details_input'!$J$3:$J$1000,"Accepted", 'Evaluation details_input'!$P$3:$P$1000,"")
+COUNTIFS('Evaluation details_input'!$F$3:$F$1000,$AS$25,'Evaluation details_input'!$G$3:$G$1000,$AS32,'Evaluation details_input'!$H$3:$H$1000,$BD$3,'Evaluation details_input'!$J$3:$J$1000,"")</f>
        <v>0</v>
      </c>
    </row>
    <row r="33" spans="2:56" ht="23.25" thickBot="1">
      <c r="B33" s="153" t="s">
        <v>546</v>
      </c>
      <c r="C33" s="160" t="s">
        <v>234</v>
      </c>
      <c r="S33" s="193" t="str">
        <f>$M$7</f>
        <v>Awkward style</v>
      </c>
      <c r="T33" s="165">
        <v>1</v>
      </c>
      <c r="U33" s="165">
        <v>5</v>
      </c>
      <c r="V33" s="186">
        <v>100</v>
      </c>
      <c r="W33" s="166">
        <v>0</v>
      </c>
      <c r="X33" s="193" t="str">
        <f>$M$7</f>
        <v>Awkward style</v>
      </c>
      <c r="Y33" s="165">
        <v>1</v>
      </c>
      <c r="Z33" s="165">
        <v>5</v>
      </c>
      <c r="AA33" s="186">
        <v>100</v>
      </c>
      <c r="AB33" s="166">
        <v>0</v>
      </c>
      <c r="AC33" s="193" t="str">
        <f>$M$7</f>
        <v>Awkward style</v>
      </c>
      <c r="AD33" s="165">
        <v>1.5</v>
      </c>
      <c r="AE33" s="165">
        <v>5</v>
      </c>
      <c r="AF33" s="186">
        <v>100</v>
      </c>
      <c r="AG33" s="166">
        <v>0</v>
      </c>
      <c r="AH33" s="193" t="str">
        <f>$M$7</f>
        <v>Awkward style</v>
      </c>
      <c r="AI33" s="165">
        <v>1</v>
      </c>
      <c r="AJ33" s="165">
        <v>5</v>
      </c>
      <c r="AK33" s="186">
        <v>100</v>
      </c>
      <c r="AL33" s="166">
        <v>0</v>
      </c>
      <c r="AM33" s="193" t="str">
        <f>$M$7</f>
        <v>Awkward style</v>
      </c>
      <c r="AN33" s="165" t="s">
        <v>227</v>
      </c>
      <c r="AO33" s="165" t="s">
        <v>227</v>
      </c>
      <c r="AP33" s="186" t="s">
        <v>227</v>
      </c>
      <c r="AQ33" s="166">
        <v>0</v>
      </c>
      <c r="AS33" s="212" t="str">
        <f t="shared" si="9"/>
        <v>Other</v>
      </c>
      <c r="AT33" s="206">
        <f>SUMPRODUCT(('Evaluation details_input'!$F$4:$F$1000=$AS$25)*('Evaluation details_input'!$G$4:$G$1000=$AS33)*('Evaluation details_input'!$H$4:$H$1000=$AT$3))</f>
        <v>0</v>
      </c>
      <c r="AU33" s="171">
        <f t="shared" si="10"/>
        <v>0</v>
      </c>
      <c r="AV33" s="202">
        <f xml:space="preserve">
COUNTIFS('Evaluation details_input'!$P$3:$P$1000,$AS$25,'Evaluation details_input'!$Q$3:$Q$1000,$AS33,'Evaluation details_input'!$R$3:$R$1000,$AV$3)
+COUNTIFS('Evaluation details_input'!$F$3:$F$1000,$AS$25,'Evaluation details_input'!$G$3:$G$1000,$AS33,'Evaluation details_input'!$H$3:$H$1000,$AV$3,'Evaluation details_input'!$J$3:$J$1000,"Not accepted",'Evaluation details_input'!$N$3:$N$1000,"Disagree with original translator", 'Evaluation details_input'!$P$3:$P$1000,"")
+COUNTIFS('Evaluation details_input'!$F$3:$F$1000,$AS$25,'Evaluation details_input'!$G$3:$G$1000,$AS33,'Evaluation details_input'!$H$3:$H$1000,$AV$3,'Evaluation details_input'!$J$3:$J$1000,"Accepted", 'Evaluation details_input'!$P$3:$P$1000,"")
+COUNTIFS('Evaluation details_input'!$F$3:$F$1000,$AS$25,'Evaluation details_input'!$G$3:$G$1000,$AS33,'Evaluation details_input'!$H$3:$H$1000,$AV$3,'Evaluation details_input'!$J$3:$J$1000,"")</f>
        <v>0</v>
      </c>
      <c r="AW33" s="171">
        <f t="shared" si="11"/>
        <v>0</v>
      </c>
      <c r="AX33" s="202">
        <f>SUMPRODUCT(('Evaluation details_input'!$F$4:$F$1000=$AS$25)*('Evaluation details_input'!$G$4:$G$1000=$AS33)*('Evaluation details_input'!$H$4:$H$1000=$AX$3))</f>
        <v>0</v>
      </c>
      <c r="AY33" s="171">
        <f t="shared" si="12"/>
        <v>0</v>
      </c>
      <c r="AZ33" s="202">
        <f xml:space="preserve">
COUNTIFS('Evaluation details_input'!$P$3:$P$1000,$AS$25,'Evaluation details_input'!$Q$3:$Q$1000,$AS33,'Evaluation details_input'!$R$3:$R$1000,$AZ$3)
+COUNTIFS('Evaluation details_input'!$F$3:$F$1000,$AS$25,'Evaluation details_input'!$G$3:$G$1000,$AS33,'Evaluation details_input'!$H$3:$H$1000,$AZ$3,'Evaluation details_input'!$J$3:$J$1000,"Not accepted",'Evaluation details_input'!$N$3:$N$1000,"Disagree with original translator", 'Evaluation details_input'!$P$3:$P$1000,"")
+COUNTIFS('Evaluation details_input'!$F$3:$F$1000,$AS$25,'Evaluation details_input'!$G$3:$G$1000,$AS33,'Evaluation details_input'!$H$3:$H$1000,$AZ$3,'Evaluation details_input'!$J$3:$J$1000,"Accepted", 'Evaluation details_input'!$P$3:$P$1000,"")
+COUNTIFS('Evaluation details_input'!$F$3:$F$1000,$AS$25,'Evaluation details_input'!$G$3:$G$1000,$AS33,'Evaluation details_input'!$H$3:$H$1000,$AZ$3,'Evaluation details_input'!$J$3:$J$1000,"")</f>
        <v>0</v>
      </c>
      <c r="BA33" s="171">
        <f t="shared" si="13"/>
        <v>0</v>
      </c>
      <c r="BB33" s="202">
        <f xml:space="preserve">
COUNTIFS('Evaluation details_input'!$P$3:$P$1000,$AS$25,'Evaluation details_input'!$Q$3:$Q$1000,$AS33,'Evaluation details_input'!$R$3:$R$1000,$BB$3)
+COUNTIFS('Evaluation details_input'!$F$3:$F$1000,$AS$25,'Evaluation details_input'!$G$3:$G$1000,$AS33,'Evaluation details_input'!$H$3:$H$1000,$BB$3,'Evaluation details_input'!$J$3:$J$1000,"Not accepted",'Evaluation details_input'!$N$3:$N$1000,"Disagree with original translator", 'Evaluation details_input'!$P$3:$P$1000,"")
+COUNTIFS('Evaluation details_input'!$F$3:$F$1000,$AS$25,'Evaluation details_input'!$G$3:$G$1000,$AS33,'Evaluation details_input'!$H$3:$H$1000,$BB$3,'Evaluation details_input'!$J$3:$J$1000,"Accepted", 'Evaluation details_input'!$P$3:$P$1000,"")
+COUNTIFS('Evaluation details_input'!$F$3:$F$1000,$AS$25,'Evaluation details_input'!$G$3:$G$1000,$AS33,'Evaluation details_input'!$H$3:$H$1000,$BB$3,'Evaluation details_input'!$J$3:$J$1000,"")</f>
        <v>0</v>
      </c>
      <c r="BC33" s="202">
        <f xml:space="preserve">
COUNTIFS('Evaluation details_input'!$P$3:$P$1000,$AS$25,'Evaluation details_input'!$Q$3:$Q$1000,$AS33,'Evaluation details_input'!$R$3:$R$1000,$BC$3)
+COUNTIFS('Evaluation details_input'!$F$3:$F$1000,$AS$25,'Evaluation details_input'!$G$3:$G$1000,$AS33,'Evaluation details_input'!$H$3:$H$1000,$BC$3,'Evaluation details_input'!$J$3:$J$1000,"Not accepted",'Evaluation details_input'!$N$3:$N$1000,"Disagree with original translator", 'Evaluation details_input'!$P$3:$P$1000,"")
+COUNTIFS('Evaluation details_input'!$F$3:$F$1000,$AS$25,'Evaluation details_input'!$G$3:$G$1000,$AS33,'Evaluation details_input'!$H$3:$H$1000,$BC$3,'Evaluation details_input'!$J$3:$J$1000,"Accepted", 'Evaluation details_input'!$P$3:$P$1000,"")
+COUNTIFS('Evaluation details_input'!$F$3:$F$1000,$AS$25,'Evaluation details_input'!$G$3:$G$1000,$AS33,'Evaluation details_input'!$H$3:$H$1000,$BC$3,'Evaluation details_input'!$J$3:$J$1000,"")</f>
        <v>0</v>
      </c>
      <c r="BD33" s="202">
        <f xml:space="preserve">
COUNTIFS('Evaluation details_input'!$P$3:$P$1000,$AS$25,'Evaluation details_input'!$Q$3:$Q$1000,$AS33,'Evaluation details_input'!$R$3:$R$1000,$BD$3)
+COUNTIFS('Evaluation details_input'!$F$3:$F$1000,$AS$25,'Evaluation details_input'!$G$3:$G$1000,$AS33,'Evaluation details_input'!$H$3:$H$1000,$BD$3,'Evaluation details_input'!$J$3:$J$1000,"Not accepted",'Evaluation details_input'!$N$3:$N$1000,"Disagree with original translator", 'Evaluation details_input'!$P$3:$P$1000,"")
+COUNTIFS('Evaluation details_input'!$F$3:$F$1000,$AS$25,'Evaluation details_input'!$G$3:$G$1000,$AS33,'Evaluation details_input'!$H$3:$H$1000,$BD$3,'Evaluation details_input'!$J$3:$J$1000,"Accepted", 'Evaluation details_input'!$P$3:$P$1000,"")
+COUNTIFS('Evaluation details_input'!$F$3:$F$1000,$AS$25,'Evaluation details_input'!$G$3:$G$1000,$AS33,'Evaluation details_input'!$H$3:$H$1000,$BD$3,'Evaluation details_input'!$J$3:$J$1000,"")</f>
        <v>0</v>
      </c>
    </row>
    <row r="34" spans="2:56" ht="22.5">
      <c r="B34" s="153" t="s">
        <v>547</v>
      </c>
      <c r="C34" s="160" t="s">
        <v>235</v>
      </c>
      <c r="S34" s="193" t="str">
        <f>$M$8</f>
        <v>Unidiomatic style</v>
      </c>
      <c r="T34" s="165">
        <v>1</v>
      </c>
      <c r="U34" s="165">
        <v>5</v>
      </c>
      <c r="V34" s="186">
        <v>100</v>
      </c>
      <c r="W34" s="166">
        <v>0</v>
      </c>
      <c r="X34" s="193" t="str">
        <f>$M$8</f>
        <v>Unidiomatic style</v>
      </c>
      <c r="Y34" s="165">
        <v>1</v>
      </c>
      <c r="Z34" s="165">
        <v>5</v>
      </c>
      <c r="AA34" s="186">
        <v>100</v>
      </c>
      <c r="AB34" s="166">
        <v>0</v>
      </c>
      <c r="AC34" s="193" t="str">
        <f>$M$8</f>
        <v>Unidiomatic style</v>
      </c>
      <c r="AD34" s="165">
        <v>1.5</v>
      </c>
      <c r="AE34" s="165">
        <v>5</v>
      </c>
      <c r="AF34" s="186">
        <v>100</v>
      </c>
      <c r="AG34" s="166">
        <v>0</v>
      </c>
      <c r="AH34" s="193" t="str">
        <f>$M$8</f>
        <v>Unidiomatic style</v>
      </c>
      <c r="AI34" s="165">
        <v>1</v>
      </c>
      <c r="AJ34" s="165">
        <v>5</v>
      </c>
      <c r="AK34" s="186">
        <v>100</v>
      </c>
      <c r="AL34" s="166">
        <v>0</v>
      </c>
      <c r="AM34" s="193" t="str">
        <f>$M$8</f>
        <v>Unidiomatic style</v>
      </c>
      <c r="AN34" s="165" t="s">
        <v>227</v>
      </c>
      <c r="AO34" s="165" t="s">
        <v>227</v>
      </c>
      <c r="AP34" s="186" t="s">
        <v>227</v>
      </c>
      <c r="AQ34" s="166">
        <v>0</v>
      </c>
      <c r="AS34" s="214" t="str">
        <f>N2</f>
        <v>Locale conventions</v>
      </c>
      <c r="AT34" s="207"/>
      <c r="AU34" s="173"/>
      <c r="AV34" s="173"/>
      <c r="AW34" s="173"/>
      <c r="AX34" s="203"/>
      <c r="AY34" s="173"/>
      <c r="AZ34" s="173"/>
      <c r="BA34" s="173"/>
      <c r="BB34" s="264"/>
      <c r="BC34" s="264"/>
      <c r="BD34" s="264"/>
    </row>
    <row r="35" spans="2:56" ht="22.5">
      <c r="B35" s="153" t="s">
        <v>548</v>
      </c>
      <c r="C35" s="160" t="s">
        <v>39</v>
      </c>
      <c r="S35" s="193" t="str">
        <f>$M$9</f>
        <v>Inconsistent style</v>
      </c>
      <c r="T35" s="165">
        <v>1</v>
      </c>
      <c r="U35" s="165">
        <v>5</v>
      </c>
      <c r="V35" s="186">
        <v>100</v>
      </c>
      <c r="W35" s="166">
        <v>0</v>
      </c>
      <c r="X35" s="193" t="str">
        <f>$M$9</f>
        <v>Inconsistent style</v>
      </c>
      <c r="Y35" s="165">
        <v>1</v>
      </c>
      <c r="Z35" s="165">
        <v>5</v>
      </c>
      <c r="AA35" s="186">
        <v>100</v>
      </c>
      <c r="AB35" s="166">
        <v>0</v>
      </c>
      <c r="AC35" s="193" t="str">
        <f>$M$9</f>
        <v>Inconsistent style</v>
      </c>
      <c r="AD35" s="165">
        <v>1.5</v>
      </c>
      <c r="AE35" s="165">
        <v>5</v>
      </c>
      <c r="AF35" s="186">
        <v>100</v>
      </c>
      <c r="AG35" s="166">
        <v>0</v>
      </c>
      <c r="AH35" s="193" t="str">
        <f>$M$9</f>
        <v>Inconsistent style</v>
      </c>
      <c r="AI35" s="165">
        <v>1</v>
      </c>
      <c r="AJ35" s="165">
        <v>5</v>
      </c>
      <c r="AK35" s="186">
        <v>100</v>
      </c>
      <c r="AL35" s="166">
        <v>0</v>
      </c>
      <c r="AM35" s="193" t="str">
        <f>$M$9</f>
        <v>Inconsistent style</v>
      </c>
      <c r="AN35" s="165" t="s">
        <v>227</v>
      </c>
      <c r="AO35" s="165" t="s">
        <v>227</v>
      </c>
      <c r="AP35" s="186" t="s">
        <v>227</v>
      </c>
      <c r="AQ35" s="166">
        <v>0</v>
      </c>
      <c r="AS35" s="210" t="str">
        <f t="shared" ref="AS35:AS43" si="14">$N3</f>
        <v>Number format</v>
      </c>
      <c r="AT35" s="206">
        <f>SUMPRODUCT(('Evaluation details_input'!$F$4:$F$1000=$AS$34)*('Evaluation details_input'!$G$4:$G$1000=$AS35)*('Evaluation details_input'!$H$4:$H$1000=$AT$3))</f>
        <v>0</v>
      </c>
      <c r="AU35" s="171">
        <f t="shared" ref="AU35:AU43" si="15" xml:space="preserve">
IF($AT$2=$X$3,$AT35*$Y38,
IF($AT$2=$AC$3,$AT35*$AD38,
$AT35*$T38))</f>
        <v>0</v>
      </c>
      <c r="AV35" s="202">
        <f xml:space="preserve">
COUNTIFS('Evaluation details_input'!$P$3:$P$1000,$AS$34,'Evaluation details_input'!$Q$3:$Q$1000,$AS35,'Evaluation details_input'!$R$3:$R$1000,$AV$3)
+COUNTIFS('Evaluation details_input'!$F$3:$F$1000,$AS$34,'Evaluation details_input'!$G$3:$G$1000,$AS35,'Evaluation details_input'!$H$3:$H$1000,$AV$3,'Evaluation details_input'!$J$3:$J$1000,"Not accepted",'Evaluation details_input'!$N$3:$N$1000,"Disagree with original translator", 'Evaluation details_input'!$P$3:$P$1000,"")
+COUNTIFS('Evaluation details_input'!$F$3:$F$1000,$AS$34,'Evaluation details_input'!$G$3:$G$1000,$AS35,'Evaluation details_input'!$H$3:$H$1000,$AV$3,'Evaluation details_input'!$J$3:$J$1000,"Accepted", 'Evaluation details_input'!$P$3:$P$1000,"")
+COUNTIFS('Evaluation details_input'!$F$3:$F$1000,$AS$34,'Evaluation details_input'!$G$3:$G$1000,$AS35,'Evaluation details_input'!$H$3:$H$1000,$AV$3,'Evaluation details_input'!$J$3:$J$1000,"")</f>
        <v>0</v>
      </c>
      <c r="AW35" s="171">
        <f t="shared" ref="AW35:AW43" si="16" xml:space="preserve">
IF($AT$2=$X$3,$AV35*$Y38,
IF($AT$2=$AC$3,$AV35*$AD38,
$AV35*$T38))</f>
        <v>0</v>
      </c>
      <c r="AX35" s="202">
        <f>SUMPRODUCT(('Evaluation details_input'!$F$4:$F$1000=$AS$34)*('Evaluation details_input'!$G$4:$G$1000=$AS35)*('Evaluation details_input'!$H$4:$H$1000=$AX$3))</f>
        <v>0</v>
      </c>
      <c r="AY35" s="171">
        <f t="shared" ref="AY35:AY43" si="17" xml:space="preserve">
IF($AT$2=$X$3,$AX35*$Z38,
IF($AT$2=$AC$3,$AX35*$AE38,
$AX35*$U38))</f>
        <v>0</v>
      </c>
      <c r="AZ35" s="202">
        <f xml:space="preserve">
COUNTIFS('Evaluation details_input'!$P$3:$P$1000,$AS$34,'Evaluation details_input'!$Q$3:$Q$1000,$AS35,'Evaluation details_input'!$R$3:$R$1000,$AZ$3)
+COUNTIFS('Evaluation details_input'!$F$3:$F$1000,$AS$34,'Evaluation details_input'!$G$3:$G$1000,$AS35,'Evaluation details_input'!$H$3:$H$1000,$AZ$3,'Evaluation details_input'!$J$3:$J$1000,"Not accepted",'Evaluation details_input'!$N$3:$N$1000,"Disagree with original translator", 'Evaluation details_input'!$P$3:$P$1000,"")
+COUNTIFS('Evaluation details_input'!$F$3:$F$1000,$AS$34,'Evaluation details_input'!$G$3:$G$1000,$AS35,'Evaluation details_input'!$H$3:$H$1000,$AZ$3,'Evaluation details_input'!$J$3:$J$1000,"Accepted", 'Evaluation details_input'!$P$3:$P$1000,"")
+COUNTIFS('Evaluation details_input'!$F$3:$F$1000,$AS$34,'Evaluation details_input'!$G$3:$G$1000,$AS35,'Evaluation details_input'!$H$3:$H$1000,$AZ$3,'Evaluation details_input'!$J$3:$J$1000,"")</f>
        <v>0</v>
      </c>
      <c r="BA35" s="171">
        <f t="shared" ref="BA35:BA43" si="18" xml:space="preserve">
IF($AT$2=$X$3,$AZ35*$Z38,
IF($AT$2=$AC$3,$AZ35*$AE38,
$AZ35*$U38))</f>
        <v>0</v>
      </c>
      <c r="BB35" s="202">
        <f xml:space="preserve">
COUNTIFS('Evaluation details_input'!$P$3:$P$1000,$AS$34,'Evaluation details_input'!$Q$3:$Q$1000,$AS35,'Evaluation details_input'!$R$3:$R$1000,$BB$3)
+COUNTIFS('Evaluation details_input'!$F$3:$F$1000,$AS$34,'Evaluation details_input'!$G$3:$G$1000,$AS35,'Evaluation details_input'!$H$3:$H$1000,$BB$3,'Evaluation details_input'!$J$3:$J$1000,"Not accepted",'Evaluation details_input'!$N$3:$N$1000,"Disagree with original translator", 'Evaluation details_input'!$P$3:$P$1000,"")
+COUNTIFS('Evaluation details_input'!$F$3:$F$1000,$AS$34,'Evaluation details_input'!$G$3:$G$1000,$AS35,'Evaluation details_input'!$H$3:$H$1000,$BB$3,'Evaluation details_input'!$J$3:$J$1000,"Accepted", 'Evaluation details_input'!$P$3:$P$1000,"")
+COUNTIFS('Evaluation details_input'!$F$3:$F$1000,$AS$34,'Evaluation details_input'!$G$3:$G$1000,$AS35,'Evaluation details_input'!$H$3:$H$1000,$BB$3,'Evaluation details_input'!$J$3:$J$1000,"")</f>
        <v>0</v>
      </c>
      <c r="BC35" s="202">
        <f xml:space="preserve">
COUNTIFS('Evaluation details_input'!$P$3:$P$1000,$AS$34,'Evaluation details_input'!$Q$3:$Q$1000,$AS35,'Evaluation details_input'!$R$3:$R$1000,$BC$3)
+COUNTIFS('Evaluation details_input'!$F$3:$F$1000,$AS$34,'Evaluation details_input'!$G$3:$G$1000,$AS35,'Evaluation details_input'!$H$3:$H$1000,$BC$3,'Evaluation details_input'!$J$3:$J$1000,"Not accepted",'Evaluation details_input'!$N$3:$N$1000,"Disagree with original translator", 'Evaluation details_input'!$P$3:$P$1000,"")
+COUNTIFS('Evaluation details_input'!$F$3:$F$1000,$AS$34,'Evaluation details_input'!$G$3:$G$1000,$AS35,'Evaluation details_input'!$H$3:$H$1000,$BC$3,'Evaluation details_input'!$J$3:$J$1000,"Accepted", 'Evaluation details_input'!$P$3:$P$1000,"")
+COUNTIFS('Evaluation details_input'!$F$3:$F$1000,$AS$34,'Evaluation details_input'!$G$3:$G$1000,$AS35,'Evaluation details_input'!$H$3:$H$1000,$BC$3,'Evaluation details_input'!$J$3:$J$1000,"")</f>
        <v>0</v>
      </c>
      <c r="BD35" s="202">
        <f xml:space="preserve">
COUNTIFS('Evaluation details_input'!$P$3:$P$1000,$AS$34,'Evaluation details_input'!$Q$3:$Q$1000,$AS35,'Evaluation details_input'!$R$3:$R$1000,$BD$3)
+COUNTIFS('Evaluation details_input'!$F$3:$F$1000,$AS$34,'Evaluation details_input'!$G$3:$G$1000,$AS35,'Evaluation details_input'!$H$3:$H$1000,$BD$3,'Evaluation details_input'!$J$3:$J$1000,"Not accepted",'Evaluation details_input'!$N$3:$N$1000,"Disagree with original translator", 'Evaluation details_input'!$P$3:$P$1000,"")
+COUNTIFS('Evaluation details_input'!$F$3:$F$1000,$AS$34,'Evaluation details_input'!$G$3:$G$1000,$AS35,'Evaluation details_input'!$H$3:$H$1000,$BD$3,'Evaluation details_input'!$J$3:$J$1000,"Accepted", 'Evaluation details_input'!$P$3:$P$1000,"")
+COUNTIFS('Evaluation details_input'!$F$3:$F$1000,$AS$34,'Evaluation details_input'!$G$3:$G$1000,$AS35,'Evaluation details_input'!$H$3:$H$1000,$BD$3,'Evaluation details_input'!$J$3:$J$1000,"")</f>
        <v>0</v>
      </c>
    </row>
    <row r="36" spans="2:56" ht="22.5">
      <c r="B36" s="153" t="s">
        <v>549</v>
      </c>
      <c r="C36" s="160" t="s">
        <v>236</v>
      </c>
      <c r="S36" s="193" t="str">
        <f>$M$10</f>
        <v>Other</v>
      </c>
      <c r="T36" s="165">
        <v>1</v>
      </c>
      <c r="U36" s="165">
        <v>5</v>
      </c>
      <c r="V36" s="186">
        <v>100</v>
      </c>
      <c r="W36" s="166">
        <v>0</v>
      </c>
      <c r="X36" s="193" t="str">
        <f>$M$10</f>
        <v>Other</v>
      </c>
      <c r="Y36" s="165">
        <v>1</v>
      </c>
      <c r="Z36" s="165">
        <v>5</v>
      </c>
      <c r="AA36" s="186">
        <v>100</v>
      </c>
      <c r="AB36" s="166">
        <v>0</v>
      </c>
      <c r="AC36" s="193" t="str">
        <f>$M$10</f>
        <v>Other</v>
      </c>
      <c r="AD36" s="165">
        <v>1.5</v>
      </c>
      <c r="AE36" s="165">
        <v>5</v>
      </c>
      <c r="AF36" s="186">
        <v>100</v>
      </c>
      <c r="AG36" s="166">
        <v>0</v>
      </c>
      <c r="AH36" s="193" t="str">
        <f>$M$10</f>
        <v>Other</v>
      </c>
      <c r="AI36" s="165">
        <v>1</v>
      </c>
      <c r="AJ36" s="165">
        <v>5</v>
      </c>
      <c r="AK36" s="186">
        <v>100</v>
      </c>
      <c r="AL36" s="166">
        <v>0</v>
      </c>
      <c r="AM36" s="193" t="str">
        <f>$M$10</f>
        <v>Other</v>
      </c>
      <c r="AN36" s="165" t="s">
        <v>227</v>
      </c>
      <c r="AO36" s="165" t="s">
        <v>227</v>
      </c>
      <c r="AP36" s="186" t="s">
        <v>227</v>
      </c>
      <c r="AQ36" s="166">
        <v>0</v>
      </c>
      <c r="AS36" s="210" t="str">
        <f t="shared" si="14"/>
        <v>Currency format</v>
      </c>
      <c r="AT36" s="206">
        <f>SUMPRODUCT(('Evaluation details_input'!$F$4:$F$1000=$AS$34)*('Evaluation details_input'!$G$4:$G$1000=$AS36)*('Evaluation details_input'!$H$4:$H$1000=$AT$3))</f>
        <v>0</v>
      </c>
      <c r="AU36" s="171">
        <f t="shared" si="15"/>
        <v>0</v>
      </c>
      <c r="AV36" s="202">
        <f xml:space="preserve">
COUNTIFS('Evaluation details_input'!$P$3:$P$1000,$AS$34,'Evaluation details_input'!$Q$3:$Q$1000,$AS36,'Evaluation details_input'!$R$3:$R$1000,$AV$3)
+COUNTIFS('Evaluation details_input'!$F$3:$F$1000,$AS$34,'Evaluation details_input'!$G$3:$G$1000,$AS36,'Evaluation details_input'!$H$3:$H$1000,$AV$3,'Evaluation details_input'!$J$3:$J$1000,"Not accepted",'Evaluation details_input'!$N$3:$N$1000,"Disagree with original translator", 'Evaluation details_input'!$P$3:$P$1000,"")
+COUNTIFS('Evaluation details_input'!$F$3:$F$1000,$AS$34,'Evaluation details_input'!$G$3:$G$1000,$AS36,'Evaluation details_input'!$H$3:$H$1000,$AV$3,'Evaluation details_input'!$J$3:$J$1000,"Accepted", 'Evaluation details_input'!$P$3:$P$1000,"")
+COUNTIFS('Evaluation details_input'!$F$3:$F$1000,$AS$34,'Evaluation details_input'!$G$3:$G$1000,$AS36,'Evaluation details_input'!$H$3:$H$1000,$AV$3,'Evaluation details_input'!$J$3:$J$1000,"")</f>
        <v>0</v>
      </c>
      <c r="AW36" s="171">
        <f t="shared" si="16"/>
        <v>0</v>
      </c>
      <c r="AX36" s="202">
        <f>SUMPRODUCT(('Evaluation details_input'!$F$4:$F$1000=$AS$34)*('Evaluation details_input'!$G$4:$G$1000=$AS36)*('Evaluation details_input'!$H$4:$H$1000=$AX$3))</f>
        <v>0</v>
      </c>
      <c r="AY36" s="171">
        <f t="shared" si="17"/>
        <v>0</v>
      </c>
      <c r="AZ36" s="202">
        <f xml:space="preserve">
COUNTIFS('Evaluation details_input'!$P$3:$P$1000,$AS$34,'Evaluation details_input'!$Q$3:$Q$1000,$AS36,'Evaluation details_input'!$R$3:$R$1000,$AZ$3)
+COUNTIFS('Evaluation details_input'!$F$3:$F$1000,$AS$34,'Evaluation details_input'!$G$3:$G$1000,$AS36,'Evaluation details_input'!$H$3:$H$1000,$AZ$3,'Evaluation details_input'!$J$3:$J$1000,"Not accepted",'Evaluation details_input'!$N$3:$N$1000,"Disagree with original translator", 'Evaluation details_input'!$P$3:$P$1000,"")
+COUNTIFS('Evaluation details_input'!$F$3:$F$1000,$AS$34,'Evaluation details_input'!$G$3:$G$1000,$AS36,'Evaluation details_input'!$H$3:$H$1000,$AZ$3,'Evaluation details_input'!$J$3:$J$1000,"Accepted", 'Evaluation details_input'!$P$3:$P$1000,"")
+COUNTIFS('Evaluation details_input'!$F$3:$F$1000,$AS$34,'Evaluation details_input'!$G$3:$G$1000,$AS36,'Evaluation details_input'!$H$3:$H$1000,$AZ$3,'Evaluation details_input'!$J$3:$J$1000,"")</f>
        <v>0</v>
      </c>
      <c r="BA36" s="171">
        <f t="shared" si="18"/>
        <v>0</v>
      </c>
      <c r="BB36" s="202">
        <f xml:space="preserve">
COUNTIFS('Evaluation details_input'!$P$3:$P$1000,$AS$34,'Evaluation details_input'!$Q$3:$Q$1000,$AS36,'Evaluation details_input'!$R$3:$R$1000,$BB$3)
+COUNTIFS('Evaluation details_input'!$F$3:$F$1000,$AS$34,'Evaluation details_input'!$G$3:$G$1000,$AS36,'Evaluation details_input'!$H$3:$H$1000,$BB$3,'Evaluation details_input'!$J$3:$J$1000,"Not accepted",'Evaluation details_input'!$N$3:$N$1000,"Disagree with original translator", 'Evaluation details_input'!$P$3:$P$1000,"")
+COUNTIFS('Evaluation details_input'!$F$3:$F$1000,$AS$34,'Evaluation details_input'!$G$3:$G$1000,$AS36,'Evaluation details_input'!$H$3:$H$1000,$BB$3,'Evaluation details_input'!$J$3:$J$1000,"Accepted", 'Evaluation details_input'!$P$3:$P$1000,"")
+COUNTIFS('Evaluation details_input'!$F$3:$F$1000,$AS$34,'Evaluation details_input'!$G$3:$G$1000,$AS36,'Evaluation details_input'!$H$3:$H$1000,$BB$3,'Evaluation details_input'!$J$3:$J$1000,"")</f>
        <v>0</v>
      </c>
      <c r="BC36" s="202">
        <f xml:space="preserve">
COUNTIFS('Evaluation details_input'!$P$3:$P$1000,$AS$34,'Evaluation details_input'!$Q$3:$Q$1000,$AS36,'Evaluation details_input'!$R$3:$R$1000,$BC$3)
+COUNTIFS('Evaluation details_input'!$F$3:$F$1000,$AS$34,'Evaluation details_input'!$G$3:$G$1000,$AS36,'Evaluation details_input'!$H$3:$H$1000,$BC$3,'Evaluation details_input'!$J$3:$J$1000,"Not accepted",'Evaluation details_input'!$N$3:$N$1000,"Disagree with original translator", 'Evaluation details_input'!$P$3:$P$1000,"")
+COUNTIFS('Evaluation details_input'!$F$3:$F$1000,$AS$34,'Evaluation details_input'!$G$3:$G$1000,$AS36,'Evaluation details_input'!$H$3:$H$1000,$BC$3,'Evaluation details_input'!$J$3:$J$1000,"Accepted", 'Evaluation details_input'!$P$3:$P$1000,"")
+COUNTIFS('Evaluation details_input'!$F$3:$F$1000,$AS$34,'Evaluation details_input'!$G$3:$G$1000,$AS36,'Evaluation details_input'!$H$3:$H$1000,$BC$3,'Evaluation details_input'!$J$3:$J$1000,"")</f>
        <v>0</v>
      </c>
      <c r="BD36" s="202">
        <f xml:space="preserve">
COUNTIFS('Evaluation details_input'!$P$3:$P$1000,$AS$34,'Evaluation details_input'!$Q$3:$Q$1000,$AS36,'Evaluation details_input'!$R$3:$R$1000,$BD$3)
+COUNTIFS('Evaluation details_input'!$F$3:$F$1000,$AS$34,'Evaluation details_input'!$G$3:$G$1000,$AS36,'Evaluation details_input'!$H$3:$H$1000,$BD$3,'Evaluation details_input'!$J$3:$J$1000,"Not accepted",'Evaluation details_input'!$N$3:$N$1000,"Disagree with original translator", 'Evaluation details_input'!$P$3:$P$1000,"")
+COUNTIFS('Evaluation details_input'!$F$3:$F$1000,$AS$34,'Evaluation details_input'!$G$3:$G$1000,$AS36,'Evaluation details_input'!$H$3:$H$1000,$BD$3,'Evaluation details_input'!$J$3:$J$1000,"Accepted", 'Evaluation details_input'!$P$3:$P$1000,"")
+COUNTIFS('Evaluation details_input'!$F$3:$F$1000,$AS$34,'Evaluation details_input'!$G$3:$G$1000,$AS36,'Evaluation details_input'!$H$3:$H$1000,$BD$3,'Evaluation details_input'!$J$3:$J$1000,"")</f>
        <v>0</v>
      </c>
    </row>
    <row r="37" spans="2:56" ht="22.5">
      <c r="B37" s="153" t="s">
        <v>620</v>
      </c>
      <c r="C37" s="160" t="s">
        <v>100</v>
      </c>
      <c r="S37" s="194" t="str">
        <f>$N$2</f>
        <v>Locale conventions</v>
      </c>
      <c r="T37" s="177"/>
      <c r="U37" s="177"/>
      <c r="V37" s="187"/>
      <c r="W37" s="178"/>
      <c r="X37" s="194" t="str">
        <f>$N$2</f>
        <v>Locale conventions</v>
      </c>
      <c r="Y37" s="177"/>
      <c r="Z37" s="177"/>
      <c r="AA37" s="187"/>
      <c r="AB37" s="178"/>
      <c r="AC37" s="194" t="str">
        <f>$N$2</f>
        <v>Locale conventions</v>
      </c>
      <c r="AD37" s="177"/>
      <c r="AE37" s="177"/>
      <c r="AF37" s="187"/>
      <c r="AG37" s="178"/>
      <c r="AH37" s="194" t="str">
        <f>$N$2</f>
        <v>Locale conventions</v>
      </c>
      <c r="AI37" s="177"/>
      <c r="AJ37" s="177"/>
      <c r="AK37" s="187"/>
      <c r="AL37" s="178"/>
      <c r="AM37" s="194" t="str">
        <f>$N$2</f>
        <v>Locale conventions</v>
      </c>
      <c r="AN37" s="177"/>
      <c r="AO37" s="177"/>
      <c r="AP37" s="187"/>
      <c r="AQ37" s="178"/>
      <c r="AS37" s="210" t="str">
        <f t="shared" si="14"/>
        <v>Measurement format</v>
      </c>
      <c r="AT37" s="206">
        <f>SUMPRODUCT(('Evaluation details_input'!$F$4:$F$1000=$AS$34)*('Evaluation details_input'!$G$4:$G$1000=$AS37)*('Evaluation details_input'!$H$4:$H$1000=$AT$3))</f>
        <v>0</v>
      </c>
      <c r="AU37" s="171">
        <f t="shared" si="15"/>
        <v>0</v>
      </c>
      <c r="AV37" s="202">
        <f xml:space="preserve">
COUNTIFS('Evaluation details_input'!$P$3:$P$1000,$AS$34,'Evaluation details_input'!$Q$3:$Q$1000,$AS37,'Evaluation details_input'!$R$3:$R$1000,$AV$3)
+COUNTIFS('Evaluation details_input'!$F$3:$F$1000,$AS$34,'Evaluation details_input'!$G$3:$G$1000,$AS37,'Evaluation details_input'!$H$3:$H$1000,$AV$3,'Evaluation details_input'!$J$3:$J$1000,"Not accepted",'Evaluation details_input'!$N$3:$N$1000,"Disagree with original translator", 'Evaluation details_input'!$P$3:$P$1000,"")
+COUNTIFS('Evaluation details_input'!$F$3:$F$1000,$AS$34,'Evaluation details_input'!$G$3:$G$1000,$AS37,'Evaluation details_input'!$H$3:$H$1000,$AV$3,'Evaluation details_input'!$J$3:$J$1000,"Accepted", 'Evaluation details_input'!$P$3:$P$1000,"")
+COUNTIFS('Evaluation details_input'!$F$3:$F$1000,$AS$34,'Evaluation details_input'!$G$3:$G$1000,$AS37,'Evaluation details_input'!$H$3:$H$1000,$AV$3,'Evaluation details_input'!$J$3:$J$1000,"")</f>
        <v>0</v>
      </c>
      <c r="AW37" s="171">
        <f t="shared" si="16"/>
        <v>0</v>
      </c>
      <c r="AX37" s="202">
        <f>SUMPRODUCT(('Evaluation details_input'!$F$4:$F$1000=$AS$34)*('Evaluation details_input'!$G$4:$G$1000=$AS37)*('Evaluation details_input'!$H$4:$H$1000=$AX$3))</f>
        <v>0</v>
      </c>
      <c r="AY37" s="171">
        <f t="shared" si="17"/>
        <v>0</v>
      </c>
      <c r="AZ37" s="202">
        <f xml:space="preserve">
COUNTIFS('Evaluation details_input'!$P$3:$P$1000,$AS$34,'Evaluation details_input'!$Q$3:$Q$1000,$AS37,'Evaluation details_input'!$R$3:$R$1000,$AZ$3)
+COUNTIFS('Evaluation details_input'!$F$3:$F$1000,$AS$34,'Evaluation details_input'!$G$3:$G$1000,$AS37,'Evaluation details_input'!$H$3:$H$1000,$AZ$3,'Evaluation details_input'!$J$3:$J$1000,"Not accepted",'Evaluation details_input'!$N$3:$N$1000,"Disagree with original translator", 'Evaluation details_input'!$P$3:$P$1000,"")
+COUNTIFS('Evaluation details_input'!$F$3:$F$1000,$AS$34,'Evaluation details_input'!$G$3:$G$1000,$AS37,'Evaluation details_input'!$H$3:$H$1000,$AZ$3,'Evaluation details_input'!$J$3:$J$1000,"Accepted", 'Evaluation details_input'!$P$3:$P$1000,"")
+COUNTIFS('Evaluation details_input'!$F$3:$F$1000,$AS$34,'Evaluation details_input'!$G$3:$G$1000,$AS37,'Evaluation details_input'!$H$3:$H$1000,$AZ$3,'Evaluation details_input'!$J$3:$J$1000,"")</f>
        <v>0</v>
      </c>
      <c r="BA37" s="171">
        <f t="shared" si="18"/>
        <v>0</v>
      </c>
      <c r="BB37" s="202">
        <f xml:space="preserve">
COUNTIFS('Evaluation details_input'!$P$3:$P$1000,$AS$34,'Evaluation details_input'!$Q$3:$Q$1000,$AS37,'Evaluation details_input'!$R$3:$R$1000,$BB$3)
+COUNTIFS('Evaluation details_input'!$F$3:$F$1000,$AS$34,'Evaluation details_input'!$G$3:$G$1000,$AS37,'Evaluation details_input'!$H$3:$H$1000,$BB$3,'Evaluation details_input'!$J$3:$J$1000,"Not accepted",'Evaluation details_input'!$N$3:$N$1000,"Disagree with original translator", 'Evaluation details_input'!$P$3:$P$1000,"")
+COUNTIFS('Evaluation details_input'!$F$3:$F$1000,$AS$34,'Evaluation details_input'!$G$3:$G$1000,$AS37,'Evaluation details_input'!$H$3:$H$1000,$BB$3,'Evaluation details_input'!$J$3:$J$1000,"Accepted", 'Evaluation details_input'!$P$3:$P$1000,"")
+COUNTIFS('Evaluation details_input'!$F$3:$F$1000,$AS$34,'Evaluation details_input'!$G$3:$G$1000,$AS37,'Evaluation details_input'!$H$3:$H$1000,$BB$3,'Evaluation details_input'!$J$3:$J$1000,"")</f>
        <v>0</v>
      </c>
      <c r="BC37" s="202">
        <f xml:space="preserve">
COUNTIFS('Evaluation details_input'!$P$3:$P$1000,$AS$34,'Evaluation details_input'!$Q$3:$Q$1000,$AS37,'Evaluation details_input'!$R$3:$R$1000,$BC$3)
+COUNTIFS('Evaluation details_input'!$F$3:$F$1000,$AS$34,'Evaluation details_input'!$G$3:$G$1000,$AS37,'Evaluation details_input'!$H$3:$H$1000,$BC$3,'Evaluation details_input'!$J$3:$J$1000,"Not accepted",'Evaluation details_input'!$N$3:$N$1000,"Disagree with original translator", 'Evaluation details_input'!$P$3:$P$1000,"")
+COUNTIFS('Evaluation details_input'!$F$3:$F$1000,$AS$34,'Evaluation details_input'!$G$3:$G$1000,$AS37,'Evaluation details_input'!$H$3:$H$1000,$BC$3,'Evaluation details_input'!$J$3:$J$1000,"Accepted", 'Evaluation details_input'!$P$3:$P$1000,"")
+COUNTIFS('Evaluation details_input'!$F$3:$F$1000,$AS$34,'Evaluation details_input'!$G$3:$G$1000,$AS37,'Evaluation details_input'!$H$3:$H$1000,$BC$3,'Evaluation details_input'!$J$3:$J$1000,"")</f>
        <v>0</v>
      </c>
      <c r="BD37" s="202">
        <f xml:space="preserve">
COUNTIFS('Evaluation details_input'!$P$3:$P$1000,$AS$34,'Evaluation details_input'!$Q$3:$Q$1000,$AS37,'Evaluation details_input'!$R$3:$R$1000,$BD$3)
+COUNTIFS('Evaluation details_input'!$F$3:$F$1000,$AS$34,'Evaluation details_input'!$G$3:$G$1000,$AS37,'Evaluation details_input'!$H$3:$H$1000,$BD$3,'Evaluation details_input'!$J$3:$J$1000,"Not accepted",'Evaluation details_input'!$N$3:$N$1000,"Disagree with original translator", 'Evaluation details_input'!$P$3:$P$1000,"")
+COUNTIFS('Evaluation details_input'!$F$3:$F$1000,$AS$34,'Evaluation details_input'!$G$3:$G$1000,$AS37,'Evaluation details_input'!$H$3:$H$1000,$BD$3,'Evaluation details_input'!$J$3:$J$1000,"Accepted", 'Evaluation details_input'!$P$3:$P$1000,"")
+COUNTIFS('Evaluation details_input'!$F$3:$F$1000,$AS$34,'Evaluation details_input'!$G$3:$G$1000,$AS37,'Evaluation details_input'!$H$3:$H$1000,$BD$3,'Evaluation details_input'!$J$3:$J$1000,"")</f>
        <v>0</v>
      </c>
    </row>
    <row r="38" spans="2:56" ht="13.5" thickBot="1">
      <c r="B38" s="154" t="s">
        <v>550</v>
      </c>
      <c r="C38" s="160" t="s">
        <v>237</v>
      </c>
      <c r="S38" s="193" t="str">
        <f>$N$3</f>
        <v>Number format</v>
      </c>
      <c r="T38" s="165">
        <v>1</v>
      </c>
      <c r="U38" s="165">
        <v>5</v>
      </c>
      <c r="V38" s="186">
        <v>100</v>
      </c>
      <c r="W38" s="166">
        <v>0</v>
      </c>
      <c r="X38" s="193" t="str">
        <f>$N$3</f>
        <v>Number format</v>
      </c>
      <c r="Y38" s="165">
        <v>1</v>
      </c>
      <c r="Z38" s="165">
        <v>5</v>
      </c>
      <c r="AA38" s="186">
        <v>100</v>
      </c>
      <c r="AB38" s="166">
        <v>0</v>
      </c>
      <c r="AC38" s="193" t="str">
        <f>$N$3</f>
        <v>Number format</v>
      </c>
      <c r="AD38" s="165">
        <v>1</v>
      </c>
      <c r="AE38" s="165">
        <v>5</v>
      </c>
      <c r="AF38" s="186">
        <v>100</v>
      </c>
      <c r="AG38" s="166">
        <v>0</v>
      </c>
      <c r="AH38" s="193" t="str">
        <f>$N$3</f>
        <v>Number format</v>
      </c>
      <c r="AI38" s="165">
        <v>1</v>
      </c>
      <c r="AJ38" s="165">
        <v>5</v>
      </c>
      <c r="AK38" s="186">
        <v>100</v>
      </c>
      <c r="AL38" s="166">
        <v>0</v>
      </c>
      <c r="AM38" s="193" t="str">
        <f>$N$3</f>
        <v>Number format</v>
      </c>
      <c r="AN38" s="165">
        <v>1</v>
      </c>
      <c r="AO38" s="165">
        <v>5</v>
      </c>
      <c r="AP38" s="186">
        <v>100</v>
      </c>
      <c r="AQ38" s="166">
        <v>0</v>
      </c>
      <c r="AS38" s="210" t="str">
        <f t="shared" si="14"/>
        <v>Time format</v>
      </c>
      <c r="AT38" s="206">
        <f>SUMPRODUCT(('Evaluation details_input'!$F$4:$F$1000=$AS$34)*('Evaluation details_input'!$G$4:$G$1000=$AS38)*('Evaluation details_input'!$H$4:$H$1000=$AT$3))</f>
        <v>0</v>
      </c>
      <c r="AU38" s="171">
        <f t="shared" si="15"/>
        <v>0</v>
      </c>
      <c r="AV38" s="202">
        <f xml:space="preserve">
COUNTIFS('Evaluation details_input'!$P$3:$P$1000,$AS$34,'Evaluation details_input'!$Q$3:$Q$1000,$AS38,'Evaluation details_input'!$R$3:$R$1000,$AV$3)
+COUNTIFS('Evaluation details_input'!$F$3:$F$1000,$AS$34,'Evaluation details_input'!$G$3:$G$1000,$AS38,'Evaluation details_input'!$H$3:$H$1000,$AV$3,'Evaluation details_input'!$J$3:$J$1000,"Not accepted",'Evaluation details_input'!$N$3:$N$1000,"Disagree with original translator", 'Evaluation details_input'!$P$3:$P$1000,"")
+COUNTIFS('Evaluation details_input'!$F$3:$F$1000,$AS$34,'Evaluation details_input'!$G$3:$G$1000,$AS38,'Evaluation details_input'!$H$3:$H$1000,$AV$3,'Evaluation details_input'!$J$3:$J$1000,"Accepted", 'Evaluation details_input'!$P$3:$P$1000,"")
+COUNTIFS('Evaluation details_input'!$F$3:$F$1000,$AS$34,'Evaluation details_input'!$G$3:$G$1000,$AS38,'Evaluation details_input'!$H$3:$H$1000,$AV$3,'Evaluation details_input'!$J$3:$J$1000,"")</f>
        <v>0</v>
      </c>
      <c r="AW38" s="171">
        <f t="shared" si="16"/>
        <v>0</v>
      </c>
      <c r="AX38" s="202">
        <f>SUMPRODUCT(('Evaluation details_input'!$F$4:$F$1000=$AS$34)*('Evaluation details_input'!$G$4:$G$1000=$AS38)*('Evaluation details_input'!$H$4:$H$1000=$AX$3))</f>
        <v>0</v>
      </c>
      <c r="AY38" s="171">
        <f t="shared" si="17"/>
        <v>0</v>
      </c>
      <c r="AZ38" s="202">
        <f xml:space="preserve">
COUNTIFS('Evaluation details_input'!$P$3:$P$1000,$AS$34,'Evaluation details_input'!$Q$3:$Q$1000,$AS38,'Evaluation details_input'!$R$3:$R$1000,$AZ$3)
+COUNTIFS('Evaluation details_input'!$F$3:$F$1000,$AS$34,'Evaluation details_input'!$G$3:$G$1000,$AS38,'Evaluation details_input'!$H$3:$H$1000,$AZ$3,'Evaluation details_input'!$J$3:$J$1000,"Not accepted",'Evaluation details_input'!$N$3:$N$1000,"Disagree with original translator", 'Evaluation details_input'!$P$3:$P$1000,"")
+COUNTIFS('Evaluation details_input'!$F$3:$F$1000,$AS$34,'Evaluation details_input'!$G$3:$G$1000,$AS38,'Evaluation details_input'!$H$3:$H$1000,$AZ$3,'Evaluation details_input'!$J$3:$J$1000,"Accepted", 'Evaluation details_input'!$P$3:$P$1000,"")
+COUNTIFS('Evaluation details_input'!$F$3:$F$1000,$AS$34,'Evaluation details_input'!$G$3:$G$1000,$AS38,'Evaluation details_input'!$H$3:$H$1000,$AZ$3,'Evaluation details_input'!$J$3:$J$1000,"")</f>
        <v>0</v>
      </c>
      <c r="BA38" s="171">
        <f t="shared" si="18"/>
        <v>0</v>
      </c>
      <c r="BB38" s="202">
        <f xml:space="preserve">
COUNTIFS('Evaluation details_input'!$P$3:$P$1000,$AS$34,'Evaluation details_input'!$Q$3:$Q$1000,$AS38,'Evaluation details_input'!$R$3:$R$1000,$BB$3)
+COUNTIFS('Evaluation details_input'!$F$3:$F$1000,$AS$34,'Evaluation details_input'!$G$3:$G$1000,$AS38,'Evaluation details_input'!$H$3:$H$1000,$BB$3,'Evaluation details_input'!$J$3:$J$1000,"Not accepted",'Evaluation details_input'!$N$3:$N$1000,"Disagree with original translator", 'Evaluation details_input'!$P$3:$P$1000,"")
+COUNTIFS('Evaluation details_input'!$F$3:$F$1000,$AS$34,'Evaluation details_input'!$G$3:$G$1000,$AS38,'Evaluation details_input'!$H$3:$H$1000,$BB$3,'Evaluation details_input'!$J$3:$J$1000,"Accepted", 'Evaluation details_input'!$P$3:$P$1000,"")
+COUNTIFS('Evaluation details_input'!$F$3:$F$1000,$AS$34,'Evaluation details_input'!$G$3:$G$1000,$AS38,'Evaluation details_input'!$H$3:$H$1000,$BB$3,'Evaluation details_input'!$J$3:$J$1000,"")</f>
        <v>0</v>
      </c>
      <c r="BC38" s="202">
        <f xml:space="preserve">
COUNTIFS('Evaluation details_input'!$P$3:$P$1000,$AS$34,'Evaluation details_input'!$Q$3:$Q$1000,$AS38,'Evaluation details_input'!$R$3:$R$1000,$BC$3)
+COUNTIFS('Evaluation details_input'!$F$3:$F$1000,$AS$34,'Evaluation details_input'!$G$3:$G$1000,$AS38,'Evaluation details_input'!$H$3:$H$1000,$BC$3,'Evaluation details_input'!$J$3:$J$1000,"Not accepted",'Evaluation details_input'!$N$3:$N$1000,"Disagree with original translator", 'Evaluation details_input'!$P$3:$P$1000,"")
+COUNTIFS('Evaluation details_input'!$F$3:$F$1000,$AS$34,'Evaluation details_input'!$G$3:$G$1000,$AS38,'Evaluation details_input'!$H$3:$H$1000,$BC$3,'Evaluation details_input'!$J$3:$J$1000,"Accepted", 'Evaluation details_input'!$P$3:$P$1000,"")
+COUNTIFS('Evaluation details_input'!$F$3:$F$1000,$AS$34,'Evaluation details_input'!$G$3:$G$1000,$AS38,'Evaluation details_input'!$H$3:$H$1000,$BC$3,'Evaluation details_input'!$J$3:$J$1000,"")</f>
        <v>0</v>
      </c>
      <c r="BD38" s="202">
        <f xml:space="preserve">
COUNTIFS('Evaluation details_input'!$P$3:$P$1000,$AS$34,'Evaluation details_input'!$Q$3:$Q$1000,$AS38,'Evaluation details_input'!$R$3:$R$1000,$BD$3)
+COUNTIFS('Evaluation details_input'!$F$3:$F$1000,$AS$34,'Evaluation details_input'!$G$3:$G$1000,$AS38,'Evaluation details_input'!$H$3:$H$1000,$BD$3,'Evaluation details_input'!$J$3:$J$1000,"Not accepted",'Evaluation details_input'!$N$3:$N$1000,"Disagree with original translator", 'Evaluation details_input'!$P$3:$P$1000,"")
+COUNTIFS('Evaluation details_input'!$F$3:$F$1000,$AS$34,'Evaluation details_input'!$G$3:$G$1000,$AS38,'Evaluation details_input'!$H$3:$H$1000,$BD$3,'Evaluation details_input'!$J$3:$J$1000,"Accepted", 'Evaluation details_input'!$P$3:$P$1000,"")
+COUNTIFS('Evaluation details_input'!$F$3:$F$1000,$AS$34,'Evaluation details_input'!$G$3:$G$1000,$AS38,'Evaluation details_input'!$H$3:$H$1000,$BD$3,'Evaluation details_input'!$J$3:$J$1000,"")</f>
        <v>0</v>
      </c>
    </row>
    <row r="39" spans="2:56">
      <c r="C39" s="160" t="s">
        <v>40</v>
      </c>
      <c r="S39" s="193" t="str">
        <f>$N$4</f>
        <v>Currency format</v>
      </c>
      <c r="T39" s="165">
        <v>1</v>
      </c>
      <c r="U39" s="165">
        <v>5</v>
      </c>
      <c r="V39" s="186">
        <v>100</v>
      </c>
      <c r="W39" s="166">
        <v>0</v>
      </c>
      <c r="X39" s="193" t="str">
        <f>$N$4</f>
        <v>Currency format</v>
      </c>
      <c r="Y39" s="165">
        <v>1</v>
      </c>
      <c r="Z39" s="165">
        <v>5</v>
      </c>
      <c r="AA39" s="186">
        <v>100</v>
      </c>
      <c r="AB39" s="166">
        <v>0</v>
      </c>
      <c r="AC39" s="193" t="str">
        <f>$N$4</f>
        <v>Currency format</v>
      </c>
      <c r="AD39" s="165">
        <v>1</v>
      </c>
      <c r="AE39" s="165">
        <v>5</v>
      </c>
      <c r="AF39" s="186">
        <v>100</v>
      </c>
      <c r="AG39" s="166">
        <v>0</v>
      </c>
      <c r="AH39" s="193" t="str">
        <f>$N$4</f>
        <v>Currency format</v>
      </c>
      <c r="AI39" s="165">
        <v>1</v>
      </c>
      <c r="AJ39" s="165">
        <v>5</v>
      </c>
      <c r="AK39" s="186">
        <v>100</v>
      </c>
      <c r="AL39" s="166">
        <v>0</v>
      </c>
      <c r="AM39" s="193" t="str">
        <f>$N$4</f>
        <v>Currency format</v>
      </c>
      <c r="AN39" s="165">
        <v>1</v>
      </c>
      <c r="AO39" s="165">
        <v>5</v>
      </c>
      <c r="AP39" s="186">
        <v>100</v>
      </c>
      <c r="AQ39" s="166">
        <v>0</v>
      </c>
      <c r="AS39" s="210" t="str">
        <f t="shared" si="14"/>
        <v>Date format</v>
      </c>
      <c r="AT39" s="206">
        <f>SUMPRODUCT(('Evaluation details_input'!$F$4:$F$1000=$AS$34)*('Evaluation details_input'!$G$4:$G$1000=$AS39)*('Evaluation details_input'!$H$4:$H$1000=$AT$3))</f>
        <v>0</v>
      </c>
      <c r="AU39" s="171">
        <f t="shared" si="15"/>
        <v>0</v>
      </c>
      <c r="AV39" s="202">
        <f xml:space="preserve">
COUNTIFS('Evaluation details_input'!$P$3:$P$1000,$AS$34,'Evaluation details_input'!$Q$3:$Q$1000,$AS39,'Evaluation details_input'!$R$3:$R$1000,$AV$3)
+COUNTIFS('Evaluation details_input'!$F$3:$F$1000,$AS$34,'Evaluation details_input'!$G$3:$G$1000,$AS39,'Evaluation details_input'!$H$3:$H$1000,$AV$3,'Evaluation details_input'!$J$3:$J$1000,"Not accepted",'Evaluation details_input'!$N$3:$N$1000,"Disagree with original translator", 'Evaluation details_input'!$P$3:$P$1000,"")
+COUNTIFS('Evaluation details_input'!$F$3:$F$1000,$AS$34,'Evaluation details_input'!$G$3:$G$1000,$AS39,'Evaluation details_input'!$H$3:$H$1000,$AV$3,'Evaluation details_input'!$J$3:$J$1000,"Accepted", 'Evaluation details_input'!$P$3:$P$1000,"")
+COUNTIFS('Evaluation details_input'!$F$3:$F$1000,$AS$34,'Evaluation details_input'!$G$3:$G$1000,$AS39,'Evaluation details_input'!$H$3:$H$1000,$AV$3,'Evaluation details_input'!$J$3:$J$1000,"")</f>
        <v>0</v>
      </c>
      <c r="AW39" s="171">
        <f t="shared" si="16"/>
        <v>0</v>
      </c>
      <c r="AX39" s="202">
        <f>SUMPRODUCT(('Evaluation details_input'!$F$4:$F$1000=$AS$34)*('Evaluation details_input'!$G$4:$G$1000=$AS39)*('Evaluation details_input'!$H$4:$H$1000=$AX$3))</f>
        <v>0</v>
      </c>
      <c r="AY39" s="171">
        <f t="shared" si="17"/>
        <v>0</v>
      </c>
      <c r="AZ39" s="202">
        <f xml:space="preserve">
COUNTIFS('Evaluation details_input'!$P$3:$P$1000,$AS$34,'Evaluation details_input'!$Q$3:$Q$1000,$AS39,'Evaluation details_input'!$R$3:$R$1000,$AZ$3)
+COUNTIFS('Evaluation details_input'!$F$3:$F$1000,$AS$34,'Evaluation details_input'!$G$3:$G$1000,$AS39,'Evaluation details_input'!$H$3:$H$1000,$AZ$3,'Evaluation details_input'!$J$3:$J$1000,"Not accepted",'Evaluation details_input'!$N$3:$N$1000,"Disagree with original translator", 'Evaluation details_input'!$P$3:$P$1000,"")
+COUNTIFS('Evaluation details_input'!$F$3:$F$1000,$AS$34,'Evaluation details_input'!$G$3:$G$1000,$AS39,'Evaluation details_input'!$H$3:$H$1000,$AZ$3,'Evaluation details_input'!$J$3:$J$1000,"Accepted", 'Evaluation details_input'!$P$3:$P$1000,"")
+COUNTIFS('Evaluation details_input'!$F$3:$F$1000,$AS$34,'Evaluation details_input'!$G$3:$G$1000,$AS39,'Evaluation details_input'!$H$3:$H$1000,$AZ$3,'Evaluation details_input'!$J$3:$J$1000,"")</f>
        <v>0</v>
      </c>
      <c r="BA39" s="171">
        <f t="shared" si="18"/>
        <v>0</v>
      </c>
      <c r="BB39" s="202">
        <f xml:space="preserve">
COUNTIFS('Evaluation details_input'!$P$3:$P$1000,$AS$34,'Evaluation details_input'!$Q$3:$Q$1000,$AS39,'Evaluation details_input'!$R$3:$R$1000,$BB$3)
+COUNTIFS('Evaluation details_input'!$F$3:$F$1000,$AS$34,'Evaluation details_input'!$G$3:$G$1000,$AS39,'Evaluation details_input'!$H$3:$H$1000,$BB$3,'Evaluation details_input'!$J$3:$J$1000,"Not accepted",'Evaluation details_input'!$N$3:$N$1000,"Disagree with original translator", 'Evaluation details_input'!$P$3:$P$1000,"")
+COUNTIFS('Evaluation details_input'!$F$3:$F$1000,$AS$34,'Evaluation details_input'!$G$3:$G$1000,$AS39,'Evaluation details_input'!$H$3:$H$1000,$BB$3,'Evaluation details_input'!$J$3:$J$1000,"Accepted", 'Evaluation details_input'!$P$3:$P$1000,"")
+COUNTIFS('Evaluation details_input'!$F$3:$F$1000,$AS$34,'Evaluation details_input'!$G$3:$G$1000,$AS39,'Evaluation details_input'!$H$3:$H$1000,$BB$3,'Evaluation details_input'!$J$3:$J$1000,"")</f>
        <v>0</v>
      </c>
      <c r="BC39" s="202">
        <f xml:space="preserve">
COUNTIFS('Evaluation details_input'!$P$3:$P$1000,$AS$34,'Evaluation details_input'!$Q$3:$Q$1000,$AS39,'Evaluation details_input'!$R$3:$R$1000,$BC$3)
+COUNTIFS('Evaluation details_input'!$F$3:$F$1000,$AS$34,'Evaluation details_input'!$G$3:$G$1000,$AS39,'Evaluation details_input'!$H$3:$H$1000,$BC$3,'Evaluation details_input'!$J$3:$J$1000,"Not accepted",'Evaluation details_input'!$N$3:$N$1000,"Disagree with original translator", 'Evaluation details_input'!$P$3:$P$1000,"")
+COUNTIFS('Evaluation details_input'!$F$3:$F$1000,$AS$34,'Evaluation details_input'!$G$3:$G$1000,$AS39,'Evaluation details_input'!$H$3:$H$1000,$BC$3,'Evaluation details_input'!$J$3:$J$1000,"Accepted", 'Evaluation details_input'!$P$3:$P$1000,"")
+COUNTIFS('Evaluation details_input'!$F$3:$F$1000,$AS$34,'Evaluation details_input'!$G$3:$G$1000,$AS39,'Evaluation details_input'!$H$3:$H$1000,$BC$3,'Evaluation details_input'!$J$3:$J$1000,"")</f>
        <v>0</v>
      </c>
      <c r="BD39" s="202">
        <f xml:space="preserve">
COUNTIFS('Evaluation details_input'!$P$3:$P$1000,$AS$34,'Evaluation details_input'!$Q$3:$Q$1000,$AS39,'Evaluation details_input'!$R$3:$R$1000,$BD$3)
+COUNTIFS('Evaluation details_input'!$F$3:$F$1000,$AS$34,'Evaluation details_input'!$G$3:$G$1000,$AS39,'Evaluation details_input'!$H$3:$H$1000,$BD$3,'Evaluation details_input'!$J$3:$J$1000,"Not accepted",'Evaluation details_input'!$N$3:$N$1000,"Disagree with original translator", 'Evaluation details_input'!$P$3:$P$1000,"")
+COUNTIFS('Evaluation details_input'!$F$3:$F$1000,$AS$34,'Evaluation details_input'!$G$3:$G$1000,$AS39,'Evaluation details_input'!$H$3:$H$1000,$BD$3,'Evaluation details_input'!$J$3:$J$1000,"Accepted", 'Evaluation details_input'!$P$3:$P$1000,"")
+COUNTIFS('Evaluation details_input'!$F$3:$F$1000,$AS$34,'Evaluation details_input'!$G$3:$G$1000,$AS39,'Evaluation details_input'!$H$3:$H$1000,$BD$3,'Evaluation details_input'!$J$3:$J$1000,"")</f>
        <v>0</v>
      </c>
    </row>
    <row r="40" spans="2:56" ht="22.5">
      <c r="C40" s="160" t="s">
        <v>41</v>
      </c>
      <c r="S40" s="193" t="str">
        <f>$N$5</f>
        <v>Measurement format</v>
      </c>
      <c r="T40" s="165">
        <v>1</v>
      </c>
      <c r="U40" s="165">
        <v>5</v>
      </c>
      <c r="V40" s="186">
        <v>100</v>
      </c>
      <c r="W40" s="166">
        <v>0</v>
      </c>
      <c r="X40" s="193" t="str">
        <f>$N$5</f>
        <v>Measurement format</v>
      </c>
      <c r="Y40" s="165">
        <v>1</v>
      </c>
      <c r="Z40" s="165">
        <v>5</v>
      </c>
      <c r="AA40" s="186">
        <v>100</v>
      </c>
      <c r="AB40" s="166">
        <v>0</v>
      </c>
      <c r="AC40" s="193" t="str">
        <f>$N$5</f>
        <v>Measurement format</v>
      </c>
      <c r="AD40" s="165">
        <v>1</v>
      </c>
      <c r="AE40" s="165">
        <v>5</v>
      </c>
      <c r="AF40" s="186">
        <v>100</v>
      </c>
      <c r="AG40" s="166">
        <v>0</v>
      </c>
      <c r="AH40" s="193" t="str">
        <f>$N$5</f>
        <v>Measurement format</v>
      </c>
      <c r="AI40" s="165">
        <v>1</v>
      </c>
      <c r="AJ40" s="165">
        <v>5</v>
      </c>
      <c r="AK40" s="186">
        <v>100</v>
      </c>
      <c r="AL40" s="166">
        <v>0</v>
      </c>
      <c r="AM40" s="193" t="str">
        <f>$N$5</f>
        <v>Measurement format</v>
      </c>
      <c r="AN40" s="165">
        <v>1</v>
      </c>
      <c r="AO40" s="165">
        <v>5</v>
      </c>
      <c r="AP40" s="186">
        <v>100</v>
      </c>
      <c r="AQ40" s="166">
        <v>0</v>
      </c>
      <c r="AS40" s="210" t="str">
        <f t="shared" si="14"/>
        <v>Address format</v>
      </c>
      <c r="AT40" s="206">
        <f>SUMPRODUCT(('Evaluation details_input'!$F$4:$F$1000=$AS$34)*('Evaluation details_input'!$G$4:$G$1000=$AS40)*('Evaluation details_input'!$H$4:$H$1000=$AT$3))</f>
        <v>0</v>
      </c>
      <c r="AU40" s="171">
        <f t="shared" si="15"/>
        <v>0</v>
      </c>
      <c r="AV40" s="202">
        <f xml:space="preserve">
COUNTIFS('Evaluation details_input'!$P$3:$P$1000,$AS$34,'Evaluation details_input'!$Q$3:$Q$1000,$AS40,'Evaluation details_input'!$R$3:$R$1000,$AV$3)
+COUNTIFS('Evaluation details_input'!$F$3:$F$1000,$AS$34,'Evaluation details_input'!$G$3:$G$1000,$AS40,'Evaluation details_input'!$H$3:$H$1000,$AV$3,'Evaluation details_input'!$J$3:$J$1000,"Not accepted",'Evaluation details_input'!$N$3:$N$1000,"Disagree with original translator", 'Evaluation details_input'!$P$3:$P$1000,"")
+COUNTIFS('Evaluation details_input'!$F$3:$F$1000,$AS$34,'Evaluation details_input'!$G$3:$G$1000,$AS40,'Evaluation details_input'!$H$3:$H$1000,$AV$3,'Evaluation details_input'!$J$3:$J$1000,"Accepted", 'Evaluation details_input'!$P$3:$P$1000,"")
+COUNTIFS('Evaluation details_input'!$F$3:$F$1000,$AS$34,'Evaluation details_input'!$G$3:$G$1000,$AS40,'Evaluation details_input'!$H$3:$H$1000,$AV$3,'Evaluation details_input'!$J$3:$J$1000,"")</f>
        <v>0</v>
      </c>
      <c r="AW40" s="171">
        <f t="shared" si="16"/>
        <v>0</v>
      </c>
      <c r="AX40" s="202">
        <f>SUMPRODUCT(('Evaluation details_input'!$F$4:$F$1000=$AS$34)*('Evaluation details_input'!$G$4:$G$1000=$AS40)*('Evaluation details_input'!$H$4:$H$1000=$AX$3))</f>
        <v>0</v>
      </c>
      <c r="AY40" s="171">
        <f t="shared" si="17"/>
        <v>0</v>
      </c>
      <c r="AZ40" s="202">
        <f xml:space="preserve">
COUNTIFS('Evaluation details_input'!$P$3:$P$1000,$AS$34,'Evaluation details_input'!$Q$3:$Q$1000,$AS40,'Evaluation details_input'!$R$3:$R$1000,$AZ$3)
+COUNTIFS('Evaluation details_input'!$F$3:$F$1000,$AS$34,'Evaluation details_input'!$G$3:$G$1000,$AS40,'Evaluation details_input'!$H$3:$H$1000,$AZ$3,'Evaluation details_input'!$J$3:$J$1000,"Not accepted",'Evaluation details_input'!$N$3:$N$1000,"Disagree with original translator", 'Evaluation details_input'!$P$3:$P$1000,"")
+COUNTIFS('Evaluation details_input'!$F$3:$F$1000,$AS$34,'Evaluation details_input'!$G$3:$G$1000,$AS40,'Evaluation details_input'!$H$3:$H$1000,$AZ$3,'Evaluation details_input'!$J$3:$J$1000,"Accepted", 'Evaluation details_input'!$P$3:$P$1000,"")
+COUNTIFS('Evaluation details_input'!$F$3:$F$1000,$AS$34,'Evaluation details_input'!$G$3:$G$1000,$AS40,'Evaluation details_input'!$H$3:$H$1000,$AZ$3,'Evaluation details_input'!$J$3:$J$1000,"")</f>
        <v>0</v>
      </c>
      <c r="BA40" s="171">
        <f t="shared" si="18"/>
        <v>0</v>
      </c>
      <c r="BB40" s="202">
        <f xml:space="preserve">
COUNTIFS('Evaluation details_input'!$P$3:$P$1000,$AS$34,'Evaluation details_input'!$Q$3:$Q$1000,$AS40,'Evaluation details_input'!$R$3:$R$1000,$BB$3)
+COUNTIFS('Evaluation details_input'!$F$3:$F$1000,$AS$34,'Evaluation details_input'!$G$3:$G$1000,$AS40,'Evaluation details_input'!$H$3:$H$1000,$BB$3,'Evaluation details_input'!$J$3:$J$1000,"Not accepted",'Evaluation details_input'!$N$3:$N$1000,"Disagree with original translator", 'Evaluation details_input'!$P$3:$P$1000,"")
+COUNTIFS('Evaluation details_input'!$F$3:$F$1000,$AS$34,'Evaluation details_input'!$G$3:$G$1000,$AS40,'Evaluation details_input'!$H$3:$H$1000,$BB$3,'Evaluation details_input'!$J$3:$J$1000,"Accepted", 'Evaluation details_input'!$P$3:$P$1000,"")
+COUNTIFS('Evaluation details_input'!$F$3:$F$1000,$AS$34,'Evaluation details_input'!$G$3:$G$1000,$AS40,'Evaluation details_input'!$H$3:$H$1000,$BB$3,'Evaluation details_input'!$J$3:$J$1000,"")</f>
        <v>0</v>
      </c>
      <c r="BC40" s="202">
        <f xml:space="preserve">
COUNTIFS('Evaluation details_input'!$P$3:$P$1000,$AS$34,'Evaluation details_input'!$Q$3:$Q$1000,$AS40,'Evaluation details_input'!$R$3:$R$1000,$BC$3)
+COUNTIFS('Evaluation details_input'!$F$3:$F$1000,$AS$34,'Evaluation details_input'!$G$3:$G$1000,$AS40,'Evaluation details_input'!$H$3:$H$1000,$BC$3,'Evaluation details_input'!$J$3:$J$1000,"Not accepted",'Evaluation details_input'!$N$3:$N$1000,"Disagree with original translator", 'Evaluation details_input'!$P$3:$P$1000,"")
+COUNTIFS('Evaluation details_input'!$F$3:$F$1000,$AS$34,'Evaluation details_input'!$G$3:$G$1000,$AS40,'Evaluation details_input'!$H$3:$H$1000,$BC$3,'Evaluation details_input'!$J$3:$J$1000,"Accepted", 'Evaluation details_input'!$P$3:$P$1000,"")
+COUNTIFS('Evaluation details_input'!$F$3:$F$1000,$AS$34,'Evaluation details_input'!$G$3:$G$1000,$AS40,'Evaluation details_input'!$H$3:$H$1000,$BC$3,'Evaluation details_input'!$J$3:$J$1000,"")</f>
        <v>0</v>
      </c>
      <c r="BD40" s="202">
        <f xml:space="preserve">
COUNTIFS('Evaluation details_input'!$P$3:$P$1000,$AS$34,'Evaluation details_input'!$Q$3:$Q$1000,$AS40,'Evaluation details_input'!$R$3:$R$1000,$BD$3)
+COUNTIFS('Evaluation details_input'!$F$3:$F$1000,$AS$34,'Evaluation details_input'!$G$3:$G$1000,$AS40,'Evaluation details_input'!$H$3:$H$1000,$BD$3,'Evaluation details_input'!$J$3:$J$1000,"Not accepted",'Evaluation details_input'!$N$3:$N$1000,"Disagree with original translator", 'Evaluation details_input'!$P$3:$P$1000,"")
+COUNTIFS('Evaluation details_input'!$F$3:$F$1000,$AS$34,'Evaluation details_input'!$G$3:$G$1000,$AS40,'Evaluation details_input'!$H$3:$H$1000,$BD$3,'Evaluation details_input'!$J$3:$J$1000,"Accepted", 'Evaluation details_input'!$P$3:$P$1000,"")
+COUNTIFS('Evaluation details_input'!$F$3:$F$1000,$AS$34,'Evaluation details_input'!$G$3:$G$1000,$AS40,'Evaluation details_input'!$H$3:$H$1000,$BD$3,'Evaluation details_input'!$J$3:$J$1000,"")</f>
        <v>0</v>
      </c>
    </row>
    <row r="41" spans="2:56" ht="22.5">
      <c r="C41" s="160" t="s">
        <v>42</v>
      </c>
      <c r="S41" s="193" t="str">
        <f>$N$6</f>
        <v>Time format</v>
      </c>
      <c r="T41" s="165">
        <v>1</v>
      </c>
      <c r="U41" s="165">
        <v>5</v>
      </c>
      <c r="V41" s="186">
        <v>100</v>
      </c>
      <c r="W41" s="166">
        <v>0</v>
      </c>
      <c r="X41" s="193" t="str">
        <f>$N$6</f>
        <v>Time format</v>
      </c>
      <c r="Y41" s="165">
        <v>1</v>
      </c>
      <c r="Z41" s="165">
        <v>5</v>
      </c>
      <c r="AA41" s="186">
        <v>100</v>
      </c>
      <c r="AB41" s="166">
        <v>0</v>
      </c>
      <c r="AC41" s="193" t="str">
        <f>$N$6</f>
        <v>Time format</v>
      </c>
      <c r="AD41" s="165">
        <v>1</v>
      </c>
      <c r="AE41" s="165">
        <v>5</v>
      </c>
      <c r="AF41" s="186">
        <v>100</v>
      </c>
      <c r="AG41" s="166">
        <v>0</v>
      </c>
      <c r="AH41" s="193" t="str">
        <f>$N$6</f>
        <v>Time format</v>
      </c>
      <c r="AI41" s="165">
        <v>1</v>
      </c>
      <c r="AJ41" s="165">
        <v>5</v>
      </c>
      <c r="AK41" s="186">
        <v>100</v>
      </c>
      <c r="AL41" s="166">
        <v>0</v>
      </c>
      <c r="AM41" s="193" t="str">
        <f>$N$6</f>
        <v>Time format</v>
      </c>
      <c r="AN41" s="165">
        <v>1</v>
      </c>
      <c r="AO41" s="165">
        <v>5</v>
      </c>
      <c r="AP41" s="186">
        <v>100</v>
      </c>
      <c r="AQ41" s="166">
        <v>0</v>
      </c>
      <c r="AS41" s="210" t="str">
        <f t="shared" si="14"/>
        <v>Telephone format</v>
      </c>
      <c r="AT41" s="206">
        <f>SUMPRODUCT(('Evaluation details_input'!$F$4:$F$1000=$AS$34)*('Evaluation details_input'!$G$4:$G$1000=$AS41)*('Evaluation details_input'!$H$4:$H$1000=$AT$3))</f>
        <v>0</v>
      </c>
      <c r="AU41" s="171">
        <f t="shared" si="15"/>
        <v>0</v>
      </c>
      <c r="AV41" s="202">
        <f xml:space="preserve">
COUNTIFS('Evaluation details_input'!$P$3:$P$1000,$AS$34,'Evaluation details_input'!$Q$3:$Q$1000,$AS41,'Evaluation details_input'!$R$3:$R$1000,$AV$3)
+COUNTIFS('Evaluation details_input'!$F$3:$F$1000,$AS$34,'Evaluation details_input'!$G$3:$G$1000,$AS41,'Evaluation details_input'!$H$3:$H$1000,$AV$3,'Evaluation details_input'!$J$3:$J$1000,"Not accepted",'Evaluation details_input'!$N$3:$N$1000,"Disagree with original translator", 'Evaluation details_input'!$P$3:$P$1000,"")
+COUNTIFS('Evaluation details_input'!$F$3:$F$1000,$AS$34,'Evaluation details_input'!$G$3:$G$1000,$AS41,'Evaluation details_input'!$H$3:$H$1000,$AV$3,'Evaluation details_input'!$J$3:$J$1000,"Accepted", 'Evaluation details_input'!$P$3:$P$1000,"")
+COUNTIFS('Evaluation details_input'!$F$3:$F$1000,$AS$34,'Evaluation details_input'!$G$3:$G$1000,$AS41,'Evaluation details_input'!$H$3:$H$1000,$AV$3,'Evaluation details_input'!$J$3:$J$1000,"")</f>
        <v>0</v>
      </c>
      <c r="AW41" s="171">
        <f t="shared" si="16"/>
        <v>0</v>
      </c>
      <c r="AX41" s="202">
        <f>SUMPRODUCT(('Evaluation details_input'!$F$4:$F$1000=$AS$34)*('Evaluation details_input'!$G$4:$G$1000=$AS41)*('Evaluation details_input'!$H$4:$H$1000=$AX$3))</f>
        <v>0</v>
      </c>
      <c r="AY41" s="171">
        <f t="shared" si="17"/>
        <v>0</v>
      </c>
      <c r="AZ41" s="202">
        <f xml:space="preserve">
COUNTIFS('Evaluation details_input'!$P$3:$P$1000,$AS$34,'Evaluation details_input'!$Q$3:$Q$1000,$AS41,'Evaluation details_input'!$R$3:$R$1000,$AZ$3)
+COUNTIFS('Evaluation details_input'!$F$3:$F$1000,$AS$34,'Evaluation details_input'!$G$3:$G$1000,$AS41,'Evaluation details_input'!$H$3:$H$1000,$AZ$3,'Evaluation details_input'!$J$3:$J$1000,"Not accepted",'Evaluation details_input'!$N$3:$N$1000,"Disagree with original translator", 'Evaluation details_input'!$P$3:$P$1000,"")
+COUNTIFS('Evaluation details_input'!$F$3:$F$1000,$AS$34,'Evaluation details_input'!$G$3:$G$1000,$AS41,'Evaluation details_input'!$H$3:$H$1000,$AZ$3,'Evaluation details_input'!$J$3:$J$1000,"Accepted", 'Evaluation details_input'!$P$3:$P$1000,"")
+COUNTIFS('Evaluation details_input'!$F$3:$F$1000,$AS$34,'Evaluation details_input'!$G$3:$G$1000,$AS41,'Evaluation details_input'!$H$3:$H$1000,$AZ$3,'Evaluation details_input'!$J$3:$J$1000,"")</f>
        <v>0</v>
      </c>
      <c r="BA41" s="171">
        <f t="shared" si="18"/>
        <v>0</v>
      </c>
      <c r="BB41" s="202">
        <f xml:space="preserve">
COUNTIFS('Evaluation details_input'!$P$3:$P$1000,$AS$34,'Evaluation details_input'!$Q$3:$Q$1000,$AS41,'Evaluation details_input'!$R$3:$R$1000,$BB$3)
+COUNTIFS('Evaluation details_input'!$F$3:$F$1000,$AS$34,'Evaluation details_input'!$G$3:$G$1000,$AS41,'Evaluation details_input'!$H$3:$H$1000,$BB$3,'Evaluation details_input'!$J$3:$J$1000,"Not accepted",'Evaluation details_input'!$N$3:$N$1000,"Disagree with original translator", 'Evaluation details_input'!$P$3:$P$1000,"")
+COUNTIFS('Evaluation details_input'!$F$3:$F$1000,$AS$34,'Evaluation details_input'!$G$3:$G$1000,$AS41,'Evaluation details_input'!$H$3:$H$1000,$BB$3,'Evaluation details_input'!$J$3:$J$1000,"Accepted", 'Evaluation details_input'!$P$3:$P$1000,"")
+COUNTIFS('Evaluation details_input'!$F$3:$F$1000,$AS$34,'Evaluation details_input'!$G$3:$G$1000,$AS41,'Evaluation details_input'!$H$3:$H$1000,$BB$3,'Evaluation details_input'!$J$3:$J$1000,"")</f>
        <v>0</v>
      </c>
      <c r="BC41" s="202">
        <f xml:space="preserve">
COUNTIFS('Evaluation details_input'!$P$3:$P$1000,$AS$34,'Evaluation details_input'!$Q$3:$Q$1000,$AS41,'Evaluation details_input'!$R$3:$R$1000,$BC$3)
+COUNTIFS('Evaluation details_input'!$F$3:$F$1000,$AS$34,'Evaluation details_input'!$G$3:$G$1000,$AS41,'Evaluation details_input'!$H$3:$H$1000,$BC$3,'Evaluation details_input'!$J$3:$J$1000,"Not accepted",'Evaluation details_input'!$N$3:$N$1000,"Disagree with original translator", 'Evaluation details_input'!$P$3:$P$1000,"")
+COUNTIFS('Evaluation details_input'!$F$3:$F$1000,$AS$34,'Evaluation details_input'!$G$3:$G$1000,$AS41,'Evaluation details_input'!$H$3:$H$1000,$BC$3,'Evaluation details_input'!$J$3:$J$1000,"Accepted", 'Evaluation details_input'!$P$3:$P$1000,"")
+COUNTIFS('Evaluation details_input'!$F$3:$F$1000,$AS$34,'Evaluation details_input'!$G$3:$G$1000,$AS41,'Evaluation details_input'!$H$3:$H$1000,$BC$3,'Evaluation details_input'!$J$3:$J$1000,"")</f>
        <v>0</v>
      </c>
      <c r="BD41" s="202">
        <f xml:space="preserve">
COUNTIFS('Evaluation details_input'!$P$3:$P$1000,$AS$34,'Evaluation details_input'!$Q$3:$Q$1000,$AS41,'Evaluation details_input'!$R$3:$R$1000,$BD$3)
+COUNTIFS('Evaluation details_input'!$F$3:$F$1000,$AS$34,'Evaluation details_input'!$G$3:$G$1000,$AS41,'Evaluation details_input'!$H$3:$H$1000,$BD$3,'Evaluation details_input'!$J$3:$J$1000,"Not accepted",'Evaluation details_input'!$N$3:$N$1000,"Disagree with original translator", 'Evaluation details_input'!$P$3:$P$1000,"")
+COUNTIFS('Evaluation details_input'!$F$3:$F$1000,$AS$34,'Evaluation details_input'!$G$3:$G$1000,$AS41,'Evaluation details_input'!$H$3:$H$1000,$BD$3,'Evaluation details_input'!$J$3:$J$1000,"Accepted", 'Evaluation details_input'!$P$3:$P$1000,"")
+COUNTIFS('Evaluation details_input'!$F$3:$F$1000,$AS$34,'Evaluation details_input'!$G$3:$G$1000,$AS41,'Evaluation details_input'!$H$3:$H$1000,$BD$3,'Evaluation details_input'!$J$3:$J$1000,"")</f>
        <v>0</v>
      </c>
    </row>
    <row r="42" spans="2:56">
      <c r="C42" s="160" t="s">
        <v>101</v>
      </c>
      <c r="S42" s="193" t="str">
        <f>$N$7</f>
        <v>Date format</v>
      </c>
      <c r="T42" s="165">
        <v>1</v>
      </c>
      <c r="U42" s="165">
        <v>5</v>
      </c>
      <c r="V42" s="186">
        <v>100</v>
      </c>
      <c r="W42" s="166">
        <v>0</v>
      </c>
      <c r="X42" s="193" t="str">
        <f>$N$7</f>
        <v>Date format</v>
      </c>
      <c r="Y42" s="165">
        <v>1</v>
      </c>
      <c r="Z42" s="165">
        <v>5</v>
      </c>
      <c r="AA42" s="186">
        <v>100</v>
      </c>
      <c r="AB42" s="166">
        <v>0</v>
      </c>
      <c r="AC42" s="193" t="str">
        <f>$N$7</f>
        <v>Date format</v>
      </c>
      <c r="AD42" s="165">
        <v>1</v>
      </c>
      <c r="AE42" s="165">
        <v>5</v>
      </c>
      <c r="AF42" s="186">
        <v>100</v>
      </c>
      <c r="AG42" s="166">
        <v>0</v>
      </c>
      <c r="AH42" s="193" t="str">
        <f>$N$7</f>
        <v>Date format</v>
      </c>
      <c r="AI42" s="165">
        <v>1</v>
      </c>
      <c r="AJ42" s="165">
        <v>5</v>
      </c>
      <c r="AK42" s="186">
        <v>100</v>
      </c>
      <c r="AL42" s="166">
        <v>0</v>
      </c>
      <c r="AM42" s="193" t="str">
        <f>$N$7</f>
        <v>Date format</v>
      </c>
      <c r="AN42" s="165">
        <v>1</v>
      </c>
      <c r="AO42" s="165">
        <v>5</v>
      </c>
      <c r="AP42" s="186">
        <v>100</v>
      </c>
      <c r="AQ42" s="166">
        <v>0</v>
      </c>
      <c r="AS42" s="210" t="str">
        <f t="shared" si="14"/>
        <v>Shortcut key</v>
      </c>
      <c r="AT42" s="206">
        <f>SUMPRODUCT(('Evaluation details_input'!$F$4:$F$1000=$AS$34)*('Evaluation details_input'!$G$4:$G$1000=$AS42)*('Evaluation details_input'!$H$4:$H$1000=$AT$3))</f>
        <v>0</v>
      </c>
      <c r="AU42" s="171">
        <f t="shared" si="15"/>
        <v>0</v>
      </c>
      <c r="AV42" s="202">
        <f xml:space="preserve">
COUNTIFS('Evaluation details_input'!$P$3:$P$1000,$AS$34,'Evaluation details_input'!$Q$3:$Q$1000,$AS42,'Evaluation details_input'!$R$3:$R$1000,$AV$3)
+COUNTIFS('Evaluation details_input'!$F$3:$F$1000,$AS$34,'Evaluation details_input'!$G$3:$G$1000,$AS42,'Evaluation details_input'!$H$3:$H$1000,$AV$3,'Evaluation details_input'!$J$3:$J$1000,"Not accepted",'Evaluation details_input'!$N$3:$N$1000,"Disagree with original translator", 'Evaluation details_input'!$P$3:$P$1000,"")
+COUNTIFS('Evaluation details_input'!$F$3:$F$1000,$AS$34,'Evaluation details_input'!$G$3:$G$1000,$AS42,'Evaluation details_input'!$H$3:$H$1000,$AV$3,'Evaluation details_input'!$J$3:$J$1000,"Accepted", 'Evaluation details_input'!$P$3:$P$1000,"")
+COUNTIFS('Evaluation details_input'!$F$3:$F$1000,$AS$34,'Evaluation details_input'!$G$3:$G$1000,$AS42,'Evaluation details_input'!$H$3:$H$1000,$AV$3,'Evaluation details_input'!$J$3:$J$1000,"")</f>
        <v>0</v>
      </c>
      <c r="AW42" s="171">
        <f t="shared" si="16"/>
        <v>0</v>
      </c>
      <c r="AX42" s="202">
        <f>SUMPRODUCT(('Evaluation details_input'!$F$4:$F$1000=$AS$34)*('Evaluation details_input'!$G$4:$G$1000=$AS42)*('Evaluation details_input'!$H$4:$H$1000=$AX$3))</f>
        <v>0</v>
      </c>
      <c r="AY42" s="171">
        <f t="shared" si="17"/>
        <v>0</v>
      </c>
      <c r="AZ42" s="202">
        <f xml:space="preserve">
COUNTIFS('Evaluation details_input'!$P$3:$P$1000,$AS$34,'Evaluation details_input'!$Q$3:$Q$1000,$AS42,'Evaluation details_input'!$R$3:$R$1000,$AZ$3)
+COUNTIFS('Evaluation details_input'!$F$3:$F$1000,$AS$34,'Evaluation details_input'!$G$3:$G$1000,$AS42,'Evaluation details_input'!$H$3:$H$1000,$AZ$3,'Evaluation details_input'!$J$3:$J$1000,"Not accepted",'Evaluation details_input'!$N$3:$N$1000,"Disagree with original translator", 'Evaluation details_input'!$P$3:$P$1000,"")
+COUNTIFS('Evaluation details_input'!$F$3:$F$1000,$AS$34,'Evaluation details_input'!$G$3:$G$1000,$AS42,'Evaluation details_input'!$H$3:$H$1000,$AZ$3,'Evaluation details_input'!$J$3:$J$1000,"Accepted", 'Evaluation details_input'!$P$3:$P$1000,"")
+COUNTIFS('Evaluation details_input'!$F$3:$F$1000,$AS$34,'Evaluation details_input'!$G$3:$G$1000,$AS42,'Evaluation details_input'!$H$3:$H$1000,$AZ$3,'Evaluation details_input'!$J$3:$J$1000,"")</f>
        <v>0</v>
      </c>
      <c r="BA42" s="171">
        <f t="shared" si="18"/>
        <v>0</v>
      </c>
      <c r="BB42" s="202">
        <f xml:space="preserve">
COUNTIFS('Evaluation details_input'!$P$3:$P$1000,$AS$34,'Evaluation details_input'!$Q$3:$Q$1000,$AS42,'Evaluation details_input'!$R$3:$R$1000,$BB$3)
+COUNTIFS('Evaluation details_input'!$F$3:$F$1000,$AS$34,'Evaluation details_input'!$G$3:$G$1000,$AS42,'Evaluation details_input'!$H$3:$H$1000,$BB$3,'Evaluation details_input'!$J$3:$J$1000,"Not accepted",'Evaluation details_input'!$N$3:$N$1000,"Disagree with original translator", 'Evaluation details_input'!$P$3:$P$1000,"")
+COUNTIFS('Evaluation details_input'!$F$3:$F$1000,$AS$34,'Evaluation details_input'!$G$3:$G$1000,$AS42,'Evaluation details_input'!$H$3:$H$1000,$BB$3,'Evaluation details_input'!$J$3:$J$1000,"Accepted", 'Evaluation details_input'!$P$3:$P$1000,"")
+COUNTIFS('Evaluation details_input'!$F$3:$F$1000,$AS$34,'Evaluation details_input'!$G$3:$G$1000,$AS42,'Evaluation details_input'!$H$3:$H$1000,$BB$3,'Evaluation details_input'!$J$3:$J$1000,"")</f>
        <v>0</v>
      </c>
      <c r="BC42" s="202">
        <f xml:space="preserve">
COUNTIFS('Evaluation details_input'!$P$3:$P$1000,$AS$34,'Evaluation details_input'!$Q$3:$Q$1000,$AS42,'Evaluation details_input'!$R$3:$R$1000,$BC$3)
+COUNTIFS('Evaluation details_input'!$F$3:$F$1000,$AS$34,'Evaluation details_input'!$G$3:$G$1000,$AS42,'Evaluation details_input'!$H$3:$H$1000,$BC$3,'Evaluation details_input'!$J$3:$J$1000,"Not accepted",'Evaluation details_input'!$N$3:$N$1000,"Disagree with original translator", 'Evaluation details_input'!$P$3:$P$1000,"")
+COUNTIFS('Evaluation details_input'!$F$3:$F$1000,$AS$34,'Evaluation details_input'!$G$3:$G$1000,$AS42,'Evaluation details_input'!$H$3:$H$1000,$BC$3,'Evaluation details_input'!$J$3:$J$1000,"Accepted", 'Evaluation details_input'!$P$3:$P$1000,"")
+COUNTIFS('Evaluation details_input'!$F$3:$F$1000,$AS$34,'Evaluation details_input'!$G$3:$G$1000,$AS42,'Evaluation details_input'!$H$3:$H$1000,$BC$3,'Evaluation details_input'!$J$3:$J$1000,"")</f>
        <v>0</v>
      </c>
      <c r="BD42" s="202">
        <f xml:space="preserve">
COUNTIFS('Evaluation details_input'!$P$3:$P$1000,$AS$34,'Evaluation details_input'!$Q$3:$Q$1000,$AS42,'Evaluation details_input'!$R$3:$R$1000,$BD$3)
+COUNTIFS('Evaluation details_input'!$F$3:$F$1000,$AS$34,'Evaluation details_input'!$G$3:$G$1000,$AS42,'Evaluation details_input'!$H$3:$H$1000,$BD$3,'Evaluation details_input'!$J$3:$J$1000,"Not accepted",'Evaluation details_input'!$N$3:$N$1000,"Disagree with original translator", 'Evaluation details_input'!$P$3:$P$1000,"")
+COUNTIFS('Evaluation details_input'!$F$3:$F$1000,$AS$34,'Evaluation details_input'!$G$3:$G$1000,$AS42,'Evaluation details_input'!$H$3:$H$1000,$BD$3,'Evaluation details_input'!$J$3:$J$1000,"Accepted", 'Evaluation details_input'!$P$3:$P$1000,"")
+COUNTIFS('Evaluation details_input'!$F$3:$F$1000,$AS$34,'Evaluation details_input'!$G$3:$G$1000,$AS42,'Evaluation details_input'!$H$3:$H$1000,$BD$3,'Evaluation details_input'!$J$3:$J$1000,"")</f>
        <v>0</v>
      </c>
    </row>
    <row r="43" spans="2:56" ht="13.5" thickBot="1">
      <c r="C43" s="160" t="s">
        <v>238</v>
      </c>
      <c r="S43" s="193" t="str">
        <f>$N$8</f>
        <v>Address format</v>
      </c>
      <c r="T43" s="165">
        <v>1</v>
      </c>
      <c r="U43" s="165">
        <v>5</v>
      </c>
      <c r="V43" s="186">
        <v>100</v>
      </c>
      <c r="W43" s="166">
        <v>0</v>
      </c>
      <c r="X43" s="193" t="str">
        <f>$N$8</f>
        <v>Address format</v>
      </c>
      <c r="Y43" s="165">
        <v>1</v>
      </c>
      <c r="Z43" s="165">
        <v>5</v>
      </c>
      <c r="AA43" s="186">
        <v>100</v>
      </c>
      <c r="AB43" s="166">
        <v>0</v>
      </c>
      <c r="AC43" s="193" t="str">
        <f>$N$8</f>
        <v>Address format</v>
      </c>
      <c r="AD43" s="165">
        <v>1</v>
      </c>
      <c r="AE43" s="165">
        <v>5</v>
      </c>
      <c r="AF43" s="186">
        <v>100</v>
      </c>
      <c r="AG43" s="166">
        <v>0</v>
      </c>
      <c r="AH43" s="193" t="str">
        <f>$N$8</f>
        <v>Address format</v>
      </c>
      <c r="AI43" s="165">
        <v>1</v>
      </c>
      <c r="AJ43" s="165">
        <v>5</v>
      </c>
      <c r="AK43" s="186">
        <v>100</v>
      </c>
      <c r="AL43" s="166">
        <v>0</v>
      </c>
      <c r="AM43" s="193" t="str">
        <f>$N$8</f>
        <v>Address format</v>
      </c>
      <c r="AN43" s="165">
        <v>1</v>
      </c>
      <c r="AO43" s="165">
        <v>5</v>
      </c>
      <c r="AP43" s="186">
        <v>100</v>
      </c>
      <c r="AQ43" s="166">
        <v>0</v>
      </c>
      <c r="AS43" s="212" t="str">
        <f t="shared" si="14"/>
        <v>Other</v>
      </c>
      <c r="AT43" s="206">
        <f>SUMPRODUCT(('Evaluation details_input'!$F$4:$F$1000=$AS$34)*('Evaluation details_input'!$G$4:$G$1000=$AS43)*('Evaluation details_input'!$H$4:$H$1000=$AT$3))</f>
        <v>0</v>
      </c>
      <c r="AU43" s="171">
        <f t="shared" si="15"/>
        <v>0</v>
      </c>
      <c r="AV43" s="202">
        <f xml:space="preserve">
COUNTIFS('Evaluation details_input'!$P$3:$P$1000,$AS$34,'Evaluation details_input'!$Q$3:$Q$1000,$AS43,'Evaluation details_input'!$R$3:$R$1000,$AV$3)
+COUNTIFS('Evaluation details_input'!$F$3:$F$1000,$AS$34,'Evaluation details_input'!$G$3:$G$1000,$AS43,'Evaluation details_input'!$H$3:$H$1000,$AV$3,'Evaluation details_input'!$J$3:$J$1000,"Not accepted",'Evaluation details_input'!$N$3:$N$1000,"Disagree with original translator", 'Evaluation details_input'!$P$3:$P$1000,"")
+COUNTIFS('Evaluation details_input'!$F$3:$F$1000,$AS$34,'Evaluation details_input'!$G$3:$G$1000,$AS43,'Evaluation details_input'!$H$3:$H$1000,$AV$3,'Evaluation details_input'!$J$3:$J$1000,"Accepted", 'Evaluation details_input'!$P$3:$P$1000,"")
+COUNTIFS('Evaluation details_input'!$F$3:$F$1000,$AS$34,'Evaluation details_input'!$G$3:$G$1000,$AS43,'Evaluation details_input'!$H$3:$H$1000,$AV$3,'Evaluation details_input'!$J$3:$J$1000,"")</f>
        <v>0</v>
      </c>
      <c r="AW43" s="171">
        <f t="shared" si="16"/>
        <v>0</v>
      </c>
      <c r="AX43" s="202">
        <f>SUMPRODUCT(('Evaluation details_input'!$F$4:$F$1000=$AS$34)*('Evaluation details_input'!$G$4:$G$1000=$AS43)*('Evaluation details_input'!$H$4:$H$1000=$AX$3))</f>
        <v>0</v>
      </c>
      <c r="AY43" s="171">
        <f t="shared" si="17"/>
        <v>0</v>
      </c>
      <c r="AZ43" s="202">
        <f xml:space="preserve">
COUNTIFS('Evaluation details_input'!$P$3:$P$1000,$AS$34,'Evaluation details_input'!$Q$3:$Q$1000,$AS43,'Evaluation details_input'!$R$3:$R$1000,$AZ$3)
+COUNTIFS('Evaluation details_input'!$F$3:$F$1000,$AS$34,'Evaluation details_input'!$G$3:$G$1000,$AS43,'Evaluation details_input'!$H$3:$H$1000,$AZ$3,'Evaluation details_input'!$J$3:$J$1000,"Not accepted",'Evaluation details_input'!$N$3:$N$1000,"Disagree with original translator", 'Evaluation details_input'!$P$3:$P$1000,"")
+COUNTIFS('Evaluation details_input'!$F$3:$F$1000,$AS$34,'Evaluation details_input'!$G$3:$G$1000,$AS43,'Evaluation details_input'!$H$3:$H$1000,$AZ$3,'Evaluation details_input'!$J$3:$J$1000,"Accepted", 'Evaluation details_input'!$P$3:$P$1000,"")
+COUNTIFS('Evaluation details_input'!$F$3:$F$1000,$AS$34,'Evaluation details_input'!$G$3:$G$1000,$AS43,'Evaluation details_input'!$H$3:$H$1000,$AZ$3,'Evaluation details_input'!$J$3:$J$1000,"")</f>
        <v>0</v>
      </c>
      <c r="BA43" s="171">
        <f t="shared" si="18"/>
        <v>0</v>
      </c>
      <c r="BB43" s="202">
        <f xml:space="preserve">
COUNTIFS('Evaluation details_input'!$P$3:$P$1000,$AS$34,'Evaluation details_input'!$Q$3:$Q$1000,$AS43,'Evaluation details_input'!$R$3:$R$1000,$BB$3)
+COUNTIFS('Evaluation details_input'!$F$3:$F$1000,$AS$34,'Evaluation details_input'!$G$3:$G$1000,$AS43,'Evaluation details_input'!$H$3:$H$1000,$BB$3,'Evaluation details_input'!$J$3:$J$1000,"Not accepted",'Evaluation details_input'!$N$3:$N$1000,"Disagree with original translator", 'Evaluation details_input'!$P$3:$P$1000,"")
+COUNTIFS('Evaluation details_input'!$F$3:$F$1000,$AS$34,'Evaluation details_input'!$G$3:$G$1000,$AS43,'Evaluation details_input'!$H$3:$H$1000,$BB$3,'Evaluation details_input'!$J$3:$J$1000,"Accepted", 'Evaluation details_input'!$P$3:$P$1000,"")
+COUNTIFS('Evaluation details_input'!$F$3:$F$1000,$AS$34,'Evaluation details_input'!$G$3:$G$1000,$AS43,'Evaluation details_input'!$H$3:$H$1000,$BB$3,'Evaluation details_input'!$J$3:$J$1000,"")</f>
        <v>0</v>
      </c>
      <c r="BC43" s="202">
        <f xml:space="preserve">
COUNTIFS('Evaluation details_input'!$P$3:$P$1000,$AS$34,'Evaluation details_input'!$Q$3:$Q$1000,$AS43,'Evaluation details_input'!$R$3:$R$1000,$BC$3)
+COUNTIFS('Evaluation details_input'!$F$3:$F$1000,$AS$34,'Evaluation details_input'!$G$3:$G$1000,$AS43,'Evaluation details_input'!$H$3:$H$1000,$BC$3,'Evaluation details_input'!$J$3:$J$1000,"Not accepted",'Evaluation details_input'!$N$3:$N$1000,"Disagree with original translator", 'Evaluation details_input'!$P$3:$P$1000,"")
+COUNTIFS('Evaluation details_input'!$F$3:$F$1000,$AS$34,'Evaluation details_input'!$G$3:$G$1000,$AS43,'Evaluation details_input'!$H$3:$H$1000,$BC$3,'Evaluation details_input'!$J$3:$J$1000,"Accepted", 'Evaluation details_input'!$P$3:$P$1000,"")
+COUNTIFS('Evaluation details_input'!$F$3:$F$1000,$AS$34,'Evaluation details_input'!$G$3:$G$1000,$AS43,'Evaluation details_input'!$H$3:$H$1000,$BC$3,'Evaluation details_input'!$J$3:$J$1000,"")</f>
        <v>0</v>
      </c>
      <c r="BD43" s="202">
        <f xml:space="preserve">
COUNTIFS('Evaluation details_input'!$P$3:$P$1000,$AS$34,'Evaluation details_input'!$Q$3:$Q$1000,$AS43,'Evaluation details_input'!$R$3:$R$1000,$BD$3)
+COUNTIFS('Evaluation details_input'!$F$3:$F$1000,$AS$34,'Evaluation details_input'!$G$3:$G$1000,$AS43,'Evaluation details_input'!$H$3:$H$1000,$BD$3,'Evaluation details_input'!$J$3:$J$1000,"Not accepted",'Evaluation details_input'!$N$3:$N$1000,"Disagree with original translator", 'Evaluation details_input'!$P$3:$P$1000,"")
+COUNTIFS('Evaluation details_input'!$F$3:$F$1000,$AS$34,'Evaluation details_input'!$G$3:$G$1000,$AS43,'Evaluation details_input'!$H$3:$H$1000,$BD$3,'Evaluation details_input'!$J$3:$J$1000,"Accepted", 'Evaluation details_input'!$P$3:$P$1000,"")
+COUNTIFS('Evaluation details_input'!$F$3:$F$1000,$AS$34,'Evaluation details_input'!$G$3:$G$1000,$AS43,'Evaluation details_input'!$H$3:$H$1000,$BD$3,'Evaluation details_input'!$J$3:$J$1000,"")</f>
        <v>0</v>
      </c>
    </row>
    <row r="44" spans="2:56" ht="33.75">
      <c r="C44" s="160" t="s">
        <v>137</v>
      </c>
      <c r="S44" s="193" t="str">
        <f>$N$9</f>
        <v>Telephone format</v>
      </c>
      <c r="T44" s="165">
        <v>1</v>
      </c>
      <c r="U44" s="165">
        <v>5</v>
      </c>
      <c r="V44" s="186">
        <v>100</v>
      </c>
      <c r="W44" s="166">
        <v>0</v>
      </c>
      <c r="X44" s="193" t="str">
        <f>$N$9</f>
        <v>Telephone format</v>
      </c>
      <c r="Y44" s="165">
        <v>1</v>
      </c>
      <c r="Z44" s="165">
        <v>5</v>
      </c>
      <c r="AA44" s="186">
        <v>100</v>
      </c>
      <c r="AB44" s="166">
        <v>0</v>
      </c>
      <c r="AC44" s="193" t="str">
        <f>$N$9</f>
        <v>Telephone format</v>
      </c>
      <c r="AD44" s="165">
        <v>1</v>
      </c>
      <c r="AE44" s="165">
        <v>5</v>
      </c>
      <c r="AF44" s="186">
        <v>100</v>
      </c>
      <c r="AG44" s="166">
        <v>0</v>
      </c>
      <c r="AH44" s="193" t="str">
        <f>$N$9</f>
        <v>Telephone format</v>
      </c>
      <c r="AI44" s="165">
        <v>1</v>
      </c>
      <c r="AJ44" s="165">
        <v>5</v>
      </c>
      <c r="AK44" s="186">
        <v>100</v>
      </c>
      <c r="AL44" s="166">
        <v>0</v>
      </c>
      <c r="AM44" s="193" t="str">
        <f>$N$9</f>
        <v>Telephone format</v>
      </c>
      <c r="AN44" s="165">
        <v>1</v>
      </c>
      <c r="AO44" s="165">
        <v>5</v>
      </c>
      <c r="AP44" s="186">
        <v>100</v>
      </c>
      <c r="AQ44" s="166">
        <v>0</v>
      </c>
      <c r="AS44" s="214" t="str">
        <f>O2</f>
        <v>Audience appropriateness</v>
      </c>
      <c r="AT44" s="207"/>
      <c r="AU44" s="173"/>
      <c r="AV44" s="173"/>
      <c r="AW44" s="173"/>
      <c r="AX44" s="203"/>
      <c r="AY44" s="173"/>
      <c r="AZ44" s="173"/>
      <c r="BA44" s="173"/>
      <c r="BB44" s="264"/>
      <c r="BC44" s="264"/>
      <c r="BD44" s="264"/>
    </row>
    <row r="45" spans="2:56" ht="33.75">
      <c r="C45" s="160" t="s">
        <v>43</v>
      </c>
      <c r="S45" s="193" t="str">
        <f>$N$10</f>
        <v>Shortcut key</v>
      </c>
      <c r="T45" s="165">
        <v>1</v>
      </c>
      <c r="U45" s="165">
        <v>5</v>
      </c>
      <c r="V45" s="186">
        <v>100</v>
      </c>
      <c r="W45" s="166">
        <v>0</v>
      </c>
      <c r="X45" s="193" t="str">
        <f>$N$10</f>
        <v>Shortcut key</v>
      </c>
      <c r="Y45" s="165">
        <v>1</v>
      </c>
      <c r="Z45" s="165">
        <v>5</v>
      </c>
      <c r="AA45" s="186">
        <v>100</v>
      </c>
      <c r="AB45" s="166">
        <v>0</v>
      </c>
      <c r="AC45" s="193" t="str">
        <f>$N$10</f>
        <v>Shortcut key</v>
      </c>
      <c r="AD45" s="165">
        <v>1</v>
      </c>
      <c r="AE45" s="165">
        <v>5</v>
      </c>
      <c r="AF45" s="186">
        <v>100</v>
      </c>
      <c r="AG45" s="166">
        <v>0</v>
      </c>
      <c r="AH45" s="193" t="str">
        <f>$N$10</f>
        <v>Shortcut key</v>
      </c>
      <c r="AI45" s="165">
        <v>1</v>
      </c>
      <c r="AJ45" s="165">
        <v>5</v>
      </c>
      <c r="AK45" s="186">
        <v>100</v>
      </c>
      <c r="AL45" s="166">
        <v>0</v>
      </c>
      <c r="AM45" s="193" t="str">
        <f>$N$10</f>
        <v>Shortcut key</v>
      </c>
      <c r="AN45" s="165">
        <v>1</v>
      </c>
      <c r="AO45" s="165">
        <v>5</v>
      </c>
      <c r="AP45" s="186">
        <v>100</v>
      </c>
      <c r="AQ45" s="166">
        <v>0</v>
      </c>
      <c r="AS45" s="210" t="str">
        <f>$O3</f>
        <v>Culture-specific reference</v>
      </c>
      <c r="AT45" s="206">
        <f>SUMPRODUCT(('Evaluation details_input'!$F$4:$F$1000=$AS$44)*('Evaluation details_input'!$G$4:$G$1000=$AS45)*('Evaluation details_input'!$H$4:$H$1000=$AT$3))</f>
        <v>0</v>
      </c>
      <c r="AU45" s="171">
        <f xml:space="preserve">
IF($AT$2=$X$3,$AT45*$Y48,
IF($AT$2=$AC$3,$AT45*$AD48,
$AT45*$T48))</f>
        <v>0</v>
      </c>
      <c r="AV45" s="202">
        <f xml:space="preserve">
COUNTIFS('Evaluation details_input'!$P$3:$P$1000,$AS$44,'Evaluation details_input'!$Q$3:$Q$1000,$AS45,'Evaluation details_input'!$R$3:$R$1000,$AV$3)
+COUNTIFS('Evaluation details_input'!$F$3:$F$1000,$AS$44,'Evaluation details_input'!$G$3:$G$1000,$AS45,'Evaluation details_input'!$H$3:$H$1000,$AV$3,'Evaluation details_input'!$J$3:$J$1000,"Not accepted",'Evaluation details_input'!$N$3:$N$1000,"Disagree with original translator", 'Evaluation details_input'!$P$3:$P$1000,"")
+COUNTIFS('Evaluation details_input'!$F$3:$F$1000,$AS$44,'Evaluation details_input'!$G$3:$G$1000,$AS45,'Evaluation details_input'!$H$3:$H$1000,$AV$3,'Evaluation details_input'!$J$3:$J$1000,"Accepted", 'Evaluation details_input'!$P$3:$P$1000,"")
+COUNTIFS('Evaluation details_input'!$F$3:$F$1000,$AS$44,'Evaluation details_input'!$G$3:$G$1000,$AS45,'Evaluation details_input'!$H$3:$H$1000,$AV$3,'Evaluation details_input'!$J$3:$J$1000,"")</f>
        <v>0</v>
      </c>
      <c r="AW45" s="171">
        <f xml:space="preserve">
IF($AT$2=$X$3,$AV45*$Y48,
IF($AT$2=$AC$3,$AV45*$AD48,
$AV45*$T48))</f>
        <v>0</v>
      </c>
      <c r="AX45" s="202">
        <f>SUMPRODUCT(('Evaluation details_input'!$F$4:$F$1000=$AS$44)*('Evaluation details_input'!$G$4:$G$1000=$AS45)*('Evaluation details_input'!$H$4:$H$1000=$AX$3))</f>
        <v>0</v>
      </c>
      <c r="AY45" s="171">
        <f xml:space="preserve">
IF($AT$2=$X$3,$AX45*$Z48,
IF($AT$2=$AC$3,$AX45*$AE48,
$AX45*$U48))</f>
        <v>0</v>
      </c>
      <c r="AZ45" s="202">
        <f xml:space="preserve">
COUNTIFS('Evaluation details_input'!$P$3:$P$1000,$AS$44,'Evaluation details_input'!$Q$3:$Q$1000,$AS45,'Evaluation details_input'!$R$3:$R$1000,$AZ$3)
+COUNTIFS('Evaluation details_input'!$F$3:$F$1000,$AS$44,'Evaluation details_input'!$G$3:$G$1000,$AS45,'Evaluation details_input'!$H$3:$H$1000,$AZ$3,'Evaluation details_input'!$J$3:$J$1000,"Not accepted",'Evaluation details_input'!$N$3:$N$1000,"Disagree with original translator", 'Evaluation details_input'!$P$3:$P$1000,"")
+COUNTIFS('Evaluation details_input'!$F$3:$F$1000,$AS$44,'Evaluation details_input'!$G$3:$G$1000,$AS45,'Evaluation details_input'!$H$3:$H$1000,$AZ$3,'Evaluation details_input'!$J$3:$J$1000,"Accepted", 'Evaluation details_input'!$P$3:$P$1000,"")
+COUNTIFS('Evaluation details_input'!$F$3:$F$1000,$AS$44,'Evaluation details_input'!$G$3:$G$1000,$AS45,'Evaluation details_input'!$H$3:$H$1000,$AZ$3,'Evaluation details_input'!$J$3:$J$1000,"")</f>
        <v>0</v>
      </c>
      <c r="BA45" s="171">
        <f xml:space="preserve">
IF($AT$2=$X$3,$AZ45*$Z48,
IF($AT$2=$AC$3,$AZ45*$AE48,
$AZ45*$U48))</f>
        <v>0</v>
      </c>
      <c r="BB45" s="202">
        <f xml:space="preserve">
COUNTIFS('Evaluation details_input'!$P$3:$P$1000,$AS$44,'Evaluation details_input'!$Q$3:$Q$1000,$AS45,'Evaluation details_input'!$R$3:$R$1000,$BB$3)
+COUNTIFS('Evaluation details_input'!$F$3:$F$1000,$AS$44,'Evaluation details_input'!$G$3:$G$1000,$AS45,'Evaluation details_input'!$H$3:$H$1000,$BB$3,'Evaluation details_input'!$J$3:$J$1000,"Not accepted",'Evaluation details_input'!$N$3:$N$1000,"Disagree with original translator", 'Evaluation details_input'!$P$3:$P$1000,"")
+COUNTIFS('Evaluation details_input'!$F$3:$F$1000,$AS$44,'Evaluation details_input'!$G$3:$G$1000,$AS45,'Evaluation details_input'!$H$3:$H$1000,$BB$3,'Evaluation details_input'!$J$3:$J$1000,"Accepted", 'Evaluation details_input'!$P$3:$P$1000,"")
+COUNTIFS('Evaluation details_input'!$F$3:$F$1000,$AS$44,'Evaluation details_input'!$G$3:$G$1000,$AS45,'Evaluation details_input'!$H$3:$H$1000,$BB$3,'Evaluation details_input'!$J$3:$J$1000,"")</f>
        <v>0</v>
      </c>
      <c r="BC45" s="202">
        <f xml:space="preserve">
COUNTIFS('Evaluation details_input'!$P$3:$P$1000,$AS$44,'Evaluation details_input'!$Q$3:$Q$1000,$AS45,'Evaluation details_input'!$R$3:$R$1000,$BC$3)
+COUNTIFS('Evaluation details_input'!$F$3:$F$1000,$AS$44,'Evaluation details_input'!$G$3:$G$1000,$AS45,'Evaluation details_input'!$H$3:$H$1000,$BC$3,'Evaluation details_input'!$J$3:$J$1000,"Not accepted",'Evaluation details_input'!$N$3:$N$1000,"Disagree with original translator", 'Evaluation details_input'!$P$3:$P$1000,"")
+COUNTIFS('Evaluation details_input'!$F$3:$F$1000,$AS$44,'Evaluation details_input'!$G$3:$G$1000,$AS45,'Evaluation details_input'!$H$3:$H$1000,$BC$3,'Evaluation details_input'!$J$3:$J$1000,"Accepted", 'Evaluation details_input'!$P$3:$P$1000,"")
+COUNTIFS('Evaluation details_input'!$F$3:$F$1000,$AS$44,'Evaluation details_input'!$G$3:$G$1000,$AS45,'Evaluation details_input'!$H$3:$H$1000,$BC$3,'Evaluation details_input'!$J$3:$J$1000,"")</f>
        <v>0</v>
      </c>
      <c r="BD45" s="202">
        <f xml:space="preserve">
COUNTIFS('Evaluation details_input'!$P$3:$P$1000,$AS$44,'Evaluation details_input'!$Q$3:$Q$1000,$AS45,'Evaluation details_input'!$R$3:$R$1000,$BD$3)
+COUNTIFS('Evaluation details_input'!$F$3:$F$1000,$AS$44,'Evaluation details_input'!$G$3:$G$1000,$AS45,'Evaluation details_input'!$H$3:$H$1000,$BD$3,'Evaluation details_input'!$J$3:$J$1000,"Not accepted",'Evaluation details_input'!$N$3:$N$1000,"Disagree with original translator", 'Evaluation details_input'!$P$3:$P$1000,"")
+COUNTIFS('Evaluation details_input'!$F$3:$F$1000,$AS$44,'Evaluation details_input'!$G$3:$G$1000,$AS45,'Evaluation details_input'!$H$3:$H$1000,$BD$3,'Evaluation details_input'!$J$3:$J$1000,"Accepted", 'Evaluation details_input'!$P$3:$P$1000,"")
+COUNTIFS('Evaluation details_input'!$F$3:$F$1000,$AS$44,'Evaluation details_input'!$G$3:$G$1000,$AS45,'Evaluation details_input'!$H$3:$H$1000,$BD$3,'Evaluation details_input'!$J$3:$J$1000,"")</f>
        <v>0</v>
      </c>
    </row>
    <row r="46" spans="2:56">
      <c r="C46" s="160" t="s">
        <v>138</v>
      </c>
      <c r="S46" s="193" t="str">
        <f>$N$11</f>
        <v>Other</v>
      </c>
      <c r="T46" s="165">
        <v>1</v>
      </c>
      <c r="U46" s="165">
        <v>5</v>
      </c>
      <c r="V46" s="186">
        <v>100</v>
      </c>
      <c r="W46" s="166">
        <v>0</v>
      </c>
      <c r="X46" s="193" t="str">
        <f>$N$11</f>
        <v>Other</v>
      </c>
      <c r="Y46" s="165">
        <v>1</v>
      </c>
      <c r="Z46" s="165">
        <v>5</v>
      </c>
      <c r="AA46" s="186">
        <v>100</v>
      </c>
      <c r="AB46" s="166">
        <v>0</v>
      </c>
      <c r="AC46" s="193" t="str">
        <f>$N$11</f>
        <v>Other</v>
      </c>
      <c r="AD46" s="165">
        <v>1</v>
      </c>
      <c r="AE46" s="165">
        <v>5</v>
      </c>
      <c r="AF46" s="186">
        <v>100</v>
      </c>
      <c r="AG46" s="166">
        <v>0</v>
      </c>
      <c r="AH46" s="193" t="str">
        <f>$N$11</f>
        <v>Other</v>
      </c>
      <c r="AI46" s="165">
        <v>1</v>
      </c>
      <c r="AJ46" s="165">
        <v>5</v>
      </c>
      <c r="AK46" s="186">
        <v>100</v>
      </c>
      <c r="AL46" s="166">
        <v>0</v>
      </c>
      <c r="AM46" s="193" t="str">
        <f>$N$11</f>
        <v>Other</v>
      </c>
      <c r="AN46" s="165">
        <v>1</v>
      </c>
      <c r="AO46" s="165">
        <v>5</v>
      </c>
      <c r="AP46" s="186">
        <v>100</v>
      </c>
      <c r="AQ46" s="166">
        <v>0</v>
      </c>
      <c r="AS46" s="210" t="str">
        <f>$O4</f>
        <v>Other</v>
      </c>
      <c r="AT46" s="206">
        <f>SUMPRODUCT(('Evaluation details_input'!$F$4:$F$1000=$AS$44)*('Evaluation details_input'!$G$4:$G$1000=$AS46)*('Evaluation details_input'!$H$4:$H$1000=$AT$3))</f>
        <v>0</v>
      </c>
      <c r="AU46" s="171">
        <f xml:space="preserve">
IF($AT$2=$X$3,$AT46*$Y49,
IF($AT$2=$AC$3,$AT46*$AD49,
$AT46*$T49))</f>
        <v>0</v>
      </c>
      <c r="AV46" s="202">
        <f xml:space="preserve">
COUNTIFS('Evaluation details_input'!$P$3:$P$1000,$AS$44,'Evaluation details_input'!$Q$3:$Q$1000,$AS46,'Evaluation details_input'!$R$3:$R$1000,$AV$3)
+COUNTIFS('Evaluation details_input'!$F$3:$F$1000,$AS$44,'Evaluation details_input'!$G$3:$G$1000,$AS46,'Evaluation details_input'!$H$3:$H$1000,$AV$3,'Evaluation details_input'!$J$3:$J$1000,"Not accepted",'Evaluation details_input'!$N$3:$N$1000,"Disagree with original translator", 'Evaluation details_input'!$P$3:$P$1000,"")
+COUNTIFS('Evaluation details_input'!$F$3:$F$1000,$AS$44,'Evaluation details_input'!$G$3:$G$1000,$AS46,'Evaluation details_input'!$H$3:$H$1000,$AV$3,'Evaluation details_input'!$J$3:$J$1000,"Accepted", 'Evaluation details_input'!$P$3:$P$1000,"")
+COUNTIFS('Evaluation details_input'!$F$3:$F$1000,$AS$44,'Evaluation details_input'!$G$3:$G$1000,$AS46,'Evaluation details_input'!$H$3:$H$1000,$AV$3,'Evaluation details_input'!$J$3:$J$1000,"")</f>
        <v>0</v>
      </c>
      <c r="AW46" s="171">
        <f xml:space="preserve">
IF($AT$2=$X$3,$AV46*$Y49,
IF($AT$2=$AC$3,$AV46*$AD49,
$AV46*$T49))</f>
        <v>0</v>
      </c>
      <c r="AX46" s="202">
        <f>SUMPRODUCT(('Evaluation details_input'!$F$4:$F$1000=$AS$44)*('Evaluation details_input'!$G$4:$G$1000=$AS46)*('Evaluation details_input'!$H$4:$H$1000=$AX$3))</f>
        <v>0</v>
      </c>
      <c r="AY46" s="171">
        <f xml:space="preserve">
IF($AT$2=$X$3,$AX46*$Z49,
IF($AT$2=$AC$3,$AX46*$AE49,
$AX46*$U49))</f>
        <v>0</v>
      </c>
      <c r="AZ46" s="202">
        <f xml:space="preserve">
COUNTIFS('Evaluation details_input'!$P$3:$P$1000,$AS$44,'Evaluation details_input'!$Q$3:$Q$1000,$AS46,'Evaluation details_input'!$R$3:$R$1000,$AZ$3)
+COUNTIFS('Evaluation details_input'!$F$3:$F$1000,$AS$44,'Evaluation details_input'!$G$3:$G$1000,$AS46,'Evaluation details_input'!$H$3:$H$1000,$AZ$3,'Evaluation details_input'!$J$3:$J$1000,"Not accepted",'Evaluation details_input'!$N$3:$N$1000,"Disagree with original translator", 'Evaluation details_input'!$P$3:$P$1000,"")
+COUNTIFS('Evaluation details_input'!$F$3:$F$1000,$AS$44,'Evaluation details_input'!$G$3:$G$1000,$AS46,'Evaluation details_input'!$H$3:$H$1000,$AZ$3,'Evaluation details_input'!$J$3:$J$1000,"Accepted", 'Evaluation details_input'!$P$3:$P$1000,"")
+COUNTIFS('Evaluation details_input'!$F$3:$F$1000,$AS$44,'Evaluation details_input'!$G$3:$G$1000,$AS46,'Evaluation details_input'!$H$3:$H$1000,$AZ$3,'Evaluation details_input'!$J$3:$J$1000,"")</f>
        <v>0</v>
      </c>
      <c r="BA46" s="171">
        <f xml:space="preserve">
IF($AT$2=$X$3,$AZ46*$Z49,
IF($AT$2=$AC$3,$AZ46*$AE49,
$AZ46*$U49))</f>
        <v>0</v>
      </c>
      <c r="BB46" s="202">
        <f xml:space="preserve">
COUNTIFS('Evaluation details_input'!$P$3:$P$1000,$AS$44,'Evaluation details_input'!$Q$3:$Q$1000,$AS46,'Evaluation details_input'!$R$3:$R$1000,$BB$3)
+COUNTIFS('Evaluation details_input'!$F$3:$F$1000,$AS$44,'Evaluation details_input'!$G$3:$G$1000,$AS46,'Evaluation details_input'!$H$3:$H$1000,$BB$3,'Evaluation details_input'!$J$3:$J$1000,"Not accepted",'Evaluation details_input'!$N$3:$N$1000,"Disagree with original translator", 'Evaluation details_input'!$P$3:$P$1000,"")
+COUNTIFS('Evaluation details_input'!$F$3:$F$1000,$AS$44,'Evaluation details_input'!$G$3:$G$1000,$AS46,'Evaluation details_input'!$H$3:$H$1000,$BB$3,'Evaluation details_input'!$J$3:$J$1000,"Accepted", 'Evaluation details_input'!$P$3:$P$1000,"")
+COUNTIFS('Evaluation details_input'!$F$3:$F$1000,$AS$44,'Evaluation details_input'!$G$3:$G$1000,$AS46,'Evaluation details_input'!$H$3:$H$1000,$BB$3,'Evaluation details_input'!$J$3:$J$1000,"")</f>
        <v>0</v>
      </c>
      <c r="BC46" s="202">
        <f xml:space="preserve">
COUNTIFS('Evaluation details_input'!$P$3:$P$1000,$AS$44,'Evaluation details_input'!$Q$3:$Q$1000,$AS46,'Evaluation details_input'!$R$3:$R$1000,$BC$3)
+COUNTIFS('Evaluation details_input'!$F$3:$F$1000,$AS$44,'Evaluation details_input'!$G$3:$G$1000,$AS46,'Evaluation details_input'!$H$3:$H$1000,$BC$3,'Evaluation details_input'!$J$3:$J$1000,"Not accepted",'Evaluation details_input'!$N$3:$N$1000,"Disagree with original translator", 'Evaluation details_input'!$P$3:$P$1000,"")
+COUNTIFS('Evaluation details_input'!$F$3:$F$1000,$AS$44,'Evaluation details_input'!$G$3:$G$1000,$AS46,'Evaluation details_input'!$H$3:$H$1000,$BC$3,'Evaluation details_input'!$J$3:$J$1000,"Accepted", 'Evaluation details_input'!$P$3:$P$1000,"")
+COUNTIFS('Evaluation details_input'!$F$3:$F$1000,$AS$44,'Evaluation details_input'!$G$3:$G$1000,$AS46,'Evaluation details_input'!$H$3:$H$1000,$BC$3,'Evaluation details_input'!$J$3:$J$1000,"")</f>
        <v>0</v>
      </c>
      <c r="BD46" s="202">
        <f xml:space="preserve">
COUNTIFS('Evaluation details_input'!$P$3:$P$1000,$AS$44,'Evaluation details_input'!$Q$3:$Q$1000,$AS46,'Evaluation details_input'!$R$3:$R$1000,$BD$3)
+COUNTIFS('Evaluation details_input'!$F$3:$F$1000,$AS$44,'Evaluation details_input'!$G$3:$G$1000,$AS46,'Evaluation details_input'!$H$3:$H$1000,$BD$3,'Evaluation details_input'!$J$3:$J$1000,"Not accepted",'Evaluation details_input'!$N$3:$N$1000,"Disagree with original translator", 'Evaluation details_input'!$P$3:$P$1000,"")
+COUNTIFS('Evaluation details_input'!$F$3:$F$1000,$AS$44,'Evaluation details_input'!$G$3:$G$1000,$AS46,'Evaluation details_input'!$H$3:$H$1000,$BD$3,'Evaluation details_input'!$J$3:$J$1000,"Accepted", 'Evaluation details_input'!$P$3:$P$1000,"")
+COUNTIFS('Evaluation details_input'!$F$3:$F$1000,$AS$44,'Evaluation details_input'!$G$3:$G$1000,$AS46,'Evaluation details_input'!$H$3:$H$1000,$BD$3,'Evaluation details_input'!$J$3:$J$1000,"")</f>
        <v>0</v>
      </c>
    </row>
    <row r="47" spans="2:56" ht="22.5">
      <c r="C47" s="160" t="s">
        <v>139</v>
      </c>
      <c r="S47" s="194" t="str">
        <f>$O$2</f>
        <v>Audience appropriateness</v>
      </c>
      <c r="T47" s="177"/>
      <c r="U47" s="177"/>
      <c r="V47" s="187"/>
      <c r="W47" s="178"/>
      <c r="X47" s="194" t="str">
        <f>$O$2</f>
        <v>Audience appropriateness</v>
      </c>
      <c r="Y47" s="177"/>
      <c r="Z47" s="177"/>
      <c r="AA47" s="187"/>
      <c r="AB47" s="178"/>
      <c r="AC47" s="194" t="str">
        <f>$O$2</f>
        <v>Audience appropriateness</v>
      </c>
      <c r="AD47" s="177"/>
      <c r="AE47" s="177"/>
      <c r="AF47" s="187"/>
      <c r="AG47" s="178"/>
      <c r="AH47" s="194" t="str">
        <f>$O$2</f>
        <v>Audience appropriateness</v>
      </c>
      <c r="AI47" s="177"/>
      <c r="AJ47" s="177"/>
      <c r="AK47" s="187"/>
      <c r="AL47" s="178"/>
      <c r="AM47" s="194" t="str">
        <f>$O$2</f>
        <v>Audience appropriateness</v>
      </c>
      <c r="AN47" s="177"/>
      <c r="AO47" s="177"/>
      <c r="AP47" s="187"/>
      <c r="AQ47" s="178"/>
      <c r="AS47" s="211" t="str">
        <f>P2</f>
        <v>Design and markup</v>
      </c>
      <c r="AT47" s="207"/>
      <c r="AU47" s="173"/>
      <c r="AV47" s="173"/>
      <c r="AW47" s="173"/>
      <c r="AX47" s="203"/>
      <c r="AY47" s="173"/>
      <c r="AZ47" s="173"/>
      <c r="BA47" s="173"/>
      <c r="BB47" s="264"/>
      <c r="BC47" s="264"/>
      <c r="BD47" s="264"/>
    </row>
    <row r="48" spans="2:56" ht="22.5">
      <c r="C48" s="160" t="s">
        <v>266</v>
      </c>
      <c r="S48" s="193" t="str">
        <f>$O$3</f>
        <v>Culture-specific reference</v>
      </c>
      <c r="T48" s="165">
        <v>1</v>
      </c>
      <c r="U48" s="165">
        <v>5</v>
      </c>
      <c r="V48" s="186">
        <v>100</v>
      </c>
      <c r="W48" s="166">
        <v>0</v>
      </c>
      <c r="X48" s="193" t="str">
        <f>$O$3</f>
        <v>Culture-specific reference</v>
      </c>
      <c r="Y48" s="165">
        <v>1.5</v>
      </c>
      <c r="Z48" s="165">
        <v>5</v>
      </c>
      <c r="AA48" s="186">
        <v>100</v>
      </c>
      <c r="AB48" s="166">
        <v>0</v>
      </c>
      <c r="AC48" s="193" t="str">
        <f>$O$3</f>
        <v>Culture-specific reference</v>
      </c>
      <c r="AD48" s="165">
        <v>1.5</v>
      </c>
      <c r="AE48" s="165">
        <v>5</v>
      </c>
      <c r="AF48" s="186">
        <v>100</v>
      </c>
      <c r="AG48" s="166">
        <v>0</v>
      </c>
      <c r="AH48" s="193" t="str">
        <f>$O$3</f>
        <v>Culture-specific reference</v>
      </c>
      <c r="AI48" s="165">
        <v>1</v>
      </c>
      <c r="AJ48" s="165">
        <v>5</v>
      </c>
      <c r="AK48" s="186">
        <v>100</v>
      </c>
      <c r="AL48" s="166">
        <v>0</v>
      </c>
      <c r="AM48" s="193" t="str">
        <f>$O$3</f>
        <v>Culture-specific reference</v>
      </c>
      <c r="AN48" s="165" t="s">
        <v>227</v>
      </c>
      <c r="AO48" s="165" t="s">
        <v>227</v>
      </c>
      <c r="AP48" s="186" t="s">
        <v>227</v>
      </c>
      <c r="AQ48" s="166">
        <v>0</v>
      </c>
      <c r="AS48" s="210" t="str">
        <f t="shared" ref="AS48:AS54" si="19">$P3</f>
        <v>Character formatting</v>
      </c>
      <c r="AT48" s="206">
        <f>SUMPRODUCT(('Evaluation details_input'!$F$4:$F$1000=$AS$47)*('Evaluation details_input'!$G$4:$G$1000=$AS48)*('Evaluation details_input'!$H$4:$H$1000=$AT$3))</f>
        <v>0</v>
      </c>
      <c r="AU48" s="171">
        <f t="shared" ref="AU48:AU54" si="20" xml:space="preserve">
IF($AT$2=$X$3,$AT48*$Y51,
IF($AT$2=$AC$3,$AT48*$AD51,
$AT48*$T51))</f>
        <v>0</v>
      </c>
      <c r="AV48" s="202">
        <f xml:space="preserve">
COUNTIFS('Evaluation details_input'!$P$3:$P$1000,$AS$47,'Evaluation details_input'!$Q$3:$Q$1000,$AS48,'Evaluation details_input'!$R$3:$R$1000,$AV$3)
+COUNTIFS('Evaluation details_input'!$F$3:$F$1000,$AS$47,'Evaluation details_input'!$G$3:$G$1000,$AS48,'Evaluation details_input'!$H$3:$H$1000,$AV$3,'Evaluation details_input'!$J$3:$J$1000,"Not accepted",'Evaluation details_input'!$N$3:$N$1000,"Disagree with original translator", 'Evaluation details_input'!$P$3:$P$1000,"")
+COUNTIFS('Evaluation details_input'!$F$3:$F$1000,$AS$47,'Evaluation details_input'!$G$3:$G$1000,$AS48,'Evaluation details_input'!$H$3:$H$1000,$AV$3,'Evaluation details_input'!$J$3:$J$1000,"Accepted", 'Evaluation details_input'!$P$3:$P$1000,"")
+COUNTIFS('Evaluation details_input'!$F$3:$F$1000,$AS$47,'Evaluation details_input'!$G$3:$G$1000,$AS48,'Evaluation details_input'!$H$3:$H$1000,$AV$3,'Evaluation details_input'!$J$3:$J$1000,"")</f>
        <v>0</v>
      </c>
      <c r="AW48" s="171">
        <f t="shared" ref="AW48:AW54" si="21" xml:space="preserve">
IF($AT$2=$X$3,$AV48*$Y51,
IF($AT$2=$AC$3,$AV48*$AD51,
$AV48*$T51))</f>
        <v>0</v>
      </c>
      <c r="AX48" s="202">
        <f>SUMPRODUCT(('Evaluation details_input'!$F$4:$F$1000=$AS$47)*('Evaluation details_input'!$G$4:$G$1000=$AS48)*('Evaluation details_input'!$H$4:$H$1000=$AX$3))</f>
        <v>0</v>
      </c>
      <c r="AY48" s="171">
        <f t="shared" ref="AY48:AY54" si="22" xml:space="preserve">
IF($AT$2=$X$3,$AX48*$Z51,
IF($AT$2=$AC$3,$AX48*$AE51,
$AX48*$U51))</f>
        <v>0</v>
      </c>
      <c r="AZ48" s="202">
        <f xml:space="preserve">
COUNTIFS('Evaluation details_input'!$P$3:$P$1000,$AS$47,'Evaluation details_input'!$Q$3:$Q$1000,$AS48,'Evaluation details_input'!$R$3:$R$1000,$AZ$3)
+COUNTIFS('Evaluation details_input'!$F$3:$F$1000,$AS$47,'Evaluation details_input'!$G$3:$G$1000,$AS48,'Evaluation details_input'!$H$3:$H$1000,$AZ$3,'Evaluation details_input'!$J$3:$J$1000,"Not accepted",'Evaluation details_input'!$N$3:$N$1000,"Disagree with original translator", 'Evaluation details_input'!$P$3:$P$1000,"")
+COUNTIFS('Evaluation details_input'!$F$3:$F$1000,$AS$47,'Evaluation details_input'!$G$3:$G$1000,$AS48,'Evaluation details_input'!$H$3:$H$1000,$AZ$3,'Evaluation details_input'!$J$3:$J$1000,"Accepted", 'Evaluation details_input'!$P$3:$P$1000,"")
+COUNTIFS('Evaluation details_input'!$F$3:$F$1000,$AS$47,'Evaluation details_input'!$G$3:$G$1000,$AS48,'Evaluation details_input'!$H$3:$H$1000,$AZ$3,'Evaluation details_input'!$J$3:$J$1000,"")</f>
        <v>0</v>
      </c>
      <c r="BA48" s="171">
        <f t="shared" ref="BA48:BA54" si="23" xml:space="preserve">
IF($AT$2=$X$3,$AZ48*$Z51,
IF($AT$2=$AC$3,$AZ48*$AE51,
$AZ48*$U51))</f>
        <v>0</v>
      </c>
      <c r="BB48" s="202">
        <f xml:space="preserve">
COUNTIFS('Evaluation details_input'!$P$3:$P$1000,$AS$47,'Evaluation details_input'!$Q$3:$Q$1000,$AS48,'Evaluation details_input'!$R$3:$R$1000,$BB$3)
+COUNTIFS('Evaluation details_input'!$F$3:$F$1000,$AS$47,'Evaluation details_input'!$G$3:$G$1000,$AS48,'Evaluation details_input'!$H$3:$H$1000,$BB$3,'Evaluation details_input'!$J$3:$J$1000,"Not accepted",'Evaluation details_input'!$N$3:$N$1000,"Disagree with original translator", 'Evaluation details_input'!$P$3:$P$1000,"")
+COUNTIFS('Evaluation details_input'!$F$3:$F$1000,$AS$47,'Evaluation details_input'!$G$3:$G$1000,$AS48,'Evaluation details_input'!$H$3:$H$1000,$BB$3,'Evaluation details_input'!$J$3:$J$1000,"Accepted", 'Evaluation details_input'!$P$3:$P$1000,"")
+COUNTIFS('Evaluation details_input'!$F$3:$F$1000,$AS$47,'Evaluation details_input'!$G$3:$G$1000,$AS48,'Evaluation details_input'!$H$3:$H$1000,$BB$3,'Evaluation details_input'!$J$3:$J$1000,"")</f>
        <v>0</v>
      </c>
      <c r="BC48" s="202">
        <f xml:space="preserve">
COUNTIFS('Evaluation details_input'!$P$3:$P$1000,$AS$47,'Evaluation details_input'!$Q$3:$Q$1000,$AS48,'Evaluation details_input'!$R$3:$R$1000,$BC$3)
+COUNTIFS('Evaluation details_input'!$F$3:$F$1000,$AS$47,'Evaluation details_input'!$G$3:$G$1000,$AS48,'Evaluation details_input'!$H$3:$H$1000,$BC$3,'Evaluation details_input'!$J$3:$J$1000,"Not accepted",'Evaluation details_input'!$N$3:$N$1000,"Disagree with original translator", 'Evaluation details_input'!$P$3:$P$1000,"")
+COUNTIFS('Evaluation details_input'!$F$3:$F$1000,$AS$47,'Evaluation details_input'!$G$3:$G$1000,$AS48,'Evaluation details_input'!$H$3:$H$1000,$BC$3,'Evaluation details_input'!$J$3:$J$1000,"Accepted", 'Evaluation details_input'!$P$3:$P$1000,"")
+COUNTIFS('Evaluation details_input'!$F$3:$F$1000,$AS$47,'Evaluation details_input'!$G$3:$G$1000,$AS48,'Evaluation details_input'!$H$3:$H$1000,$BC$3,'Evaluation details_input'!$J$3:$J$1000,"")</f>
        <v>0</v>
      </c>
      <c r="BD48" s="202">
        <f xml:space="preserve">
COUNTIFS('Evaluation details_input'!$P$3:$P$1000,$AS$47,'Evaluation details_input'!$Q$3:$Q$1000,$AS48,'Evaluation details_input'!$R$3:$R$1000,$BD$3)
+COUNTIFS('Evaluation details_input'!$F$3:$F$1000,$AS$47,'Evaluation details_input'!$G$3:$G$1000,$AS48,'Evaluation details_input'!$H$3:$H$1000,$BD$3,'Evaluation details_input'!$J$3:$J$1000,"Not accepted",'Evaluation details_input'!$N$3:$N$1000,"Disagree with original translator", 'Evaluation details_input'!$P$3:$P$1000,"")
+COUNTIFS('Evaluation details_input'!$F$3:$F$1000,$AS$47,'Evaluation details_input'!$G$3:$G$1000,$AS48,'Evaluation details_input'!$H$3:$H$1000,$BD$3,'Evaluation details_input'!$J$3:$J$1000,"Accepted", 'Evaluation details_input'!$P$3:$P$1000,"")
+COUNTIFS('Evaluation details_input'!$F$3:$F$1000,$AS$47,'Evaluation details_input'!$G$3:$G$1000,$AS48,'Evaluation details_input'!$H$3:$H$1000,$BD$3,'Evaluation details_input'!$J$3:$J$1000,"")</f>
        <v>0</v>
      </c>
    </row>
    <row r="49" spans="3:56" ht="22.5">
      <c r="C49" s="160" t="s">
        <v>124</v>
      </c>
      <c r="S49" s="193" t="str">
        <f>$O$4</f>
        <v>Other</v>
      </c>
      <c r="T49" s="165">
        <v>1</v>
      </c>
      <c r="U49" s="165">
        <v>5</v>
      </c>
      <c r="V49" s="186">
        <v>100</v>
      </c>
      <c r="W49" s="166">
        <v>0</v>
      </c>
      <c r="X49" s="193" t="str">
        <f>$O$4</f>
        <v>Other</v>
      </c>
      <c r="Y49" s="165">
        <v>1.5</v>
      </c>
      <c r="Z49" s="165">
        <v>5</v>
      </c>
      <c r="AA49" s="186">
        <v>100</v>
      </c>
      <c r="AB49" s="166">
        <v>0</v>
      </c>
      <c r="AC49" s="193" t="str">
        <f>$O$4</f>
        <v>Other</v>
      </c>
      <c r="AD49" s="165">
        <v>1.5</v>
      </c>
      <c r="AE49" s="165">
        <v>5</v>
      </c>
      <c r="AF49" s="186">
        <v>100</v>
      </c>
      <c r="AG49" s="166">
        <v>0</v>
      </c>
      <c r="AH49" s="193" t="str">
        <f>$O$4</f>
        <v>Other</v>
      </c>
      <c r="AI49" s="165">
        <v>1</v>
      </c>
      <c r="AJ49" s="165">
        <v>5</v>
      </c>
      <c r="AK49" s="186">
        <v>100</v>
      </c>
      <c r="AL49" s="166">
        <v>0</v>
      </c>
      <c r="AM49" s="193" t="str">
        <f>$O$4</f>
        <v>Other</v>
      </c>
      <c r="AN49" s="165" t="s">
        <v>227</v>
      </c>
      <c r="AO49" s="165" t="s">
        <v>227</v>
      </c>
      <c r="AP49" s="186" t="s">
        <v>227</v>
      </c>
      <c r="AQ49" s="166">
        <v>0</v>
      </c>
      <c r="AS49" s="210" t="str">
        <f t="shared" si="19"/>
        <v>Layout</v>
      </c>
      <c r="AT49" s="206">
        <f>SUMPRODUCT(('Evaluation details_input'!$F$4:$F$1000=$AS$47)*('Evaluation details_input'!$G$4:$G$1000=$AS49)*('Evaluation details_input'!$H$4:$H$1000=$AT$3))</f>
        <v>0</v>
      </c>
      <c r="AU49" s="171">
        <f t="shared" si="20"/>
        <v>0</v>
      </c>
      <c r="AV49" s="202">
        <f xml:space="preserve">
COUNTIFS('Evaluation details_input'!$P$3:$P$1000,$AS$47,'Evaluation details_input'!$Q$3:$Q$1000,$AS49,'Evaluation details_input'!$R$3:$R$1000,$AV$3)
+COUNTIFS('Evaluation details_input'!$F$3:$F$1000,$AS$47,'Evaluation details_input'!$G$3:$G$1000,$AS49,'Evaluation details_input'!$H$3:$H$1000,$AV$3,'Evaluation details_input'!$J$3:$J$1000,"Not accepted",'Evaluation details_input'!$N$3:$N$1000,"Disagree with original translator", 'Evaluation details_input'!$P$3:$P$1000,"")
+COUNTIFS('Evaluation details_input'!$F$3:$F$1000,$AS$47,'Evaluation details_input'!$G$3:$G$1000,$AS49,'Evaluation details_input'!$H$3:$H$1000,$AV$3,'Evaluation details_input'!$J$3:$J$1000,"Accepted", 'Evaluation details_input'!$P$3:$P$1000,"")
+COUNTIFS('Evaluation details_input'!$F$3:$F$1000,$AS$47,'Evaluation details_input'!$G$3:$G$1000,$AS49,'Evaluation details_input'!$H$3:$H$1000,$AV$3,'Evaluation details_input'!$J$3:$J$1000,"")</f>
        <v>0</v>
      </c>
      <c r="AW49" s="171">
        <f t="shared" si="21"/>
        <v>0</v>
      </c>
      <c r="AX49" s="202">
        <f>SUMPRODUCT(('Evaluation details_input'!$F$4:$F$1000=$AS$47)*('Evaluation details_input'!$G$4:$G$1000=$AS49)*('Evaluation details_input'!$H$4:$H$1000=$AX$3))</f>
        <v>0</v>
      </c>
      <c r="AY49" s="171">
        <f t="shared" si="22"/>
        <v>0</v>
      </c>
      <c r="AZ49" s="202">
        <f xml:space="preserve">
COUNTIFS('Evaluation details_input'!$P$3:$P$1000,$AS$47,'Evaluation details_input'!$Q$3:$Q$1000,$AS49,'Evaluation details_input'!$R$3:$R$1000,$AZ$3)
+COUNTIFS('Evaluation details_input'!$F$3:$F$1000,$AS$47,'Evaluation details_input'!$G$3:$G$1000,$AS49,'Evaluation details_input'!$H$3:$H$1000,$AZ$3,'Evaluation details_input'!$J$3:$J$1000,"Not accepted",'Evaluation details_input'!$N$3:$N$1000,"Disagree with original translator", 'Evaluation details_input'!$P$3:$P$1000,"")
+COUNTIFS('Evaluation details_input'!$F$3:$F$1000,$AS$47,'Evaluation details_input'!$G$3:$G$1000,$AS49,'Evaluation details_input'!$H$3:$H$1000,$AZ$3,'Evaluation details_input'!$J$3:$J$1000,"Accepted", 'Evaluation details_input'!$P$3:$P$1000,"")
+COUNTIFS('Evaluation details_input'!$F$3:$F$1000,$AS$47,'Evaluation details_input'!$G$3:$G$1000,$AS49,'Evaluation details_input'!$H$3:$H$1000,$AZ$3,'Evaluation details_input'!$J$3:$J$1000,"")</f>
        <v>0</v>
      </c>
      <c r="BA49" s="171">
        <f t="shared" si="23"/>
        <v>0</v>
      </c>
      <c r="BB49" s="202">
        <f xml:space="preserve">
COUNTIFS('Evaluation details_input'!$P$3:$P$1000,$AS$47,'Evaluation details_input'!$Q$3:$Q$1000,$AS49,'Evaluation details_input'!$R$3:$R$1000,$BB$3)
+COUNTIFS('Evaluation details_input'!$F$3:$F$1000,$AS$47,'Evaluation details_input'!$G$3:$G$1000,$AS49,'Evaluation details_input'!$H$3:$H$1000,$BB$3,'Evaluation details_input'!$J$3:$J$1000,"Not accepted",'Evaluation details_input'!$N$3:$N$1000,"Disagree with original translator", 'Evaluation details_input'!$P$3:$P$1000,"")
+COUNTIFS('Evaluation details_input'!$F$3:$F$1000,$AS$47,'Evaluation details_input'!$G$3:$G$1000,$AS49,'Evaluation details_input'!$H$3:$H$1000,$BB$3,'Evaluation details_input'!$J$3:$J$1000,"Accepted", 'Evaluation details_input'!$P$3:$P$1000,"")
+COUNTIFS('Evaluation details_input'!$F$3:$F$1000,$AS$47,'Evaluation details_input'!$G$3:$G$1000,$AS49,'Evaluation details_input'!$H$3:$H$1000,$BB$3,'Evaluation details_input'!$J$3:$J$1000,"")</f>
        <v>0</v>
      </c>
      <c r="BC49" s="202">
        <f xml:space="preserve">
COUNTIFS('Evaluation details_input'!$P$3:$P$1000,$AS$47,'Evaluation details_input'!$Q$3:$Q$1000,$AS49,'Evaluation details_input'!$R$3:$R$1000,$BC$3)
+COUNTIFS('Evaluation details_input'!$F$3:$F$1000,$AS$47,'Evaluation details_input'!$G$3:$G$1000,$AS49,'Evaluation details_input'!$H$3:$H$1000,$BC$3,'Evaluation details_input'!$J$3:$J$1000,"Not accepted",'Evaluation details_input'!$N$3:$N$1000,"Disagree with original translator", 'Evaluation details_input'!$P$3:$P$1000,"")
+COUNTIFS('Evaluation details_input'!$F$3:$F$1000,$AS$47,'Evaluation details_input'!$G$3:$G$1000,$AS49,'Evaluation details_input'!$H$3:$H$1000,$BC$3,'Evaluation details_input'!$J$3:$J$1000,"Accepted", 'Evaluation details_input'!$P$3:$P$1000,"")
+COUNTIFS('Evaluation details_input'!$F$3:$F$1000,$AS$47,'Evaluation details_input'!$G$3:$G$1000,$AS49,'Evaluation details_input'!$H$3:$H$1000,$BC$3,'Evaluation details_input'!$J$3:$J$1000,"")</f>
        <v>0</v>
      </c>
      <c r="BD49" s="202">
        <f xml:space="preserve">
COUNTIFS('Evaluation details_input'!$P$3:$P$1000,$AS$47,'Evaluation details_input'!$Q$3:$Q$1000,$AS49,'Evaluation details_input'!$R$3:$R$1000,$BD$3)
+COUNTIFS('Evaluation details_input'!$F$3:$F$1000,$AS$47,'Evaluation details_input'!$G$3:$G$1000,$AS49,'Evaluation details_input'!$H$3:$H$1000,$BD$3,'Evaluation details_input'!$J$3:$J$1000,"Not accepted",'Evaluation details_input'!$N$3:$N$1000,"Disagree with original translator", 'Evaluation details_input'!$P$3:$P$1000,"")
+COUNTIFS('Evaluation details_input'!$F$3:$F$1000,$AS$47,'Evaluation details_input'!$G$3:$G$1000,$AS49,'Evaluation details_input'!$H$3:$H$1000,$BD$3,'Evaluation details_input'!$J$3:$J$1000,"Accepted", 'Evaluation details_input'!$P$3:$P$1000,"")
+COUNTIFS('Evaluation details_input'!$F$3:$F$1000,$AS$47,'Evaluation details_input'!$G$3:$G$1000,$AS49,'Evaluation details_input'!$H$3:$H$1000,$BD$3,'Evaluation details_input'!$J$3:$J$1000,"")</f>
        <v>0</v>
      </c>
    </row>
    <row r="50" spans="3:56" ht="22.5">
      <c r="C50" s="160" t="s">
        <v>270</v>
      </c>
      <c r="S50" s="194" t="str">
        <f>$P$2</f>
        <v>Design and markup</v>
      </c>
      <c r="T50" s="177"/>
      <c r="U50" s="177"/>
      <c r="V50" s="187"/>
      <c r="W50" s="178"/>
      <c r="X50" s="194" t="str">
        <f>$P$2</f>
        <v>Design and markup</v>
      </c>
      <c r="Y50" s="177"/>
      <c r="Z50" s="177"/>
      <c r="AA50" s="187"/>
      <c r="AB50" s="178"/>
      <c r="AC50" s="194" t="str">
        <f>$P$2</f>
        <v>Design and markup</v>
      </c>
      <c r="AD50" s="177"/>
      <c r="AE50" s="177"/>
      <c r="AF50" s="187"/>
      <c r="AG50" s="178"/>
      <c r="AH50" s="194" t="str">
        <f>$P$2</f>
        <v>Design and markup</v>
      </c>
      <c r="AI50" s="177"/>
      <c r="AJ50" s="177"/>
      <c r="AK50" s="187"/>
      <c r="AL50" s="178"/>
      <c r="AM50" s="194" t="str">
        <f>$P$2</f>
        <v>Design and markup</v>
      </c>
      <c r="AN50" s="177"/>
      <c r="AO50" s="177"/>
      <c r="AP50" s="187"/>
      <c r="AQ50" s="178"/>
      <c r="AS50" s="210" t="str">
        <f t="shared" si="19"/>
        <v>Markup tag</v>
      </c>
      <c r="AT50" s="206">
        <f>SUMPRODUCT(('Evaluation details_input'!$F$4:$F$1000=$AS$47)*('Evaluation details_input'!$G$4:$G$1000=$AS50)*('Evaluation details_input'!$H$4:$H$1000=$AT$3))</f>
        <v>0</v>
      </c>
      <c r="AU50" s="171">
        <f t="shared" si="20"/>
        <v>0</v>
      </c>
      <c r="AV50" s="202">
        <f xml:space="preserve">
COUNTIFS('Evaluation details_input'!$P$3:$P$1000,$AS$47,'Evaluation details_input'!$Q$3:$Q$1000,$AS50,'Evaluation details_input'!$R$3:$R$1000,$AV$3)
+COUNTIFS('Evaluation details_input'!$F$3:$F$1000,$AS$47,'Evaluation details_input'!$G$3:$G$1000,$AS50,'Evaluation details_input'!$H$3:$H$1000,$AV$3,'Evaluation details_input'!$J$3:$J$1000,"Not accepted",'Evaluation details_input'!$N$3:$N$1000,"Disagree with original translator", 'Evaluation details_input'!$P$3:$P$1000,"")
+COUNTIFS('Evaluation details_input'!$F$3:$F$1000,$AS$47,'Evaluation details_input'!$G$3:$G$1000,$AS50,'Evaluation details_input'!$H$3:$H$1000,$AV$3,'Evaluation details_input'!$J$3:$J$1000,"Accepted", 'Evaluation details_input'!$P$3:$P$1000,"")
+COUNTIFS('Evaluation details_input'!$F$3:$F$1000,$AS$47,'Evaluation details_input'!$G$3:$G$1000,$AS50,'Evaluation details_input'!$H$3:$H$1000,$AV$3,'Evaluation details_input'!$J$3:$J$1000,"")</f>
        <v>0</v>
      </c>
      <c r="AW50" s="171">
        <f t="shared" si="21"/>
        <v>0</v>
      </c>
      <c r="AX50" s="202">
        <f>SUMPRODUCT(('Evaluation details_input'!$F$4:$F$1000=$AS$47)*('Evaluation details_input'!$G$4:$G$1000=$AS50)*('Evaluation details_input'!$H$4:$H$1000=$AX$3))</f>
        <v>0</v>
      </c>
      <c r="AY50" s="171">
        <f t="shared" si="22"/>
        <v>0</v>
      </c>
      <c r="AZ50" s="202">
        <f xml:space="preserve">
COUNTIFS('Evaluation details_input'!$P$3:$P$1000,$AS$47,'Evaluation details_input'!$Q$3:$Q$1000,$AS50,'Evaluation details_input'!$R$3:$R$1000,$AZ$3)
+COUNTIFS('Evaluation details_input'!$F$3:$F$1000,$AS$47,'Evaluation details_input'!$G$3:$G$1000,$AS50,'Evaluation details_input'!$H$3:$H$1000,$AZ$3,'Evaluation details_input'!$J$3:$J$1000,"Not accepted",'Evaluation details_input'!$N$3:$N$1000,"Disagree with original translator", 'Evaluation details_input'!$P$3:$P$1000,"")
+COUNTIFS('Evaluation details_input'!$F$3:$F$1000,$AS$47,'Evaluation details_input'!$G$3:$G$1000,$AS50,'Evaluation details_input'!$H$3:$H$1000,$AZ$3,'Evaluation details_input'!$J$3:$J$1000,"Accepted", 'Evaluation details_input'!$P$3:$P$1000,"")
+COUNTIFS('Evaluation details_input'!$F$3:$F$1000,$AS$47,'Evaluation details_input'!$G$3:$G$1000,$AS50,'Evaluation details_input'!$H$3:$H$1000,$AZ$3,'Evaluation details_input'!$J$3:$J$1000,"")</f>
        <v>0</v>
      </c>
      <c r="BA50" s="171">
        <f t="shared" si="23"/>
        <v>0</v>
      </c>
      <c r="BB50" s="202">
        <f xml:space="preserve">
COUNTIFS('Evaluation details_input'!$P$3:$P$1000,$AS$47,'Evaluation details_input'!$Q$3:$Q$1000,$AS50,'Evaluation details_input'!$R$3:$R$1000,$BB$3)
+COUNTIFS('Evaluation details_input'!$F$3:$F$1000,$AS$47,'Evaluation details_input'!$G$3:$G$1000,$AS50,'Evaluation details_input'!$H$3:$H$1000,$BB$3,'Evaluation details_input'!$J$3:$J$1000,"Not accepted",'Evaluation details_input'!$N$3:$N$1000,"Disagree with original translator", 'Evaluation details_input'!$P$3:$P$1000,"")
+COUNTIFS('Evaluation details_input'!$F$3:$F$1000,$AS$47,'Evaluation details_input'!$G$3:$G$1000,$AS50,'Evaluation details_input'!$H$3:$H$1000,$BB$3,'Evaluation details_input'!$J$3:$J$1000,"Accepted", 'Evaluation details_input'!$P$3:$P$1000,"")
+COUNTIFS('Evaluation details_input'!$F$3:$F$1000,$AS$47,'Evaluation details_input'!$G$3:$G$1000,$AS50,'Evaluation details_input'!$H$3:$H$1000,$BB$3,'Evaluation details_input'!$J$3:$J$1000,"")</f>
        <v>0</v>
      </c>
      <c r="BC50" s="202">
        <f xml:space="preserve">
COUNTIFS('Evaluation details_input'!$P$3:$P$1000,$AS$47,'Evaluation details_input'!$Q$3:$Q$1000,$AS50,'Evaluation details_input'!$R$3:$R$1000,$BC$3)
+COUNTIFS('Evaluation details_input'!$F$3:$F$1000,$AS$47,'Evaluation details_input'!$G$3:$G$1000,$AS50,'Evaluation details_input'!$H$3:$H$1000,$BC$3,'Evaluation details_input'!$J$3:$J$1000,"Not accepted",'Evaluation details_input'!$N$3:$N$1000,"Disagree with original translator", 'Evaluation details_input'!$P$3:$P$1000,"")
+COUNTIFS('Evaluation details_input'!$F$3:$F$1000,$AS$47,'Evaluation details_input'!$G$3:$G$1000,$AS50,'Evaluation details_input'!$H$3:$H$1000,$BC$3,'Evaluation details_input'!$J$3:$J$1000,"Accepted", 'Evaluation details_input'!$P$3:$P$1000,"")
+COUNTIFS('Evaluation details_input'!$F$3:$F$1000,$AS$47,'Evaluation details_input'!$G$3:$G$1000,$AS50,'Evaluation details_input'!$H$3:$H$1000,$BC$3,'Evaluation details_input'!$J$3:$J$1000,"")</f>
        <v>0</v>
      </c>
      <c r="BD50" s="202">
        <f xml:space="preserve">
COUNTIFS('Evaluation details_input'!$P$3:$P$1000,$AS$47,'Evaluation details_input'!$Q$3:$Q$1000,$AS50,'Evaluation details_input'!$R$3:$R$1000,$BD$3)
+COUNTIFS('Evaluation details_input'!$F$3:$F$1000,$AS$47,'Evaluation details_input'!$G$3:$G$1000,$AS50,'Evaluation details_input'!$H$3:$H$1000,$BD$3,'Evaluation details_input'!$J$3:$J$1000,"Not accepted",'Evaluation details_input'!$N$3:$N$1000,"Disagree with original translator", 'Evaluation details_input'!$P$3:$P$1000,"")
+COUNTIFS('Evaluation details_input'!$F$3:$F$1000,$AS$47,'Evaluation details_input'!$G$3:$G$1000,$AS50,'Evaluation details_input'!$H$3:$H$1000,$BD$3,'Evaluation details_input'!$J$3:$J$1000,"Accepted", 'Evaluation details_input'!$P$3:$P$1000,"")
+COUNTIFS('Evaluation details_input'!$F$3:$F$1000,$AS$47,'Evaluation details_input'!$G$3:$G$1000,$AS50,'Evaluation details_input'!$H$3:$H$1000,$BD$3,'Evaluation details_input'!$J$3:$J$1000,"")</f>
        <v>0</v>
      </c>
    </row>
    <row r="51" spans="3:56" ht="22.5">
      <c r="C51" s="160" t="s">
        <v>140</v>
      </c>
      <c r="S51" s="193" t="str">
        <f>$P$3</f>
        <v>Character formatting</v>
      </c>
      <c r="T51" s="165">
        <v>1</v>
      </c>
      <c r="U51" s="165">
        <v>5</v>
      </c>
      <c r="V51" s="186">
        <v>100</v>
      </c>
      <c r="W51" s="166">
        <v>0</v>
      </c>
      <c r="X51" s="193" t="str">
        <f>$P$3</f>
        <v>Character formatting</v>
      </c>
      <c r="Y51" s="165">
        <v>1</v>
      </c>
      <c r="Z51" s="165">
        <v>5</v>
      </c>
      <c r="AA51" s="186">
        <v>100</v>
      </c>
      <c r="AB51" s="166">
        <v>0</v>
      </c>
      <c r="AC51" s="193" t="str">
        <f>$P$3</f>
        <v>Character formatting</v>
      </c>
      <c r="AD51" s="165">
        <v>1</v>
      </c>
      <c r="AE51" s="165">
        <v>5</v>
      </c>
      <c r="AF51" s="186">
        <v>100</v>
      </c>
      <c r="AG51" s="166">
        <v>0</v>
      </c>
      <c r="AH51" s="193" t="str">
        <f>$P$3</f>
        <v>Character formatting</v>
      </c>
      <c r="AI51" s="165">
        <v>1</v>
      </c>
      <c r="AJ51" s="165">
        <v>5</v>
      </c>
      <c r="AK51" s="186">
        <v>100</v>
      </c>
      <c r="AL51" s="166">
        <v>0</v>
      </c>
      <c r="AM51" s="193" t="str">
        <f>$P$3</f>
        <v>Character formatting</v>
      </c>
      <c r="AN51" s="165" t="s">
        <v>227</v>
      </c>
      <c r="AO51" s="165" t="s">
        <v>227</v>
      </c>
      <c r="AP51" s="186" t="s">
        <v>227</v>
      </c>
      <c r="AQ51" s="166">
        <v>0</v>
      </c>
      <c r="AS51" s="210" t="str">
        <f t="shared" si="19"/>
        <v>Truncation/text expansion</v>
      </c>
      <c r="AT51" s="206">
        <f>SUMPRODUCT(('Evaluation details_input'!$F$4:$F$1000=$AS$47)*('Evaluation details_input'!$G$4:$G$1000=$AS51)*('Evaluation details_input'!$H$4:$H$1000=$AT$3))</f>
        <v>0</v>
      </c>
      <c r="AU51" s="171">
        <f t="shared" si="20"/>
        <v>0</v>
      </c>
      <c r="AV51" s="202">
        <f xml:space="preserve">
COUNTIFS('Evaluation details_input'!$P$3:$P$1000,$AS$47,'Evaluation details_input'!$Q$3:$Q$1000,$AS51,'Evaluation details_input'!$R$3:$R$1000,$AV$3)
+COUNTIFS('Evaluation details_input'!$F$3:$F$1000,$AS$47,'Evaluation details_input'!$G$3:$G$1000,$AS51,'Evaluation details_input'!$H$3:$H$1000,$AV$3,'Evaluation details_input'!$J$3:$J$1000,"Not accepted",'Evaluation details_input'!$N$3:$N$1000,"Disagree with original translator", 'Evaluation details_input'!$P$3:$P$1000,"")
+COUNTIFS('Evaluation details_input'!$F$3:$F$1000,$AS$47,'Evaluation details_input'!$G$3:$G$1000,$AS51,'Evaluation details_input'!$H$3:$H$1000,$AV$3,'Evaluation details_input'!$J$3:$J$1000,"Accepted", 'Evaluation details_input'!$P$3:$P$1000,"")
+COUNTIFS('Evaluation details_input'!$F$3:$F$1000,$AS$47,'Evaluation details_input'!$G$3:$G$1000,$AS51,'Evaluation details_input'!$H$3:$H$1000,$AV$3,'Evaluation details_input'!$J$3:$J$1000,"")</f>
        <v>0</v>
      </c>
      <c r="AW51" s="171">
        <f t="shared" si="21"/>
        <v>0</v>
      </c>
      <c r="AX51" s="202">
        <f>SUMPRODUCT(('Evaluation details_input'!$F$4:$F$1000=$AS$47)*('Evaluation details_input'!$G$4:$G$1000=$AS51)*('Evaluation details_input'!$H$4:$H$1000=$AX$3))</f>
        <v>0</v>
      </c>
      <c r="AY51" s="171">
        <f t="shared" si="22"/>
        <v>0</v>
      </c>
      <c r="AZ51" s="202">
        <f xml:space="preserve">
COUNTIFS('Evaluation details_input'!$P$3:$P$1000,$AS$47,'Evaluation details_input'!$Q$3:$Q$1000,$AS51,'Evaluation details_input'!$R$3:$R$1000,$AZ$3)
+COUNTIFS('Evaluation details_input'!$F$3:$F$1000,$AS$47,'Evaluation details_input'!$G$3:$G$1000,$AS51,'Evaluation details_input'!$H$3:$H$1000,$AZ$3,'Evaluation details_input'!$J$3:$J$1000,"Not accepted",'Evaluation details_input'!$N$3:$N$1000,"Disagree with original translator", 'Evaluation details_input'!$P$3:$P$1000,"")
+COUNTIFS('Evaluation details_input'!$F$3:$F$1000,$AS$47,'Evaluation details_input'!$G$3:$G$1000,$AS51,'Evaluation details_input'!$H$3:$H$1000,$AZ$3,'Evaluation details_input'!$J$3:$J$1000,"Accepted", 'Evaluation details_input'!$P$3:$P$1000,"")
+COUNTIFS('Evaluation details_input'!$F$3:$F$1000,$AS$47,'Evaluation details_input'!$G$3:$G$1000,$AS51,'Evaluation details_input'!$H$3:$H$1000,$AZ$3,'Evaluation details_input'!$J$3:$J$1000,"")</f>
        <v>0</v>
      </c>
      <c r="BA51" s="171">
        <f t="shared" si="23"/>
        <v>0</v>
      </c>
      <c r="BB51" s="202">
        <f xml:space="preserve">
COUNTIFS('Evaluation details_input'!$P$3:$P$1000,$AS$47,'Evaluation details_input'!$Q$3:$Q$1000,$AS51,'Evaluation details_input'!$R$3:$R$1000,$BB$3)
+COUNTIFS('Evaluation details_input'!$F$3:$F$1000,$AS$47,'Evaluation details_input'!$G$3:$G$1000,$AS51,'Evaluation details_input'!$H$3:$H$1000,$BB$3,'Evaluation details_input'!$J$3:$J$1000,"Not accepted",'Evaluation details_input'!$N$3:$N$1000,"Disagree with original translator", 'Evaluation details_input'!$P$3:$P$1000,"")
+COUNTIFS('Evaluation details_input'!$F$3:$F$1000,$AS$47,'Evaluation details_input'!$G$3:$G$1000,$AS51,'Evaluation details_input'!$H$3:$H$1000,$BB$3,'Evaluation details_input'!$J$3:$J$1000,"Accepted", 'Evaluation details_input'!$P$3:$P$1000,"")
+COUNTIFS('Evaluation details_input'!$F$3:$F$1000,$AS$47,'Evaluation details_input'!$G$3:$G$1000,$AS51,'Evaluation details_input'!$H$3:$H$1000,$BB$3,'Evaluation details_input'!$J$3:$J$1000,"")</f>
        <v>0</v>
      </c>
      <c r="BC51" s="202">
        <f xml:space="preserve">
COUNTIFS('Evaluation details_input'!$P$3:$P$1000,$AS$47,'Evaluation details_input'!$Q$3:$Q$1000,$AS51,'Evaluation details_input'!$R$3:$R$1000,$BC$3)
+COUNTIFS('Evaluation details_input'!$F$3:$F$1000,$AS$47,'Evaluation details_input'!$G$3:$G$1000,$AS51,'Evaluation details_input'!$H$3:$H$1000,$BC$3,'Evaluation details_input'!$J$3:$J$1000,"Not accepted",'Evaluation details_input'!$N$3:$N$1000,"Disagree with original translator", 'Evaluation details_input'!$P$3:$P$1000,"")
+COUNTIFS('Evaluation details_input'!$F$3:$F$1000,$AS$47,'Evaluation details_input'!$G$3:$G$1000,$AS51,'Evaluation details_input'!$H$3:$H$1000,$BC$3,'Evaluation details_input'!$J$3:$J$1000,"Accepted", 'Evaluation details_input'!$P$3:$P$1000,"")
+COUNTIFS('Evaluation details_input'!$F$3:$F$1000,$AS$47,'Evaluation details_input'!$G$3:$G$1000,$AS51,'Evaluation details_input'!$H$3:$H$1000,$BC$3,'Evaluation details_input'!$J$3:$J$1000,"")</f>
        <v>0</v>
      </c>
      <c r="BD51" s="202">
        <f xml:space="preserve">
COUNTIFS('Evaluation details_input'!$P$3:$P$1000,$AS$47,'Evaluation details_input'!$Q$3:$Q$1000,$AS51,'Evaluation details_input'!$R$3:$R$1000,$BD$3)
+COUNTIFS('Evaluation details_input'!$F$3:$F$1000,$AS$47,'Evaluation details_input'!$G$3:$G$1000,$AS51,'Evaluation details_input'!$H$3:$H$1000,$BD$3,'Evaluation details_input'!$J$3:$J$1000,"Not accepted",'Evaluation details_input'!$N$3:$N$1000,"Disagree with original translator", 'Evaluation details_input'!$P$3:$P$1000,"")
+COUNTIFS('Evaluation details_input'!$F$3:$F$1000,$AS$47,'Evaluation details_input'!$G$3:$G$1000,$AS51,'Evaluation details_input'!$H$3:$H$1000,$BD$3,'Evaluation details_input'!$J$3:$J$1000,"Accepted", 'Evaluation details_input'!$P$3:$P$1000,"")
+COUNTIFS('Evaluation details_input'!$F$3:$F$1000,$AS$47,'Evaluation details_input'!$G$3:$G$1000,$AS51,'Evaluation details_input'!$H$3:$H$1000,$BD$3,'Evaluation details_input'!$J$3:$J$1000,"")</f>
        <v>0</v>
      </c>
    </row>
    <row r="52" spans="3:56" ht="22.5">
      <c r="C52" s="160" t="s">
        <v>141</v>
      </c>
      <c r="S52" s="193" t="str">
        <f>$P$4</f>
        <v>Layout</v>
      </c>
      <c r="T52" s="165">
        <v>1</v>
      </c>
      <c r="U52" s="165">
        <v>5</v>
      </c>
      <c r="V52" s="186">
        <v>100</v>
      </c>
      <c r="W52" s="166">
        <v>0</v>
      </c>
      <c r="X52" s="193" t="str">
        <f>$P$4</f>
        <v>Layout</v>
      </c>
      <c r="Y52" s="165">
        <v>1</v>
      </c>
      <c r="Z52" s="165">
        <v>5</v>
      </c>
      <c r="AA52" s="186">
        <v>100</v>
      </c>
      <c r="AB52" s="166">
        <v>0</v>
      </c>
      <c r="AC52" s="193" t="str">
        <f>$P$4</f>
        <v>Layout</v>
      </c>
      <c r="AD52" s="165">
        <v>1</v>
      </c>
      <c r="AE52" s="165">
        <v>5</v>
      </c>
      <c r="AF52" s="186">
        <v>100</v>
      </c>
      <c r="AG52" s="166">
        <v>0</v>
      </c>
      <c r="AH52" s="193" t="str">
        <f>$P$4</f>
        <v>Layout</v>
      </c>
      <c r="AI52" s="165">
        <v>1</v>
      </c>
      <c r="AJ52" s="165">
        <v>5</v>
      </c>
      <c r="AK52" s="186">
        <v>100</v>
      </c>
      <c r="AL52" s="166">
        <v>0</v>
      </c>
      <c r="AM52" s="193" t="str">
        <f>$P$4</f>
        <v>Layout</v>
      </c>
      <c r="AN52" s="165" t="s">
        <v>227</v>
      </c>
      <c r="AO52" s="165" t="s">
        <v>227</v>
      </c>
      <c r="AP52" s="186" t="s">
        <v>227</v>
      </c>
      <c r="AQ52" s="166">
        <v>0</v>
      </c>
      <c r="AS52" s="210" t="str">
        <f t="shared" si="19"/>
        <v>Missing text</v>
      </c>
      <c r="AT52" s="206">
        <f>SUMPRODUCT(('Evaluation details_input'!$F$4:$F$1000=$AS$47)*('Evaluation details_input'!$G$4:$G$1000=$AS52)*('Evaluation details_input'!$H$4:$H$1000=$AT$3))</f>
        <v>0</v>
      </c>
      <c r="AU52" s="171">
        <f t="shared" si="20"/>
        <v>0</v>
      </c>
      <c r="AV52" s="202">
        <f xml:space="preserve">
COUNTIFS('Evaluation details_input'!$P$3:$P$1000,$AS$47,'Evaluation details_input'!$Q$3:$Q$1000,$AS52,'Evaluation details_input'!$R$3:$R$1000,$AV$3)
+COUNTIFS('Evaluation details_input'!$F$3:$F$1000,$AS$47,'Evaluation details_input'!$G$3:$G$1000,$AS52,'Evaluation details_input'!$H$3:$H$1000,$AV$3,'Evaluation details_input'!$J$3:$J$1000,"Not accepted",'Evaluation details_input'!$N$3:$N$1000,"Disagree with original translator", 'Evaluation details_input'!$P$3:$P$1000,"")
+COUNTIFS('Evaluation details_input'!$F$3:$F$1000,$AS$47,'Evaluation details_input'!$G$3:$G$1000,$AS52,'Evaluation details_input'!$H$3:$H$1000,$AV$3,'Evaluation details_input'!$J$3:$J$1000,"Accepted", 'Evaluation details_input'!$P$3:$P$1000,"")
+COUNTIFS('Evaluation details_input'!$F$3:$F$1000,$AS$47,'Evaluation details_input'!$G$3:$G$1000,$AS52,'Evaluation details_input'!$H$3:$H$1000,$AV$3,'Evaluation details_input'!$J$3:$J$1000,"")</f>
        <v>0</v>
      </c>
      <c r="AW52" s="171">
        <f t="shared" si="21"/>
        <v>0</v>
      </c>
      <c r="AX52" s="202">
        <f>SUMPRODUCT(('Evaluation details_input'!$F$4:$F$1000=$AS$47)*('Evaluation details_input'!$G$4:$G$1000=$AS52)*('Evaluation details_input'!$H$4:$H$1000=$AX$3))</f>
        <v>0</v>
      </c>
      <c r="AY52" s="171">
        <f t="shared" si="22"/>
        <v>0</v>
      </c>
      <c r="AZ52" s="202">
        <f xml:space="preserve">
COUNTIFS('Evaluation details_input'!$P$3:$P$1000,$AS$47,'Evaluation details_input'!$Q$3:$Q$1000,$AS52,'Evaluation details_input'!$R$3:$R$1000,$AZ$3)
+COUNTIFS('Evaluation details_input'!$F$3:$F$1000,$AS$47,'Evaluation details_input'!$G$3:$G$1000,$AS52,'Evaluation details_input'!$H$3:$H$1000,$AZ$3,'Evaluation details_input'!$J$3:$J$1000,"Not accepted",'Evaluation details_input'!$N$3:$N$1000,"Disagree with original translator", 'Evaluation details_input'!$P$3:$P$1000,"")
+COUNTIFS('Evaluation details_input'!$F$3:$F$1000,$AS$47,'Evaluation details_input'!$G$3:$G$1000,$AS52,'Evaluation details_input'!$H$3:$H$1000,$AZ$3,'Evaluation details_input'!$J$3:$J$1000,"Accepted", 'Evaluation details_input'!$P$3:$P$1000,"")
+COUNTIFS('Evaluation details_input'!$F$3:$F$1000,$AS$47,'Evaluation details_input'!$G$3:$G$1000,$AS52,'Evaluation details_input'!$H$3:$H$1000,$AZ$3,'Evaluation details_input'!$J$3:$J$1000,"")</f>
        <v>0</v>
      </c>
      <c r="BA52" s="171">
        <f t="shared" si="23"/>
        <v>0</v>
      </c>
      <c r="BB52" s="202">
        <f xml:space="preserve">
COUNTIFS('Evaluation details_input'!$P$3:$P$1000,$AS$47,'Evaluation details_input'!$Q$3:$Q$1000,$AS52,'Evaluation details_input'!$R$3:$R$1000,$BB$3)
+COUNTIFS('Evaluation details_input'!$F$3:$F$1000,$AS$47,'Evaluation details_input'!$G$3:$G$1000,$AS52,'Evaluation details_input'!$H$3:$H$1000,$BB$3,'Evaluation details_input'!$J$3:$J$1000,"Not accepted",'Evaluation details_input'!$N$3:$N$1000,"Disagree with original translator", 'Evaluation details_input'!$P$3:$P$1000,"")
+COUNTIFS('Evaluation details_input'!$F$3:$F$1000,$AS$47,'Evaluation details_input'!$G$3:$G$1000,$AS52,'Evaluation details_input'!$H$3:$H$1000,$BB$3,'Evaluation details_input'!$J$3:$J$1000,"Accepted", 'Evaluation details_input'!$P$3:$P$1000,"")
+COUNTIFS('Evaluation details_input'!$F$3:$F$1000,$AS$47,'Evaluation details_input'!$G$3:$G$1000,$AS52,'Evaluation details_input'!$H$3:$H$1000,$BB$3,'Evaluation details_input'!$J$3:$J$1000,"")</f>
        <v>0</v>
      </c>
      <c r="BC52" s="202">
        <f xml:space="preserve">
COUNTIFS('Evaluation details_input'!$P$3:$P$1000,$AS$47,'Evaluation details_input'!$Q$3:$Q$1000,$AS52,'Evaluation details_input'!$R$3:$R$1000,$BC$3)
+COUNTIFS('Evaluation details_input'!$F$3:$F$1000,$AS$47,'Evaluation details_input'!$G$3:$G$1000,$AS52,'Evaluation details_input'!$H$3:$H$1000,$BC$3,'Evaluation details_input'!$J$3:$J$1000,"Not accepted",'Evaluation details_input'!$N$3:$N$1000,"Disagree with original translator", 'Evaluation details_input'!$P$3:$P$1000,"")
+COUNTIFS('Evaluation details_input'!$F$3:$F$1000,$AS$47,'Evaluation details_input'!$G$3:$G$1000,$AS52,'Evaluation details_input'!$H$3:$H$1000,$BC$3,'Evaluation details_input'!$J$3:$J$1000,"Accepted", 'Evaluation details_input'!$P$3:$P$1000,"")
+COUNTIFS('Evaluation details_input'!$F$3:$F$1000,$AS$47,'Evaluation details_input'!$G$3:$G$1000,$AS52,'Evaluation details_input'!$H$3:$H$1000,$BC$3,'Evaluation details_input'!$J$3:$J$1000,"")</f>
        <v>0</v>
      </c>
      <c r="BD52" s="202">
        <f xml:space="preserve">
COUNTIFS('Evaluation details_input'!$P$3:$P$1000,$AS$47,'Evaluation details_input'!$Q$3:$Q$1000,$AS52,'Evaluation details_input'!$R$3:$R$1000,$BD$3)
+COUNTIFS('Evaluation details_input'!$F$3:$F$1000,$AS$47,'Evaluation details_input'!$G$3:$G$1000,$AS52,'Evaluation details_input'!$H$3:$H$1000,$BD$3,'Evaluation details_input'!$J$3:$J$1000,"Not accepted",'Evaluation details_input'!$N$3:$N$1000,"Disagree with original translator", 'Evaluation details_input'!$P$3:$P$1000,"")
+COUNTIFS('Evaluation details_input'!$F$3:$F$1000,$AS$47,'Evaluation details_input'!$G$3:$G$1000,$AS52,'Evaluation details_input'!$H$3:$H$1000,$BD$3,'Evaluation details_input'!$J$3:$J$1000,"Accepted", 'Evaluation details_input'!$P$3:$P$1000,"")
+COUNTIFS('Evaluation details_input'!$F$3:$F$1000,$AS$47,'Evaluation details_input'!$G$3:$G$1000,$AS52,'Evaluation details_input'!$H$3:$H$1000,$BD$3,'Evaluation details_input'!$J$3:$J$1000,"")</f>
        <v>0</v>
      </c>
    </row>
    <row r="53" spans="3:56" ht="22.5">
      <c r="C53" s="160" t="s">
        <v>276</v>
      </c>
      <c r="S53" s="193" t="str">
        <f>$P$5</f>
        <v>Markup tag</v>
      </c>
      <c r="T53" s="165">
        <v>1</v>
      </c>
      <c r="U53" s="165">
        <v>5</v>
      </c>
      <c r="V53" s="186">
        <v>100</v>
      </c>
      <c r="W53" s="166">
        <v>0</v>
      </c>
      <c r="X53" s="193" t="str">
        <f>$P$5</f>
        <v>Markup tag</v>
      </c>
      <c r="Y53" s="165">
        <v>1</v>
      </c>
      <c r="Z53" s="165">
        <v>5</v>
      </c>
      <c r="AA53" s="186">
        <v>100</v>
      </c>
      <c r="AB53" s="166">
        <v>0</v>
      </c>
      <c r="AC53" s="193" t="str">
        <f>$P$5</f>
        <v>Markup tag</v>
      </c>
      <c r="AD53" s="165">
        <v>1</v>
      </c>
      <c r="AE53" s="165">
        <v>5</v>
      </c>
      <c r="AF53" s="186">
        <v>100</v>
      </c>
      <c r="AG53" s="166">
        <v>0</v>
      </c>
      <c r="AH53" s="193" t="str">
        <f>$P$5</f>
        <v>Markup tag</v>
      </c>
      <c r="AI53" s="165">
        <v>1</v>
      </c>
      <c r="AJ53" s="165">
        <v>5</v>
      </c>
      <c r="AK53" s="186">
        <v>100</v>
      </c>
      <c r="AL53" s="166">
        <v>0</v>
      </c>
      <c r="AM53" s="193" t="str">
        <f>$P$5</f>
        <v>Markup tag</v>
      </c>
      <c r="AN53" s="165" t="s">
        <v>227</v>
      </c>
      <c r="AO53" s="165" t="s">
        <v>227</v>
      </c>
      <c r="AP53" s="186" t="s">
        <v>227</v>
      </c>
      <c r="AQ53" s="166">
        <v>0</v>
      </c>
      <c r="AS53" s="210" t="str">
        <f t="shared" si="19"/>
        <v>Link/cross-reference</v>
      </c>
      <c r="AT53" s="206">
        <f>SUMPRODUCT(('Evaluation details_input'!$F$4:$F$1000=$AS$47)*('Evaluation details_input'!$G$4:$G$1000=$AS53)*('Evaluation details_input'!$H$4:$H$1000=$AT$3))</f>
        <v>0</v>
      </c>
      <c r="AU53" s="171">
        <f t="shared" si="20"/>
        <v>0</v>
      </c>
      <c r="AV53" s="202">
        <f xml:space="preserve">
COUNTIFS('Evaluation details_input'!$P$3:$P$1000,$AS$47,'Evaluation details_input'!$Q$3:$Q$1000,$AS53,'Evaluation details_input'!$R$3:$R$1000,$AV$3)
+COUNTIFS('Evaluation details_input'!$F$3:$F$1000,$AS$47,'Evaluation details_input'!$G$3:$G$1000,$AS53,'Evaluation details_input'!$H$3:$H$1000,$AV$3,'Evaluation details_input'!$J$3:$J$1000,"Not accepted",'Evaluation details_input'!$N$3:$N$1000,"Disagree with original translator", 'Evaluation details_input'!$P$3:$P$1000,"")
+COUNTIFS('Evaluation details_input'!$F$3:$F$1000,$AS$47,'Evaluation details_input'!$G$3:$G$1000,$AS53,'Evaluation details_input'!$H$3:$H$1000,$AV$3,'Evaluation details_input'!$J$3:$J$1000,"Accepted", 'Evaluation details_input'!$P$3:$P$1000,"")
+COUNTIFS('Evaluation details_input'!$F$3:$F$1000,$AS$47,'Evaluation details_input'!$G$3:$G$1000,$AS53,'Evaluation details_input'!$H$3:$H$1000,$AV$3,'Evaluation details_input'!$J$3:$J$1000,"")</f>
        <v>0</v>
      </c>
      <c r="AW53" s="171">
        <f t="shared" si="21"/>
        <v>0</v>
      </c>
      <c r="AX53" s="202">
        <f>SUMPRODUCT(('Evaluation details_input'!$F$4:$F$1000=$AS$47)*('Evaluation details_input'!$G$4:$G$1000=$AS53)*('Evaluation details_input'!$H$4:$H$1000=$AX$3))</f>
        <v>0</v>
      </c>
      <c r="AY53" s="171">
        <f t="shared" si="22"/>
        <v>0</v>
      </c>
      <c r="AZ53" s="202">
        <f xml:space="preserve">
COUNTIFS('Evaluation details_input'!$P$3:$P$1000,$AS$47,'Evaluation details_input'!$Q$3:$Q$1000,$AS53,'Evaluation details_input'!$R$3:$R$1000,$AZ$3)
+COUNTIFS('Evaluation details_input'!$F$3:$F$1000,$AS$47,'Evaluation details_input'!$G$3:$G$1000,$AS53,'Evaluation details_input'!$H$3:$H$1000,$AZ$3,'Evaluation details_input'!$J$3:$J$1000,"Not accepted",'Evaluation details_input'!$N$3:$N$1000,"Disagree with original translator", 'Evaluation details_input'!$P$3:$P$1000,"")
+COUNTIFS('Evaluation details_input'!$F$3:$F$1000,$AS$47,'Evaluation details_input'!$G$3:$G$1000,$AS53,'Evaluation details_input'!$H$3:$H$1000,$AZ$3,'Evaluation details_input'!$J$3:$J$1000,"Accepted", 'Evaluation details_input'!$P$3:$P$1000,"")
+COUNTIFS('Evaluation details_input'!$F$3:$F$1000,$AS$47,'Evaluation details_input'!$G$3:$G$1000,$AS53,'Evaluation details_input'!$H$3:$H$1000,$AZ$3,'Evaluation details_input'!$J$3:$J$1000,"")</f>
        <v>0</v>
      </c>
      <c r="BA53" s="171">
        <f t="shared" si="23"/>
        <v>0</v>
      </c>
      <c r="BB53" s="202">
        <f xml:space="preserve">
COUNTIFS('Evaluation details_input'!$P$3:$P$1000,$AS$47,'Evaluation details_input'!$Q$3:$Q$1000,$AS53,'Evaluation details_input'!$R$3:$R$1000,$BB$3)
+COUNTIFS('Evaluation details_input'!$F$3:$F$1000,$AS$47,'Evaluation details_input'!$G$3:$G$1000,$AS53,'Evaluation details_input'!$H$3:$H$1000,$BB$3,'Evaluation details_input'!$J$3:$J$1000,"Not accepted",'Evaluation details_input'!$N$3:$N$1000,"Disagree with original translator", 'Evaluation details_input'!$P$3:$P$1000,"")
+COUNTIFS('Evaluation details_input'!$F$3:$F$1000,$AS$47,'Evaluation details_input'!$G$3:$G$1000,$AS53,'Evaluation details_input'!$H$3:$H$1000,$BB$3,'Evaluation details_input'!$J$3:$J$1000,"Accepted", 'Evaluation details_input'!$P$3:$P$1000,"")
+COUNTIFS('Evaluation details_input'!$F$3:$F$1000,$AS$47,'Evaluation details_input'!$G$3:$G$1000,$AS53,'Evaluation details_input'!$H$3:$H$1000,$BB$3,'Evaluation details_input'!$J$3:$J$1000,"")</f>
        <v>0</v>
      </c>
      <c r="BC53" s="202">
        <f xml:space="preserve">
COUNTIFS('Evaluation details_input'!$P$3:$P$1000,$AS$47,'Evaluation details_input'!$Q$3:$Q$1000,$AS53,'Evaluation details_input'!$R$3:$R$1000,$BC$3)
+COUNTIFS('Evaluation details_input'!$F$3:$F$1000,$AS$47,'Evaluation details_input'!$G$3:$G$1000,$AS53,'Evaluation details_input'!$H$3:$H$1000,$BC$3,'Evaluation details_input'!$J$3:$J$1000,"Not accepted",'Evaluation details_input'!$N$3:$N$1000,"Disagree with original translator", 'Evaluation details_input'!$P$3:$P$1000,"")
+COUNTIFS('Evaluation details_input'!$F$3:$F$1000,$AS$47,'Evaluation details_input'!$G$3:$G$1000,$AS53,'Evaluation details_input'!$H$3:$H$1000,$BC$3,'Evaluation details_input'!$J$3:$J$1000,"Accepted", 'Evaluation details_input'!$P$3:$P$1000,"")
+COUNTIFS('Evaluation details_input'!$F$3:$F$1000,$AS$47,'Evaluation details_input'!$G$3:$G$1000,$AS53,'Evaluation details_input'!$H$3:$H$1000,$BC$3,'Evaluation details_input'!$J$3:$J$1000,"")</f>
        <v>0</v>
      </c>
      <c r="BD53" s="202">
        <f xml:space="preserve">
COUNTIFS('Evaluation details_input'!$P$3:$P$1000,$AS$47,'Evaluation details_input'!$Q$3:$Q$1000,$AS53,'Evaluation details_input'!$R$3:$R$1000,$BD$3)
+COUNTIFS('Evaluation details_input'!$F$3:$F$1000,$AS$47,'Evaluation details_input'!$G$3:$G$1000,$AS53,'Evaluation details_input'!$H$3:$H$1000,$BD$3,'Evaluation details_input'!$J$3:$J$1000,"Not accepted",'Evaluation details_input'!$N$3:$N$1000,"Disagree with original translator", 'Evaluation details_input'!$P$3:$P$1000,"")
+COUNTIFS('Evaluation details_input'!$F$3:$F$1000,$AS$47,'Evaluation details_input'!$G$3:$G$1000,$AS53,'Evaluation details_input'!$H$3:$H$1000,$BD$3,'Evaluation details_input'!$J$3:$J$1000,"Accepted", 'Evaluation details_input'!$P$3:$P$1000,"")
+COUNTIFS('Evaluation details_input'!$F$3:$F$1000,$AS$47,'Evaluation details_input'!$G$3:$G$1000,$AS53,'Evaluation details_input'!$H$3:$H$1000,$BD$3,'Evaluation details_input'!$J$3:$J$1000,"")</f>
        <v>0</v>
      </c>
    </row>
    <row r="54" spans="3:56" ht="23.25" thickBot="1">
      <c r="C54" s="160" t="s">
        <v>142</v>
      </c>
      <c r="S54" s="193" t="str">
        <f>$P$6</f>
        <v>Truncation/text expansion</v>
      </c>
      <c r="T54" s="165">
        <v>1</v>
      </c>
      <c r="U54" s="165">
        <v>5</v>
      </c>
      <c r="V54" s="186">
        <v>100</v>
      </c>
      <c r="W54" s="166">
        <v>0</v>
      </c>
      <c r="X54" s="193" t="str">
        <f>$P$6</f>
        <v>Truncation/text expansion</v>
      </c>
      <c r="Y54" s="165">
        <v>1</v>
      </c>
      <c r="Z54" s="165">
        <v>5</v>
      </c>
      <c r="AA54" s="186">
        <v>100</v>
      </c>
      <c r="AB54" s="166">
        <v>0</v>
      </c>
      <c r="AC54" s="193" t="str">
        <f>$P$6</f>
        <v>Truncation/text expansion</v>
      </c>
      <c r="AD54" s="165">
        <v>1</v>
      </c>
      <c r="AE54" s="165">
        <v>5</v>
      </c>
      <c r="AF54" s="186">
        <v>100</v>
      </c>
      <c r="AG54" s="166">
        <v>0</v>
      </c>
      <c r="AH54" s="193" t="str">
        <f>$P$6</f>
        <v>Truncation/text expansion</v>
      </c>
      <c r="AI54" s="165">
        <v>1</v>
      </c>
      <c r="AJ54" s="165">
        <v>5</v>
      </c>
      <c r="AK54" s="186">
        <v>100</v>
      </c>
      <c r="AL54" s="166">
        <v>0</v>
      </c>
      <c r="AM54" s="193" t="str">
        <f>$P$6</f>
        <v>Truncation/text expansion</v>
      </c>
      <c r="AN54" s="165" t="s">
        <v>227</v>
      </c>
      <c r="AO54" s="165" t="s">
        <v>227</v>
      </c>
      <c r="AP54" s="186" t="s">
        <v>227</v>
      </c>
      <c r="AQ54" s="166">
        <v>0</v>
      </c>
      <c r="AS54" s="212" t="str">
        <f t="shared" si="19"/>
        <v>Other</v>
      </c>
      <c r="AT54" s="206">
        <f>SUMPRODUCT(('Evaluation details_input'!$F$4:$F$1000=$AS$47)*('Evaluation details_input'!$G$4:$G$1000=$AS54)*('Evaluation details_input'!$H$4:$H$1000=$AT$3))</f>
        <v>0</v>
      </c>
      <c r="AU54" s="171">
        <f t="shared" si="20"/>
        <v>0</v>
      </c>
      <c r="AV54" s="202">
        <f xml:space="preserve">
COUNTIFS('Evaluation details_input'!$P$3:$P$1000,$AS$47,'Evaluation details_input'!$Q$3:$Q$1000,$AS54,'Evaluation details_input'!$R$3:$R$1000,$AV$3)
+COUNTIFS('Evaluation details_input'!$F$3:$F$1000,$AS$47,'Evaluation details_input'!$G$3:$G$1000,$AS54,'Evaluation details_input'!$H$3:$H$1000,$AV$3,'Evaluation details_input'!$J$3:$J$1000,"Not accepted",'Evaluation details_input'!$N$3:$N$1000,"Disagree with original translator", 'Evaluation details_input'!$P$3:$P$1000,"")
+COUNTIFS('Evaluation details_input'!$F$3:$F$1000,$AS$47,'Evaluation details_input'!$G$3:$G$1000,$AS54,'Evaluation details_input'!$H$3:$H$1000,$AV$3,'Evaluation details_input'!$J$3:$J$1000,"Accepted", 'Evaluation details_input'!$P$3:$P$1000,"")
+COUNTIFS('Evaluation details_input'!$F$3:$F$1000,$AS$47,'Evaluation details_input'!$G$3:$G$1000,$AS54,'Evaluation details_input'!$H$3:$H$1000,$AV$3,'Evaluation details_input'!$J$3:$J$1000,"")</f>
        <v>0</v>
      </c>
      <c r="AW54" s="171">
        <f t="shared" si="21"/>
        <v>0</v>
      </c>
      <c r="AX54" s="202">
        <f>SUMPRODUCT(('Evaluation details_input'!$F$4:$F$1000=$AS$47)*('Evaluation details_input'!$G$4:$G$1000=$AS54)*('Evaluation details_input'!$H$4:$H$1000=$AX$3))</f>
        <v>0</v>
      </c>
      <c r="AY54" s="171">
        <f t="shared" si="22"/>
        <v>0</v>
      </c>
      <c r="AZ54" s="202">
        <f xml:space="preserve">
COUNTIFS('Evaluation details_input'!$P$3:$P$1000,$AS$47,'Evaluation details_input'!$Q$3:$Q$1000,$AS54,'Evaluation details_input'!$R$3:$R$1000,$AZ$3)
+COUNTIFS('Evaluation details_input'!$F$3:$F$1000,$AS$47,'Evaluation details_input'!$G$3:$G$1000,$AS54,'Evaluation details_input'!$H$3:$H$1000,$AZ$3,'Evaluation details_input'!$J$3:$J$1000,"Not accepted",'Evaluation details_input'!$N$3:$N$1000,"Disagree with original translator", 'Evaluation details_input'!$P$3:$P$1000,"")
+COUNTIFS('Evaluation details_input'!$F$3:$F$1000,$AS$47,'Evaluation details_input'!$G$3:$G$1000,$AS54,'Evaluation details_input'!$H$3:$H$1000,$AZ$3,'Evaluation details_input'!$J$3:$J$1000,"Accepted", 'Evaluation details_input'!$P$3:$P$1000,"")
+COUNTIFS('Evaluation details_input'!$F$3:$F$1000,$AS$47,'Evaluation details_input'!$G$3:$G$1000,$AS54,'Evaluation details_input'!$H$3:$H$1000,$AZ$3,'Evaluation details_input'!$J$3:$J$1000,"")</f>
        <v>0</v>
      </c>
      <c r="BA54" s="171">
        <f t="shared" si="23"/>
        <v>0</v>
      </c>
      <c r="BB54" s="202">
        <f xml:space="preserve">
COUNTIFS('Evaluation details_input'!$P$3:$P$1000,$AS$47,'Evaluation details_input'!$Q$3:$Q$1000,$AS54,'Evaluation details_input'!$R$3:$R$1000,$BB$3)
+COUNTIFS('Evaluation details_input'!$F$3:$F$1000,$AS$47,'Evaluation details_input'!$G$3:$G$1000,$AS54,'Evaluation details_input'!$H$3:$H$1000,$BB$3,'Evaluation details_input'!$J$3:$J$1000,"Not accepted",'Evaluation details_input'!$N$3:$N$1000,"Disagree with original translator", 'Evaluation details_input'!$P$3:$P$1000,"")
+COUNTIFS('Evaluation details_input'!$F$3:$F$1000,$AS$47,'Evaluation details_input'!$G$3:$G$1000,$AS54,'Evaluation details_input'!$H$3:$H$1000,$BB$3,'Evaluation details_input'!$J$3:$J$1000,"Accepted", 'Evaluation details_input'!$P$3:$P$1000,"")
+COUNTIFS('Evaluation details_input'!$F$3:$F$1000,$AS$47,'Evaluation details_input'!$G$3:$G$1000,$AS54,'Evaluation details_input'!$H$3:$H$1000,$BB$3,'Evaluation details_input'!$J$3:$J$1000,"")</f>
        <v>0</v>
      </c>
      <c r="BC54" s="202">
        <f xml:space="preserve">
COUNTIFS('Evaluation details_input'!$P$3:$P$1000,$AS$47,'Evaluation details_input'!$Q$3:$Q$1000,$AS54,'Evaluation details_input'!$R$3:$R$1000,$BC$3)
+COUNTIFS('Evaluation details_input'!$F$3:$F$1000,$AS$47,'Evaluation details_input'!$G$3:$G$1000,$AS54,'Evaluation details_input'!$H$3:$H$1000,$BC$3,'Evaluation details_input'!$J$3:$J$1000,"Not accepted",'Evaluation details_input'!$N$3:$N$1000,"Disagree with original translator", 'Evaluation details_input'!$P$3:$P$1000,"")
+COUNTIFS('Evaluation details_input'!$F$3:$F$1000,$AS$47,'Evaluation details_input'!$G$3:$G$1000,$AS54,'Evaluation details_input'!$H$3:$H$1000,$BC$3,'Evaluation details_input'!$J$3:$J$1000,"Accepted", 'Evaluation details_input'!$P$3:$P$1000,"")
+COUNTIFS('Evaluation details_input'!$F$3:$F$1000,$AS$47,'Evaluation details_input'!$G$3:$G$1000,$AS54,'Evaluation details_input'!$H$3:$H$1000,$BC$3,'Evaluation details_input'!$J$3:$J$1000,"")</f>
        <v>0</v>
      </c>
      <c r="BD54" s="202">
        <f xml:space="preserve">
COUNTIFS('Evaluation details_input'!$P$3:$P$1000,$AS$47,'Evaluation details_input'!$Q$3:$Q$1000,$AS54,'Evaluation details_input'!$R$3:$R$1000,$BD$3)
+COUNTIFS('Evaluation details_input'!$F$3:$F$1000,$AS$47,'Evaluation details_input'!$G$3:$G$1000,$AS54,'Evaluation details_input'!$H$3:$H$1000,$BD$3,'Evaluation details_input'!$J$3:$J$1000,"Not accepted",'Evaluation details_input'!$N$3:$N$1000,"Disagree with original translator", 'Evaluation details_input'!$P$3:$P$1000,"")
+COUNTIFS('Evaluation details_input'!$F$3:$F$1000,$AS$47,'Evaluation details_input'!$G$3:$G$1000,$AS54,'Evaluation details_input'!$H$3:$H$1000,$BD$3,'Evaluation details_input'!$J$3:$J$1000,"Accepted", 'Evaluation details_input'!$P$3:$P$1000,"")
+COUNTIFS('Evaluation details_input'!$F$3:$F$1000,$AS$47,'Evaluation details_input'!$G$3:$G$1000,$AS54,'Evaluation details_input'!$H$3:$H$1000,$BD$3,'Evaluation details_input'!$J$3:$J$1000,"")</f>
        <v>0</v>
      </c>
    </row>
    <row r="55" spans="3:56" ht="22.5">
      <c r="C55" s="160" t="s">
        <v>44</v>
      </c>
      <c r="S55" s="193" t="str">
        <f>$P$7</f>
        <v>Missing text</v>
      </c>
      <c r="T55" s="165">
        <v>1</v>
      </c>
      <c r="U55" s="165">
        <v>5</v>
      </c>
      <c r="V55" s="186">
        <v>100</v>
      </c>
      <c r="W55" s="166">
        <v>0</v>
      </c>
      <c r="X55" s="193" t="str">
        <f>$P$7</f>
        <v>Missing text</v>
      </c>
      <c r="Y55" s="165">
        <v>1</v>
      </c>
      <c r="Z55" s="165">
        <v>5</v>
      </c>
      <c r="AA55" s="186">
        <v>100</v>
      </c>
      <c r="AB55" s="166">
        <v>0</v>
      </c>
      <c r="AC55" s="193" t="str">
        <f>$P$7</f>
        <v>Missing text</v>
      </c>
      <c r="AD55" s="165">
        <v>1</v>
      </c>
      <c r="AE55" s="165">
        <v>5</v>
      </c>
      <c r="AF55" s="186">
        <v>100</v>
      </c>
      <c r="AG55" s="166">
        <v>0</v>
      </c>
      <c r="AH55" s="193" t="str">
        <f>$P$7</f>
        <v>Missing text</v>
      </c>
      <c r="AI55" s="165">
        <v>1</v>
      </c>
      <c r="AJ55" s="165">
        <v>5</v>
      </c>
      <c r="AK55" s="186">
        <v>100</v>
      </c>
      <c r="AL55" s="166">
        <v>0</v>
      </c>
      <c r="AM55" s="193" t="str">
        <f>$P$7</f>
        <v>Missing text</v>
      </c>
      <c r="AN55" s="165" t="s">
        <v>227</v>
      </c>
      <c r="AO55" s="165" t="s">
        <v>227</v>
      </c>
      <c r="AP55" s="186" t="s">
        <v>227</v>
      </c>
      <c r="AQ55" s="166">
        <v>0</v>
      </c>
      <c r="AS55" s="213" t="str">
        <f>Q2</f>
        <v>Other</v>
      </c>
      <c r="AT55" s="207"/>
      <c r="AU55" s="173"/>
      <c r="AV55" s="173"/>
      <c r="AW55" s="173"/>
      <c r="AX55" s="203"/>
      <c r="AY55" s="173"/>
      <c r="AZ55" s="173"/>
      <c r="BA55" s="173"/>
      <c r="BB55" s="264"/>
      <c r="BC55" s="264"/>
      <c r="BD55" s="264"/>
    </row>
    <row r="56" spans="3:56" ht="22.5">
      <c r="C56" s="160" t="s">
        <v>45</v>
      </c>
      <c r="S56" s="193" t="str">
        <f>$P$8</f>
        <v>Link/cross-reference</v>
      </c>
      <c r="T56" s="165">
        <v>1</v>
      </c>
      <c r="U56" s="165">
        <v>5</v>
      </c>
      <c r="V56" s="186">
        <v>100</v>
      </c>
      <c r="W56" s="166">
        <v>0</v>
      </c>
      <c r="X56" s="193" t="str">
        <f>$P$8</f>
        <v>Link/cross-reference</v>
      </c>
      <c r="Y56" s="165">
        <v>1</v>
      </c>
      <c r="Z56" s="165">
        <v>5</v>
      </c>
      <c r="AA56" s="186">
        <v>100</v>
      </c>
      <c r="AB56" s="166">
        <v>0</v>
      </c>
      <c r="AC56" s="193" t="str">
        <f>$P$8</f>
        <v>Link/cross-reference</v>
      </c>
      <c r="AD56" s="165">
        <v>1</v>
      </c>
      <c r="AE56" s="165">
        <v>5</v>
      </c>
      <c r="AF56" s="186">
        <v>100</v>
      </c>
      <c r="AG56" s="166">
        <v>0</v>
      </c>
      <c r="AH56" s="193" t="str">
        <f>$P$8</f>
        <v>Link/cross-reference</v>
      </c>
      <c r="AI56" s="165">
        <v>1</v>
      </c>
      <c r="AJ56" s="165">
        <v>5</v>
      </c>
      <c r="AK56" s="186">
        <v>100</v>
      </c>
      <c r="AL56" s="166">
        <v>0</v>
      </c>
      <c r="AM56" s="193" t="str">
        <f>$P$8</f>
        <v>Link/cross-reference</v>
      </c>
      <c r="AN56" s="165" t="s">
        <v>227</v>
      </c>
      <c r="AO56" s="165" t="s">
        <v>227</v>
      </c>
      <c r="AP56" s="186" t="s">
        <v>227</v>
      </c>
      <c r="AQ56" s="166">
        <v>0</v>
      </c>
      <c r="AS56" s="210" t="str">
        <f>Q3</f>
        <v>Legacy data</v>
      </c>
      <c r="AT56" s="206">
        <f>SUMPRODUCT(('Evaluation details_input'!$F$4:$F$1000=$AS$55)*('Evaluation details_input'!$G$4:$G$1000=$AS56)*('Evaluation details_input'!$H$4:$H$1000=$AT$3))</f>
        <v>0</v>
      </c>
      <c r="AU56" s="171">
        <f xml:space="preserve">
IF($AT$2=$X$3,$AT56*$Y59,
IF($AT$2=$AC$3,$AT56*$AD59,
$AT56*$T59))</f>
        <v>0</v>
      </c>
      <c r="AV56" s="202">
        <f xml:space="preserve">
COUNTIFS('Evaluation details_input'!$P$3:$P$1000,$AS$55,'Evaluation details_input'!$Q$3:$Q$1000,$AS56,'Evaluation details_input'!$R$3:$R$1000,$AV$3)
+COUNTIFS('Evaluation details_input'!$F$3:$F$1000,$AS$55,'Evaluation details_input'!$G$3:$G$1000,$AS56,'Evaluation details_input'!$H$3:$H$1000,$AV$3,'Evaluation details_input'!$J$3:$J$1000,"Not accepted",'Evaluation details_input'!$N$3:$N$1000,"Disagree with original translator", 'Evaluation details_input'!$P$3:$P$1000,"")
+COUNTIFS('Evaluation details_input'!$F$3:$F$1000,$AS$55,'Evaluation details_input'!$G$3:$G$1000,$AS56,'Evaluation details_input'!$H$3:$H$1000,$AV$3,'Evaluation details_input'!$J$3:$J$1000,"Accepted", 'Evaluation details_input'!$P$3:$P$1000,"")
+COUNTIFS('Evaluation details_input'!$F$3:$F$1000,$AS$55,'Evaluation details_input'!$G$3:$G$1000,$AS56,'Evaluation details_input'!$H$3:$H$1000,$AV$3,'Evaluation details_input'!$J$3:$J$1000,"")</f>
        <v>0</v>
      </c>
      <c r="AW56" s="171">
        <f xml:space="preserve">
IF($AT$2=$X$3,$AV56*$Y59,
IF($AT$2=$AC$3,$AV56*$AD59,
$AV56*$U59))</f>
        <v>0</v>
      </c>
      <c r="AX56" s="202">
        <f>SUMPRODUCT(('Evaluation details_input'!$F$4:$F$1000=$AS$55)*('Evaluation details_input'!$G$4:$G$1000=$AS56)*('Evaluation details_input'!$H$4:$H$1000=$AX$3))</f>
        <v>0</v>
      </c>
      <c r="AY56" s="171">
        <f xml:space="preserve">
IF($AT$2=$X$3,$AX56*$Z59,
IF($AT$2=$AC$3,$AX56*$AE59,
$AX56*$T59))</f>
        <v>0</v>
      </c>
      <c r="AZ56" s="202">
        <f xml:space="preserve">
COUNTIFS('Evaluation details_input'!$P$3:$P$1000,$AS$55,'Evaluation details_input'!$Q$3:$Q$1000,$AS56,'Evaluation details_input'!$R$3:$R$1000,$AZ$3)
+COUNTIFS('Evaluation details_input'!$F$3:$F$1000,$AS$55,'Evaluation details_input'!$G$3:$G$1000,$AS56,'Evaluation details_input'!$H$3:$H$1000,$AZ$3,'Evaluation details_input'!$J$3:$J$1000,"Not accepted",'Evaluation details_input'!$N$3:$N$1000,"Disagree with original translator", 'Evaluation details_input'!$P$3:$P$1000,"")
+COUNTIFS('Evaluation details_input'!$F$3:$F$1000,$AS$55,'Evaluation details_input'!$G$3:$G$1000,$AS56,'Evaluation details_input'!$H$3:$H$1000,$AZ$3,'Evaluation details_input'!$J$3:$J$1000,"Accepted", 'Evaluation details_input'!$P$3:$P$1000,"")
+COUNTIFS('Evaluation details_input'!$F$3:$F$1000,$AS$55,'Evaluation details_input'!$G$3:$G$1000,$AS56,'Evaluation details_input'!$H$3:$H$1000,$AZ$3,'Evaluation details_input'!$J$3:$J$1000,"")</f>
        <v>0</v>
      </c>
      <c r="BA56" s="171">
        <f xml:space="preserve">
IF($AT$2=$X$3,$AZ56*$Z59,
IF($AT$2=$AC$3,$AZ56*$AE59,
$AZ56*$T59))</f>
        <v>0</v>
      </c>
      <c r="BB56" s="202">
        <f xml:space="preserve">
COUNTIFS('Evaluation details_input'!$P$3:$P$1000,$AS$55,'Evaluation details_input'!$Q$3:$Q$1000,$AS56,'Evaluation details_input'!$R$3:$R$1000,$BB$3)
+COUNTIFS('Evaluation details_input'!$F$3:$F$1000,$AS$55,'Evaluation details_input'!$G$3:$G$1000,$AS56,'Evaluation details_input'!$H$3:$H$1000,$BB$3,'Evaluation details_input'!$J$3:$J$1000,"Not accepted",'Evaluation details_input'!$N$3:$N$1000,"Disagree with original translator", 'Evaluation details_input'!$P$3:$P$1000,"")
+COUNTIFS('Evaluation details_input'!$F$3:$F$1000,$AS$55,'Evaluation details_input'!$G$3:$G$1000,$AS56,'Evaluation details_input'!$H$3:$H$1000,$BB$3,'Evaluation details_input'!$J$3:$J$1000,"Accepted", 'Evaluation details_input'!$P$3:$P$1000,"")
+COUNTIFS('Evaluation details_input'!$F$3:$F$1000,$AS$55,'Evaluation details_input'!$G$3:$G$1000,$AS56,'Evaluation details_input'!$H$3:$H$1000,$BB$3,'Evaluation details_input'!$J$3:$J$1000,"")</f>
        <v>0</v>
      </c>
      <c r="BC56" s="202">
        <f xml:space="preserve">
COUNTIFS('Evaluation details_input'!$P$3:$P$1000,$AS$55,'Evaluation details_input'!$Q$3:$Q$1000,$AS56,'Evaluation details_input'!$R$3:$R$1000,$BC$3)
+COUNTIFS('Evaluation details_input'!$F$3:$F$1000,$AS$55,'Evaluation details_input'!$G$3:$G$1000,$AS56,'Evaluation details_input'!$H$3:$H$1000,$BC$3,'Evaluation details_input'!$J$3:$J$1000,"Not accepted",'Evaluation details_input'!$N$3:$N$1000,"Disagree with original translator", 'Evaluation details_input'!$P$3:$P$1000,"")
+COUNTIFS('Evaluation details_input'!$F$3:$F$1000,$AS$55,'Evaluation details_input'!$G$3:$G$1000,$AS56,'Evaluation details_input'!$H$3:$H$1000,$BC$3,'Evaluation details_input'!$J$3:$J$1000,"Accepted", 'Evaluation details_input'!$P$3:$P$1000,"")
+COUNTIFS('Evaluation details_input'!$F$3:$F$1000,$AS$55,'Evaluation details_input'!$G$3:$G$1000,$AS56,'Evaluation details_input'!$H$3:$H$1000,$BC$3,'Evaluation details_input'!$J$3:$J$1000,"")</f>
        <v>0</v>
      </c>
      <c r="BD56" s="202">
        <f xml:space="preserve">
COUNTIFS('Evaluation details_input'!$P$3:$P$1000,$AS$55,'Evaluation details_input'!$Q$3:$Q$1000,$AS56,'Evaluation details_input'!$R$3:$R$1000,$BD$3)
+COUNTIFS('Evaluation details_input'!$F$3:$F$1000,$AS$55,'Evaluation details_input'!$G$3:$G$1000,$AS56,'Evaluation details_input'!$H$3:$H$1000,$BD$3,'Evaluation details_input'!$J$3:$J$1000,"Not accepted",'Evaluation details_input'!$N$3:$N$1000,"Disagree with original translator", 'Evaluation details_input'!$P$3:$P$1000,"")
+COUNTIFS('Evaluation details_input'!$F$3:$F$1000,$AS$55,'Evaluation details_input'!$G$3:$G$1000,$AS56,'Evaluation details_input'!$H$3:$H$1000,$BD$3,'Evaluation details_input'!$J$3:$J$1000,"Accepted", 'Evaluation details_input'!$P$3:$P$1000,"")
+COUNTIFS('Evaluation details_input'!$F$3:$F$1000,$AS$55,'Evaluation details_input'!$G$3:$G$1000,$AS56,'Evaluation details_input'!$H$3:$H$1000,$BD$3,'Evaluation details_input'!$J$3:$J$1000,"")</f>
        <v>0</v>
      </c>
    </row>
    <row r="57" spans="3:56" ht="22.5">
      <c r="C57" s="160" t="s">
        <v>269</v>
      </c>
      <c r="S57" s="193" t="str">
        <f>$P$9</f>
        <v>Other</v>
      </c>
      <c r="T57" s="165">
        <v>1</v>
      </c>
      <c r="U57" s="165">
        <v>5</v>
      </c>
      <c r="V57" s="186">
        <v>100</v>
      </c>
      <c r="W57" s="166">
        <v>0</v>
      </c>
      <c r="X57" s="193" t="str">
        <f>$P$9</f>
        <v>Other</v>
      </c>
      <c r="Y57" s="165">
        <v>1</v>
      </c>
      <c r="Z57" s="165">
        <v>5</v>
      </c>
      <c r="AA57" s="186">
        <v>100</v>
      </c>
      <c r="AB57" s="166">
        <v>0</v>
      </c>
      <c r="AC57" s="193" t="str">
        <f>$P$9</f>
        <v>Other</v>
      </c>
      <c r="AD57" s="165">
        <v>1</v>
      </c>
      <c r="AE57" s="165">
        <v>5</v>
      </c>
      <c r="AF57" s="186">
        <v>100</v>
      </c>
      <c r="AG57" s="166">
        <v>0</v>
      </c>
      <c r="AH57" s="193" t="str">
        <f>$P$9</f>
        <v>Other</v>
      </c>
      <c r="AI57" s="165">
        <v>1</v>
      </c>
      <c r="AJ57" s="165">
        <v>5</v>
      </c>
      <c r="AK57" s="186">
        <v>100</v>
      </c>
      <c r="AL57" s="166">
        <v>0</v>
      </c>
      <c r="AM57" s="193" t="str">
        <f>$P$9</f>
        <v>Other</v>
      </c>
      <c r="AN57" s="165" t="s">
        <v>227</v>
      </c>
      <c r="AO57" s="165" t="s">
        <v>227</v>
      </c>
      <c r="AP57" s="186" t="s">
        <v>227</v>
      </c>
      <c r="AQ57" s="166">
        <v>0</v>
      </c>
      <c r="AS57" s="210" t="str">
        <f>Q4</f>
        <v>Source text data</v>
      </c>
      <c r="AT57" s="206">
        <f>SUMPRODUCT(('Evaluation details_input'!$F$4:$F$1000=$AS$55)*('Evaluation details_input'!$G$4:$G$1000=$AS57)*('Evaluation details_input'!$H$4:$H$1000=$AT$3))</f>
        <v>0</v>
      </c>
      <c r="AU57" s="171">
        <f xml:space="preserve">
IF($AT$2=$X$3,$AT57*$Y60,
IF($AT$2=$AC$3,$AT57*$AD60,
$AT57*$T60))</f>
        <v>0</v>
      </c>
      <c r="AV57" s="202">
        <f xml:space="preserve">
COUNTIFS('Evaluation details_input'!$P$3:$P$1000,$AS$55,'Evaluation details_input'!$Q$3:$Q$1000,$AS57,'Evaluation details_input'!$R$3:$R$1000,$AV$3)
+COUNTIFS('Evaluation details_input'!$F$3:$F$1000,$AS$55,'Evaluation details_input'!$G$3:$G$1000,$AS57,'Evaluation details_input'!$H$3:$H$1000,$AV$3,'Evaluation details_input'!$J$3:$J$1000,"Not accepted",'Evaluation details_input'!$N$3:$N$1000,"Disagree with original translator", 'Evaluation details_input'!$P$3:$P$1000,"")
+COUNTIFS('Evaluation details_input'!$F$3:$F$1000,$AS$55,'Evaluation details_input'!$G$3:$G$1000,$AS57,'Evaluation details_input'!$H$3:$H$1000,$AV$3,'Evaluation details_input'!$J$3:$J$1000,"Accepted", 'Evaluation details_input'!$P$3:$P$1000,"")
+COUNTIFS('Evaluation details_input'!$F$3:$F$1000,$AS$55,'Evaluation details_input'!$G$3:$G$1000,$AS57,'Evaluation details_input'!$H$3:$H$1000,$AV$3,'Evaluation details_input'!$J$3:$J$1000,"")</f>
        <v>0</v>
      </c>
      <c r="AW57" s="171">
        <f xml:space="preserve">
IF($AT$2=$X$3,$AV57*$Y60,
IF($AT$2=$AC$3,$AV57*$AD60,
$AV57*$U60))</f>
        <v>0</v>
      </c>
      <c r="AX57" s="202">
        <f>SUMPRODUCT(('Evaluation details_input'!$F$4:$F$1000=$AS$55)*('Evaluation details_input'!$G$4:$G$1000=$AS57)*('Evaluation details_input'!$H$4:$H$1000=$AX$3))</f>
        <v>0</v>
      </c>
      <c r="AY57" s="171">
        <f xml:space="preserve">
IF($AT$2=$X$3,$AT57*$Y60,
IF($AT$2=$AC$3,$AT57*$AD60,
$AT57*$T60))</f>
        <v>0</v>
      </c>
      <c r="AZ57" s="202">
        <f xml:space="preserve">
COUNTIFS('Evaluation details_input'!$P$3:$P$1000,$AS$55,'Evaluation details_input'!$Q$3:$Q$1000,$AS57,'Evaluation details_input'!$R$3:$R$1000,$AZ$3)
+COUNTIFS('Evaluation details_input'!$F$3:$F$1000,$AS$55,'Evaluation details_input'!$G$3:$G$1000,$AS57,'Evaluation details_input'!$H$3:$H$1000,$AZ$3,'Evaluation details_input'!$J$3:$J$1000,"Not accepted",'Evaluation details_input'!$N$3:$N$1000,"Disagree with original translator", 'Evaluation details_input'!$P$3:$P$1000,"")
+COUNTIFS('Evaluation details_input'!$F$3:$F$1000,$AS$55,'Evaluation details_input'!$G$3:$G$1000,$AS57,'Evaluation details_input'!$H$3:$H$1000,$AZ$3,'Evaluation details_input'!$J$3:$J$1000,"Accepted", 'Evaluation details_input'!$P$3:$P$1000,"")
+COUNTIFS('Evaluation details_input'!$F$3:$F$1000,$AS$55,'Evaluation details_input'!$G$3:$G$1000,$AS57,'Evaluation details_input'!$H$3:$H$1000,$AZ$3,'Evaluation details_input'!$J$3:$J$1000,"")</f>
        <v>0</v>
      </c>
      <c r="BA57" s="171">
        <f xml:space="preserve">
IF($AT$2=$X$3,$AZ57*$Z60,
IF($AT$2=$AC$3,$AZ57*$AE60,
$AZ57*$T60))</f>
        <v>0</v>
      </c>
      <c r="BB57" s="202">
        <f xml:space="preserve">
COUNTIFS('Evaluation details_input'!$P$3:$P$1000,$AS$55,'Evaluation details_input'!$Q$3:$Q$1000,$AS57,'Evaluation details_input'!$R$3:$R$1000,$BB$3)
+COUNTIFS('Evaluation details_input'!$F$3:$F$1000,$AS$55,'Evaluation details_input'!$G$3:$G$1000,$AS57,'Evaluation details_input'!$H$3:$H$1000,$BB$3,'Evaluation details_input'!$J$3:$J$1000,"Not accepted",'Evaluation details_input'!$N$3:$N$1000,"Disagree with original translator", 'Evaluation details_input'!$P$3:$P$1000,"")
+COUNTIFS('Evaluation details_input'!$F$3:$F$1000,$AS$55,'Evaluation details_input'!$G$3:$G$1000,$AS57,'Evaluation details_input'!$H$3:$H$1000,$BB$3,'Evaluation details_input'!$J$3:$J$1000,"Accepted", 'Evaluation details_input'!$P$3:$P$1000,"")
+COUNTIFS('Evaluation details_input'!$F$3:$F$1000,$AS$55,'Evaluation details_input'!$G$3:$G$1000,$AS57,'Evaluation details_input'!$H$3:$H$1000,$BB$3,'Evaluation details_input'!$J$3:$J$1000,"")</f>
        <v>0</v>
      </c>
      <c r="BC57" s="202">
        <f xml:space="preserve">
COUNTIFS('Evaluation details_input'!$P$3:$P$1000,$AS$55,'Evaluation details_input'!$Q$3:$Q$1000,$AS57,'Evaluation details_input'!$R$3:$R$1000,$BC$3)
+COUNTIFS('Evaluation details_input'!$F$3:$F$1000,$AS$55,'Evaluation details_input'!$G$3:$G$1000,$AS57,'Evaluation details_input'!$H$3:$H$1000,$BC$3,'Evaluation details_input'!$J$3:$J$1000,"Not accepted",'Evaluation details_input'!$N$3:$N$1000,"Disagree with original translator", 'Evaluation details_input'!$P$3:$P$1000,"")
+COUNTIFS('Evaluation details_input'!$F$3:$F$1000,$AS$55,'Evaluation details_input'!$G$3:$G$1000,$AS57,'Evaluation details_input'!$H$3:$H$1000,$BC$3,'Evaluation details_input'!$J$3:$J$1000,"Accepted", 'Evaluation details_input'!$P$3:$P$1000,"")
+COUNTIFS('Evaluation details_input'!$F$3:$F$1000,$AS$55,'Evaluation details_input'!$G$3:$G$1000,$AS57,'Evaluation details_input'!$H$3:$H$1000,$BC$3,'Evaluation details_input'!$J$3:$J$1000,"")</f>
        <v>0</v>
      </c>
      <c r="BD57" s="202">
        <f xml:space="preserve">
COUNTIFS('Evaluation details_input'!$P$3:$P$1000,$AS$55,'Evaluation details_input'!$Q$3:$Q$1000,$AS57,'Evaluation details_input'!$R$3:$R$1000,$BD$3)
+COUNTIFS('Evaluation details_input'!$F$3:$F$1000,$AS$55,'Evaluation details_input'!$G$3:$G$1000,$AS57,'Evaluation details_input'!$H$3:$H$1000,$BD$3,'Evaluation details_input'!$J$3:$J$1000,"Not accepted",'Evaluation details_input'!$N$3:$N$1000,"Disagree with original translator", 'Evaluation details_input'!$P$3:$P$1000,"")
+COUNTIFS('Evaluation details_input'!$F$3:$F$1000,$AS$55,'Evaluation details_input'!$G$3:$G$1000,$AS57,'Evaluation details_input'!$H$3:$H$1000,$BD$3,'Evaluation details_input'!$J$3:$J$1000,"Accepted", 'Evaluation details_input'!$P$3:$P$1000,"")
+COUNTIFS('Evaluation details_input'!$F$3:$F$1000,$AS$55,'Evaluation details_input'!$G$3:$G$1000,$AS57,'Evaluation details_input'!$H$3:$H$1000,$BD$3,'Evaluation details_input'!$J$3:$J$1000,"")</f>
        <v>0</v>
      </c>
    </row>
    <row r="58" spans="3:56" ht="13.5" thickBot="1">
      <c r="C58" s="160" t="s">
        <v>46</v>
      </c>
      <c r="S58" s="194" t="str">
        <f>$Q$2</f>
        <v>Other</v>
      </c>
      <c r="T58" s="177"/>
      <c r="U58" s="177"/>
      <c r="V58" s="187"/>
      <c r="W58" s="178"/>
      <c r="X58" s="194" t="str">
        <f>$Q$2</f>
        <v>Other</v>
      </c>
      <c r="Y58" s="177"/>
      <c r="Z58" s="177"/>
      <c r="AA58" s="187"/>
      <c r="AB58" s="178"/>
      <c r="AC58" s="194" t="str">
        <f>$Q$2</f>
        <v>Other</v>
      </c>
      <c r="AD58" s="177"/>
      <c r="AE58" s="177"/>
      <c r="AF58" s="187"/>
      <c r="AG58" s="178"/>
      <c r="AH58" s="194" t="str">
        <f>$Q$2</f>
        <v>Other</v>
      </c>
      <c r="AI58" s="177"/>
      <c r="AJ58" s="177"/>
      <c r="AK58" s="187"/>
      <c r="AL58" s="178"/>
      <c r="AM58" s="194" t="str">
        <f>$Q$2</f>
        <v>Other</v>
      </c>
      <c r="AN58" s="177"/>
      <c r="AO58" s="177"/>
      <c r="AP58" s="187"/>
      <c r="AQ58" s="178"/>
      <c r="AS58" s="212" t="str">
        <f>Q5</f>
        <v>Other</v>
      </c>
      <c r="AT58" s="208">
        <f>SUMPRODUCT(('Evaluation details_input'!$F$4:$F$1000=$AS$55)*('Evaluation details_input'!$G$4:$G$1000=$AS58)*('Evaluation details_input'!$H$4:$H$1000=$AT$3))</f>
        <v>0</v>
      </c>
      <c r="AU58" s="200">
        <f xml:space="preserve">
IF($AT$2=$X$3,$AT58*$Y61,
IF($AT$2=$AC$3,$AT58*$AD61,
$AT58*$T61))</f>
        <v>0</v>
      </c>
      <c r="AV58" s="204">
        <f xml:space="preserve">
COUNTIFS('Evaluation details_input'!$P$3:$P$1000,$AS$55,'Evaluation details_input'!$Q$3:$Q$1000,$AS58,'Evaluation details_input'!$R$3:$R$1000,$AV$3)
+COUNTIFS('Evaluation details_input'!$F$3:$F$1000,$AS$55,'Evaluation details_input'!$G$3:$G$1000,$AS58,'Evaluation details_input'!$H$3:$H$1000,$AV$3,'Evaluation details_input'!$J$3:$J$1000,"Not accepted",'Evaluation details_input'!$N$3:$N$1000,"Disagree with original translator", 'Evaluation details_input'!$P$3:$P$1000,"")
+COUNTIFS('Evaluation details_input'!$F$3:$F$1000,$AS$55,'Evaluation details_input'!$G$3:$G$1000,$AS58,'Evaluation details_input'!$H$3:$H$1000,$AV$3,'Evaluation details_input'!$J$3:$J$1000,"Accepted", 'Evaluation details_input'!$P$3:$P$1000,"")
+COUNTIFS('Evaluation details_input'!$F$3:$F$1000,$AS$55,'Evaluation details_input'!$G$3:$G$1000,$AS58,'Evaluation details_input'!$H$3:$H$1000,$AV$3,'Evaluation details_input'!$J$3:$J$1000,"")</f>
        <v>0</v>
      </c>
      <c r="AW58" s="200">
        <f xml:space="preserve">
IF($AT$2=$X$3,$AV58*$Y61,
IF($AT$2=$AC$3,$AV58*$AD61,
$AV58*$U61))</f>
        <v>0</v>
      </c>
      <c r="AX58" s="204">
        <f>SUMPRODUCT(('Evaluation details_input'!$F$4:$F$1000=$AS$55)*('Evaluation details_input'!$G$4:$G$1000=$AS58)*('Evaluation details_input'!$H$4:$H$1000=$AX$3))</f>
        <v>0</v>
      </c>
      <c r="AY58" s="200">
        <f xml:space="preserve">
IF($AT$2=$X$3,$AT58*$Y61,
IF($AT$2=$AC$3,$AT58*$AD61,
$AT58*$T61))</f>
        <v>0</v>
      </c>
      <c r="AZ58" s="204">
        <f xml:space="preserve">
COUNTIFS('Evaluation details_input'!$P$3:$P$1000,$AS$55,'Evaluation details_input'!$Q$3:$Q$1000,$AS58,'Evaluation details_input'!$R$3:$R$1000,$AZ$3)
+COUNTIFS('Evaluation details_input'!$F$3:$F$1000,$AS$55,'Evaluation details_input'!$G$3:$G$1000,$AS58,'Evaluation details_input'!$H$3:$H$1000,$AZ$3,'Evaluation details_input'!$J$3:$J$1000,"Not accepted",'Evaluation details_input'!$N$3:$N$1000,"Disagree with original translator", 'Evaluation details_input'!$P$3:$P$1000,"")
+COUNTIFS('Evaluation details_input'!$F$3:$F$1000,$AS$55,'Evaluation details_input'!$G$3:$G$1000,$AS58,'Evaluation details_input'!$H$3:$H$1000,$AZ$3,'Evaluation details_input'!$J$3:$J$1000,"Accepted", 'Evaluation details_input'!$P$3:$P$1000,"")
+COUNTIFS('Evaluation details_input'!$F$3:$F$1000,$AS$55,'Evaluation details_input'!$G$3:$G$1000,$AS58,'Evaluation details_input'!$H$3:$H$1000,$AZ$3,'Evaluation details_input'!$J$3:$J$1000,"")</f>
        <v>0</v>
      </c>
      <c r="BA58" s="200">
        <f xml:space="preserve">
IF($AT$2=$X$3,$AZ58*$Z61,
IF($AT$2=$AC$3,$AZ58*$AE61,
$AZ58*$T61))</f>
        <v>0</v>
      </c>
      <c r="BB58" s="202">
        <f xml:space="preserve">
COUNTIFS('Evaluation details_input'!$P$3:$P$1000,$AS$55,'Evaluation details_input'!$Q$3:$Q$1000,$AS58,'Evaluation details_input'!$R$3:$R$1000,$BB$3)
+COUNTIFS('Evaluation details_input'!$F$3:$F$1000,$AS$55,'Evaluation details_input'!$G$3:$G$1000,$AS58,'Evaluation details_input'!$H$3:$H$1000,$BB$3,'Evaluation details_input'!$J$3:$J$1000,"Not accepted",'Evaluation details_input'!$N$3:$N$1000,"Disagree with original translator", 'Evaluation details_input'!$P$3:$P$1000,"")
+COUNTIFS('Evaluation details_input'!$F$3:$F$1000,$AS$55,'Evaluation details_input'!$G$3:$G$1000,$AS58,'Evaluation details_input'!$H$3:$H$1000,$BB$3,'Evaluation details_input'!$J$3:$J$1000,"Accepted", 'Evaluation details_input'!$P$3:$P$1000,"")
+COUNTIFS('Evaluation details_input'!$F$3:$F$1000,$AS$55,'Evaluation details_input'!$G$3:$G$1000,$AS58,'Evaluation details_input'!$H$3:$H$1000,$BB$3,'Evaluation details_input'!$J$3:$J$1000,"")</f>
        <v>0</v>
      </c>
      <c r="BC58" s="202">
        <f xml:space="preserve">
COUNTIFS('Evaluation details_input'!$P$3:$P$1000,$AS$55,'Evaluation details_input'!$Q$3:$Q$1000,$AS58,'Evaluation details_input'!$R$3:$R$1000,$BC$3)
+COUNTIFS('Evaluation details_input'!$F$3:$F$1000,$AS$55,'Evaluation details_input'!$G$3:$G$1000,$AS58,'Evaluation details_input'!$H$3:$H$1000,$BC$3,'Evaluation details_input'!$J$3:$J$1000,"Not accepted",'Evaluation details_input'!$N$3:$N$1000,"Disagree with original translator", 'Evaluation details_input'!$P$3:$P$1000,"")
+COUNTIFS('Evaluation details_input'!$F$3:$F$1000,$AS$55,'Evaluation details_input'!$G$3:$G$1000,$AS58,'Evaluation details_input'!$H$3:$H$1000,$BC$3,'Evaluation details_input'!$J$3:$J$1000,"Accepted", 'Evaluation details_input'!$P$3:$P$1000,"")
+COUNTIFS('Evaluation details_input'!$F$3:$F$1000,$AS$55,'Evaluation details_input'!$G$3:$G$1000,$AS58,'Evaluation details_input'!$H$3:$H$1000,$BC$3,'Evaluation details_input'!$J$3:$J$1000,"")</f>
        <v>0</v>
      </c>
      <c r="BD58" s="202">
        <f xml:space="preserve">
COUNTIFS('Evaluation details_input'!$P$3:$P$1000,$AS$55,'Evaluation details_input'!$Q$3:$Q$1000,$AS58,'Evaluation details_input'!$R$3:$R$1000,$BD$3)
+COUNTIFS('Evaluation details_input'!$F$3:$F$1000,$AS$55,'Evaluation details_input'!$G$3:$G$1000,$AS58,'Evaluation details_input'!$H$3:$H$1000,$BD$3,'Evaluation details_input'!$J$3:$J$1000,"Not accepted",'Evaluation details_input'!$N$3:$N$1000,"Disagree with original translator", 'Evaluation details_input'!$P$3:$P$1000,"")
+COUNTIFS('Evaluation details_input'!$F$3:$F$1000,$AS$55,'Evaluation details_input'!$G$3:$G$1000,$AS58,'Evaluation details_input'!$H$3:$H$1000,$BD$3,'Evaluation details_input'!$J$3:$J$1000,"Accepted", 'Evaluation details_input'!$P$3:$P$1000,"")
+COUNTIFS('Evaluation details_input'!$F$3:$F$1000,$AS$55,'Evaluation details_input'!$G$3:$G$1000,$AS58,'Evaluation details_input'!$H$3:$H$1000,$BD$3,'Evaluation details_input'!$J$3:$J$1000,"")</f>
        <v>0</v>
      </c>
    </row>
    <row r="59" spans="3:56">
      <c r="C59" s="160" t="s">
        <v>239</v>
      </c>
      <c r="S59" s="193" t="str">
        <f>$Q$3</f>
        <v>Legacy data</v>
      </c>
      <c r="T59" s="165">
        <v>0</v>
      </c>
      <c r="U59" s="165">
        <v>0</v>
      </c>
      <c r="V59" s="186">
        <v>0</v>
      </c>
      <c r="W59" s="166">
        <v>0</v>
      </c>
      <c r="X59" s="193" t="str">
        <f>$Q$3</f>
        <v>Legacy data</v>
      </c>
      <c r="Y59" s="165">
        <v>0</v>
      </c>
      <c r="Z59" s="165">
        <v>0</v>
      </c>
      <c r="AA59" s="186">
        <v>0</v>
      </c>
      <c r="AB59" s="166">
        <v>0</v>
      </c>
      <c r="AC59" s="193" t="str">
        <f>$Q$3</f>
        <v>Legacy data</v>
      </c>
      <c r="AD59" s="165">
        <v>0</v>
      </c>
      <c r="AE59" s="165">
        <v>0</v>
      </c>
      <c r="AF59" s="186">
        <v>0</v>
      </c>
      <c r="AG59" s="166">
        <v>0</v>
      </c>
      <c r="AH59" s="193" t="str">
        <f>$Q$3</f>
        <v>Legacy data</v>
      </c>
      <c r="AI59" s="165">
        <v>0</v>
      </c>
      <c r="AJ59" s="165">
        <v>0</v>
      </c>
      <c r="AK59" s="186">
        <v>0</v>
      </c>
      <c r="AL59" s="166">
        <v>0</v>
      </c>
      <c r="AM59" s="193" t="str">
        <f>$Q$3</f>
        <v>Legacy data</v>
      </c>
      <c r="AN59" s="165">
        <v>0</v>
      </c>
      <c r="AO59" s="165">
        <v>0</v>
      </c>
      <c r="AP59" s="186">
        <v>0</v>
      </c>
      <c r="AQ59" s="166">
        <v>0</v>
      </c>
    </row>
    <row r="60" spans="3:56">
      <c r="C60" s="160" t="s">
        <v>47</v>
      </c>
      <c r="S60" s="193" t="str">
        <f>$Q$4</f>
        <v>Source text data</v>
      </c>
      <c r="T60" s="165">
        <v>0</v>
      </c>
      <c r="U60" s="165">
        <v>0</v>
      </c>
      <c r="V60" s="186">
        <v>0</v>
      </c>
      <c r="W60" s="166">
        <v>0</v>
      </c>
      <c r="X60" s="193" t="str">
        <f>$Q$4</f>
        <v>Source text data</v>
      </c>
      <c r="Y60" s="165">
        <v>0</v>
      </c>
      <c r="Z60" s="165">
        <v>0</v>
      </c>
      <c r="AA60" s="186">
        <v>0</v>
      </c>
      <c r="AB60" s="166">
        <v>0</v>
      </c>
      <c r="AC60" s="193" t="str">
        <f>$Q$4</f>
        <v>Source text data</v>
      </c>
      <c r="AD60" s="165">
        <v>0</v>
      </c>
      <c r="AE60" s="165">
        <v>0</v>
      </c>
      <c r="AF60" s="186">
        <v>0</v>
      </c>
      <c r="AG60" s="166">
        <v>0</v>
      </c>
      <c r="AH60" s="193" t="str">
        <f>$Q$4</f>
        <v>Source text data</v>
      </c>
      <c r="AI60" s="165">
        <v>0</v>
      </c>
      <c r="AJ60" s="165">
        <v>0</v>
      </c>
      <c r="AK60" s="186">
        <v>0</v>
      </c>
      <c r="AL60" s="166">
        <v>0</v>
      </c>
      <c r="AM60" s="193" t="str">
        <f>$Q$4</f>
        <v>Source text data</v>
      </c>
      <c r="AN60" s="165">
        <v>0</v>
      </c>
      <c r="AO60" s="165">
        <v>0</v>
      </c>
      <c r="AP60" s="186">
        <v>0</v>
      </c>
      <c r="AQ60" s="166">
        <v>0</v>
      </c>
    </row>
    <row r="61" spans="3:56" ht="13.5" thickBot="1">
      <c r="C61" s="160" t="s">
        <v>102</v>
      </c>
      <c r="S61" s="195" t="str">
        <f>$Q$5</f>
        <v>Other</v>
      </c>
      <c r="T61" s="196">
        <v>0</v>
      </c>
      <c r="U61" s="196">
        <v>0</v>
      </c>
      <c r="V61" s="197">
        <v>0</v>
      </c>
      <c r="W61" s="198">
        <v>0</v>
      </c>
      <c r="X61" s="195" t="str">
        <f>$Q$5</f>
        <v>Other</v>
      </c>
      <c r="Y61" s="196">
        <v>0</v>
      </c>
      <c r="Z61" s="196">
        <v>0</v>
      </c>
      <c r="AA61" s="197">
        <v>0</v>
      </c>
      <c r="AB61" s="198">
        <v>0</v>
      </c>
      <c r="AC61" s="195" t="str">
        <f>$Q$5</f>
        <v>Other</v>
      </c>
      <c r="AD61" s="196">
        <v>0</v>
      </c>
      <c r="AE61" s="196">
        <v>0</v>
      </c>
      <c r="AF61" s="197">
        <v>0</v>
      </c>
      <c r="AG61" s="198">
        <v>0</v>
      </c>
      <c r="AH61" s="195" t="str">
        <f>$Q$5</f>
        <v>Other</v>
      </c>
      <c r="AI61" s="196">
        <v>0</v>
      </c>
      <c r="AJ61" s="196">
        <v>0</v>
      </c>
      <c r="AK61" s="197">
        <v>0</v>
      </c>
      <c r="AL61" s="198">
        <v>0</v>
      </c>
      <c r="AM61" s="195" t="str">
        <f>$Q$5</f>
        <v>Other</v>
      </c>
      <c r="AN61" s="196">
        <v>0</v>
      </c>
      <c r="AO61" s="196">
        <v>0</v>
      </c>
      <c r="AP61" s="197">
        <v>0</v>
      </c>
      <c r="AQ61" s="198">
        <v>0</v>
      </c>
    </row>
    <row r="62" spans="3:56">
      <c r="C62" s="160" t="s">
        <v>48</v>
      </c>
    </row>
    <row r="63" spans="3:56">
      <c r="C63" s="160" t="s">
        <v>271</v>
      </c>
    </row>
    <row r="64" spans="3:56">
      <c r="C64" s="160" t="s">
        <v>125</v>
      </c>
    </row>
    <row r="65" spans="3:3">
      <c r="C65" s="160" t="s">
        <v>240</v>
      </c>
    </row>
    <row r="66" spans="3:3">
      <c r="C66" s="160" t="s">
        <v>49</v>
      </c>
    </row>
    <row r="67" spans="3:3">
      <c r="C67" s="160" t="s">
        <v>143</v>
      </c>
    </row>
    <row r="68" spans="3:3">
      <c r="C68" s="160" t="s">
        <v>144</v>
      </c>
    </row>
    <row r="69" spans="3:3">
      <c r="C69" s="160" t="s">
        <v>50</v>
      </c>
    </row>
    <row r="70" spans="3:3">
      <c r="C70" s="160" t="s">
        <v>145</v>
      </c>
    </row>
    <row r="71" spans="3:3">
      <c r="C71" s="160" t="s">
        <v>51</v>
      </c>
    </row>
    <row r="72" spans="3:3">
      <c r="C72" s="160" t="s">
        <v>52</v>
      </c>
    </row>
    <row r="73" spans="3:3">
      <c r="C73" s="160" t="s">
        <v>146</v>
      </c>
    </row>
    <row r="74" spans="3:3">
      <c r="C74" s="160" t="s">
        <v>183</v>
      </c>
    </row>
    <row r="75" spans="3:3">
      <c r="C75" s="160" t="s">
        <v>147</v>
      </c>
    </row>
    <row r="76" spans="3:3">
      <c r="C76" s="160" t="s">
        <v>53</v>
      </c>
    </row>
    <row r="77" spans="3:3">
      <c r="C77" s="160" t="s">
        <v>148</v>
      </c>
    </row>
    <row r="78" spans="3:3" ht="12.75" customHeight="1">
      <c r="C78" s="160" t="s">
        <v>54</v>
      </c>
    </row>
    <row r="79" spans="3:3">
      <c r="C79" s="160" t="s">
        <v>103</v>
      </c>
    </row>
    <row r="80" spans="3:3">
      <c r="C80" s="160" t="s">
        <v>55</v>
      </c>
    </row>
    <row r="81" spans="3:3">
      <c r="C81" s="160" t="s">
        <v>56</v>
      </c>
    </row>
    <row r="82" spans="3:3">
      <c r="C82" s="160" t="s">
        <v>104</v>
      </c>
    </row>
    <row r="83" spans="3:3">
      <c r="C83" s="160" t="s">
        <v>57</v>
      </c>
    </row>
    <row r="84" spans="3:3">
      <c r="C84" s="160" t="s">
        <v>149</v>
      </c>
    </row>
    <row r="85" spans="3:3">
      <c r="C85" s="160" t="s">
        <v>58</v>
      </c>
    </row>
    <row r="86" spans="3:3">
      <c r="C86" s="160" t="s">
        <v>150</v>
      </c>
    </row>
    <row r="87" spans="3:3">
      <c r="C87" s="160" t="s">
        <v>151</v>
      </c>
    </row>
    <row r="88" spans="3:3">
      <c r="C88" s="160" t="s">
        <v>59</v>
      </c>
    </row>
    <row r="89" spans="3:3">
      <c r="C89" s="160" t="s">
        <v>105</v>
      </c>
    </row>
    <row r="90" spans="3:3">
      <c r="C90" s="160" t="s">
        <v>265</v>
      </c>
    </row>
    <row r="91" spans="3:3">
      <c r="C91" s="160" t="s">
        <v>152</v>
      </c>
    </row>
    <row r="92" spans="3:3">
      <c r="C92" s="160" t="s">
        <v>60</v>
      </c>
    </row>
    <row r="93" spans="3:3">
      <c r="C93" s="160" t="s">
        <v>106</v>
      </c>
    </row>
    <row r="94" spans="3:3">
      <c r="C94" s="160" t="s">
        <v>61</v>
      </c>
    </row>
    <row r="95" spans="3:3">
      <c r="C95" s="160" t="s">
        <v>241</v>
      </c>
    </row>
    <row r="96" spans="3:3">
      <c r="C96" s="160" t="s">
        <v>242</v>
      </c>
    </row>
    <row r="97" spans="3:3">
      <c r="C97" s="160" t="s">
        <v>62</v>
      </c>
    </row>
    <row r="98" spans="3:3">
      <c r="C98" s="160" t="s">
        <v>63</v>
      </c>
    </row>
    <row r="99" spans="3:3">
      <c r="C99" s="160" t="s">
        <v>243</v>
      </c>
    </row>
    <row r="100" spans="3:3">
      <c r="C100" s="160" t="s">
        <v>153</v>
      </c>
    </row>
    <row r="101" spans="3:3">
      <c r="C101" s="160" t="s">
        <v>244</v>
      </c>
    </row>
    <row r="102" spans="3:3">
      <c r="C102" s="160" t="s">
        <v>154</v>
      </c>
    </row>
    <row r="103" spans="3:3">
      <c r="C103" s="160" t="s">
        <v>155</v>
      </c>
    </row>
    <row r="104" spans="3:3">
      <c r="C104" s="160" t="s">
        <v>64</v>
      </c>
    </row>
    <row r="105" spans="3:3">
      <c r="C105" s="160" t="s">
        <v>107</v>
      </c>
    </row>
    <row r="106" spans="3:3">
      <c r="C106" s="160" t="s">
        <v>108</v>
      </c>
    </row>
    <row r="107" spans="3:3">
      <c r="C107" s="160" t="s">
        <v>65</v>
      </c>
    </row>
    <row r="108" spans="3:3">
      <c r="C108" s="160" t="s">
        <v>109</v>
      </c>
    </row>
    <row r="109" spans="3:3">
      <c r="C109" s="160" t="s">
        <v>66</v>
      </c>
    </row>
    <row r="110" spans="3:3">
      <c r="C110" s="160" t="s">
        <v>156</v>
      </c>
    </row>
    <row r="111" spans="3:3">
      <c r="C111" s="160" t="s">
        <v>67</v>
      </c>
    </row>
    <row r="112" spans="3:3">
      <c r="C112" s="160" t="s">
        <v>245</v>
      </c>
    </row>
    <row r="113" spans="3:3">
      <c r="C113" s="160" t="s">
        <v>157</v>
      </c>
    </row>
    <row r="114" spans="3:3">
      <c r="C114" s="160" t="s">
        <v>68</v>
      </c>
    </row>
    <row r="115" spans="3:3">
      <c r="C115" s="160" t="s">
        <v>246</v>
      </c>
    </row>
    <row r="116" spans="3:3">
      <c r="C116" s="160" t="s">
        <v>158</v>
      </c>
    </row>
    <row r="117" spans="3:3">
      <c r="C117" s="160" t="s">
        <v>69</v>
      </c>
    </row>
    <row r="118" spans="3:3">
      <c r="C118" s="160" t="s">
        <v>278</v>
      </c>
    </row>
    <row r="119" spans="3:3">
      <c r="C119" s="160" t="s">
        <v>70</v>
      </c>
    </row>
    <row r="120" spans="3:3">
      <c r="C120" s="160" t="s">
        <v>71</v>
      </c>
    </row>
    <row r="121" spans="3:3">
      <c r="C121" s="160" t="s">
        <v>247</v>
      </c>
    </row>
    <row r="122" spans="3:3">
      <c r="C122" s="160" t="s">
        <v>110</v>
      </c>
    </row>
    <row r="123" spans="3:3">
      <c r="C123" s="160" t="s">
        <v>72</v>
      </c>
    </row>
    <row r="124" spans="3:3">
      <c r="C124" s="160" t="s">
        <v>111</v>
      </c>
    </row>
    <row r="125" spans="3:3">
      <c r="C125" s="160" t="s">
        <v>112</v>
      </c>
    </row>
    <row r="126" spans="3:3">
      <c r="C126" s="160" t="s">
        <v>184</v>
      </c>
    </row>
    <row r="127" spans="3:3">
      <c r="C127" s="160" t="s">
        <v>73</v>
      </c>
    </row>
    <row r="128" spans="3:3">
      <c r="C128" s="160" t="s">
        <v>185</v>
      </c>
    </row>
    <row r="129" spans="3:3">
      <c r="C129" s="160" t="s">
        <v>74</v>
      </c>
    </row>
    <row r="130" spans="3:3">
      <c r="C130" s="160" t="s">
        <v>159</v>
      </c>
    </row>
    <row r="131" spans="3:3">
      <c r="C131" s="160" t="s">
        <v>75</v>
      </c>
    </row>
    <row r="132" spans="3:3">
      <c r="C132" s="160" t="s">
        <v>160</v>
      </c>
    </row>
    <row r="133" spans="3:3">
      <c r="C133" s="160" t="s">
        <v>113</v>
      </c>
    </row>
    <row r="134" spans="3:3">
      <c r="C134" s="160" t="s">
        <v>114</v>
      </c>
    </row>
    <row r="135" spans="3:3">
      <c r="C135" s="160" t="s">
        <v>76</v>
      </c>
    </row>
    <row r="136" spans="3:3">
      <c r="C136" s="160" t="s">
        <v>248</v>
      </c>
    </row>
    <row r="137" spans="3:3">
      <c r="C137" s="160" t="s">
        <v>115</v>
      </c>
    </row>
    <row r="138" spans="3:3">
      <c r="C138" s="160" t="s">
        <v>249</v>
      </c>
    </row>
    <row r="139" spans="3:3">
      <c r="C139" s="160" t="s">
        <v>250</v>
      </c>
    </row>
    <row r="140" spans="3:3">
      <c r="C140" s="160" t="s">
        <v>251</v>
      </c>
    </row>
    <row r="141" spans="3:3">
      <c r="C141" s="160" t="s">
        <v>161</v>
      </c>
    </row>
    <row r="142" spans="3:3">
      <c r="C142" s="160" t="s">
        <v>162</v>
      </c>
    </row>
    <row r="143" spans="3:3">
      <c r="C143" s="160" t="s">
        <v>252</v>
      </c>
    </row>
    <row r="144" spans="3:3">
      <c r="C144" s="160" t="s">
        <v>77</v>
      </c>
    </row>
    <row r="145" spans="3:3">
      <c r="C145" s="160" t="s">
        <v>253</v>
      </c>
    </row>
    <row r="146" spans="3:3">
      <c r="C146" s="160" t="s">
        <v>254</v>
      </c>
    </row>
    <row r="147" spans="3:3">
      <c r="C147" s="160" t="s">
        <v>272</v>
      </c>
    </row>
    <row r="148" spans="3:3">
      <c r="C148" s="160" t="s">
        <v>163</v>
      </c>
    </row>
    <row r="149" spans="3:3">
      <c r="C149" s="160" t="s">
        <v>255</v>
      </c>
    </row>
    <row r="150" spans="3:3">
      <c r="C150" s="160" t="s">
        <v>256</v>
      </c>
    </row>
    <row r="151" spans="3:3">
      <c r="C151" s="160" t="s">
        <v>78</v>
      </c>
    </row>
    <row r="152" spans="3:3">
      <c r="C152" s="160" t="s">
        <v>79</v>
      </c>
    </row>
    <row r="153" spans="3:3">
      <c r="C153" s="160" t="s">
        <v>116</v>
      </c>
    </row>
    <row r="154" spans="3:3">
      <c r="C154" s="160" t="s">
        <v>164</v>
      </c>
    </row>
    <row r="155" spans="3:3">
      <c r="C155" s="160" t="s">
        <v>257</v>
      </c>
    </row>
    <row r="156" spans="3:3">
      <c r="C156" s="160" t="s">
        <v>80</v>
      </c>
    </row>
    <row r="157" spans="3:3">
      <c r="C157" s="160" t="s">
        <v>81</v>
      </c>
    </row>
    <row r="158" spans="3:3">
      <c r="C158" s="160" t="s">
        <v>82</v>
      </c>
    </row>
    <row r="159" spans="3:3">
      <c r="C159" s="160" t="s">
        <v>83</v>
      </c>
    </row>
    <row r="160" spans="3:3">
      <c r="C160" s="160" t="s">
        <v>258</v>
      </c>
    </row>
    <row r="161" spans="3:3">
      <c r="C161" s="160" t="s">
        <v>277</v>
      </c>
    </row>
    <row r="162" spans="3:3">
      <c r="C162" s="160" t="s">
        <v>267</v>
      </c>
    </row>
    <row r="163" spans="3:3">
      <c r="C163" s="160" t="s">
        <v>165</v>
      </c>
    </row>
    <row r="164" spans="3:3">
      <c r="C164" s="160" t="s">
        <v>166</v>
      </c>
    </row>
    <row r="165" spans="3:3">
      <c r="C165" s="160" t="s">
        <v>167</v>
      </c>
    </row>
    <row r="166" spans="3:3">
      <c r="C166" s="160" t="s">
        <v>168</v>
      </c>
    </row>
    <row r="167" spans="3:3">
      <c r="C167" s="160" t="s">
        <v>84</v>
      </c>
    </row>
    <row r="168" spans="3:3">
      <c r="C168" s="160" t="s">
        <v>85</v>
      </c>
    </row>
    <row r="169" spans="3:3">
      <c r="C169" s="160" t="s">
        <v>169</v>
      </c>
    </row>
    <row r="170" spans="3:3">
      <c r="C170" s="160" t="s">
        <v>170</v>
      </c>
    </row>
    <row r="171" spans="3:3">
      <c r="C171" s="160" t="s">
        <v>123</v>
      </c>
    </row>
    <row r="172" spans="3:3">
      <c r="C172" s="160" t="s">
        <v>86</v>
      </c>
    </row>
    <row r="173" spans="3:3">
      <c r="C173" s="160" t="s">
        <v>171</v>
      </c>
    </row>
    <row r="174" spans="3:3">
      <c r="C174" s="160" t="s">
        <v>273</v>
      </c>
    </row>
    <row r="175" spans="3:3">
      <c r="C175" s="160" t="s">
        <v>172</v>
      </c>
    </row>
    <row r="176" spans="3:3">
      <c r="C176" s="160" t="s">
        <v>117</v>
      </c>
    </row>
    <row r="177" spans="3:3">
      <c r="C177" s="160" t="s">
        <v>274</v>
      </c>
    </row>
    <row r="178" spans="3:3">
      <c r="C178" s="160" t="s">
        <v>259</v>
      </c>
    </row>
    <row r="179" spans="3:3">
      <c r="C179" s="160" t="s">
        <v>87</v>
      </c>
    </row>
    <row r="180" spans="3:3">
      <c r="C180" s="160" t="s">
        <v>173</v>
      </c>
    </row>
    <row r="181" spans="3:3">
      <c r="C181" s="160" t="s">
        <v>260</v>
      </c>
    </row>
    <row r="182" spans="3:3">
      <c r="C182" s="160" t="s">
        <v>261</v>
      </c>
    </row>
    <row r="183" spans="3:3">
      <c r="C183" s="160" t="s">
        <v>174</v>
      </c>
    </row>
    <row r="184" spans="3:3">
      <c r="C184" s="160" t="s">
        <v>262</v>
      </c>
    </row>
    <row r="185" spans="3:3">
      <c r="C185" s="160" t="s">
        <v>88</v>
      </c>
    </row>
    <row r="186" spans="3:3">
      <c r="C186" s="160" t="s">
        <v>89</v>
      </c>
    </row>
    <row r="187" spans="3:3">
      <c r="C187" s="160" t="s">
        <v>175</v>
      </c>
    </row>
    <row r="188" spans="3:3">
      <c r="C188" s="160" t="s">
        <v>263</v>
      </c>
    </row>
    <row r="189" spans="3:3">
      <c r="C189" s="160" t="s">
        <v>176</v>
      </c>
    </row>
    <row r="190" spans="3:3">
      <c r="C190" s="160" t="s">
        <v>90</v>
      </c>
    </row>
    <row r="191" spans="3:3">
      <c r="C191" s="160" t="s">
        <v>177</v>
      </c>
    </row>
    <row r="192" spans="3:3">
      <c r="C192" s="160" t="s">
        <v>178</v>
      </c>
    </row>
    <row r="193" spans="3:3">
      <c r="C193" s="160" t="s">
        <v>91</v>
      </c>
    </row>
    <row r="194" spans="3:3">
      <c r="C194" s="160" t="s">
        <v>92</v>
      </c>
    </row>
    <row r="195" spans="3:3">
      <c r="C195" s="160" t="s">
        <v>264</v>
      </c>
    </row>
    <row r="196" spans="3:3">
      <c r="C196" s="160" t="s">
        <v>118</v>
      </c>
    </row>
    <row r="197" spans="3:3">
      <c r="C197" s="160" t="s">
        <v>179</v>
      </c>
    </row>
    <row r="198" spans="3:3">
      <c r="C198" s="160" t="s">
        <v>281</v>
      </c>
    </row>
    <row r="199" spans="3:3">
      <c r="C199" s="160" t="s">
        <v>180</v>
      </c>
    </row>
    <row r="200" spans="3:3">
      <c r="C200" s="160" t="s">
        <v>93</v>
      </c>
    </row>
    <row r="201" spans="3:3">
      <c r="C201" s="160" t="s">
        <v>119</v>
      </c>
    </row>
    <row r="202" spans="3:3">
      <c r="C202" s="160" t="s">
        <v>120</v>
      </c>
    </row>
    <row r="203" spans="3:3">
      <c r="C203" s="160" t="s">
        <v>121</v>
      </c>
    </row>
    <row r="204" spans="3:3" ht="13.5" thickBot="1">
      <c r="C204" s="161" t="s">
        <v>122</v>
      </c>
    </row>
    <row r="209" spans="4:4">
      <c r="D209"/>
    </row>
    <row r="210" spans="4:4">
      <c r="D210"/>
    </row>
    <row r="211" spans="4:4">
      <c r="D211"/>
    </row>
    <row r="212" spans="4:4">
      <c r="D212"/>
    </row>
    <row r="213" spans="4:4">
      <c r="D213"/>
    </row>
    <row r="214" spans="4:4">
      <c r="D214"/>
    </row>
    <row r="215" spans="4:4">
      <c r="D215"/>
    </row>
    <row r="216" spans="4:4">
      <c r="D216"/>
    </row>
    <row r="217" spans="4:4">
      <c r="D217"/>
    </row>
    <row r="218" spans="4:4">
      <c r="D218"/>
    </row>
    <row r="219" spans="4:4">
      <c r="D219"/>
    </row>
    <row r="220" spans="4:4">
      <c r="D220"/>
    </row>
    <row r="221" spans="4:4">
      <c r="D221"/>
    </row>
    <row r="222" spans="4:4">
      <c r="D222"/>
    </row>
    <row r="223" spans="4:4">
      <c r="D223"/>
    </row>
    <row r="224" spans="4:4">
      <c r="D224"/>
    </row>
    <row r="225" spans="4:4">
      <c r="D225"/>
    </row>
    <row r="226" spans="4:4">
      <c r="D226"/>
    </row>
    <row r="227" spans="4:4">
      <c r="D227"/>
    </row>
    <row r="228" spans="4:4">
      <c r="D228"/>
    </row>
    <row r="229" spans="4:4">
      <c r="D229"/>
    </row>
    <row r="230" spans="4:4">
      <c r="D230"/>
    </row>
    <row r="231" spans="4:4">
      <c r="D231"/>
    </row>
    <row r="232" spans="4:4">
      <c r="D232"/>
    </row>
    <row r="233" spans="4:4">
      <c r="D233"/>
    </row>
    <row r="234" spans="4:4">
      <c r="D234"/>
    </row>
    <row r="235" spans="4:4">
      <c r="D235"/>
    </row>
    <row r="236" spans="4:4">
      <c r="D236"/>
    </row>
    <row r="237" spans="4:4">
      <c r="D237"/>
    </row>
    <row r="238" spans="4:4">
      <c r="D238"/>
    </row>
    <row r="239" spans="4:4">
      <c r="D239"/>
    </row>
    <row r="240" spans="4:4">
      <c r="D240"/>
    </row>
    <row r="241" spans="4:4">
      <c r="D241"/>
    </row>
    <row r="242" spans="4:4">
      <c r="D242"/>
    </row>
    <row r="243" spans="4:4">
      <c r="D243"/>
    </row>
    <row r="244" spans="4:4">
      <c r="D244"/>
    </row>
    <row r="245" spans="4:4">
      <c r="D245"/>
    </row>
    <row r="246" spans="4:4">
      <c r="D246"/>
    </row>
    <row r="247" spans="4:4">
      <c r="D247"/>
    </row>
    <row r="248" spans="4:4">
      <c r="D248"/>
    </row>
    <row r="249" spans="4:4">
      <c r="D249"/>
    </row>
    <row r="250" spans="4:4">
      <c r="D250"/>
    </row>
    <row r="251" spans="4:4">
      <c r="D251"/>
    </row>
    <row r="252" spans="4:4">
      <c r="D252"/>
    </row>
    <row r="253" spans="4:4">
      <c r="D253"/>
    </row>
    <row r="254" spans="4:4">
      <c r="D254"/>
    </row>
    <row r="255" spans="4:4">
      <c r="D255"/>
    </row>
    <row r="256" spans="4:4">
      <c r="D256"/>
    </row>
    <row r="257" spans="4:4">
      <c r="D257"/>
    </row>
    <row r="258" spans="4:4">
      <c r="D258"/>
    </row>
    <row r="259" spans="4:4">
      <c r="D259"/>
    </row>
    <row r="260" spans="4:4">
      <c r="D260"/>
    </row>
    <row r="261" spans="4:4">
      <c r="D261"/>
    </row>
    <row r="262" spans="4:4">
      <c r="D262"/>
    </row>
    <row r="263" spans="4:4">
      <c r="D263"/>
    </row>
    <row r="264" spans="4:4">
      <c r="D264"/>
    </row>
    <row r="265" spans="4:4">
      <c r="D265"/>
    </row>
    <row r="266" spans="4:4">
      <c r="D266"/>
    </row>
    <row r="267" spans="4:4">
      <c r="D267"/>
    </row>
    <row r="268" spans="4:4">
      <c r="D268"/>
    </row>
    <row r="269" spans="4:4">
      <c r="D269"/>
    </row>
    <row r="270" spans="4:4">
      <c r="D270"/>
    </row>
    <row r="271" spans="4:4">
      <c r="D271"/>
    </row>
    <row r="272" spans="4:4">
      <c r="D272"/>
    </row>
    <row r="273" spans="4:4">
      <c r="D273"/>
    </row>
    <row r="274" spans="4:4">
      <c r="D274"/>
    </row>
    <row r="275" spans="4:4">
      <c r="D275"/>
    </row>
    <row r="276" spans="4:4">
      <c r="D276"/>
    </row>
    <row r="277" spans="4:4">
      <c r="D277"/>
    </row>
    <row r="278" spans="4:4">
      <c r="D278"/>
    </row>
    <row r="279" spans="4:4">
      <c r="D279"/>
    </row>
    <row r="280" spans="4:4">
      <c r="D280"/>
    </row>
    <row r="281" spans="4:4">
      <c r="D281"/>
    </row>
    <row r="282" spans="4:4">
      <c r="D282"/>
    </row>
    <row r="283" spans="4:4">
      <c r="D283"/>
    </row>
    <row r="284" spans="4:4">
      <c r="D284"/>
    </row>
    <row r="285" spans="4:4">
      <c r="D285"/>
    </row>
    <row r="286" spans="4:4">
      <c r="D286"/>
    </row>
    <row r="287" spans="4:4">
      <c r="D287"/>
    </row>
    <row r="288" spans="4:4">
      <c r="D288"/>
    </row>
    <row r="289" spans="4:4">
      <c r="D289"/>
    </row>
    <row r="290" spans="4:4">
      <c r="D290"/>
    </row>
    <row r="291" spans="4:4">
      <c r="D291"/>
    </row>
    <row r="292" spans="4:4">
      <c r="D292"/>
    </row>
    <row r="293" spans="4:4">
      <c r="D293"/>
    </row>
    <row r="294" spans="4:4">
      <c r="D294"/>
    </row>
    <row r="295" spans="4:4">
      <c r="D295"/>
    </row>
    <row r="296" spans="4:4">
      <c r="D296"/>
    </row>
  </sheetData>
  <sheetProtection formatCells="0" selectLockedCells="1"/>
  <sortState xmlns:xlrd2="http://schemas.microsoft.com/office/spreadsheetml/2017/richdata2" ref="B4:B37">
    <sortCondition ref="B4"/>
  </sortState>
  <mergeCells count="22">
    <mergeCell ref="BE2:BE17"/>
    <mergeCell ref="I2:I15"/>
    <mergeCell ref="J1:Q1"/>
    <mergeCell ref="B1:H1"/>
    <mergeCell ref="S1:AP1"/>
    <mergeCell ref="AT2:AU2"/>
    <mergeCell ref="AN2:AN4"/>
    <mergeCell ref="R2:R11"/>
    <mergeCell ref="AR2:AR17"/>
    <mergeCell ref="AD5:AG5"/>
    <mergeCell ref="Y5:AB5"/>
    <mergeCell ref="Y2:Y4"/>
    <mergeCell ref="T5:W5"/>
    <mergeCell ref="T2:T4"/>
    <mergeCell ref="AD2:AD4"/>
    <mergeCell ref="AN5:AQ5"/>
    <mergeCell ref="AZ2:BA2"/>
    <mergeCell ref="AX2:AY2"/>
    <mergeCell ref="AS1:BA1"/>
    <mergeCell ref="AI5:AL5"/>
    <mergeCell ref="AI2:AI4"/>
    <mergeCell ref="AV2:AW2"/>
  </mergeCells>
  <printOptions horizontalCentered="1"/>
  <pageMargins left="0.59055118110236227" right="0.47244094488188981" top="0.70866141732283472" bottom="0.55118110236220474" header="0.31496062992125984" footer="0.19685039370078741"/>
  <pageSetup fitToHeight="0" orientation="landscape" r:id="rId1"/>
  <headerFooter alignWithMargins="0">
    <oddFooter>&amp;L&amp;8QRF-121_XXX_XXXXXX_XXX_XX
Revision: 18&amp;C&amp;8Page &amp;P
Classification: SDL Internal &amp;R&amp;8Revision Date: 05/03/2018
Approved by: Eileen Smyth</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pageSetUpPr fitToPage="1"/>
  </sheetPr>
  <dimension ref="A1:I48"/>
  <sheetViews>
    <sheetView zoomScaleNormal="100" workbookViewId="0">
      <selection activeCell="L19" sqref="L19"/>
    </sheetView>
  </sheetViews>
  <sheetFormatPr defaultRowHeight="12.75"/>
  <cols>
    <col min="1" max="1" width="25" style="253" bestFit="1" customWidth="1"/>
    <col min="2" max="2" width="29" style="253" customWidth="1"/>
    <col min="3" max="3" width="5.140625" style="253" customWidth="1"/>
    <col min="4" max="4" width="50.5703125" style="253" bestFit="1" customWidth="1"/>
    <col min="5" max="16384" width="9.140625" style="253"/>
  </cols>
  <sheetData>
    <row r="1" spans="1:9" ht="13.5" thickBot="1">
      <c r="A1" s="251"/>
      <c r="B1" s="252" t="str">
        <f>RIGHT('Evaluation Report_Initial'!B3,3)</f>
        <v/>
      </c>
      <c r="E1" s="254" t="s">
        <v>328</v>
      </c>
      <c r="F1" s="254" t="s">
        <v>186</v>
      </c>
      <c r="G1" s="254" t="s">
        <v>289</v>
      </c>
      <c r="H1" s="254" t="s">
        <v>213</v>
      </c>
      <c r="I1" s="254" t="s">
        <v>198</v>
      </c>
    </row>
    <row r="2" spans="1:9" ht="24.75" thickBot="1">
      <c r="A2" s="251" t="s">
        <v>223</v>
      </c>
      <c r="B2" s="255" t="str">
        <f ca="1">REPLACE(LEFT(CELL("filename",A1),FIND("]",CELL("filename",A1))-1),1,FIND("[",CELL("filename",A1)),"")</f>
        <v>RWS-5-401-F002-MQM QE Form-CLIENT_MMM_YY_LL.xlsm</v>
      </c>
      <c r="D2" s="256" t="str">
        <f xml:space="preserve"> "Terminology: "&amp;Setup!$AS5</f>
        <v>Terminology: Inconsistent with terminology resource</v>
      </c>
      <c r="E2" s="257">
        <f>Setup!BB5</f>
        <v>0</v>
      </c>
      <c r="F2" s="257">
        <f>Setup!AV5</f>
        <v>0</v>
      </c>
      <c r="G2" s="257">
        <f>Setup!AZ5</f>
        <v>0</v>
      </c>
      <c r="H2" s="257">
        <f>Setup!BD5</f>
        <v>0</v>
      </c>
      <c r="I2" s="257">
        <f>Setup!BC5</f>
        <v>0</v>
      </c>
    </row>
    <row r="3" spans="1:9" ht="13.5" thickBot="1">
      <c r="A3" s="251" t="s">
        <v>617</v>
      </c>
      <c r="B3" s="260">
        <f>'Evaluation Report_Initial'!C4</f>
        <v>0</v>
      </c>
      <c r="D3" s="256" t="str">
        <f xml:space="preserve"> "Terminology: "&amp;Setup!$AS6</f>
        <v>Terminology: Inconsistent use of terminology</v>
      </c>
      <c r="E3" s="257">
        <f>Setup!BB6</f>
        <v>0</v>
      </c>
      <c r="F3" s="257">
        <f>Setup!AV6</f>
        <v>0</v>
      </c>
      <c r="G3" s="257">
        <f>Setup!AZ6</f>
        <v>0</v>
      </c>
      <c r="H3" s="257">
        <f>Setup!BD6</f>
        <v>0</v>
      </c>
      <c r="I3" s="257">
        <f>Setup!BC6</f>
        <v>0</v>
      </c>
    </row>
    <row r="4" spans="1:9" ht="13.5" thickBot="1">
      <c r="A4" s="251" t="str">
        <f>'Evaluation Report_Initial'!B5</f>
        <v>Client name</v>
      </c>
      <c r="B4" s="260">
        <f>'Evaluation Report_Initial'!C5</f>
        <v>0</v>
      </c>
      <c r="D4" s="256" t="str">
        <f xml:space="preserve"> "Terminology: "&amp;Setup!$AS7</f>
        <v>Terminology: Wrong term</v>
      </c>
      <c r="E4" s="257">
        <f>Setup!BB7</f>
        <v>0</v>
      </c>
      <c r="F4" s="257">
        <f>Setup!AV7</f>
        <v>0</v>
      </c>
      <c r="G4" s="257">
        <f>Setup!AZ7</f>
        <v>0</v>
      </c>
      <c r="H4" s="257">
        <f>Setup!BD7</f>
        <v>0</v>
      </c>
      <c r="I4" s="257">
        <f>Setup!BC7</f>
        <v>0</v>
      </c>
    </row>
    <row r="5" spans="1:9" ht="13.5" thickBot="1">
      <c r="A5" s="251" t="str">
        <f>'Evaluation Report_Initial'!B7</f>
        <v>Job ID</v>
      </c>
      <c r="B5" s="260">
        <f>'Evaluation Report_Initial'!C7</f>
        <v>0</v>
      </c>
      <c r="D5" s="256" t="str">
        <f xml:space="preserve"> "Terminology: "&amp;Setup!$AS8</f>
        <v>Terminology: Other</v>
      </c>
      <c r="E5" s="257">
        <f>Setup!BB8</f>
        <v>0</v>
      </c>
      <c r="F5" s="257">
        <f>Setup!AV8</f>
        <v>0</v>
      </c>
      <c r="G5" s="257">
        <f>Setup!AZ8</f>
        <v>0</v>
      </c>
      <c r="H5" s="257">
        <f>Setup!BD8</f>
        <v>0</v>
      </c>
      <c r="I5" s="257">
        <f>Setup!BC8</f>
        <v>0</v>
      </c>
    </row>
    <row r="6" spans="1:9" ht="13.5" thickBot="1">
      <c r="A6" s="251" t="str">
        <f>'Evaluation Report_Initial'!B8</f>
        <v>Project name</v>
      </c>
      <c r="B6" s="260">
        <f>'Evaluation Report_Initial'!C8</f>
        <v>0</v>
      </c>
      <c r="D6" s="256" t="str">
        <f>"Accuracy: "&amp;Setup!$AS10</f>
        <v>Accuracy: Mistranslation</v>
      </c>
      <c r="E6" s="257">
        <f>Setup!BB10</f>
        <v>0</v>
      </c>
      <c r="F6" s="257">
        <f>Setup!AV10</f>
        <v>0</v>
      </c>
      <c r="G6" s="257">
        <f>Setup!AZ10</f>
        <v>0</v>
      </c>
      <c r="H6" s="257">
        <f>Setup!BD10</f>
        <v>0</v>
      </c>
      <c r="I6" s="257">
        <f>Setup!BC10</f>
        <v>0</v>
      </c>
    </row>
    <row r="7" spans="1:9" ht="13.5" thickBot="1">
      <c r="A7" s="251" t="str">
        <f>'Evaluation Report_Initial'!B9</f>
        <v>Evaluation type</v>
      </c>
      <c r="B7" s="260">
        <f>'Evaluation Report_Initial'!C9</f>
        <v>0</v>
      </c>
      <c r="D7" s="256" t="str">
        <f>"Accuracy: "&amp;Setup!$AS11</f>
        <v>Accuracy: Over-translation</v>
      </c>
      <c r="E7" s="257">
        <f>Setup!BB11</f>
        <v>0</v>
      </c>
      <c r="F7" s="257">
        <f>Setup!AV11</f>
        <v>0</v>
      </c>
      <c r="G7" s="257">
        <f>Setup!AZ11</f>
        <v>0</v>
      </c>
      <c r="H7" s="257">
        <f>Setup!BD11</f>
        <v>0</v>
      </c>
      <c r="I7" s="257">
        <f>Setup!BC11</f>
        <v>0</v>
      </c>
    </row>
    <row r="8" spans="1:9" ht="13.5" thickBot="1">
      <c r="A8" s="251" t="str">
        <f>'Evaluation Report_Initial'!B10</f>
        <v>Date</v>
      </c>
      <c r="B8" s="262" t="str">
        <f>IF('Evaluation Report_Initial'!C10="","",'Evaluation Report_Initial'!C10)</f>
        <v/>
      </c>
      <c r="D8" s="256" t="str">
        <f>"Accuracy: "&amp;Setup!$AS12</f>
        <v>Accuracy: Under-translation</v>
      </c>
      <c r="E8" s="257">
        <f>Setup!BB12</f>
        <v>0</v>
      </c>
      <c r="F8" s="257">
        <f>Setup!AV12</f>
        <v>0</v>
      </c>
      <c r="G8" s="257">
        <f>Setup!AZ12</f>
        <v>0</v>
      </c>
      <c r="H8" s="257">
        <f>Setup!BD12</f>
        <v>0</v>
      </c>
      <c r="I8" s="257">
        <f>Setup!BC12</f>
        <v>0</v>
      </c>
    </row>
    <row r="9" spans="1:9" ht="13.5" thickBot="1">
      <c r="A9" s="251" t="str">
        <f>'Evaluation Report_Initial'!B11</f>
        <v>Source language</v>
      </c>
      <c r="B9" s="260">
        <f>'Evaluation Report_Initial'!C11</f>
        <v>0</v>
      </c>
      <c r="D9" s="256" t="str">
        <f>"Accuracy: "&amp;Setup!$AS13</f>
        <v>Accuracy: Addition</v>
      </c>
      <c r="E9" s="257">
        <f>Setup!BB13</f>
        <v>0</v>
      </c>
      <c r="F9" s="257">
        <f>Setup!AV13</f>
        <v>0</v>
      </c>
      <c r="G9" s="257">
        <f>Setup!AZ13</f>
        <v>0</v>
      </c>
      <c r="H9" s="257">
        <f>Setup!BD13</f>
        <v>0</v>
      </c>
      <c r="I9" s="257">
        <f>Setup!BC13</f>
        <v>0</v>
      </c>
    </row>
    <row r="10" spans="1:9" ht="13.5" thickBot="1">
      <c r="A10" s="251" t="str">
        <f>'Evaluation Report_Initial'!B12</f>
        <v>Target language</v>
      </c>
      <c r="B10" s="260">
        <f>'Evaluation Report_Initial'!C12</f>
        <v>0</v>
      </c>
      <c r="D10" s="256" t="str">
        <f>"Accuracy: "&amp;Setup!$AS14</f>
        <v>Accuracy: Omission</v>
      </c>
      <c r="E10" s="257">
        <f>Setup!BB14</f>
        <v>0</v>
      </c>
      <c r="F10" s="257">
        <f>Setup!AV14</f>
        <v>0</v>
      </c>
      <c r="G10" s="257">
        <f>Setup!AZ14</f>
        <v>0</v>
      </c>
      <c r="H10" s="257">
        <f>Setup!BD14</f>
        <v>0</v>
      </c>
      <c r="I10" s="257">
        <f>Setup!BC14</f>
        <v>0</v>
      </c>
    </row>
    <row r="11" spans="1:9" ht="13.5" thickBot="1">
      <c r="A11" s="251" t="str">
        <f>'Evaluation Report_Initial'!I4</f>
        <v>RWS Language Delivery</v>
      </c>
      <c r="B11" s="260">
        <f>'Evaluation Report_Initial'!M4</f>
        <v>0</v>
      </c>
      <c r="D11" s="256" t="str">
        <f>"Accuracy: "&amp;Setup!$AS15</f>
        <v>Accuracy: Do not translate (DNT)</v>
      </c>
      <c r="E11" s="257">
        <f>Setup!BB15</f>
        <v>0</v>
      </c>
      <c r="F11" s="257">
        <f>Setup!AV15</f>
        <v>0</v>
      </c>
      <c r="G11" s="257">
        <f>Setup!AZ15</f>
        <v>0</v>
      </c>
      <c r="H11" s="257">
        <f>Setup!BD15</f>
        <v>0</v>
      </c>
      <c r="I11" s="257">
        <f>Setup!BC15</f>
        <v>0</v>
      </c>
    </row>
    <row r="12" spans="1:9" ht="13.5" thickBot="1">
      <c r="A12" s="251" t="str">
        <f>'Evaluation Report_Initial'!I5</f>
        <v>Translator ID</v>
      </c>
      <c r="B12" s="260">
        <f>'Evaluation Report_Initial'!M5</f>
        <v>0</v>
      </c>
      <c r="D12" s="256" t="str">
        <f>"Accuracy: "&amp;Setup!$AS16</f>
        <v>Accuracy: Untranslated</v>
      </c>
      <c r="E12" s="257">
        <f>Setup!BB16</f>
        <v>0</v>
      </c>
      <c r="F12" s="257">
        <f>Setup!AV16</f>
        <v>0</v>
      </c>
      <c r="G12" s="257">
        <f>Setup!AZ16</f>
        <v>0</v>
      </c>
      <c r="H12" s="257">
        <f>Setup!BD16</f>
        <v>0</v>
      </c>
      <c r="I12" s="257">
        <f>Setup!BC16</f>
        <v>0</v>
      </c>
    </row>
    <row r="13" spans="1:9" ht="13.5" thickBot="1">
      <c r="A13" s="251" t="str">
        <f>'Evaluation Report_Initial'!I6</f>
        <v>Reviewer ID</v>
      </c>
      <c r="B13" s="260">
        <f>'Evaluation Report_Initial'!M6</f>
        <v>0</v>
      </c>
      <c r="D13" s="256" t="str">
        <f>"Accuracy: "&amp;Setup!$AS17</f>
        <v>Accuracy: Other</v>
      </c>
      <c r="E13" s="257">
        <f>Setup!BB17</f>
        <v>0</v>
      </c>
      <c r="F13" s="257">
        <f>Setup!AV17</f>
        <v>0</v>
      </c>
      <c r="G13" s="257">
        <f>Setup!AZ17</f>
        <v>0</v>
      </c>
      <c r="H13" s="257">
        <f>Setup!BD17</f>
        <v>0</v>
      </c>
      <c r="I13" s="257">
        <f>Setup!BC17</f>
        <v>0</v>
      </c>
    </row>
    <row r="14" spans="1:9" ht="13.5" thickBot="1">
      <c r="A14" s="251" t="str">
        <f>'Evaluation Report_Initial'!I7</f>
        <v>Evaluator ID</v>
      </c>
      <c r="B14" s="260">
        <f>'Evaluation Report_Initial'!M7</f>
        <v>0</v>
      </c>
      <c r="D14" s="256" t="str">
        <f>"Linguistic conventions: "&amp;Setup!$AS19</f>
        <v>Linguistic conventions: Grammar</v>
      </c>
      <c r="E14" s="257">
        <f>Setup!BB19</f>
        <v>0</v>
      </c>
      <c r="F14" s="257">
        <f>Setup!AV19</f>
        <v>0</v>
      </c>
      <c r="G14" s="257">
        <f>Setup!AZ19</f>
        <v>0</v>
      </c>
      <c r="H14" s="257">
        <f>Setup!BD19</f>
        <v>0</v>
      </c>
      <c r="I14" s="257">
        <f>Setup!BC19</f>
        <v>0</v>
      </c>
    </row>
    <row r="15" spans="1:9" ht="13.5" thickBot="1">
      <c r="A15" s="251" t="str">
        <f>'Evaluation Report_Initial'!I8</f>
        <v>Translation type</v>
      </c>
      <c r="B15" s="260">
        <f>'Evaluation Report_Initial'!M8</f>
        <v>0</v>
      </c>
      <c r="D15" s="256" t="str">
        <f>"Linguistic conventions: "&amp;Setup!$AS20</f>
        <v>Linguistic conventions: Punctuation</v>
      </c>
      <c r="E15" s="257">
        <f>Setup!BB20</f>
        <v>0</v>
      </c>
      <c r="F15" s="257">
        <f>Setup!AV20</f>
        <v>0</v>
      </c>
      <c r="G15" s="257">
        <f>Setup!AZ20</f>
        <v>0</v>
      </c>
      <c r="H15" s="257">
        <f>Setup!BD20</f>
        <v>0</v>
      </c>
      <c r="I15" s="257">
        <f>Setup!BC20</f>
        <v>0</v>
      </c>
    </row>
    <row r="16" spans="1:9" ht="13.5" thickBot="1">
      <c r="A16" s="251" t="str">
        <f>'Evaluation Report_Initial'!I9</f>
        <v xml:space="preserve">Evaluation method </v>
      </c>
      <c r="B16" s="260" t="str">
        <f>'Evaluation Report_Initial'!M9</f>
        <v>Standard</v>
      </c>
      <c r="D16" s="256" t="str">
        <f>"Linguistic conventions: "&amp;Setup!$AS21</f>
        <v>Linguistic conventions: Spelling</v>
      </c>
      <c r="E16" s="257">
        <f>Setup!BB21</f>
        <v>0</v>
      </c>
      <c r="F16" s="257">
        <f>Setup!AV21</f>
        <v>0</v>
      </c>
      <c r="G16" s="257">
        <f>Setup!AZ21</f>
        <v>0</v>
      </c>
      <c r="H16" s="257">
        <f>Setup!BD21</f>
        <v>0</v>
      </c>
      <c r="I16" s="257">
        <f>Setup!BC21</f>
        <v>0</v>
      </c>
    </row>
    <row r="17" spans="1:9" ht="13.5" thickBot="1">
      <c r="A17" s="251" t="str">
        <f>'Evaluation Report_Initial'!I10</f>
        <v>Word count</v>
      </c>
      <c r="B17" s="260">
        <f>'Evaluation Report_Initial'!M10</f>
        <v>0</v>
      </c>
      <c r="D17" s="256" t="str">
        <f>"Linguistic conventions: "&amp;Setup!$AS22</f>
        <v>Linguistic conventions: Unintelligible</v>
      </c>
      <c r="E17" s="257">
        <f>Setup!BB22</f>
        <v>0</v>
      </c>
      <c r="F17" s="257">
        <f>Setup!AV22</f>
        <v>0</v>
      </c>
      <c r="G17" s="257">
        <f>Setup!AZ22</f>
        <v>0</v>
      </c>
      <c r="H17" s="257">
        <f>Setup!BD22</f>
        <v>0</v>
      </c>
      <c r="I17" s="257">
        <f>Setup!BC22</f>
        <v>0</v>
      </c>
    </row>
    <row r="18" spans="1:9" ht="13.5" thickBot="1">
      <c r="A18" s="251" t="str">
        <f>'Evaluation Report_Initial'!I12</f>
        <v>Quality level</v>
      </c>
      <c r="B18" s="260" t="str">
        <f>'Evaluation Report_Initial'!M12</f>
        <v>Premium</v>
      </c>
      <c r="D18" s="256" t="str">
        <f>"Linguistic conventions: "&amp;Setup!$AS23</f>
        <v>Linguistic conventions: Character encoding</v>
      </c>
      <c r="E18" s="257">
        <f>Setup!BB23</f>
        <v>0</v>
      </c>
      <c r="F18" s="257">
        <f>Setup!AV23</f>
        <v>0</v>
      </c>
      <c r="G18" s="257">
        <f>Setup!AZ23</f>
        <v>0</v>
      </c>
      <c r="H18" s="257">
        <f>Setup!BD23</f>
        <v>0</v>
      </c>
      <c r="I18" s="257">
        <f>Setup!BC23</f>
        <v>0</v>
      </c>
    </row>
    <row r="19" spans="1:9" ht="13.5" thickBot="1">
      <c r="A19" s="251" t="s">
        <v>222</v>
      </c>
      <c r="B19" s="258" t="str">
        <f>'Evaluation Report_Initial'!V4</f>
        <v>Do NOT review</v>
      </c>
      <c r="D19" s="256" t="str">
        <f>"Linguistic conventions: "&amp;Setup!$AS24</f>
        <v>Linguistic conventions: Other</v>
      </c>
      <c r="E19" s="257">
        <f>Setup!BB24</f>
        <v>0</v>
      </c>
      <c r="F19" s="257">
        <f>Setup!AV24</f>
        <v>0</v>
      </c>
      <c r="G19" s="257">
        <f>Setup!AZ24</f>
        <v>0</v>
      </c>
      <c r="H19" s="257">
        <f>Setup!BD24</f>
        <v>0</v>
      </c>
      <c r="I19" s="257">
        <f>Setup!BC24</f>
        <v>0</v>
      </c>
    </row>
    <row r="20" spans="1:9" ht="13.5" thickBot="1">
      <c r="A20" s="251" t="str">
        <f>'Evaluation Report_Initial'!C28</f>
        <v>Error Points Threshold</v>
      </c>
      <c r="B20" s="258">
        <f>'Evaluation Report_Initial'!C30</f>
        <v>0</v>
      </c>
      <c r="D20" s="256" t="str">
        <f>"Style: "&amp;Setup!$AS26</f>
        <v>Style: Organizational style</v>
      </c>
      <c r="E20" s="257">
        <f>Setup!BB26</f>
        <v>0</v>
      </c>
      <c r="F20" s="257">
        <f>Setup!AV26</f>
        <v>0</v>
      </c>
      <c r="G20" s="257">
        <f>Setup!AZ26</f>
        <v>0</v>
      </c>
      <c r="H20" s="257">
        <f>Setup!BD26</f>
        <v>0</v>
      </c>
      <c r="I20" s="257">
        <f>Setup!BC26</f>
        <v>0</v>
      </c>
    </row>
    <row r="21" spans="1:9" ht="13.5" thickBot="1">
      <c r="A21" s="251" t="str">
        <f>'Evaluation Report_Initial'!F28</f>
        <v>Total Recorded Error Points</v>
      </c>
      <c r="B21" s="258">
        <f>'Evaluation Report_Initial'!C31</f>
        <v>0</v>
      </c>
      <c r="D21" s="256" t="str">
        <f>"Style: "&amp;Setup!$AS27</f>
        <v>Style: Third-party style</v>
      </c>
      <c r="E21" s="257">
        <f>Setup!BB27</f>
        <v>0</v>
      </c>
      <c r="F21" s="257">
        <f>Setup!AV27</f>
        <v>0</v>
      </c>
      <c r="G21" s="257">
        <f>Setup!AZ27</f>
        <v>0</v>
      </c>
      <c r="H21" s="257">
        <f>Setup!BD27</f>
        <v>0</v>
      </c>
      <c r="I21" s="257">
        <f>Setup!BC27</f>
        <v>0</v>
      </c>
    </row>
    <row r="22" spans="1:9" ht="13.5" thickBot="1">
      <c r="A22" s="251" t="s">
        <v>221</v>
      </c>
      <c r="B22" s="259" t="str">
        <f>'Evaluation Report_Initial'!M32</f>
        <v>Small File QE</v>
      </c>
      <c r="D22" s="256" t="str">
        <f>"Style: "&amp;Setup!$AS28</f>
        <v>Style: Inconsistent with external reference</v>
      </c>
      <c r="E22" s="257">
        <f>Setup!BB28</f>
        <v>0</v>
      </c>
      <c r="F22" s="257">
        <f>Setup!AV28</f>
        <v>0</v>
      </c>
      <c r="G22" s="257">
        <f>Setup!AZ28</f>
        <v>0</v>
      </c>
      <c r="H22" s="257">
        <f>Setup!BD28</f>
        <v>0</v>
      </c>
      <c r="I22" s="257">
        <f>Setup!BC28</f>
        <v>0</v>
      </c>
    </row>
    <row r="23" spans="1:9" ht="13.5" thickBot="1">
      <c r="A23" s="251" t="str">
        <f>'Evaluation Report_Initial'!J28</f>
        <v>Precision Ratio (100% max)</v>
      </c>
      <c r="B23" s="258" t="str">
        <f>'Evaluation Report_Initial'!J30</f>
        <v/>
      </c>
      <c r="D23" s="256" t="str">
        <f>"Style: "&amp;Setup!$AS29</f>
        <v>Style: Register</v>
      </c>
      <c r="E23" s="257">
        <f>Setup!BB29</f>
        <v>0</v>
      </c>
      <c r="F23" s="257">
        <f>Setup!AV29</f>
        <v>0</v>
      </c>
      <c r="G23" s="257">
        <f>Setup!AZ29</f>
        <v>0</v>
      </c>
      <c r="H23" s="257">
        <f>Setup!BD29</f>
        <v>0</v>
      </c>
      <c r="I23" s="257">
        <f>Setup!BC29</f>
        <v>0</v>
      </c>
    </row>
    <row r="24" spans="1:9" ht="13.5" thickBot="1">
      <c r="A24" s="251" t="s">
        <v>604</v>
      </c>
      <c r="B24" s="258" t="str">
        <f>'Evaluation Report_Initial'!J32</f>
        <v/>
      </c>
      <c r="D24" s="256" t="str">
        <f>"Style: "&amp;Setup!$AS30</f>
        <v>Style: Awkward style</v>
      </c>
      <c r="E24" s="257">
        <f>Setup!BB30</f>
        <v>0</v>
      </c>
      <c r="F24" s="257">
        <f>Setup!AV30</f>
        <v>0</v>
      </c>
      <c r="G24" s="257">
        <f>Setup!AZ30</f>
        <v>0</v>
      </c>
      <c r="H24" s="257">
        <f>Setup!BD30</f>
        <v>0</v>
      </c>
      <c r="I24" s="257">
        <f>Setup!BC30</f>
        <v>0</v>
      </c>
    </row>
    <row r="25" spans="1:9" ht="13.5" thickBot="1">
      <c r="A25" s="251" t="s">
        <v>605</v>
      </c>
      <c r="B25" s="258" t="str">
        <f>'Evaluation Report_Final Result'!J32</f>
        <v/>
      </c>
      <c r="D25" s="256" t="str">
        <f>"Style: "&amp;Setup!$AS31</f>
        <v>Style: Unidiomatic style</v>
      </c>
      <c r="E25" s="257">
        <f>Setup!BB31</f>
        <v>0</v>
      </c>
      <c r="F25" s="257">
        <f>Setup!AV31</f>
        <v>0</v>
      </c>
      <c r="G25" s="257">
        <f>Setup!AZ31</f>
        <v>0</v>
      </c>
      <c r="H25" s="257">
        <f>Setup!BD31</f>
        <v>0</v>
      </c>
      <c r="I25" s="257">
        <f>Setup!BC31</f>
        <v>0</v>
      </c>
    </row>
    <row r="26" spans="1:9" ht="13.5" thickBot="1">
      <c r="A26" s="251" t="s">
        <v>500</v>
      </c>
      <c r="B26" s="258">
        <f>'Evaluation Report_Initial'!O38</f>
        <v>0</v>
      </c>
      <c r="D26" s="256" t="str">
        <f>"Style: "&amp;Setup!$AS32</f>
        <v>Style: Inconsistent style</v>
      </c>
      <c r="E26" s="257">
        <f>Setup!BB32</f>
        <v>0</v>
      </c>
      <c r="F26" s="257">
        <f>Setup!AV32</f>
        <v>0</v>
      </c>
      <c r="G26" s="257">
        <f>Setup!AZ32</f>
        <v>0</v>
      </c>
      <c r="H26" s="257">
        <f>Setup!BD32</f>
        <v>0</v>
      </c>
      <c r="I26" s="257">
        <f>Setup!BC32</f>
        <v>0</v>
      </c>
    </row>
    <row r="27" spans="1:9" ht="13.5" thickBot="1">
      <c r="A27" s="251" t="s">
        <v>501</v>
      </c>
      <c r="B27" s="258">
        <f>'Evaluation Report_Initial'!B39</f>
        <v>0</v>
      </c>
      <c r="D27" s="256" t="str">
        <f>"Style: "&amp;Setup!$AS33</f>
        <v>Style: Other</v>
      </c>
      <c r="E27" s="257">
        <f>Setup!BB33</f>
        <v>0</v>
      </c>
      <c r="F27" s="257">
        <f>Setup!AV33</f>
        <v>0</v>
      </c>
      <c r="G27" s="257">
        <f>Setup!AZ33</f>
        <v>0</v>
      </c>
      <c r="H27" s="257">
        <f>Setup!BD33</f>
        <v>0</v>
      </c>
      <c r="I27" s="257">
        <f>Setup!BC33</f>
        <v>0</v>
      </c>
    </row>
    <row r="28" spans="1:9" ht="13.5" thickBot="1">
      <c r="A28" s="251" t="s">
        <v>353</v>
      </c>
      <c r="B28" s="265" t="str">
        <f>'Evaluation Report_Final Result'!T19</f>
        <v>100%</v>
      </c>
      <c r="D28" s="256" t="str">
        <f>"Locale conventions: "&amp;Setup!$AS35</f>
        <v>Locale conventions: Number format</v>
      </c>
      <c r="E28" s="257">
        <f>Setup!BB35</f>
        <v>0</v>
      </c>
      <c r="F28" s="257">
        <f>Setup!AV35</f>
        <v>0</v>
      </c>
      <c r="G28" s="257">
        <f>Setup!AZ35</f>
        <v>0</v>
      </c>
      <c r="H28" s="257">
        <f>Setup!BD35</f>
        <v>0</v>
      </c>
      <c r="I28" s="257">
        <f>Setup!BC35</f>
        <v>0</v>
      </c>
    </row>
    <row r="29" spans="1:9" ht="13.5" thickBot="1">
      <c r="A29" s="251" t="s">
        <v>621</v>
      </c>
      <c r="B29" s="265" t="str">
        <f>'Evaluation Report_Final Result'!T24</f>
        <v>100%</v>
      </c>
      <c r="D29" s="256" t="str">
        <f>"Locale conventions: "&amp;Setup!$AS36</f>
        <v>Locale conventions: Currency format</v>
      </c>
      <c r="E29" s="257">
        <f>Setup!BB36</f>
        <v>0</v>
      </c>
      <c r="F29" s="257">
        <f>Setup!AV36</f>
        <v>0</v>
      </c>
      <c r="G29" s="257">
        <f>Setup!AZ36</f>
        <v>0</v>
      </c>
      <c r="H29" s="257">
        <f>Setup!BD36</f>
        <v>0</v>
      </c>
      <c r="I29" s="257">
        <f>Setup!BC36</f>
        <v>0</v>
      </c>
    </row>
    <row r="30" spans="1:9" ht="13.5" thickBot="1">
      <c r="A30" s="251" t="s">
        <v>193</v>
      </c>
      <c r="B30" s="266">
        <f>'Evaluation Report_Final Result'!V28</f>
        <v>0</v>
      </c>
      <c r="D30" s="256" t="str">
        <f>"Locale conventions: "&amp;Setup!$AS37</f>
        <v>Locale conventions: Measurement format</v>
      </c>
      <c r="E30" s="257">
        <f>Setup!BB37</f>
        <v>0</v>
      </c>
      <c r="F30" s="257">
        <f>Setup!AV37</f>
        <v>0</v>
      </c>
      <c r="G30" s="257">
        <f>Setup!AZ37</f>
        <v>0</v>
      </c>
      <c r="H30" s="257">
        <f>Setup!BD37</f>
        <v>0</v>
      </c>
      <c r="I30" s="257">
        <f>Setup!BC37</f>
        <v>0</v>
      </c>
    </row>
    <row r="31" spans="1:9" ht="13.5" thickBot="1">
      <c r="A31" s="251" t="s">
        <v>194</v>
      </c>
      <c r="B31" s="266">
        <f>'Evaluation Report_Final Result'!V29</f>
        <v>0</v>
      </c>
      <c r="D31" s="256" t="str">
        <f>"Locale conventions: "&amp;Setup!$AS38</f>
        <v>Locale conventions: Time format</v>
      </c>
      <c r="E31" s="257">
        <f>Setup!BB38</f>
        <v>0</v>
      </c>
      <c r="F31" s="257">
        <f>Setup!AV38</f>
        <v>0</v>
      </c>
      <c r="G31" s="257">
        <f>Setup!AZ38</f>
        <v>0</v>
      </c>
      <c r="H31" s="257">
        <f>Setup!BD38</f>
        <v>0</v>
      </c>
      <c r="I31" s="257">
        <f>Setup!BC38</f>
        <v>0</v>
      </c>
    </row>
    <row r="32" spans="1:9" ht="13.5" thickBot="1">
      <c r="A32" s="251" t="s">
        <v>197</v>
      </c>
      <c r="B32" s="266">
        <f>'Evaluation Report_Final Result'!V30</f>
        <v>0</v>
      </c>
      <c r="D32" s="256" t="str">
        <f>"Locale conventions: "&amp;Setup!$AS39</f>
        <v>Locale conventions: Date format</v>
      </c>
      <c r="E32" s="257">
        <f>Setup!BB39</f>
        <v>0</v>
      </c>
      <c r="F32" s="257">
        <f>Setup!AV39</f>
        <v>0</v>
      </c>
      <c r="G32" s="257">
        <f>Setup!AZ39</f>
        <v>0</v>
      </c>
      <c r="H32" s="257">
        <f>Setup!BD39</f>
        <v>0</v>
      </c>
      <c r="I32" s="257">
        <f>Setup!BC39</f>
        <v>0</v>
      </c>
    </row>
    <row r="33" spans="1:9" ht="13.5" thickBot="1">
      <c r="A33" s="267" t="s">
        <v>622</v>
      </c>
      <c r="B33" s="268" t="str">
        <f>'Evaluation Report_Final Result'!W32</f>
        <v>N/A</v>
      </c>
      <c r="D33" s="256" t="str">
        <f>"Locale conventions: "&amp;Setup!$AS40</f>
        <v>Locale conventions: Address format</v>
      </c>
      <c r="E33" s="257">
        <f>Setup!BB40</f>
        <v>0</v>
      </c>
      <c r="F33" s="257">
        <f>Setup!AV40</f>
        <v>0</v>
      </c>
      <c r="G33" s="257">
        <f>Setup!AZ40</f>
        <v>0</v>
      </c>
      <c r="H33" s="257">
        <f>Setup!BD40</f>
        <v>0</v>
      </c>
      <c r="I33" s="257">
        <f>Setup!BC40</f>
        <v>0</v>
      </c>
    </row>
    <row r="34" spans="1:9" ht="13.5" thickBot="1">
      <c r="D34" s="256" t="str">
        <f>"Locale conventions: "&amp;Setup!$AS41</f>
        <v>Locale conventions: Telephone format</v>
      </c>
      <c r="E34" s="257">
        <f>Setup!BB41</f>
        <v>0</v>
      </c>
      <c r="F34" s="257">
        <f>Setup!AV41</f>
        <v>0</v>
      </c>
      <c r="G34" s="257">
        <f>Setup!AZ41</f>
        <v>0</v>
      </c>
      <c r="H34" s="257">
        <f>Setup!BD41</f>
        <v>0</v>
      </c>
      <c r="I34" s="257">
        <f>Setup!BC41</f>
        <v>0</v>
      </c>
    </row>
    <row r="35" spans="1:9" ht="13.5" thickBot="1">
      <c r="D35" s="256" t="str">
        <f>"Locale conventions: "&amp;Setup!$AS42</f>
        <v>Locale conventions: Shortcut key</v>
      </c>
      <c r="E35" s="257">
        <f>Setup!BB42</f>
        <v>0</v>
      </c>
      <c r="F35" s="257">
        <f>Setup!AV42</f>
        <v>0</v>
      </c>
      <c r="G35" s="257">
        <f>Setup!AZ42</f>
        <v>0</v>
      </c>
      <c r="H35" s="257">
        <f>Setup!BD42</f>
        <v>0</v>
      </c>
      <c r="I35" s="257">
        <f>Setup!BC42</f>
        <v>0</v>
      </c>
    </row>
    <row r="36" spans="1:9" ht="13.5" thickBot="1">
      <c r="D36" s="256" t="str">
        <f>"Locale conventions: "&amp;Setup!$AS43</f>
        <v>Locale conventions: Other</v>
      </c>
      <c r="E36" s="257">
        <f>Setup!BB43</f>
        <v>0</v>
      </c>
      <c r="F36" s="257">
        <f>Setup!AV43</f>
        <v>0</v>
      </c>
      <c r="G36" s="257">
        <f>Setup!AZ43</f>
        <v>0</v>
      </c>
      <c r="H36" s="257">
        <f>Setup!BD43</f>
        <v>0</v>
      </c>
      <c r="I36" s="257">
        <f>Setup!BC43</f>
        <v>0</v>
      </c>
    </row>
    <row r="37" spans="1:9" ht="13.5" thickBot="1">
      <c r="D37" s="256" t="str">
        <f>"Audience appropriateness: "&amp;Setup!$AS45</f>
        <v>Audience appropriateness: Culture-specific reference</v>
      </c>
      <c r="E37" s="257">
        <f>Setup!BB45</f>
        <v>0</v>
      </c>
      <c r="F37" s="257">
        <f>Setup!AV45</f>
        <v>0</v>
      </c>
      <c r="G37" s="257">
        <f>Setup!AZ45</f>
        <v>0</v>
      </c>
      <c r="H37" s="257">
        <f>Setup!BD45</f>
        <v>0</v>
      </c>
      <c r="I37" s="257">
        <f>Setup!BC45</f>
        <v>0</v>
      </c>
    </row>
    <row r="38" spans="1:9" ht="13.5" thickBot="1">
      <c r="D38" s="256" t="str">
        <f>"Audience appropriateness: "&amp;Setup!$AS46</f>
        <v>Audience appropriateness: Other</v>
      </c>
      <c r="E38" s="257">
        <f>Setup!BB46</f>
        <v>0</v>
      </c>
      <c r="F38" s="257">
        <f>Setup!AV46</f>
        <v>0</v>
      </c>
      <c r="G38" s="257">
        <f>Setup!AZ46</f>
        <v>0</v>
      </c>
      <c r="H38" s="257">
        <f>Setup!BD46</f>
        <v>0</v>
      </c>
      <c r="I38" s="257">
        <f>Setup!BC46</f>
        <v>0</v>
      </c>
    </row>
    <row r="39" spans="1:9" ht="13.5" thickBot="1">
      <c r="D39" s="256" t="str">
        <f>"Design and markup: "&amp;Setup!$AS48</f>
        <v>Design and markup: Character formatting</v>
      </c>
      <c r="E39" s="257">
        <f>Setup!BB48</f>
        <v>0</v>
      </c>
      <c r="F39" s="257">
        <f>Setup!AV48</f>
        <v>0</v>
      </c>
      <c r="G39" s="257">
        <f>Setup!AZ48</f>
        <v>0</v>
      </c>
      <c r="H39" s="257">
        <f>Setup!BD48</f>
        <v>0</v>
      </c>
      <c r="I39" s="257">
        <f>Setup!BC48</f>
        <v>0</v>
      </c>
    </row>
    <row r="40" spans="1:9" ht="13.5" thickBot="1">
      <c r="D40" s="256" t="str">
        <f>"Design and markup: "&amp;Setup!$AS49</f>
        <v>Design and markup: Layout</v>
      </c>
      <c r="E40" s="257">
        <f>Setup!BB49</f>
        <v>0</v>
      </c>
      <c r="F40" s="257">
        <f>Setup!AV49</f>
        <v>0</v>
      </c>
      <c r="G40" s="257">
        <f>Setup!AZ49</f>
        <v>0</v>
      </c>
      <c r="H40" s="257">
        <f>Setup!BD49</f>
        <v>0</v>
      </c>
      <c r="I40" s="257">
        <f>Setup!BC49</f>
        <v>0</v>
      </c>
    </row>
    <row r="41" spans="1:9" ht="13.5" thickBot="1">
      <c r="D41" s="256" t="str">
        <f>"Design and markup: "&amp;Setup!$AS50</f>
        <v>Design and markup: Markup tag</v>
      </c>
      <c r="E41" s="257">
        <f>Setup!BB50</f>
        <v>0</v>
      </c>
      <c r="F41" s="257">
        <f>Setup!AV50</f>
        <v>0</v>
      </c>
      <c r="G41" s="257">
        <f>Setup!AZ50</f>
        <v>0</v>
      </c>
      <c r="H41" s="257">
        <f>Setup!BD50</f>
        <v>0</v>
      </c>
      <c r="I41" s="257">
        <f>Setup!BC50</f>
        <v>0</v>
      </c>
    </row>
    <row r="42" spans="1:9" ht="13.5" thickBot="1">
      <c r="D42" s="256" t="str">
        <f>"Design and markup: "&amp;Setup!$AS51</f>
        <v>Design and markup: Truncation/text expansion</v>
      </c>
      <c r="E42" s="257">
        <f>Setup!BB51</f>
        <v>0</v>
      </c>
      <c r="F42" s="257">
        <f>Setup!AV51</f>
        <v>0</v>
      </c>
      <c r="G42" s="257">
        <f>Setup!AZ51</f>
        <v>0</v>
      </c>
      <c r="H42" s="257">
        <f>Setup!BD51</f>
        <v>0</v>
      </c>
      <c r="I42" s="257">
        <f>Setup!BC51</f>
        <v>0</v>
      </c>
    </row>
    <row r="43" spans="1:9" ht="13.5" thickBot="1">
      <c r="D43" s="256" t="str">
        <f>"Design and markup: "&amp;Setup!$AS52</f>
        <v>Design and markup: Missing text</v>
      </c>
      <c r="E43" s="257">
        <f>Setup!BB52</f>
        <v>0</v>
      </c>
      <c r="F43" s="257">
        <f>Setup!AV52</f>
        <v>0</v>
      </c>
      <c r="G43" s="257">
        <f>Setup!AZ52</f>
        <v>0</v>
      </c>
      <c r="H43" s="257">
        <f>Setup!BD52</f>
        <v>0</v>
      </c>
      <c r="I43" s="257">
        <f>Setup!BC52</f>
        <v>0</v>
      </c>
    </row>
    <row r="44" spans="1:9" ht="13.5" thickBot="1">
      <c r="D44" s="256" t="str">
        <f>"Design and markup: "&amp;Setup!$AS53</f>
        <v>Design and markup: Link/cross-reference</v>
      </c>
      <c r="E44" s="257">
        <f>Setup!BB53</f>
        <v>0</v>
      </c>
      <c r="F44" s="257">
        <f>Setup!AV53</f>
        <v>0</v>
      </c>
      <c r="G44" s="257">
        <f>Setup!AZ53</f>
        <v>0</v>
      </c>
      <c r="H44" s="257">
        <f>Setup!BD53</f>
        <v>0</v>
      </c>
      <c r="I44" s="257">
        <f>Setup!BC53</f>
        <v>0</v>
      </c>
    </row>
    <row r="45" spans="1:9" ht="13.5" thickBot="1">
      <c r="D45" s="256" t="str">
        <f>"Design and markup: "&amp;Setup!$AS54</f>
        <v>Design and markup: Other</v>
      </c>
      <c r="E45" s="257">
        <f>Setup!BB54</f>
        <v>0</v>
      </c>
      <c r="F45" s="257">
        <f>Setup!AV54</f>
        <v>0</v>
      </c>
      <c r="G45" s="257">
        <f>Setup!AZ54</f>
        <v>0</v>
      </c>
      <c r="H45" s="257">
        <f>Setup!BD54</f>
        <v>0</v>
      </c>
      <c r="I45" s="257">
        <f>Setup!BC54</f>
        <v>0</v>
      </c>
    </row>
    <row r="46" spans="1:9" ht="13.5" thickBot="1">
      <c r="D46" s="256" t="str">
        <f>"Other: "&amp;Setup!$AS56</f>
        <v>Other: Legacy data</v>
      </c>
      <c r="E46" s="257">
        <f>Setup!BB56</f>
        <v>0</v>
      </c>
      <c r="F46" s="257">
        <f>Setup!AV56</f>
        <v>0</v>
      </c>
      <c r="G46" s="257">
        <f>Setup!AZ56</f>
        <v>0</v>
      </c>
      <c r="H46" s="257">
        <f>Setup!BD56</f>
        <v>0</v>
      </c>
      <c r="I46" s="257">
        <f>Setup!BC56</f>
        <v>0</v>
      </c>
    </row>
    <row r="47" spans="1:9" ht="13.5" thickBot="1">
      <c r="D47" s="256" t="str">
        <f>"Other: "&amp;Setup!$AS57</f>
        <v>Other: Source text data</v>
      </c>
      <c r="E47" s="257">
        <f>Setup!BB57</f>
        <v>0</v>
      </c>
      <c r="F47" s="257">
        <f>Setup!AV57</f>
        <v>0</v>
      </c>
      <c r="G47" s="257">
        <f>Setup!AZ57</f>
        <v>0</v>
      </c>
      <c r="H47" s="257">
        <f>Setup!BD57</f>
        <v>0</v>
      </c>
      <c r="I47" s="257">
        <f>Setup!BC57</f>
        <v>0</v>
      </c>
    </row>
    <row r="48" spans="1:9" ht="13.5" thickBot="1">
      <c r="D48" s="256" t="str">
        <f>"Other: "&amp;Setup!$AS58</f>
        <v>Other: Other</v>
      </c>
      <c r="E48" s="257">
        <f>Setup!BB58</f>
        <v>0</v>
      </c>
      <c r="F48" s="257">
        <f>Setup!AV58</f>
        <v>0</v>
      </c>
      <c r="G48" s="257">
        <f>Setup!AZ58</f>
        <v>0</v>
      </c>
      <c r="H48" s="257">
        <f>Setup!BD58</f>
        <v>0</v>
      </c>
      <c r="I48" s="257">
        <f>Setup!BC58</f>
        <v>0</v>
      </c>
    </row>
  </sheetData>
  <conditionalFormatting sqref="AS1">
    <cfRule type="cellIs" dxfId="1" priority="2" operator="greaterThan">
      <formula>$AR$1</formula>
    </cfRule>
  </conditionalFormatting>
  <conditionalFormatting sqref="AT1">
    <cfRule type="containsText" dxfId="0" priority="1" operator="containsText" text="No Pass">
      <formula>NOT(ISERROR(SEARCH("No Pass",AT1)))</formula>
    </cfRule>
  </conditionalFormatting>
  <printOptions horizontalCentered="1"/>
  <pageMargins left="0.7" right="0.7" top="0.75" bottom="0.75" header="0.3" footer="0.3"/>
  <pageSetup paperSize="9" scale="86" fitToHeight="0" orientation="landscape" horizontalDpi="300" verticalDpi="300" r:id="rId1"/>
  <headerFooter>
    <oddFooter>&amp;L&amp;F&amp;CPage &amp;P of &amp;N&amp;RUncontrolled when in use</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MigrationWizIdPermissionLevels xmlns="d1a5a629-3d84-4365-a7ed-152077477801" xsi:nil="true"/>
    <MigrationWizIdSecurityGroups xmlns="d1a5a629-3d84-4365-a7ed-152077477801" xsi:nil="true"/>
    <MigrationWizIdVersion xmlns="d1a5a629-3d84-4365-a7ed-152077477801" xsi:nil="true"/>
    <MigrationWizIdDocumentLibraryPermissions xmlns="d1a5a629-3d84-4365-a7ed-152077477801" xsi:nil="true"/>
    <MigrationWizIdPermissions xmlns="d1a5a629-3d84-4365-a7ed-152077477801" xsi:nil="true"/>
    <_activity xmlns="d1a5a629-3d84-4365-a7ed-152077477801" xsi:nil="true"/>
    <MigrationWizId xmlns="d1a5a629-3d84-4365-a7ed-152077477801"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A50EFF860D307438882E77FCCBC4A59" ma:contentTypeVersion="21" ma:contentTypeDescription="Create a new document." ma:contentTypeScope="" ma:versionID="521b1ea46eb5aed136489e771a34ab57">
  <xsd:schema xmlns:xsd="http://www.w3.org/2001/XMLSchema" xmlns:xs="http://www.w3.org/2001/XMLSchema" xmlns:p="http://schemas.microsoft.com/office/2006/metadata/properties" xmlns:ns3="d1a5a629-3d84-4365-a7ed-152077477801" xmlns:ns4="8f4e8db0-db5b-4644-bbfb-9801547e4bb7" targetNamespace="http://schemas.microsoft.com/office/2006/metadata/properties" ma:root="true" ma:fieldsID="8f79f67d8f9d54f6568252f2af033ad9" ns3:_="" ns4:_="">
    <xsd:import namespace="d1a5a629-3d84-4365-a7ed-152077477801"/>
    <xsd:import namespace="8f4e8db0-db5b-4644-bbfb-9801547e4bb7"/>
    <xsd:element name="properties">
      <xsd:complexType>
        <xsd:sequence>
          <xsd:element name="documentManagement">
            <xsd:complexType>
              <xsd:all>
                <xsd:element ref="ns3:MigrationWizId" minOccurs="0"/>
                <xsd:element ref="ns3:MigrationWizIdPermissions" minOccurs="0"/>
                <xsd:element ref="ns3:MigrationWizIdVersion" minOccurs="0"/>
                <xsd:element ref="ns3:MediaServiceMetadata" minOccurs="0"/>
                <xsd:element ref="ns3:MediaServiceFastMetadata" minOccurs="0"/>
                <xsd:element ref="ns3:MediaLengthInSecond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3:_activity" minOccurs="0"/>
                <xsd:element ref="ns3:MigrationWizIdPermissionLevels" minOccurs="0"/>
                <xsd:element ref="ns3:MigrationWizIdDocumentLibraryPermissions" minOccurs="0"/>
                <xsd:element ref="ns3:MigrationWizIdSecurityGroups" minOccurs="0"/>
                <xsd:element ref="ns4:SharedWithUsers" minOccurs="0"/>
                <xsd:element ref="ns4:SharedWithDetails" minOccurs="0"/>
                <xsd:element ref="ns4:SharingHintHash" minOccurs="0"/>
                <xsd:element ref="ns3:MediaServiceObjectDetectorVersions" minOccurs="0"/>
                <xsd:element ref="ns3:MediaServiceSystemTag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1a5a629-3d84-4365-a7ed-152077477801" elementFormDefault="qualified">
    <xsd:import namespace="http://schemas.microsoft.com/office/2006/documentManagement/types"/>
    <xsd:import namespace="http://schemas.microsoft.com/office/infopath/2007/PartnerControls"/>
    <xsd:element name="MigrationWizId" ma:index="8" nillable="true" ma:displayName="MigrationWizId" ma:internalName="MigrationWizId">
      <xsd:simpleType>
        <xsd:restriction base="dms:Text"/>
      </xsd:simpleType>
    </xsd:element>
    <xsd:element name="MigrationWizIdPermissions" ma:index="9" nillable="true" ma:displayName="MigrationWizIdPermissions" ma:internalName="MigrationWizIdPermissions">
      <xsd:simpleType>
        <xsd:restriction base="dms:Text"/>
      </xsd:simpleType>
    </xsd:element>
    <xsd:element name="MigrationWizIdVersion" ma:index="10" nillable="true" ma:displayName="MigrationWizIdVersion" ma:internalName="MigrationWizIdVersion">
      <xsd:simpleType>
        <xsd:restriction base="dms:Text"/>
      </xsd:simple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LengthInSeconds" ma:index="13" nillable="true" ma:displayName="MediaLengthInSeconds" ma:hidden="true" ma:internalName="MediaLengthInSeconds" ma:readOnly="true">
      <xsd:simpleType>
        <xsd:restriction base="dms:Unknow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_activity" ma:index="19" nillable="true" ma:displayName="_activity" ma:hidden="true" ma:internalName="_activity" ma:readOnly="false">
      <xsd:simpleType>
        <xsd:restriction base="dms:Note"/>
      </xsd:simpleType>
    </xsd:element>
    <xsd:element name="MigrationWizIdPermissionLevels" ma:index="20" nillable="true" ma:displayName="MigrationWizIdPermissionLevels" ma:internalName="MigrationWizIdPermissionLevels">
      <xsd:simpleType>
        <xsd:restriction base="dms:Text"/>
      </xsd:simpleType>
    </xsd:element>
    <xsd:element name="MigrationWizIdDocumentLibraryPermissions" ma:index="21" nillable="true" ma:displayName="MigrationWizIdDocumentLibraryPermissions" ma:internalName="MigrationWizIdDocumentLibraryPermissions">
      <xsd:simpleType>
        <xsd:restriction base="dms:Text"/>
      </xsd:simpleType>
    </xsd:element>
    <xsd:element name="MigrationWizIdSecurityGroups" ma:index="22" nillable="true" ma:displayName="MigrationWizIdSecurityGroups" ma:internalName="MigrationWizIdSecurityGroups">
      <xsd:simpleType>
        <xsd:restriction base="dms:Text"/>
      </xsd:simpleType>
    </xsd:element>
    <xsd:element name="MediaServiceObjectDetectorVersions" ma:index="26" nillable="true" ma:displayName="MediaServiceObjectDetectorVersions" ma:hidden="true" ma:indexed="true" ma:internalName="MediaServiceObjectDetectorVersions" ma:readOnly="true">
      <xsd:simpleType>
        <xsd:restriction base="dms:Text"/>
      </xsd:simpleType>
    </xsd:element>
    <xsd:element name="MediaServiceSystemTags" ma:index="27" nillable="true" ma:displayName="MediaServiceSystemTags" ma:hidden="true" ma:internalName="MediaServiceSystemTags" ma:readOnly="true">
      <xsd:simpleType>
        <xsd:restriction base="dms:Note"/>
      </xsd:simpleType>
    </xsd:element>
    <xsd:element name="MediaServiceSearchProperties" ma:index="28"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f4e8db0-db5b-4644-bbfb-9801547e4bb7" elementFormDefault="qualified">
    <xsd:import namespace="http://schemas.microsoft.com/office/2006/documentManagement/types"/>
    <xsd:import namespace="http://schemas.microsoft.com/office/infopath/2007/PartnerControls"/>
    <xsd:element name="SharedWithUsers" ma:index="2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4" nillable="true" ma:displayName="Shared With Details" ma:internalName="SharedWithDetails" ma:readOnly="true">
      <xsd:simpleType>
        <xsd:restriction base="dms:Note">
          <xsd:maxLength value="255"/>
        </xsd:restriction>
      </xsd:simpleType>
    </xsd:element>
    <xsd:element name="SharingHintHash" ma:index="25"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98E0338-ECB5-4A29-AC52-2B2E922F67A0}">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8f4e8db0-db5b-4644-bbfb-9801547e4bb7"/>
    <ds:schemaRef ds:uri="http://purl.org/dc/elements/1.1/"/>
    <ds:schemaRef ds:uri="http://schemas.microsoft.com/office/2006/metadata/properties"/>
    <ds:schemaRef ds:uri="d1a5a629-3d84-4365-a7ed-152077477801"/>
    <ds:schemaRef ds:uri="http://www.w3.org/XML/1998/namespace"/>
    <ds:schemaRef ds:uri="http://purl.org/dc/dcmitype/"/>
  </ds:schemaRefs>
</ds:datastoreItem>
</file>

<file path=customXml/itemProps2.xml><?xml version="1.0" encoding="utf-8"?>
<ds:datastoreItem xmlns:ds="http://schemas.openxmlformats.org/officeDocument/2006/customXml" ds:itemID="{BE7301F6-9B86-4E19-9E32-D26330F52F6E}">
  <ds:schemaRefs>
    <ds:schemaRef ds:uri="http://schemas.microsoft.com/sharepoint/v3/contenttype/forms"/>
  </ds:schemaRefs>
</ds:datastoreItem>
</file>

<file path=customXml/itemProps3.xml><?xml version="1.0" encoding="utf-8"?>
<ds:datastoreItem xmlns:ds="http://schemas.openxmlformats.org/officeDocument/2006/customXml" ds:itemID="{3762F017-AF38-48EE-8029-8E48FA5BAB2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1a5a629-3d84-4365-a7ed-152077477801"/>
    <ds:schemaRef ds:uri="8f4e8db0-db5b-4644-bbfb-9801547e4bb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20</vt:i4>
      </vt:variant>
    </vt:vector>
  </HeadingPairs>
  <TitlesOfParts>
    <vt:vector size="27" baseType="lpstr">
      <vt:lpstr>Evaluation Report_Initial</vt:lpstr>
      <vt:lpstr>Evaluation Report_Final Result</vt:lpstr>
      <vt:lpstr>Evaluation details_input</vt:lpstr>
      <vt:lpstr>Screenshots</vt:lpstr>
      <vt:lpstr>Checklist</vt:lpstr>
      <vt:lpstr>Errors &amp; Weighting definitions</vt:lpstr>
      <vt:lpstr>Version History</vt:lpstr>
      <vt:lpstr>Accuracy</vt:lpstr>
      <vt:lpstr>Adequacy</vt:lpstr>
      <vt:lpstr>aLevel2</vt:lpstr>
      <vt:lpstr>Audience</vt:lpstr>
      <vt:lpstr>BUS_UNIT</vt:lpstr>
      <vt:lpstr>Design</vt:lpstr>
      <vt:lpstr>languages</vt:lpstr>
      <vt:lpstr>Linguistic</vt:lpstr>
      <vt:lpstr>Locale</vt:lpstr>
      <vt:lpstr>NotImp</vt:lpstr>
      <vt:lpstr>OFFICE</vt:lpstr>
      <vt:lpstr>Other</vt:lpstr>
      <vt:lpstr>'Errors &amp; Weighting definitions'!Print_Area</vt:lpstr>
      <vt:lpstr>'Evaluation details_input'!Print_Area</vt:lpstr>
      <vt:lpstr>Setup!Print_Area</vt:lpstr>
      <vt:lpstr>Severities</vt:lpstr>
      <vt:lpstr>SignOff</vt:lpstr>
      <vt:lpstr>Style</vt:lpstr>
      <vt:lpstr>Terminology</vt:lpstr>
      <vt:lpstr>TRANS_TYPE</vt:lpstr>
    </vt:vector>
  </TitlesOfParts>
  <Company>SDL Limited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bbulawa@sdl.com</dc:creator>
  <cp:lastModifiedBy>Brajan Buława</cp:lastModifiedBy>
  <cp:lastPrinted>2024-05-06T06:34:35Z</cp:lastPrinted>
  <dcterms:created xsi:type="dcterms:W3CDTF">1999-07-14T09:26:35Z</dcterms:created>
  <dcterms:modified xsi:type="dcterms:W3CDTF">2024-06-18T11:21:27Z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0x010100EA50EFF860D307438882E77FCCBC4A59</vt:lpwstr>
  </property>
  <property fmtid="{D5CDD505-2E9C-101B-9397-08002B2CF9AE}" pid="3" name="Order">
    <vt:r8>9600</vt:r8>
  </property>
  <property fmtid="{D5CDD505-2E9C-101B-9397-08002B2CF9AE}" pid="4" name="Description0">
    <vt:lpwstr>SDL J2450 Quality Evaluation Report, incorporating SAE J2450 Translation Quality Metric. Launched 31 January 2013. Used for internal SDL quality evaluations by Network Offices and Q&amp;I Group.</vt:lpwstr>
  </property>
  <property fmtid="{D5CDD505-2E9C-101B-9397-08002B2CF9AE}" pid="5" name="SDL Divisions">
    <vt:lpwstr/>
  </property>
  <property fmtid="{D5CDD505-2E9C-101B-9397-08002B2CF9AE}" pid="6" name="SDL Departments">
    <vt:lpwstr/>
  </property>
  <property fmtid="{D5CDD505-2E9C-101B-9397-08002B2CF9AE}" pid="7" name="MMSSDLLocation">
    <vt:lpwstr/>
  </property>
  <property fmtid="{D5CDD505-2E9C-101B-9397-08002B2CF9AE}" pid="8" name="Quality Standard">
    <vt:lpwstr>159;#QMS|cfa24afb-9241-4515-8fe5-25044a2c8f2c</vt:lpwstr>
  </property>
</Properties>
</file>